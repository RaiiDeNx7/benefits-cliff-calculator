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CCED60A4-2119-4580-8D3F-429BEE5C8D4B}"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197" i="3" l="1"/>
  <c r="E96" i="3"/>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L157" i="14" s="1"/>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<sst xmlns="http://schemas.openxmlformats.org/spreadsheetml/2006/main" count="1201" uniqueCount="742">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</sst>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$1,500.00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6317.2690000000002</c:v>
                </c:pt>
                <c:pt idx="1">
                  <c:v>7817.2690000000002</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$1,500.00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6317.2690000000002</c:v>
                </c:pt>
                <c:pt idx="1">
                  <c:v>7817.2690000000002</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24480</c:v>
                </c:pt>
                <c:pt idx="68">
                  <c:v>24480</c:v>
                </c:pt>
                <c:pt idx="69">
                  <c:v>24480</c:v>
                </c:pt>
                <c:pt idx="70">
                  <c:v>24480</c:v>
                </c:pt>
                <c:pt idx="71">
                  <c:v>24480</c:v>
                </c:pt>
                <c:pt idx="72">
                  <c:v>24480</c:v>
                </c:pt>
                <c:pt idx="73">
                  <c:v>24480</c:v>
                </c:pt>
                <c:pt idx="74">
                  <c:v>24480</c:v>
                </c:pt>
                <c:pt idx="75">
                  <c:v>24480</c:v>
                </c:pt>
                <c:pt idx="76">
                  <c:v>24480</c:v>
                </c:pt>
                <c:pt idx="77">
                  <c:v>24480</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14076</c:v>
                </c:pt>
                <c:pt idx="3">
                  <c:v>13896</c:v>
                </c:pt>
                <c:pt idx="4">
                  <c:v>13716</c:v>
                </c:pt>
                <c:pt idx="5">
                  <c:v>13536</c:v>
                </c:pt>
                <c:pt idx="6">
                  <c:v>13536</c:v>
                </c:pt>
                <c:pt idx="7">
                  <c:v>13536</c:v>
                </c:pt>
                <c:pt idx="8">
                  <c:v>13536</c:v>
                </c:pt>
                <c:pt idx="9">
                  <c:v>13536</c:v>
                </c:pt>
                <c:pt idx="10">
                  <c:v>13536</c:v>
                </c:pt>
                <c:pt idx="11">
                  <c:v>13536</c:v>
                </c:pt>
                <c:pt idx="12">
                  <c:v>13536</c:v>
                </c:pt>
                <c:pt idx="13">
                  <c:v>13536</c:v>
                </c:pt>
                <c:pt idx="14">
                  <c:v>13536</c:v>
                </c:pt>
                <c:pt idx="15">
                  <c:v>13536</c:v>
                </c:pt>
                <c:pt idx="16">
                  <c:v>13536</c:v>
                </c:pt>
                <c:pt idx="17">
                  <c:v>13536</c:v>
                </c:pt>
                <c:pt idx="18">
                  <c:v>13536</c:v>
                </c:pt>
                <c:pt idx="19">
                  <c:v>13536</c:v>
                </c:pt>
                <c:pt idx="20">
                  <c:v>13440</c:v>
                </c:pt>
                <c:pt idx="21">
                  <c:v>13260</c:v>
                </c:pt>
                <c:pt idx="22">
                  <c:v>13080</c:v>
                </c:pt>
                <c:pt idx="23">
                  <c:v>12900</c:v>
                </c:pt>
                <c:pt idx="24">
                  <c:v>12720</c:v>
                </c:pt>
                <c:pt idx="25">
                  <c:v>12540</c:v>
                </c:pt>
                <c:pt idx="26">
                  <c:v>12360</c:v>
                </c:pt>
                <c:pt idx="27">
                  <c:v>12180</c:v>
                </c:pt>
                <c:pt idx="28">
                  <c:v>12000</c:v>
                </c:pt>
                <c:pt idx="29">
                  <c:v>11820</c:v>
                </c:pt>
                <c:pt idx="30">
                  <c:v>11640</c:v>
                </c:pt>
                <c:pt idx="31">
                  <c:v>11460</c:v>
                </c:pt>
                <c:pt idx="32">
                  <c:v>11280</c:v>
                </c:pt>
                <c:pt idx="33">
                  <c:v>11100</c:v>
                </c:pt>
                <c:pt idx="34">
                  <c:v>10920</c:v>
                </c:pt>
                <c:pt idx="35">
                  <c:v>10740</c:v>
                </c:pt>
                <c:pt idx="36">
                  <c:v>10560</c:v>
                </c:pt>
                <c:pt idx="37">
                  <c:v>10380</c:v>
                </c:pt>
                <c:pt idx="38">
                  <c:v>10200</c:v>
                </c:pt>
                <c:pt idx="39">
                  <c:v>10020</c:v>
                </c:pt>
                <c:pt idx="40">
                  <c:v>9840</c:v>
                </c:pt>
                <c:pt idx="41">
                  <c:v>9660</c:v>
                </c:pt>
                <c:pt idx="42">
                  <c:v>9480</c:v>
                </c:pt>
                <c:pt idx="43">
                  <c:v>9300</c:v>
                </c:pt>
                <c:pt idx="44">
                  <c:v>9120</c:v>
                </c:pt>
                <c:pt idx="45">
                  <c:v>8940</c:v>
                </c:pt>
                <c:pt idx="46">
                  <c:v>8760</c:v>
                </c:pt>
                <c:pt idx="47">
                  <c:v>8580</c:v>
                </c:pt>
                <c:pt idx="48">
                  <c:v>8400</c:v>
                </c:pt>
                <c:pt idx="49">
                  <c:v>8220</c:v>
                </c:pt>
                <c:pt idx="50">
                  <c:v>8040</c:v>
                </c:pt>
                <c:pt idx="51">
                  <c:v>7860</c:v>
                </c:pt>
                <c:pt idx="52">
                  <c:v>7680</c:v>
                </c:pt>
                <c:pt idx="53">
                  <c:v>7500</c:v>
                </c:pt>
                <c:pt idx="54">
                  <c:v>7320</c:v>
                </c:pt>
                <c:pt idx="55">
                  <c:v>7140</c:v>
                </c:pt>
                <c:pt idx="56">
                  <c:v>6972</c:v>
                </c:pt>
                <c:pt idx="57">
                  <c:v>6852</c:v>
                </c:pt>
                <c:pt idx="58">
                  <c:v>6732</c:v>
                </c:pt>
                <c:pt idx="59">
                  <c:v>6612</c:v>
                </c:pt>
                <c:pt idx="60">
                  <c:v>6492</c:v>
                </c:pt>
                <c:pt idx="61">
                  <c:v>6372</c:v>
                </c:pt>
                <c:pt idx="62">
                  <c:v>6252</c:v>
                </c:pt>
                <c:pt idx="63">
                  <c:v>6132</c:v>
                </c:pt>
                <c:pt idx="64">
                  <c:v>6012</c:v>
                </c:pt>
                <c:pt idx="65">
                  <c:v>5892</c:v>
                </c:pt>
                <c:pt idx="66">
                  <c:v>5772</c:v>
                </c:pt>
                <c:pt idx="67">
                  <c:v>5652</c:v>
                </c:pt>
                <c:pt idx="68">
                  <c:v>5532</c:v>
                </c:pt>
                <c:pt idx="69">
                  <c:v>5412</c:v>
                </c:pt>
                <c:pt idx="70">
                  <c:v>5292</c:v>
                </c:pt>
                <c:pt idx="71">
                  <c:v>5172</c:v>
                </c:pt>
                <c:pt idx="72">
                  <c:v>5052</c:v>
                </c:pt>
                <c:pt idx="73">
                  <c:v>4932</c:v>
                </c:pt>
                <c:pt idx="74">
                  <c:v>4812</c:v>
                </c:pt>
                <c:pt idx="75">
                  <c:v>4692</c:v>
                </c:pt>
                <c:pt idx="76">
                  <c:v>4572</c:v>
                </c:pt>
                <c:pt idx="77">
                  <c:v>4452</c:v>
                </c:pt>
                <c:pt idx="78">
                  <c:v>4332</c:v>
                </c:pt>
                <c:pt idx="79">
                  <c:v>4212</c:v>
                </c:pt>
                <c:pt idx="80">
                  <c:v>4092</c:v>
                </c:pt>
                <c:pt idx="81">
                  <c:v>3972</c:v>
                </c:pt>
                <c:pt idx="82">
                  <c:v>3852</c:v>
                </c:pt>
                <c:pt idx="83">
                  <c:v>3732</c:v>
                </c:pt>
                <c:pt idx="84">
                  <c:v>3612</c:v>
                </c:pt>
                <c:pt idx="85">
                  <c:v>3492</c:v>
                </c:pt>
                <c:pt idx="86">
                  <c:v>3372</c:v>
                </c:pt>
                <c:pt idx="87">
                  <c:v>3252</c:v>
                </c:pt>
                <c:pt idx="88">
                  <c:v>3132</c:v>
                </c:pt>
                <c:pt idx="89">
                  <c:v>3012</c:v>
                </c:pt>
                <c:pt idx="90">
                  <c:v>2892</c:v>
                </c:pt>
                <c:pt idx="91">
                  <c:v>2772</c:v>
                </c:pt>
                <c:pt idx="92">
                  <c:v>2652</c:v>
                </c:pt>
                <c:pt idx="93">
                  <c:v>2532</c:v>
                </c:pt>
                <c:pt idx="94">
                  <c:v>2412</c:v>
                </c:pt>
                <c:pt idx="95">
                  <c:v>2292</c:v>
                </c:pt>
                <c:pt idx="96">
                  <c:v>2172</c:v>
                </c:pt>
                <c:pt idx="97">
                  <c:v>2052</c:v>
                </c:pt>
                <c:pt idx="98">
                  <c:v>1932</c:v>
                </c:pt>
                <c:pt idx="99">
                  <c:v>1812</c:v>
                </c:pt>
                <c:pt idx="100">
                  <c:v>1692</c:v>
                </c:pt>
                <c:pt idx="101">
                  <c:v>1572</c:v>
                </c:pt>
                <c:pt idx="102">
                  <c:v>1452</c:v>
                </c:pt>
                <c:pt idx="103">
                  <c:v>1332</c:v>
                </c:pt>
                <c:pt idx="104">
                  <c:v>1212</c:v>
                </c:pt>
                <c:pt idx="105">
                  <c:v>1092</c:v>
                </c:pt>
                <c:pt idx="106">
                  <c:v>972</c:v>
                </c:pt>
                <c:pt idx="107">
                  <c:v>852</c:v>
                </c:pt>
                <c:pt idx="108">
                  <c:v>732</c:v>
                </c:pt>
                <c:pt idx="109">
                  <c:v>612</c:v>
                </c:pt>
                <c:pt idx="110">
                  <c:v>492</c:v>
                </c:pt>
                <c:pt idx="111">
                  <c:v>372</c:v>
                </c:pt>
                <c:pt idx="112">
                  <c:v>288</c:v>
                </c:pt>
                <c:pt idx="113">
                  <c:v>288</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13432.788</c:v>
                </c:pt>
                <c:pt idx="1">
                  <c:v>13282.788</c:v>
                </c:pt>
                <c:pt idx="2">
                  <c:v>13132.787999999999</c:v>
                </c:pt>
                <c:pt idx="3">
                  <c:v>12982.787999999999</c:v>
                </c:pt>
                <c:pt idx="4">
                  <c:v>12832.788</c:v>
                </c:pt>
                <c:pt idx="5">
                  <c:v>12682.787999999999</c:v>
                </c:pt>
                <c:pt idx="6">
                  <c:v>12650.868</c:v>
                </c:pt>
                <c:pt idx="7">
                  <c:v>12620.868</c:v>
                </c:pt>
                <c:pt idx="8">
                  <c:v>12590.868</c:v>
                </c:pt>
                <c:pt idx="9">
                  <c:v>12560.868</c:v>
                </c:pt>
                <c:pt idx="10">
                  <c:v>12530.868</c:v>
                </c:pt>
                <c:pt idx="11">
                  <c:v>12500.868</c:v>
                </c:pt>
                <c:pt idx="12">
                  <c:v>12470.868</c:v>
                </c:pt>
                <c:pt idx="13">
                  <c:v>12440.868</c:v>
                </c:pt>
                <c:pt idx="14">
                  <c:v>12410.868</c:v>
                </c:pt>
                <c:pt idx="15">
                  <c:v>12380.868</c:v>
                </c:pt>
                <c:pt idx="16">
                  <c:v>12350.868</c:v>
                </c:pt>
                <c:pt idx="17">
                  <c:v>12320.868</c:v>
                </c:pt>
                <c:pt idx="18">
                  <c:v>12290.868</c:v>
                </c:pt>
                <c:pt idx="19">
                  <c:v>12260.868</c:v>
                </c:pt>
                <c:pt idx="20">
                  <c:v>12167.988000000001</c:v>
                </c:pt>
                <c:pt idx="21">
                  <c:v>12017.988000000001</c:v>
                </c:pt>
                <c:pt idx="22">
                  <c:v>11867.988000000001</c:v>
                </c:pt>
                <c:pt idx="23">
                  <c:v>11717.988000000001</c:v>
                </c:pt>
                <c:pt idx="24">
                  <c:v>11567.988000000001</c:v>
                </c:pt>
                <c:pt idx="25">
                  <c:v>11417.988000000001</c:v>
                </c:pt>
                <c:pt idx="26">
                  <c:v>11267.988000000001</c:v>
                </c:pt>
                <c:pt idx="27">
                  <c:v>11117.988000000001</c:v>
                </c:pt>
                <c:pt idx="28">
                  <c:v>10967.988000000001</c:v>
                </c:pt>
                <c:pt idx="29">
                  <c:v>10817.988000000001</c:v>
                </c:pt>
                <c:pt idx="30">
                  <c:v>10667.988000000001</c:v>
                </c:pt>
                <c:pt idx="31">
                  <c:v>10517.988000000001</c:v>
                </c:pt>
                <c:pt idx="32">
                  <c:v>10367.988000000001</c:v>
                </c:pt>
                <c:pt idx="33">
                  <c:v>10217.988000000001</c:v>
                </c:pt>
                <c:pt idx="34">
                  <c:v>10067.988000000001</c:v>
                </c:pt>
                <c:pt idx="35">
                  <c:v>9917.9880000000012</c:v>
                </c:pt>
                <c:pt idx="36">
                  <c:v>9767.9880000000012</c:v>
                </c:pt>
                <c:pt idx="37">
                  <c:v>9617.9880000000012</c:v>
                </c:pt>
                <c:pt idx="38">
                  <c:v>9467.9880000000012</c:v>
                </c:pt>
                <c:pt idx="39">
                  <c:v>9317.9880000000012</c:v>
                </c:pt>
                <c:pt idx="40">
                  <c:v>9167.9879999999994</c:v>
                </c:pt>
                <c:pt idx="41">
                  <c:v>9017.9880000000012</c:v>
                </c:pt>
                <c:pt idx="42">
                  <c:v>8867.9880000000012</c:v>
                </c:pt>
                <c:pt idx="43">
                  <c:v>8717.9879999999994</c:v>
                </c:pt>
                <c:pt idx="44">
                  <c:v>8567.9880000000012</c:v>
                </c:pt>
                <c:pt idx="45">
                  <c:v>8417.9880000000012</c:v>
                </c:pt>
                <c:pt idx="46">
                  <c:v>8267.9879999999994</c:v>
                </c:pt>
                <c:pt idx="47">
                  <c:v>8117.9880000000012</c:v>
                </c:pt>
                <c:pt idx="48">
                  <c:v>7967.9880000000003</c:v>
                </c:pt>
                <c:pt idx="49">
                  <c:v>7817.9879999999994</c:v>
                </c:pt>
                <c:pt idx="50">
                  <c:v>7667.9879999999994</c:v>
                </c:pt>
                <c:pt idx="51">
                  <c:v>7517.9880000000003</c:v>
                </c:pt>
                <c:pt idx="52">
                  <c:v>7367.9880000000003</c:v>
                </c:pt>
                <c:pt idx="53">
                  <c:v>7217.9879999999994</c:v>
                </c:pt>
                <c:pt idx="54">
                  <c:v>7067.9880000000003</c:v>
                </c:pt>
                <c:pt idx="55">
                  <c:v>6917.9880000000003</c:v>
                </c:pt>
                <c:pt idx="56">
                  <c:v>6767.9879999999994</c:v>
                </c:pt>
                <c:pt idx="57">
                  <c:v>6617.9880000000003</c:v>
                </c:pt>
                <c:pt idx="58">
                  <c:v>6467.9880000000003</c:v>
                </c:pt>
                <c:pt idx="59">
                  <c:v>6317.9879999999994</c:v>
                </c:pt>
                <c:pt idx="60">
                  <c:v>6167.9880000000003</c:v>
                </c:pt>
                <c:pt idx="61">
                  <c:v>6017.9880000000003</c:v>
                </c:pt>
                <c:pt idx="62">
                  <c:v>5867.9879999999994</c:v>
                </c:pt>
                <c:pt idx="63">
                  <c:v>5717.9880000000003</c:v>
                </c:pt>
                <c:pt idx="64">
                  <c:v>5567.9880000000003</c:v>
                </c:pt>
                <c:pt idx="65">
                  <c:v>5417.9879999999994</c:v>
                </c:pt>
                <c:pt idx="66">
                  <c:v>5267.9880000000003</c:v>
                </c:pt>
                <c:pt idx="67">
                  <c:v>5117.9880000000003</c:v>
                </c:pt>
                <c:pt idx="68">
                  <c:v>4967.9880000000003</c:v>
                </c:pt>
                <c:pt idx="69">
                  <c:v>4817.9880000000003</c:v>
                </c:pt>
                <c:pt idx="70">
                  <c:v>4667.9880000000003</c:v>
                </c:pt>
                <c:pt idx="71">
                  <c:v>4517.9880000000003</c:v>
                </c:pt>
                <c:pt idx="72">
                  <c:v>4367.9880000000003</c:v>
                </c:pt>
                <c:pt idx="73">
                  <c:v>4217.9880000000003</c:v>
                </c:pt>
                <c:pt idx="74">
                  <c:v>4067.9880000000003</c:v>
                </c:pt>
                <c:pt idx="75">
                  <c:v>3917.9880000000003</c:v>
                </c:pt>
                <c:pt idx="76">
                  <c:v>3767.9880000000003</c:v>
                </c:pt>
                <c:pt idx="77">
                  <c:v>3617.9880000000003</c:v>
                </c:pt>
                <c:pt idx="78">
                  <c:v>3467.9880000000003</c:v>
                </c:pt>
                <c:pt idx="79">
                  <c:v>3317.9880000000003</c:v>
                </c:pt>
                <c:pt idx="80">
                  <c:v>3167.9880000000003</c:v>
                </c:pt>
                <c:pt idx="81">
                  <c:v>3017.9880000000003</c:v>
                </c:pt>
                <c:pt idx="82">
                  <c:v>2867.9880000000003</c:v>
                </c:pt>
                <c:pt idx="83">
                  <c:v>2717.9880000000003</c:v>
                </c:pt>
                <c:pt idx="84">
                  <c:v>2567.9880000000003</c:v>
                </c:pt>
                <c:pt idx="85">
                  <c:v>2417.9880000000003</c:v>
                </c:pt>
                <c:pt idx="86">
                  <c:v>2267.9880000000003</c:v>
                </c:pt>
                <c:pt idx="87">
                  <c:v>2117.9880000000003</c:v>
                </c:pt>
                <c:pt idx="88">
                  <c:v>1967.9880000000003</c:v>
                </c:pt>
                <c:pt idx="89">
                  <c:v>1817.9879999999976</c:v>
                </c:pt>
                <c:pt idx="90">
                  <c:v>1667.9880000000003</c:v>
                </c:pt>
                <c:pt idx="91">
                  <c:v>1517.988000000003</c:v>
                </c:pt>
                <c:pt idx="92">
                  <c:v>1367.9879999999976</c:v>
                </c:pt>
                <c:pt idx="93">
                  <c:v>1217.9880000000003</c:v>
                </c:pt>
                <c:pt idx="94">
                  <c:v>1067.988000000003</c:v>
                </c:pt>
                <c:pt idx="95">
                  <c:v>917.98799999999756</c:v>
                </c:pt>
                <c:pt idx="96">
                  <c:v>767.98800000000028</c:v>
                </c:pt>
                <c:pt idx="97">
                  <c:v>617.98800000000301</c:v>
                </c:pt>
                <c:pt idx="98">
                  <c:v>467.98799999999756</c:v>
                </c:pt>
                <c:pt idx="99">
                  <c:v>317.98800000000028</c:v>
                </c:pt>
                <c:pt idx="100">
                  <c:v>167.98800000000028</c:v>
                </c:pt>
                <c:pt idx="101">
                  <c:v>17.988000000000284</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85280.027999999991</c:v>
                      </c:pt>
                      <c:pt idx="1">
                        <c:v>85345.027999999991</c:v>
                      </c:pt>
                      <c:pt idx="2">
                        <c:v>85290.027999999991</c:v>
                      </c:pt>
                      <c:pt idx="3">
                        <c:v>85175.027999999991</c:v>
                      </c:pt>
                      <c:pt idx="4">
                        <c:v>85060.027999999991</c:v>
                      </c:pt>
                      <c:pt idx="5">
                        <c:v>84945.027999999991</c:v>
                      </c:pt>
                      <c:pt idx="6">
                        <c:v>84734.508000000002</c:v>
                      </c:pt>
                      <c:pt idx="7">
                        <c:v>84519.508000000002</c:v>
                      </c:pt>
                      <c:pt idx="8">
                        <c:v>84304.508000000002</c:v>
                      </c:pt>
                      <c:pt idx="9">
                        <c:v>84089.508000000002</c:v>
                      </c:pt>
                      <c:pt idx="10">
                        <c:v>83884.508000000002</c:v>
                      </c:pt>
                      <c:pt idx="11">
                        <c:v>83694.508000000002</c:v>
                      </c:pt>
                      <c:pt idx="12">
                        <c:v>83504.508000000002</c:v>
                      </c:pt>
                      <c:pt idx="13">
                        <c:v>83314.508000000002</c:v>
                      </c:pt>
                      <c:pt idx="14">
                        <c:v>83124.508000000002</c:v>
                      </c:pt>
                      <c:pt idx="15">
                        <c:v>82934.508000000002</c:v>
                      </c:pt>
                      <c:pt idx="16">
                        <c:v>82744.508000000002</c:v>
                      </c:pt>
                      <c:pt idx="17">
                        <c:v>82554.508000000002</c:v>
                      </c:pt>
                      <c:pt idx="18">
                        <c:v>82364.508000000002</c:v>
                      </c:pt>
                      <c:pt idx="19">
                        <c:v>82174.508000000002</c:v>
                      </c:pt>
                      <c:pt idx="20">
                        <c:v>82035.228000000003</c:v>
                      </c:pt>
                      <c:pt idx="21">
                        <c:v>81945.228000000003</c:v>
                      </c:pt>
                      <c:pt idx="22">
                        <c:v>81855.228000000003</c:v>
                      </c:pt>
                      <c:pt idx="23">
                        <c:v>81765.228000000003</c:v>
                      </c:pt>
                      <c:pt idx="24">
                        <c:v>81675.228000000003</c:v>
                      </c:pt>
                      <c:pt idx="25">
                        <c:v>81585.228000000003</c:v>
                      </c:pt>
                      <c:pt idx="26">
                        <c:v>81495.228000000003</c:v>
                      </c:pt>
                      <c:pt idx="27">
                        <c:v>81405.228000000003</c:v>
                      </c:pt>
                      <c:pt idx="28">
                        <c:v>81315.228000000003</c:v>
                      </c:pt>
                      <c:pt idx="29">
                        <c:v>81225.228000000003</c:v>
                      </c:pt>
                      <c:pt idx="30">
                        <c:v>81135.228000000003</c:v>
                      </c:pt>
                      <c:pt idx="31">
                        <c:v>81045.228000000003</c:v>
                      </c:pt>
                      <c:pt idx="32">
                        <c:v>80955.228000000003</c:v>
                      </c:pt>
                      <c:pt idx="33">
                        <c:v>80865.228000000003</c:v>
                      </c:pt>
                      <c:pt idx="34">
                        <c:v>80775.228000000003</c:v>
                      </c:pt>
                      <c:pt idx="35">
                        <c:v>80685.228000000003</c:v>
                      </c:pt>
                      <c:pt idx="36">
                        <c:v>80595.228000000003</c:v>
                      </c:pt>
                      <c:pt idx="37">
                        <c:v>80404.428</c:v>
                      </c:pt>
                      <c:pt idx="38">
                        <c:v>80074.428</c:v>
                      </c:pt>
                      <c:pt idx="39">
                        <c:v>79744.428</c:v>
                      </c:pt>
                      <c:pt idx="40">
                        <c:v>79414.428</c:v>
                      </c:pt>
                      <c:pt idx="41">
                        <c:v>79084.428</c:v>
                      </c:pt>
                      <c:pt idx="42">
                        <c:v>78754.428</c:v>
                      </c:pt>
                      <c:pt idx="43">
                        <c:v>78424.428</c:v>
                      </c:pt>
                      <c:pt idx="44">
                        <c:v>78094.428</c:v>
                      </c:pt>
                      <c:pt idx="45">
                        <c:v>77764.428</c:v>
                      </c:pt>
                      <c:pt idx="46">
                        <c:v>77434.428</c:v>
                      </c:pt>
                      <c:pt idx="47">
                        <c:v>77104.428</c:v>
                      </c:pt>
                      <c:pt idx="48">
                        <c:v>76746.881519999995</c:v>
                      </c:pt>
                      <c:pt idx="49">
                        <c:v>76290.521519999995</c:v>
                      </c:pt>
                      <c:pt idx="50">
                        <c:v>75834.161519999994</c:v>
                      </c:pt>
                      <c:pt idx="51">
                        <c:v>75377.801519999994</c:v>
                      </c:pt>
                      <c:pt idx="52">
                        <c:v>74921.441519999993</c:v>
                      </c:pt>
                      <c:pt idx="53">
                        <c:v>74465.081519999992</c:v>
                      </c:pt>
                      <c:pt idx="54">
                        <c:v>74008.721520000006</c:v>
                      </c:pt>
                      <c:pt idx="55">
                        <c:v>73552.361520000006</c:v>
                      </c:pt>
                      <c:pt idx="56">
                        <c:v>73108.001520000005</c:v>
                      </c:pt>
                      <c:pt idx="57">
                        <c:v>72711.641520000005</c:v>
                      </c:pt>
                      <c:pt idx="58">
                        <c:v>72315.281520000004</c:v>
                      </c:pt>
                      <c:pt idx="59">
                        <c:v>71918.921520000004</c:v>
                      </c:pt>
                      <c:pt idx="60">
                        <c:v>71522.561520000003</c:v>
                      </c:pt>
                      <c:pt idx="61">
                        <c:v>71126.201520000002</c:v>
                      </c:pt>
                      <c:pt idx="62">
                        <c:v>70729.841520000002</c:v>
                      </c:pt>
                      <c:pt idx="63">
                        <c:v>70333.481520000001</c:v>
                      </c:pt>
                      <c:pt idx="64">
                        <c:v>69937.121520000001</c:v>
                      </c:pt>
                      <c:pt idx="65">
                        <c:v>69540.76152</c:v>
                      </c:pt>
                      <c:pt idx="66">
                        <c:v>69144.401519999999</c:v>
                      </c:pt>
                      <c:pt idx="67">
                        <c:v>68748.041519999999</c:v>
                      </c:pt>
                      <c:pt idx="68">
                        <c:v>68351.681519999998</c:v>
                      </c:pt>
                      <c:pt idx="69">
                        <c:v>67955.321519999998</c:v>
                      </c:pt>
                      <c:pt idx="70">
                        <c:v>67558.961520000012</c:v>
                      </c:pt>
                      <c:pt idx="71">
                        <c:v>67162.601519999997</c:v>
                      </c:pt>
                      <c:pt idx="72">
                        <c:v>66766.24152000001</c:v>
                      </c:pt>
                      <c:pt idx="73">
                        <c:v>66369.881519999995</c:v>
                      </c:pt>
                      <c:pt idx="74">
                        <c:v>65973.521520000009</c:v>
                      </c:pt>
                      <c:pt idx="75">
                        <c:v>65577.161519999994</c:v>
                      </c:pt>
                      <c:pt idx="76">
                        <c:v>65180.801520000001</c:v>
                      </c:pt>
                      <c:pt idx="77">
                        <c:v>64784.44152</c:v>
                      </c:pt>
                      <c:pt idx="78">
                        <c:v>62678.08152</c:v>
                      </c:pt>
                      <c:pt idx="79">
                        <c:v>62256.721520000006</c:v>
                      </c:pt>
                      <c:pt idx="80">
                        <c:v>61835.361520000006</c:v>
                      </c:pt>
                      <c:pt idx="81">
                        <c:v>61414.001520000005</c:v>
                      </c:pt>
                      <c:pt idx="82">
                        <c:v>60992.641520000005</c:v>
                      </c:pt>
                      <c:pt idx="83">
                        <c:v>60571.281520000004</c:v>
                      </c:pt>
                      <c:pt idx="84">
                        <c:v>60149.921520000004</c:v>
                      </c:pt>
                      <c:pt idx="85">
                        <c:v>59728.561520000003</c:v>
                      </c:pt>
                      <c:pt idx="86">
                        <c:v>59307.201520000002</c:v>
                      </c:pt>
                      <c:pt idx="87">
                        <c:v>58885.841520000002</c:v>
                      </c:pt>
                      <c:pt idx="88">
                        <c:v>58464.481520000001</c:v>
                      </c:pt>
                      <c:pt idx="89">
                        <c:v>58043.121520000001</c:v>
                      </c:pt>
                      <c:pt idx="90">
                        <c:v>57621.76152</c:v>
                      </c:pt>
                      <c:pt idx="91">
                        <c:v>57200.401519999999</c:v>
                      </c:pt>
                      <c:pt idx="92">
                        <c:v>56779.041519999999</c:v>
                      </c:pt>
                      <c:pt idx="93">
                        <c:v>56357.681519999998</c:v>
                      </c:pt>
                      <c:pt idx="94">
                        <c:v>55936.321519999998</c:v>
                      </c:pt>
                      <c:pt idx="95">
                        <c:v>55514.961519999997</c:v>
                      </c:pt>
                      <c:pt idx="96">
                        <c:v>55093.601520000004</c:v>
                      </c:pt>
                      <c:pt idx="97">
                        <c:v>54672.241520000003</c:v>
                      </c:pt>
                      <c:pt idx="98">
                        <c:v>54250.881519999995</c:v>
                      </c:pt>
                      <c:pt idx="99">
                        <c:v>53829.521520000002</c:v>
                      </c:pt>
                      <c:pt idx="100">
                        <c:v>53408.161520000001</c:v>
                      </c:pt>
                      <c:pt idx="101">
                        <c:v>52986.801520000001</c:v>
                      </c:pt>
                      <c:pt idx="102">
                        <c:v>52697.453520000003</c:v>
                      </c:pt>
                      <c:pt idx="103">
                        <c:v>52426.093520000002</c:v>
                      </c:pt>
                      <c:pt idx="104">
                        <c:v>52154.733520000002</c:v>
                      </c:pt>
                      <c:pt idx="105">
                        <c:v>51883.373520000001</c:v>
                      </c:pt>
                      <c:pt idx="106">
                        <c:v>51612.01352</c:v>
                      </c:pt>
                      <c:pt idx="107">
                        <c:v>32719.65352</c:v>
                      </c:pt>
                      <c:pt idx="108">
                        <c:v>32448.293519999999</c:v>
                      </c:pt>
                      <c:pt idx="109">
                        <c:v>32176.933520000002</c:v>
                      </c:pt>
                      <c:pt idx="110">
                        <c:v>31905.573520000002</c:v>
                      </c:pt>
                      <c:pt idx="111">
                        <c:v>31634.213520000001</c:v>
                      </c:pt>
                      <c:pt idx="112">
                        <c:v>31398.853520000001</c:v>
                      </c:pt>
                      <c:pt idx="113">
                        <c:v>31247.49352</c:v>
                      </c:pt>
                      <c:pt idx="114">
                        <c:v>30808.133520000003</c:v>
                      </c:pt>
                      <c:pt idx="115">
                        <c:v>30371.24</c:v>
                      </c:pt>
                      <c:pt idx="116">
                        <c:v>30346.240000000002</c:v>
                      </c:pt>
                      <c:pt idx="117">
                        <c:v>30321.24</c:v>
                      </c:pt>
                      <c:pt idx="118">
                        <c:v>30296.240000000002</c:v>
                      </c:pt>
                      <c:pt idx="119">
                        <c:v>30271.24</c:v>
                      </c:pt>
                      <c:pt idx="120">
                        <c:v>30246.240000000002</c:v>
                      </c:pt>
                      <c:pt idx="121">
                        <c:v>30221.24</c:v>
                      </c:pt>
                      <c:pt idx="122">
                        <c:v>30196.240000000002</c:v>
                      </c:pt>
                      <c:pt idx="123">
                        <c:v>30171.24</c:v>
                      </c:pt>
                      <c:pt idx="124">
                        <c:v>30146.240000000002</c:v>
                      </c:pt>
                      <c:pt idx="125">
                        <c:v>30121.24</c:v>
                      </c:pt>
                      <c:pt idx="126">
                        <c:v>30096.240000000002</c:v>
                      </c:pt>
                      <c:pt idx="127">
                        <c:v>30071.24</c:v>
                      </c:pt>
                      <c:pt idx="128">
                        <c:v>30046.240000000002</c:v>
                      </c:pt>
                      <c:pt idx="129">
                        <c:v>30021.24</c:v>
                      </c:pt>
                      <c:pt idx="130">
                        <c:v>29114</c:v>
                      </c:pt>
                      <c:pt idx="131">
                        <c:v>29089</c:v>
                      </c:pt>
                      <c:pt idx="132">
                        <c:v>29064</c:v>
                      </c:pt>
                      <c:pt idx="133">
                        <c:v>29039</c:v>
                      </c:pt>
                      <c:pt idx="134">
                        <c:v>29014</c:v>
                      </c:pt>
                      <c:pt idx="135">
                        <c:v>28989</c:v>
                      </c:pt>
                      <c:pt idx="136">
                        <c:v>28964</c:v>
                      </c:pt>
                      <c:pt idx="137">
                        <c:v>28939</c:v>
                      </c:pt>
                      <c:pt idx="138">
                        <c:v>28914</c:v>
                      </c:pt>
                      <c:pt idx="139">
                        <c:v>28889</c:v>
                      </c:pt>
                      <c:pt idx="140">
                        <c:v>28864</c:v>
                      </c:pt>
                      <c:pt idx="141">
                        <c:v>28839</c:v>
                      </c:pt>
                      <c:pt idx="142">
                        <c:v>28814</c:v>
                      </c:pt>
                      <c:pt idx="143">
                        <c:v>28789</c:v>
                      </c:pt>
                      <c:pt idx="144">
                        <c:v>28764</c:v>
                      </c:pt>
                      <c:pt idx="145">
                        <c:v>28739</c:v>
                      </c:pt>
                      <c:pt idx="146">
                        <c:v>28714</c:v>
                      </c:pt>
                      <c:pt idx="147">
                        <c:v>28689</c:v>
                      </c:pt>
                      <c:pt idx="148">
                        <c:v>28664</c:v>
                      </c:pt>
                      <c:pt idx="149">
                        <c:v>28639</c:v>
                      </c:pt>
                      <c:pt idx="150">
                        <c:v>28614</c:v>
                      </c:pt>
                      <c:pt idx="151">
                        <c:v>28589</c:v>
                      </c:pt>
                      <c:pt idx="152">
                        <c:v>28564</c:v>
                      </c:pt>
                      <c:pt idx="153">
                        <c:v>28539</c:v>
                      </c:pt>
                      <c:pt idx="154">
                        <c:v>28514</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85280.027999999991</c:v>
                      </c:pt>
                      <c:pt idx="1">
                        <c:v>85845.027999999991</c:v>
                      </c:pt>
                      <c:pt idx="2">
                        <c:v>86290.027999999991</c:v>
                      </c:pt>
                      <c:pt idx="3">
                        <c:v>86675.027999999991</c:v>
                      </c:pt>
                      <c:pt idx="4">
                        <c:v>87060.027999999991</c:v>
                      </c:pt>
                      <c:pt idx="5">
                        <c:v>87445.027999999991</c:v>
                      </c:pt>
                      <c:pt idx="6">
                        <c:v>87734.508000000002</c:v>
                      </c:pt>
                      <c:pt idx="7">
                        <c:v>88019.508000000002</c:v>
                      </c:pt>
                      <c:pt idx="8">
                        <c:v>88304.508000000002</c:v>
                      </c:pt>
                      <c:pt idx="9">
                        <c:v>88589.508000000002</c:v>
                      </c:pt>
                      <c:pt idx="10">
                        <c:v>88884.508000000002</c:v>
                      </c:pt>
                      <c:pt idx="11">
                        <c:v>89194.508000000002</c:v>
                      </c:pt>
                      <c:pt idx="12">
                        <c:v>89504.508000000002</c:v>
                      </c:pt>
                      <c:pt idx="13">
                        <c:v>89814.508000000002</c:v>
                      </c:pt>
                      <c:pt idx="14">
                        <c:v>90124.508000000002</c:v>
                      </c:pt>
                      <c:pt idx="15">
                        <c:v>90434.508000000002</c:v>
                      </c:pt>
                      <c:pt idx="16">
                        <c:v>90744.508000000002</c:v>
                      </c:pt>
                      <c:pt idx="17">
                        <c:v>91054.508000000002</c:v>
                      </c:pt>
                      <c:pt idx="18">
                        <c:v>91364.508000000002</c:v>
                      </c:pt>
                      <c:pt idx="19">
                        <c:v>91674.508000000002</c:v>
                      </c:pt>
                      <c:pt idx="20">
                        <c:v>92035.228000000003</c:v>
                      </c:pt>
                      <c:pt idx="21">
                        <c:v>92445.228000000003</c:v>
                      </c:pt>
                      <c:pt idx="22">
                        <c:v>92855.228000000003</c:v>
                      </c:pt>
                      <c:pt idx="23">
                        <c:v>93265.228000000003</c:v>
                      </c:pt>
                      <c:pt idx="24">
                        <c:v>93675.228000000003</c:v>
                      </c:pt>
                      <c:pt idx="25">
                        <c:v>94085.228000000003</c:v>
                      </c:pt>
                      <c:pt idx="26">
                        <c:v>94495.228000000003</c:v>
                      </c:pt>
                      <c:pt idx="27">
                        <c:v>94905.228000000003</c:v>
                      </c:pt>
                      <c:pt idx="28">
                        <c:v>95315.228000000003</c:v>
                      </c:pt>
                      <c:pt idx="29">
                        <c:v>95725.228000000003</c:v>
                      </c:pt>
                      <c:pt idx="30">
                        <c:v>96135.228000000003</c:v>
                      </c:pt>
                      <c:pt idx="31">
                        <c:v>96545.228000000003</c:v>
                      </c:pt>
                      <c:pt idx="32">
                        <c:v>96955.228000000003</c:v>
                      </c:pt>
                      <c:pt idx="33">
                        <c:v>97365.228000000003</c:v>
                      </c:pt>
                      <c:pt idx="34">
                        <c:v>97775.228000000003</c:v>
                      </c:pt>
                      <c:pt idx="35">
                        <c:v>98185.228000000003</c:v>
                      </c:pt>
                      <c:pt idx="36">
                        <c:v>98595.228000000003</c:v>
                      </c:pt>
                      <c:pt idx="37">
                        <c:v>98904.428</c:v>
                      </c:pt>
                      <c:pt idx="38">
                        <c:v>99074.428</c:v>
                      </c:pt>
                      <c:pt idx="39">
                        <c:v>99244.428</c:v>
                      </c:pt>
                      <c:pt idx="40">
                        <c:v>99414.428</c:v>
                      </c:pt>
                      <c:pt idx="41">
                        <c:v>99584.428</c:v>
                      </c:pt>
                      <c:pt idx="42">
                        <c:v>99754.428</c:v>
                      </c:pt>
                      <c:pt idx="43">
                        <c:v>99924.428</c:v>
                      </c:pt>
                      <c:pt idx="44">
                        <c:v>100094.428</c:v>
                      </c:pt>
                      <c:pt idx="45">
                        <c:v>100264.428</c:v>
                      </c:pt>
                      <c:pt idx="46">
                        <c:v>100434.428</c:v>
                      </c:pt>
                      <c:pt idx="47">
                        <c:v>100604.428</c:v>
                      </c:pt>
                      <c:pt idx="48">
                        <c:v>100746.88152</c:v>
                      </c:pt>
                      <c:pt idx="49">
                        <c:v>100790.52151999999</c:v>
                      </c:pt>
                      <c:pt idx="50">
                        <c:v>100834.16151999999</c:v>
                      </c:pt>
                      <c:pt idx="51">
                        <c:v>100877.80151999999</c:v>
                      </c:pt>
                      <c:pt idx="52">
                        <c:v>100921.44151999999</c:v>
                      </c:pt>
                      <c:pt idx="53">
                        <c:v>100965.08151999999</c:v>
                      </c:pt>
                      <c:pt idx="54">
                        <c:v>101008.72152000001</c:v>
                      </c:pt>
                      <c:pt idx="55">
                        <c:v>101052.36152000001</c:v>
                      </c:pt>
                      <c:pt idx="56">
                        <c:v>101108.00152000001</c:v>
                      </c:pt>
                      <c:pt idx="57">
                        <c:v>101211.64152</c:v>
                      </c:pt>
                      <c:pt idx="58">
                        <c:v>101315.28152</c:v>
                      </c:pt>
                      <c:pt idx="59">
                        <c:v>101418.92152</c:v>
                      </c:pt>
                      <c:pt idx="60">
                        <c:v>101522.56152</c:v>
                      </c:pt>
                      <c:pt idx="61">
                        <c:v>101626.20152</c:v>
                      </c:pt>
                      <c:pt idx="62">
                        <c:v>101729.84152</c:v>
                      </c:pt>
                      <c:pt idx="63">
                        <c:v>101833.48152</c:v>
                      </c:pt>
                      <c:pt idx="64">
                        <c:v>101937.12152</c:v>
                      </c:pt>
                      <c:pt idx="65">
                        <c:v>102040.76152</c:v>
                      </c:pt>
                      <c:pt idx="66">
                        <c:v>102144.40152</c:v>
                      </c:pt>
                      <c:pt idx="67">
                        <c:v>102248.04152</c:v>
                      </c:pt>
                      <c:pt idx="68">
                        <c:v>102351.68152</c:v>
                      </c:pt>
                      <c:pt idx="69">
                        <c:v>102455.32152</c:v>
                      </c:pt>
                      <c:pt idx="70">
                        <c:v>102558.96152000001</c:v>
                      </c:pt>
                      <c:pt idx="71">
                        <c:v>102662.60152</c:v>
                      </c:pt>
                      <c:pt idx="72">
                        <c:v>102766.24152000001</c:v>
                      </c:pt>
                      <c:pt idx="73">
                        <c:v>102869.88152</c:v>
                      </c:pt>
                      <c:pt idx="74">
                        <c:v>102973.52152000001</c:v>
                      </c:pt>
                      <c:pt idx="75">
                        <c:v>103077.16151999999</c:v>
                      </c:pt>
                      <c:pt idx="76">
                        <c:v>103180.80152000001</c:v>
                      </c:pt>
                      <c:pt idx="77">
                        <c:v>103284.44151999999</c:v>
                      </c:pt>
                      <c:pt idx="78">
                        <c:v>101678.08152000001</c:v>
                      </c:pt>
                      <c:pt idx="79">
                        <c:v>101756.72152000001</c:v>
                      </c:pt>
                      <c:pt idx="80">
                        <c:v>101835.36152000001</c:v>
                      </c:pt>
                      <c:pt idx="81">
                        <c:v>101914.00152000001</c:v>
                      </c:pt>
                      <c:pt idx="82">
                        <c:v>101992.64152</c:v>
                      </c:pt>
                      <c:pt idx="83">
                        <c:v>102071.28152</c:v>
                      </c:pt>
                      <c:pt idx="84">
                        <c:v>102149.92152</c:v>
                      </c:pt>
                      <c:pt idx="85">
                        <c:v>102228.56152</c:v>
                      </c:pt>
                      <c:pt idx="86">
                        <c:v>102307.20152</c:v>
                      </c:pt>
                      <c:pt idx="87">
                        <c:v>102385.84152</c:v>
                      </c:pt>
                      <c:pt idx="88">
                        <c:v>102464.48152</c:v>
                      </c:pt>
                      <c:pt idx="89">
                        <c:v>102543.12152</c:v>
                      </c:pt>
                      <c:pt idx="90">
                        <c:v>102621.76152</c:v>
                      </c:pt>
                      <c:pt idx="91">
                        <c:v>102700.40152</c:v>
                      </c:pt>
                      <c:pt idx="92">
                        <c:v>102779.04152</c:v>
                      </c:pt>
                      <c:pt idx="93">
                        <c:v>102857.68152</c:v>
                      </c:pt>
                      <c:pt idx="94">
                        <c:v>102936.32152</c:v>
                      </c:pt>
                      <c:pt idx="95">
                        <c:v>103014.96152</c:v>
                      </c:pt>
                      <c:pt idx="96">
                        <c:v>103093.60152</c:v>
                      </c:pt>
                      <c:pt idx="97">
                        <c:v>103172.24152000001</c:v>
                      </c:pt>
                      <c:pt idx="98">
                        <c:v>103250.88152</c:v>
                      </c:pt>
                      <c:pt idx="99">
                        <c:v>103329.52152000001</c:v>
                      </c:pt>
                      <c:pt idx="100">
                        <c:v>103408.16151999999</c:v>
                      </c:pt>
                      <c:pt idx="101">
                        <c:v>103486.80152000001</c:v>
                      </c:pt>
                      <c:pt idx="102">
                        <c:v>103697.45352000001</c:v>
                      </c:pt>
                      <c:pt idx="103">
                        <c:v>103926.09351999999</c:v>
                      </c:pt>
                      <c:pt idx="104">
                        <c:v>104154.73352000001</c:v>
                      </c:pt>
                      <c:pt idx="105">
                        <c:v>104383.37351999999</c:v>
                      </c:pt>
                      <c:pt idx="106">
                        <c:v>104612.01352000001</c:v>
                      </c:pt>
                      <c:pt idx="107">
                        <c:v>86219.653519999993</c:v>
                      </c:pt>
                      <c:pt idx="108">
                        <c:v>86448.293520000007</c:v>
                      </c:pt>
                      <c:pt idx="109">
                        <c:v>86676.933520000006</c:v>
                      </c:pt>
                      <c:pt idx="110">
                        <c:v>86905.573520000005</c:v>
                      </c:pt>
                      <c:pt idx="111">
                        <c:v>87134.213520000005</c:v>
                      </c:pt>
                      <c:pt idx="112">
                        <c:v>87398.853520000004</c:v>
                      </c:pt>
                      <c:pt idx="113">
                        <c:v>87747.493520000004</c:v>
                      </c:pt>
                      <c:pt idx="114">
                        <c:v>87808.133520000003</c:v>
                      </c:pt>
                      <c:pt idx="115">
                        <c:v>87871.24</c:v>
                      </c:pt>
                      <c:pt idx="116">
                        <c:v>88346.240000000005</c:v>
                      </c:pt>
                      <c:pt idx="117">
                        <c:v>88821.24</c:v>
                      </c:pt>
                      <c:pt idx="118">
                        <c:v>89296.24</c:v>
                      </c:pt>
                      <c:pt idx="119">
                        <c:v>89771.24</c:v>
                      </c:pt>
                      <c:pt idx="120">
                        <c:v>90246.24</c:v>
                      </c:pt>
                      <c:pt idx="121">
                        <c:v>90721.24</c:v>
                      </c:pt>
                      <c:pt idx="122">
                        <c:v>91196.24</c:v>
                      </c:pt>
                      <c:pt idx="123">
                        <c:v>91671.24</c:v>
                      </c:pt>
                      <c:pt idx="124">
                        <c:v>92146.240000000005</c:v>
                      </c:pt>
                      <c:pt idx="125">
                        <c:v>92621.24</c:v>
                      </c:pt>
                      <c:pt idx="126">
                        <c:v>93096.24</c:v>
                      </c:pt>
                      <c:pt idx="127">
                        <c:v>93571.24</c:v>
                      </c:pt>
                      <c:pt idx="128">
                        <c:v>94046.24</c:v>
                      </c:pt>
                      <c:pt idx="129">
                        <c:v>94521.24</c:v>
                      </c:pt>
                      <c:pt idx="130">
                        <c:v>94114</c:v>
                      </c:pt>
                      <c:pt idx="131">
                        <c:v>94589</c:v>
                      </c:pt>
                      <c:pt idx="132">
                        <c:v>95064</c:v>
                      </c:pt>
                      <c:pt idx="133">
                        <c:v>95539</c:v>
                      </c:pt>
                      <c:pt idx="134">
                        <c:v>96014</c:v>
                      </c:pt>
                      <c:pt idx="135">
                        <c:v>96489</c:v>
                      </c:pt>
                      <c:pt idx="136">
                        <c:v>96964</c:v>
                      </c:pt>
                      <c:pt idx="137">
                        <c:v>97439</c:v>
                      </c:pt>
                      <c:pt idx="138">
                        <c:v>97914</c:v>
                      </c:pt>
                      <c:pt idx="139">
                        <c:v>98389</c:v>
                      </c:pt>
                      <c:pt idx="140">
                        <c:v>98864</c:v>
                      </c:pt>
                      <c:pt idx="141">
                        <c:v>99339</c:v>
                      </c:pt>
                      <c:pt idx="142">
                        <c:v>99814</c:v>
                      </c:pt>
                      <c:pt idx="143">
                        <c:v>100289</c:v>
                      </c:pt>
                      <c:pt idx="144">
                        <c:v>100764</c:v>
                      </c:pt>
                      <c:pt idx="145">
                        <c:v>101239</c:v>
                      </c:pt>
                      <c:pt idx="146">
                        <c:v>101714</c:v>
                      </c:pt>
                      <c:pt idx="147">
                        <c:v>102189</c:v>
                      </c:pt>
                      <c:pt idx="148">
                        <c:v>102664</c:v>
                      </c:pt>
                      <c:pt idx="149">
                        <c:v>103139</c:v>
                      </c:pt>
                      <c:pt idx="150">
                        <c:v>103614</c:v>
                      </c:pt>
                      <c:pt idx="151">
                        <c:v>104089</c:v>
                      </c:pt>
                      <c:pt idx="152">
                        <c:v>104564</c:v>
                      </c:pt>
                      <c:pt idx="153">
                        <c:v>105039</c:v>
                      </c:pt>
                      <c:pt idx="154">
                        <c:v>105514</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24480</c:v>
                </c:pt>
                <c:pt idx="68">
                  <c:v>24480</c:v>
                </c:pt>
                <c:pt idx="69">
                  <c:v>24480</c:v>
                </c:pt>
                <c:pt idx="70">
                  <c:v>24480</c:v>
                </c:pt>
                <c:pt idx="71">
                  <c:v>24480</c:v>
                </c:pt>
                <c:pt idx="72">
                  <c:v>24480</c:v>
                </c:pt>
                <c:pt idx="73">
                  <c:v>24480</c:v>
                </c:pt>
                <c:pt idx="74">
                  <c:v>24480</c:v>
                </c:pt>
                <c:pt idx="75">
                  <c:v>24480</c:v>
                </c:pt>
                <c:pt idx="76">
                  <c:v>24480</c:v>
                </c:pt>
                <c:pt idx="77">
                  <c:v>24480</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14076</c:v>
                </c:pt>
                <c:pt idx="3">
                  <c:v>13896</c:v>
                </c:pt>
                <c:pt idx="4">
                  <c:v>13716</c:v>
                </c:pt>
                <c:pt idx="5">
                  <c:v>13536</c:v>
                </c:pt>
                <c:pt idx="6">
                  <c:v>13536</c:v>
                </c:pt>
                <c:pt idx="7">
                  <c:v>13536</c:v>
                </c:pt>
                <c:pt idx="8">
                  <c:v>13536</c:v>
                </c:pt>
                <c:pt idx="9">
                  <c:v>13536</c:v>
                </c:pt>
                <c:pt idx="10">
                  <c:v>13536</c:v>
                </c:pt>
                <c:pt idx="11">
                  <c:v>13536</c:v>
                </c:pt>
                <c:pt idx="12">
                  <c:v>13536</c:v>
                </c:pt>
                <c:pt idx="13">
                  <c:v>13536</c:v>
                </c:pt>
                <c:pt idx="14">
                  <c:v>13536</c:v>
                </c:pt>
                <c:pt idx="15">
                  <c:v>13536</c:v>
                </c:pt>
                <c:pt idx="16">
                  <c:v>13536</c:v>
                </c:pt>
                <c:pt idx="17">
                  <c:v>13536</c:v>
                </c:pt>
                <c:pt idx="18">
                  <c:v>13536</c:v>
                </c:pt>
                <c:pt idx="19">
                  <c:v>13536</c:v>
                </c:pt>
                <c:pt idx="20">
                  <c:v>13440</c:v>
                </c:pt>
                <c:pt idx="21">
                  <c:v>13260</c:v>
                </c:pt>
                <c:pt idx="22">
                  <c:v>13080</c:v>
                </c:pt>
                <c:pt idx="23">
                  <c:v>12900</c:v>
                </c:pt>
                <c:pt idx="24">
                  <c:v>12720</c:v>
                </c:pt>
                <c:pt idx="25">
                  <c:v>12540</c:v>
                </c:pt>
                <c:pt idx="26">
                  <c:v>12360</c:v>
                </c:pt>
                <c:pt idx="27">
                  <c:v>12180</c:v>
                </c:pt>
                <c:pt idx="28">
                  <c:v>12000</c:v>
                </c:pt>
                <c:pt idx="29">
                  <c:v>11820</c:v>
                </c:pt>
                <c:pt idx="30">
                  <c:v>11640</c:v>
                </c:pt>
                <c:pt idx="31">
                  <c:v>11460</c:v>
                </c:pt>
                <c:pt idx="32">
                  <c:v>11280</c:v>
                </c:pt>
                <c:pt idx="33">
                  <c:v>11100</c:v>
                </c:pt>
                <c:pt idx="34">
                  <c:v>10920</c:v>
                </c:pt>
                <c:pt idx="35">
                  <c:v>10740</c:v>
                </c:pt>
                <c:pt idx="36">
                  <c:v>10560</c:v>
                </c:pt>
                <c:pt idx="37">
                  <c:v>10380</c:v>
                </c:pt>
                <c:pt idx="38">
                  <c:v>10200</c:v>
                </c:pt>
                <c:pt idx="39">
                  <c:v>10020</c:v>
                </c:pt>
                <c:pt idx="40">
                  <c:v>9840</c:v>
                </c:pt>
                <c:pt idx="41">
                  <c:v>9660</c:v>
                </c:pt>
                <c:pt idx="42">
                  <c:v>9480</c:v>
                </c:pt>
                <c:pt idx="43">
                  <c:v>9300</c:v>
                </c:pt>
                <c:pt idx="44">
                  <c:v>9120</c:v>
                </c:pt>
                <c:pt idx="45">
                  <c:v>8940</c:v>
                </c:pt>
                <c:pt idx="46">
                  <c:v>8760</c:v>
                </c:pt>
                <c:pt idx="47">
                  <c:v>8580</c:v>
                </c:pt>
                <c:pt idx="48">
                  <c:v>8400</c:v>
                </c:pt>
                <c:pt idx="49">
                  <c:v>8220</c:v>
                </c:pt>
                <c:pt idx="50">
                  <c:v>8040</c:v>
                </c:pt>
                <c:pt idx="51">
                  <c:v>7860</c:v>
                </c:pt>
                <c:pt idx="52">
                  <c:v>7680</c:v>
                </c:pt>
                <c:pt idx="53">
                  <c:v>7500</c:v>
                </c:pt>
                <c:pt idx="54">
                  <c:v>7320</c:v>
                </c:pt>
                <c:pt idx="55">
                  <c:v>7140</c:v>
                </c:pt>
                <c:pt idx="56">
                  <c:v>6972</c:v>
                </c:pt>
                <c:pt idx="57">
                  <c:v>6852</c:v>
                </c:pt>
                <c:pt idx="58">
                  <c:v>6732</c:v>
                </c:pt>
                <c:pt idx="59">
                  <c:v>6612</c:v>
                </c:pt>
                <c:pt idx="60">
                  <c:v>6492</c:v>
                </c:pt>
                <c:pt idx="61">
                  <c:v>6372</c:v>
                </c:pt>
                <c:pt idx="62">
                  <c:v>6252</c:v>
                </c:pt>
                <c:pt idx="63">
                  <c:v>6132</c:v>
                </c:pt>
                <c:pt idx="64">
                  <c:v>6012</c:v>
                </c:pt>
                <c:pt idx="65">
                  <c:v>5892</c:v>
                </c:pt>
                <c:pt idx="66">
                  <c:v>5772</c:v>
                </c:pt>
                <c:pt idx="67">
                  <c:v>5652</c:v>
                </c:pt>
                <c:pt idx="68">
                  <c:v>5532</c:v>
                </c:pt>
                <c:pt idx="69">
                  <c:v>5412</c:v>
                </c:pt>
                <c:pt idx="70">
                  <c:v>5292</c:v>
                </c:pt>
                <c:pt idx="71">
                  <c:v>5172</c:v>
                </c:pt>
                <c:pt idx="72">
                  <c:v>5052</c:v>
                </c:pt>
                <c:pt idx="73">
                  <c:v>4932</c:v>
                </c:pt>
                <c:pt idx="74">
                  <c:v>4812</c:v>
                </c:pt>
                <c:pt idx="75">
                  <c:v>4692</c:v>
                </c:pt>
                <c:pt idx="76">
                  <c:v>4572</c:v>
                </c:pt>
                <c:pt idx="77">
                  <c:v>4452</c:v>
                </c:pt>
                <c:pt idx="78">
                  <c:v>4332</c:v>
                </c:pt>
                <c:pt idx="79">
                  <c:v>4212</c:v>
                </c:pt>
                <c:pt idx="80">
                  <c:v>4092</c:v>
                </c:pt>
                <c:pt idx="81">
                  <c:v>3972</c:v>
                </c:pt>
                <c:pt idx="82">
                  <c:v>3852</c:v>
                </c:pt>
                <c:pt idx="83">
                  <c:v>3732</c:v>
                </c:pt>
                <c:pt idx="84">
                  <c:v>3612</c:v>
                </c:pt>
                <c:pt idx="85">
                  <c:v>3492</c:v>
                </c:pt>
                <c:pt idx="86">
                  <c:v>3372</c:v>
                </c:pt>
                <c:pt idx="87">
                  <c:v>3252</c:v>
                </c:pt>
                <c:pt idx="88">
                  <c:v>3132</c:v>
                </c:pt>
                <c:pt idx="89">
                  <c:v>3012</c:v>
                </c:pt>
                <c:pt idx="90">
                  <c:v>2892</c:v>
                </c:pt>
                <c:pt idx="91">
                  <c:v>2772</c:v>
                </c:pt>
                <c:pt idx="92">
                  <c:v>2652</c:v>
                </c:pt>
                <c:pt idx="93">
                  <c:v>2532</c:v>
                </c:pt>
                <c:pt idx="94">
                  <c:v>2412</c:v>
                </c:pt>
                <c:pt idx="95">
                  <c:v>2292</c:v>
                </c:pt>
                <c:pt idx="96">
                  <c:v>2172</c:v>
                </c:pt>
                <c:pt idx="97">
                  <c:v>2052</c:v>
                </c:pt>
                <c:pt idx="98">
                  <c:v>1932</c:v>
                </c:pt>
                <c:pt idx="99">
                  <c:v>1812</c:v>
                </c:pt>
                <c:pt idx="100">
                  <c:v>1692</c:v>
                </c:pt>
                <c:pt idx="101">
                  <c:v>1572</c:v>
                </c:pt>
                <c:pt idx="102">
                  <c:v>1452</c:v>
                </c:pt>
                <c:pt idx="103">
                  <c:v>1332</c:v>
                </c:pt>
                <c:pt idx="104">
                  <c:v>1212</c:v>
                </c:pt>
                <c:pt idx="105">
                  <c:v>1092</c:v>
                </c:pt>
                <c:pt idx="106">
                  <c:v>972</c:v>
                </c:pt>
                <c:pt idx="107">
                  <c:v>852</c:v>
                </c:pt>
                <c:pt idx="108">
                  <c:v>732</c:v>
                </c:pt>
                <c:pt idx="109">
                  <c:v>612</c:v>
                </c:pt>
                <c:pt idx="110">
                  <c:v>492</c:v>
                </c:pt>
                <c:pt idx="111">
                  <c:v>372</c:v>
                </c:pt>
                <c:pt idx="112">
                  <c:v>288</c:v>
                </c:pt>
                <c:pt idx="113">
                  <c:v>288</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13432.788</c:v>
                </c:pt>
                <c:pt idx="1">
                  <c:v>13282.788</c:v>
                </c:pt>
                <c:pt idx="2">
                  <c:v>13132.787999999999</c:v>
                </c:pt>
                <c:pt idx="3">
                  <c:v>12982.787999999999</c:v>
                </c:pt>
                <c:pt idx="4">
                  <c:v>12832.788</c:v>
                </c:pt>
                <c:pt idx="5">
                  <c:v>12682.787999999999</c:v>
                </c:pt>
                <c:pt idx="6">
                  <c:v>12650.868</c:v>
                </c:pt>
                <c:pt idx="7">
                  <c:v>12620.868</c:v>
                </c:pt>
                <c:pt idx="8">
                  <c:v>12590.868</c:v>
                </c:pt>
                <c:pt idx="9">
                  <c:v>12560.868</c:v>
                </c:pt>
                <c:pt idx="10">
                  <c:v>12530.868</c:v>
                </c:pt>
                <c:pt idx="11">
                  <c:v>12500.868</c:v>
                </c:pt>
                <c:pt idx="12">
                  <c:v>12470.868</c:v>
                </c:pt>
                <c:pt idx="13">
                  <c:v>12440.868</c:v>
                </c:pt>
                <c:pt idx="14">
                  <c:v>12410.868</c:v>
                </c:pt>
                <c:pt idx="15">
                  <c:v>12380.868</c:v>
                </c:pt>
                <c:pt idx="16">
                  <c:v>12350.868</c:v>
                </c:pt>
                <c:pt idx="17">
                  <c:v>12320.868</c:v>
                </c:pt>
                <c:pt idx="18">
                  <c:v>12290.868</c:v>
                </c:pt>
                <c:pt idx="19">
                  <c:v>12260.868</c:v>
                </c:pt>
                <c:pt idx="20">
                  <c:v>12167.988000000001</c:v>
                </c:pt>
                <c:pt idx="21">
                  <c:v>12017.988000000001</c:v>
                </c:pt>
                <c:pt idx="22">
                  <c:v>11867.988000000001</c:v>
                </c:pt>
                <c:pt idx="23">
                  <c:v>11717.988000000001</c:v>
                </c:pt>
                <c:pt idx="24">
                  <c:v>11567.988000000001</c:v>
                </c:pt>
                <c:pt idx="25">
                  <c:v>11417.988000000001</c:v>
                </c:pt>
                <c:pt idx="26">
                  <c:v>11267.988000000001</c:v>
                </c:pt>
                <c:pt idx="27">
                  <c:v>11117.988000000001</c:v>
                </c:pt>
                <c:pt idx="28">
                  <c:v>10967.988000000001</c:v>
                </c:pt>
                <c:pt idx="29">
                  <c:v>10817.988000000001</c:v>
                </c:pt>
                <c:pt idx="30">
                  <c:v>10667.988000000001</c:v>
                </c:pt>
                <c:pt idx="31">
                  <c:v>10517.988000000001</c:v>
                </c:pt>
                <c:pt idx="32">
                  <c:v>10367.988000000001</c:v>
                </c:pt>
                <c:pt idx="33">
                  <c:v>10217.988000000001</c:v>
                </c:pt>
                <c:pt idx="34">
                  <c:v>10067.988000000001</c:v>
                </c:pt>
                <c:pt idx="35">
                  <c:v>9917.9880000000012</c:v>
                </c:pt>
                <c:pt idx="36">
                  <c:v>9767.9880000000012</c:v>
                </c:pt>
                <c:pt idx="37">
                  <c:v>9617.9880000000012</c:v>
                </c:pt>
                <c:pt idx="38">
                  <c:v>9467.9880000000012</c:v>
                </c:pt>
                <c:pt idx="39">
                  <c:v>9317.9880000000012</c:v>
                </c:pt>
                <c:pt idx="40">
                  <c:v>9167.9879999999994</c:v>
                </c:pt>
                <c:pt idx="41">
                  <c:v>9017.9880000000012</c:v>
                </c:pt>
                <c:pt idx="42">
                  <c:v>8867.9880000000012</c:v>
                </c:pt>
                <c:pt idx="43">
                  <c:v>8717.9879999999994</c:v>
                </c:pt>
                <c:pt idx="44">
                  <c:v>8567.9880000000012</c:v>
                </c:pt>
                <c:pt idx="45">
                  <c:v>8417.9880000000012</c:v>
                </c:pt>
                <c:pt idx="46">
                  <c:v>8267.9879999999994</c:v>
                </c:pt>
                <c:pt idx="47">
                  <c:v>8117.9880000000012</c:v>
                </c:pt>
                <c:pt idx="48">
                  <c:v>7967.9880000000003</c:v>
                </c:pt>
                <c:pt idx="49">
                  <c:v>7817.9879999999994</c:v>
                </c:pt>
                <c:pt idx="50">
                  <c:v>7667.9879999999994</c:v>
                </c:pt>
                <c:pt idx="51">
                  <c:v>7517.9880000000003</c:v>
                </c:pt>
                <c:pt idx="52">
                  <c:v>7367.9880000000003</c:v>
                </c:pt>
                <c:pt idx="53">
                  <c:v>7217.9879999999994</c:v>
                </c:pt>
                <c:pt idx="54">
                  <c:v>7067.9880000000003</c:v>
                </c:pt>
                <c:pt idx="55">
                  <c:v>6917.9880000000003</c:v>
                </c:pt>
                <c:pt idx="56">
                  <c:v>6767.9879999999994</c:v>
                </c:pt>
                <c:pt idx="57">
                  <c:v>6617.9880000000003</c:v>
                </c:pt>
                <c:pt idx="58">
                  <c:v>6467.9880000000003</c:v>
                </c:pt>
                <c:pt idx="59">
                  <c:v>6317.9879999999994</c:v>
                </c:pt>
                <c:pt idx="60">
                  <c:v>6167.9880000000003</c:v>
                </c:pt>
                <c:pt idx="61">
                  <c:v>6017.9880000000003</c:v>
                </c:pt>
                <c:pt idx="62">
                  <c:v>5867.9879999999994</c:v>
                </c:pt>
                <c:pt idx="63">
                  <c:v>5717.9880000000003</c:v>
                </c:pt>
                <c:pt idx="64">
                  <c:v>5567.9880000000003</c:v>
                </c:pt>
                <c:pt idx="65">
                  <c:v>5417.9879999999994</c:v>
                </c:pt>
                <c:pt idx="66">
                  <c:v>5267.9880000000003</c:v>
                </c:pt>
                <c:pt idx="67">
                  <c:v>5117.9880000000003</c:v>
                </c:pt>
                <c:pt idx="68">
                  <c:v>4967.9880000000003</c:v>
                </c:pt>
                <c:pt idx="69">
                  <c:v>4817.9880000000003</c:v>
                </c:pt>
                <c:pt idx="70">
                  <c:v>4667.9880000000003</c:v>
                </c:pt>
                <c:pt idx="71">
                  <c:v>4517.9880000000003</c:v>
                </c:pt>
                <c:pt idx="72">
                  <c:v>4367.9880000000003</c:v>
                </c:pt>
                <c:pt idx="73">
                  <c:v>4217.9880000000003</c:v>
                </c:pt>
                <c:pt idx="74">
                  <c:v>4067.9880000000003</c:v>
                </c:pt>
                <c:pt idx="75">
                  <c:v>3917.9880000000003</c:v>
                </c:pt>
                <c:pt idx="76">
                  <c:v>3767.9880000000003</c:v>
                </c:pt>
                <c:pt idx="77">
                  <c:v>3617.9880000000003</c:v>
                </c:pt>
                <c:pt idx="78">
                  <c:v>3467.9880000000003</c:v>
                </c:pt>
                <c:pt idx="79">
                  <c:v>3317.9880000000003</c:v>
                </c:pt>
                <c:pt idx="80">
                  <c:v>3167.9880000000003</c:v>
                </c:pt>
                <c:pt idx="81">
                  <c:v>3017.9880000000003</c:v>
                </c:pt>
                <c:pt idx="82">
                  <c:v>2867.9880000000003</c:v>
                </c:pt>
                <c:pt idx="83">
                  <c:v>2717.9880000000003</c:v>
                </c:pt>
                <c:pt idx="84">
                  <c:v>2567.9880000000003</c:v>
                </c:pt>
                <c:pt idx="85">
                  <c:v>2417.9880000000003</c:v>
                </c:pt>
                <c:pt idx="86">
                  <c:v>2267.9880000000003</c:v>
                </c:pt>
                <c:pt idx="87">
                  <c:v>2117.9880000000003</c:v>
                </c:pt>
                <c:pt idx="88">
                  <c:v>1967.9880000000003</c:v>
                </c:pt>
                <c:pt idx="89">
                  <c:v>1817.9879999999976</c:v>
                </c:pt>
                <c:pt idx="90">
                  <c:v>1667.9880000000003</c:v>
                </c:pt>
                <c:pt idx="91">
                  <c:v>1517.988000000003</c:v>
                </c:pt>
                <c:pt idx="92">
                  <c:v>1367.9879999999976</c:v>
                </c:pt>
                <c:pt idx="93">
                  <c:v>1217.9880000000003</c:v>
                </c:pt>
                <c:pt idx="94">
                  <c:v>1067.988000000003</c:v>
                </c:pt>
                <c:pt idx="95">
                  <c:v>917.98799999999756</c:v>
                </c:pt>
                <c:pt idx="96">
                  <c:v>767.98800000000028</c:v>
                </c:pt>
                <c:pt idx="97">
                  <c:v>617.98800000000301</c:v>
                </c:pt>
                <c:pt idx="98">
                  <c:v>467.98799999999756</c:v>
                </c:pt>
                <c:pt idx="99">
                  <c:v>317.98800000000028</c:v>
                </c:pt>
                <c:pt idx="100">
                  <c:v>167.98800000000028</c:v>
                </c:pt>
                <c:pt idx="101">
                  <c:v>17.988000000000284</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85280.027999999991</c:v>
                      </c:pt>
                      <c:pt idx="1">
                        <c:v>85345.027999999991</c:v>
                      </c:pt>
                      <c:pt idx="2">
                        <c:v>85290.027999999991</c:v>
                      </c:pt>
                      <c:pt idx="3">
                        <c:v>85175.027999999991</c:v>
                      </c:pt>
                      <c:pt idx="4">
                        <c:v>85060.027999999991</c:v>
                      </c:pt>
                      <c:pt idx="5">
                        <c:v>84945.027999999991</c:v>
                      </c:pt>
                      <c:pt idx="6">
                        <c:v>84734.508000000002</c:v>
                      </c:pt>
                      <c:pt idx="7">
                        <c:v>84519.508000000002</c:v>
                      </c:pt>
                      <c:pt idx="8">
                        <c:v>84304.508000000002</c:v>
                      </c:pt>
                      <c:pt idx="9">
                        <c:v>84089.508000000002</c:v>
                      </c:pt>
                      <c:pt idx="10">
                        <c:v>83884.508000000002</c:v>
                      </c:pt>
                      <c:pt idx="11">
                        <c:v>83694.508000000002</c:v>
                      </c:pt>
                      <c:pt idx="12">
                        <c:v>83504.508000000002</c:v>
                      </c:pt>
                      <c:pt idx="13">
                        <c:v>83314.508000000002</c:v>
                      </c:pt>
                      <c:pt idx="14">
                        <c:v>83124.508000000002</c:v>
                      </c:pt>
                      <c:pt idx="15">
                        <c:v>82934.508000000002</c:v>
                      </c:pt>
                      <c:pt idx="16">
                        <c:v>82744.508000000002</c:v>
                      </c:pt>
                      <c:pt idx="17">
                        <c:v>82554.508000000002</c:v>
                      </c:pt>
                      <c:pt idx="18">
                        <c:v>82364.508000000002</c:v>
                      </c:pt>
                      <c:pt idx="19">
                        <c:v>82174.508000000002</c:v>
                      </c:pt>
                      <c:pt idx="20">
                        <c:v>82035.228000000003</c:v>
                      </c:pt>
                      <c:pt idx="21">
                        <c:v>81945.228000000003</c:v>
                      </c:pt>
                      <c:pt idx="22">
                        <c:v>81855.228000000003</c:v>
                      </c:pt>
                      <c:pt idx="23">
                        <c:v>81765.228000000003</c:v>
                      </c:pt>
                      <c:pt idx="24">
                        <c:v>81675.228000000003</c:v>
                      </c:pt>
                      <c:pt idx="25">
                        <c:v>81585.228000000003</c:v>
                      </c:pt>
                      <c:pt idx="26">
                        <c:v>81495.228000000003</c:v>
                      </c:pt>
                      <c:pt idx="27">
                        <c:v>81405.228000000003</c:v>
                      </c:pt>
                      <c:pt idx="28">
                        <c:v>81315.228000000003</c:v>
                      </c:pt>
                      <c:pt idx="29">
                        <c:v>81225.228000000003</c:v>
                      </c:pt>
                      <c:pt idx="30">
                        <c:v>81135.228000000003</c:v>
                      </c:pt>
                      <c:pt idx="31">
                        <c:v>81045.228000000003</c:v>
                      </c:pt>
                      <c:pt idx="32">
                        <c:v>80955.228000000003</c:v>
                      </c:pt>
                      <c:pt idx="33">
                        <c:v>80865.228000000003</c:v>
                      </c:pt>
                      <c:pt idx="34">
                        <c:v>80775.228000000003</c:v>
                      </c:pt>
                      <c:pt idx="35">
                        <c:v>80685.228000000003</c:v>
                      </c:pt>
                      <c:pt idx="36">
                        <c:v>80595.228000000003</c:v>
                      </c:pt>
                      <c:pt idx="37">
                        <c:v>80404.428</c:v>
                      </c:pt>
                      <c:pt idx="38">
                        <c:v>80074.428</c:v>
                      </c:pt>
                      <c:pt idx="39">
                        <c:v>79744.428</c:v>
                      </c:pt>
                      <c:pt idx="40">
                        <c:v>79414.428</c:v>
                      </c:pt>
                      <c:pt idx="41">
                        <c:v>79084.428</c:v>
                      </c:pt>
                      <c:pt idx="42">
                        <c:v>78754.428</c:v>
                      </c:pt>
                      <c:pt idx="43">
                        <c:v>78424.428</c:v>
                      </c:pt>
                      <c:pt idx="44">
                        <c:v>78094.428</c:v>
                      </c:pt>
                      <c:pt idx="45">
                        <c:v>77764.428</c:v>
                      </c:pt>
                      <c:pt idx="46">
                        <c:v>77434.428</c:v>
                      </c:pt>
                      <c:pt idx="47">
                        <c:v>77104.428</c:v>
                      </c:pt>
                      <c:pt idx="48">
                        <c:v>76746.881519999995</c:v>
                      </c:pt>
                      <c:pt idx="49">
                        <c:v>76290.521519999995</c:v>
                      </c:pt>
                      <c:pt idx="50">
                        <c:v>75834.161519999994</c:v>
                      </c:pt>
                      <c:pt idx="51">
                        <c:v>75377.801519999994</c:v>
                      </c:pt>
                      <c:pt idx="52">
                        <c:v>74921.441519999993</c:v>
                      </c:pt>
                      <c:pt idx="53">
                        <c:v>74465.081519999992</c:v>
                      </c:pt>
                      <c:pt idx="54">
                        <c:v>74008.721520000006</c:v>
                      </c:pt>
                      <c:pt idx="55">
                        <c:v>73552.361520000006</c:v>
                      </c:pt>
                      <c:pt idx="56">
                        <c:v>73108.001520000005</c:v>
                      </c:pt>
                      <c:pt idx="57">
                        <c:v>72711.641520000005</c:v>
                      </c:pt>
                      <c:pt idx="58">
                        <c:v>72315.281520000004</c:v>
                      </c:pt>
                      <c:pt idx="59">
                        <c:v>71918.921520000004</c:v>
                      </c:pt>
                      <c:pt idx="60">
                        <c:v>71522.561520000003</c:v>
                      </c:pt>
                      <c:pt idx="61">
                        <c:v>71126.201520000002</c:v>
                      </c:pt>
                      <c:pt idx="62">
                        <c:v>70729.841520000002</c:v>
                      </c:pt>
                      <c:pt idx="63">
                        <c:v>70333.481520000001</c:v>
                      </c:pt>
                      <c:pt idx="64">
                        <c:v>69937.121520000001</c:v>
                      </c:pt>
                      <c:pt idx="65">
                        <c:v>69540.76152</c:v>
                      </c:pt>
                      <c:pt idx="66">
                        <c:v>69144.401519999999</c:v>
                      </c:pt>
                      <c:pt idx="67">
                        <c:v>68748.041519999999</c:v>
                      </c:pt>
                      <c:pt idx="68">
                        <c:v>68351.681519999998</c:v>
                      </c:pt>
                      <c:pt idx="69">
                        <c:v>67955.321519999998</c:v>
                      </c:pt>
                      <c:pt idx="70">
                        <c:v>67558.961520000012</c:v>
                      </c:pt>
                      <c:pt idx="71">
                        <c:v>67162.601519999997</c:v>
                      </c:pt>
                      <c:pt idx="72">
                        <c:v>66766.24152000001</c:v>
                      </c:pt>
                      <c:pt idx="73">
                        <c:v>66369.881519999995</c:v>
                      </c:pt>
                      <c:pt idx="74">
                        <c:v>65973.521520000009</c:v>
                      </c:pt>
                      <c:pt idx="75">
                        <c:v>65577.161519999994</c:v>
                      </c:pt>
                      <c:pt idx="76">
                        <c:v>65180.801520000001</c:v>
                      </c:pt>
                      <c:pt idx="77">
                        <c:v>64784.44152</c:v>
                      </c:pt>
                      <c:pt idx="78">
                        <c:v>62678.08152</c:v>
                      </c:pt>
                      <c:pt idx="79">
                        <c:v>62256.721520000006</c:v>
                      </c:pt>
                      <c:pt idx="80">
                        <c:v>61835.361520000006</c:v>
                      </c:pt>
                      <c:pt idx="81">
                        <c:v>61414.001520000005</c:v>
                      </c:pt>
                      <c:pt idx="82">
                        <c:v>60992.641520000005</c:v>
                      </c:pt>
                      <c:pt idx="83">
                        <c:v>60571.281520000004</c:v>
                      </c:pt>
                      <c:pt idx="84">
                        <c:v>60149.921520000004</c:v>
                      </c:pt>
                      <c:pt idx="85">
                        <c:v>59728.561520000003</c:v>
                      </c:pt>
                      <c:pt idx="86">
                        <c:v>59307.201520000002</c:v>
                      </c:pt>
                      <c:pt idx="87">
                        <c:v>58885.841520000002</c:v>
                      </c:pt>
                      <c:pt idx="88">
                        <c:v>58464.481520000001</c:v>
                      </c:pt>
                      <c:pt idx="89">
                        <c:v>58043.121520000001</c:v>
                      </c:pt>
                      <c:pt idx="90">
                        <c:v>57621.76152</c:v>
                      </c:pt>
                      <c:pt idx="91">
                        <c:v>57200.401519999999</c:v>
                      </c:pt>
                      <c:pt idx="92">
                        <c:v>56779.041519999999</c:v>
                      </c:pt>
                      <c:pt idx="93">
                        <c:v>56357.681519999998</c:v>
                      </c:pt>
                      <c:pt idx="94">
                        <c:v>55936.321519999998</c:v>
                      </c:pt>
                      <c:pt idx="95">
                        <c:v>55514.961519999997</c:v>
                      </c:pt>
                      <c:pt idx="96">
                        <c:v>55093.601520000004</c:v>
                      </c:pt>
                      <c:pt idx="97">
                        <c:v>54672.241520000003</c:v>
                      </c:pt>
                      <c:pt idx="98">
                        <c:v>54250.881519999995</c:v>
                      </c:pt>
                      <c:pt idx="99">
                        <c:v>53829.521520000002</c:v>
                      </c:pt>
                      <c:pt idx="100">
                        <c:v>53408.161520000001</c:v>
                      </c:pt>
                      <c:pt idx="101">
                        <c:v>52986.801520000001</c:v>
                      </c:pt>
                      <c:pt idx="102">
                        <c:v>52697.453520000003</c:v>
                      </c:pt>
                      <c:pt idx="103">
                        <c:v>52426.093520000002</c:v>
                      </c:pt>
                      <c:pt idx="104">
                        <c:v>52154.733520000002</c:v>
                      </c:pt>
                      <c:pt idx="105">
                        <c:v>51883.373520000001</c:v>
                      </c:pt>
                      <c:pt idx="106">
                        <c:v>51612.01352</c:v>
                      </c:pt>
                      <c:pt idx="107">
                        <c:v>32719.65352</c:v>
                      </c:pt>
                      <c:pt idx="108">
                        <c:v>32448.293519999999</c:v>
                      </c:pt>
                      <c:pt idx="109">
                        <c:v>32176.933520000002</c:v>
                      </c:pt>
                      <c:pt idx="110">
                        <c:v>31905.573520000002</c:v>
                      </c:pt>
                      <c:pt idx="111">
                        <c:v>31634.213520000001</c:v>
                      </c:pt>
                      <c:pt idx="112">
                        <c:v>31398.853520000001</c:v>
                      </c:pt>
                      <c:pt idx="113">
                        <c:v>31247.49352</c:v>
                      </c:pt>
                      <c:pt idx="114">
                        <c:v>30808.133520000003</c:v>
                      </c:pt>
                      <c:pt idx="115">
                        <c:v>30371.24</c:v>
                      </c:pt>
                      <c:pt idx="116">
                        <c:v>30346.240000000002</c:v>
                      </c:pt>
                      <c:pt idx="117">
                        <c:v>30321.24</c:v>
                      </c:pt>
                      <c:pt idx="118">
                        <c:v>30296.240000000002</c:v>
                      </c:pt>
                      <c:pt idx="119">
                        <c:v>30271.24</c:v>
                      </c:pt>
                      <c:pt idx="120">
                        <c:v>30246.240000000002</c:v>
                      </c:pt>
                      <c:pt idx="121">
                        <c:v>30221.24</c:v>
                      </c:pt>
                      <c:pt idx="122">
                        <c:v>30196.240000000002</c:v>
                      </c:pt>
                      <c:pt idx="123">
                        <c:v>30171.24</c:v>
                      </c:pt>
                      <c:pt idx="124">
                        <c:v>30146.240000000002</c:v>
                      </c:pt>
                      <c:pt idx="125">
                        <c:v>30121.24</c:v>
                      </c:pt>
                      <c:pt idx="126">
                        <c:v>30096.240000000002</c:v>
                      </c:pt>
                      <c:pt idx="127">
                        <c:v>30071.24</c:v>
                      </c:pt>
                      <c:pt idx="128">
                        <c:v>30046.240000000002</c:v>
                      </c:pt>
                      <c:pt idx="129">
                        <c:v>30021.24</c:v>
                      </c:pt>
                      <c:pt idx="130">
                        <c:v>29114</c:v>
                      </c:pt>
                      <c:pt idx="131">
                        <c:v>29089</c:v>
                      </c:pt>
                      <c:pt idx="132">
                        <c:v>29064</c:v>
                      </c:pt>
                      <c:pt idx="133">
                        <c:v>29039</c:v>
                      </c:pt>
                      <c:pt idx="134">
                        <c:v>29014</c:v>
                      </c:pt>
                      <c:pt idx="135">
                        <c:v>28989</c:v>
                      </c:pt>
                      <c:pt idx="136">
                        <c:v>28964</c:v>
                      </c:pt>
                      <c:pt idx="137">
                        <c:v>28939</c:v>
                      </c:pt>
                      <c:pt idx="138">
                        <c:v>28914</c:v>
                      </c:pt>
                      <c:pt idx="139">
                        <c:v>28889</c:v>
                      </c:pt>
                      <c:pt idx="140">
                        <c:v>28864</c:v>
                      </c:pt>
                      <c:pt idx="141">
                        <c:v>28839</c:v>
                      </c:pt>
                      <c:pt idx="142">
                        <c:v>28814</c:v>
                      </c:pt>
                      <c:pt idx="143">
                        <c:v>28789</c:v>
                      </c:pt>
                      <c:pt idx="144">
                        <c:v>28764</c:v>
                      </c:pt>
                      <c:pt idx="145">
                        <c:v>28739</c:v>
                      </c:pt>
                      <c:pt idx="146">
                        <c:v>28714</c:v>
                      </c:pt>
                      <c:pt idx="147">
                        <c:v>28689</c:v>
                      </c:pt>
                      <c:pt idx="148">
                        <c:v>28664</c:v>
                      </c:pt>
                      <c:pt idx="149">
                        <c:v>28639</c:v>
                      </c:pt>
                      <c:pt idx="150">
                        <c:v>28614</c:v>
                      </c:pt>
                      <c:pt idx="151">
                        <c:v>28589</c:v>
                      </c:pt>
                      <c:pt idx="152">
                        <c:v>28564</c:v>
                      </c:pt>
                      <c:pt idx="153">
                        <c:v>28539</c:v>
                      </c:pt>
                      <c:pt idx="154">
                        <c:v>28514</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85280.027999999991</c:v>
                      </c:pt>
                      <c:pt idx="1">
                        <c:v>85845.027999999991</c:v>
                      </c:pt>
                      <c:pt idx="2">
                        <c:v>86290.027999999991</c:v>
                      </c:pt>
                      <c:pt idx="3">
                        <c:v>86675.027999999991</c:v>
                      </c:pt>
                      <c:pt idx="4">
                        <c:v>87060.027999999991</c:v>
                      </c:pt>
                      <c:pt idx="5">
                        <c:v>87445.027999999991</c:v>
                      </c:pt>
                      <c:pt idx="6">
                        <c:v>87734.508000000002</c:v>
                      </c:pt>
                      <c:pt idx="7">
                        <c:v>88019.508000000002</c:v>
                      </c:pt>
                      <c:pt idx="8">
                        <c:v>88304.508000000002</c:v>
                      </c:pt>
                      <c:pt idx="9">
                        <c:v>88589.508000000002</c:v>
                      </c:pt>
                      <c:pt idx="10">
                        <c:v>88884.508000000002</c:v>
                      </c:pt>
                      <c:pt idx="11">
                        <c:v>89194.508000000002</c:v>
                      </c:pt>
                      <c:pt idx="12">
                        <c:v>89504.508000000002</c:v>
                      </c:pt>
                      <c:pt idx="13">
                        <c:v>89814.508000000002</c:v>
                      </c:pt>
                      <c:pt idx="14">
                        <c:v>90124.508000000002</c:v>
                      </c:pt>
                      <c:pt idx="15">
                        <c:v>90434.508000000002</c:v>
                      </c:pt>
                      <c:pt idx="16">
                        <c:v>90744.508000000002</c:v>
                      </c:pt>
                      <c:pt idx="17">
                        <c:v>91054.508000000002</c:v>
                      </c:pt>
                      <c:pt idx="18">
                        <c:v>91364.508000000002</c:v>
                      </c:pt>
                      <c:pt idx="19">
                        <c:v>91674.508000000002</c:v>
                      </c:pt>
                      <c:pt idx="20">
                        <c:v>92035.228000000003</c:v>
                      </c:pt>
                      <c:pt idx="21">
                        <c:v>92445.228000000003</c:v>
                      </c:pt>
                      <c:pt idx="22">
                        <c:v>92855.228000000003</c:v>
                      </c:pt>
                      <c:pt idx="23">
                        <c:v>93265.228000000003</c:v>
                      </c:pt>
                      <c:pt idx="24">
                        <c:v>93675.228000000003</c:v>
                      </c:pt>
                      <c:pt idx="25">
                        <c:v>94085.228000000003</c:v>
                      </c:pt>
                      <c:pt idx="26">
                        <c:v>94495.228000000003</c:v>
                      </c:pt>
                      <c:pt idx="27">
                        <c:v>94905.228000000003</c:v>
                      </c:pt>
                      <c:pt idx="28">
                        <c:v>95315.228000000003</c:v>
                      </c:pt>
                      <c:pt idx="29">
                        <c:v>95725.228000000003</c:v>
                      </c:pt>
                      <c:pt idx="30">
                        <c:v>96135.228000000003</c:v>
                      </c:pt>
                      <c:pt idx="31">
                        <c:v>96545.228000000003</c:v>
                      </c:pt>
                      <c:pt idx="32">
                        <c:v>96955.228000000003</c:v>
                      </c:pt>
                      <c:pt idx="33">
                        <c:v>97365.228000000003</c:v>
                      </c:pt>
                      <c:pt idx="34">
                        <c:v>97775.228000000003</c:v>
                      </c:pt>
                      <c:pt idx="35">
                        <c:v>98185.228000000003</c:v>
                      </c:pt>
                      <c:pt idx="36">
                        <c:v>98595.228000000003</c:v>
                      </c:pt>
                      <c:pt idx="37">
                        <c:v>98904.428</c:v>
                      </c:pt>
                      <c:pt idx="38">
                        <c:v>99074.428</c:v>
                      </c:pt>
                      <c:pt idx="39">
                        <c:v>99244.428</c:v>
                      </c:pt>
                      <c:pt idx="40">
                        <c:v>99414.428</c:v>
                      </c:pt>
                      <c:pt idx="41">
                        <c:v>99584.428</c:v>
                      </c:pt>
                      <c:pt idx="42">
                        <c:v>99754.428</c:v>
                      </c:pt>
                      <c:pt idx="43">
                        <c:v>99924.428</c:v>
                      </c:pt>
                      <c:pt idx="44">
                        <c:v>100094.428</c:v>
                      </c:pt>
                      <c:pt idx="45">
                        <c:v>100264.428</c:v>
                      </c:pt>
                      <c:pt idx="46">
                        <c:v>100434.428</c:v>
                      </c:pt>
                      <c:pt idx="47">
                        <c:v>100604.428</c:v>
                      </c:pt>
                      <c:pt idx="48">
                        <c:v>100746.88152</c:v>
                      </c:pt>
                      <c:pt idx="49">
                        <c:v>100790.52151999999</c:v>
                      </c:pt>
                      <c:pt idx="50">
                        <c:v>100834.16151999999</c:v>
                      </c:pt>
                      <c:pt idx="51">
                        <c:v>100877.80151999999</c:v>
                      </c:pt>
                      <c:pt idx="52">
                        <c:v>100921.44151999999</c:v>
                      </c:pt>
                      <c:pt idx="53">
                        <c:v>100965.08151999999</c:v>
                      </c:pt>
                      <c:pt idx="54">
                        <c:v>101008.72152000001</c:v>
                      </c:pt>
                      <c:pt idx="55">
                        <c:v>101052.36152000001</c:v>
                      </c:pt>
                      <c:pt idx="56">
                        <c:v>101108.00152000001</c:v>
                      </c:pt>
                      <c:pt idx="57">
                        <c:v>101211.64152</c:v>
                      </c:pt>
                      <c:pt idx="58">
                        <c:v>101315.28152</c:v>
                      </c:pt>
                      <c:pt idx="59">
                        <c:v>101418.92152</c:v>
                      </c:pt>
                      <c:pt idx="60">
                        <c:v>101522.56152</c:v>
                      </c:pt>
                      <c:pt idx="61">
                        <c:v>101626.20152</c:v>
                      </c:pt>
                      <c:pt idx="62">
                        <c:v>101729.84152</c:v>
                      </c:pt>
                      <c:pt idx="63">
                        <c:v>101833.48152</c:v>
                      </c:pt>
                      <c:pt idx="64">
                        <c:v>101937.12152</c:v>
                      </c:pt>
                      <c:pt idx="65">
                        <c:v>102040.76152</c:v>
                      </c:pt>
                      <c:pt idx="66">
                        <c:v>102144.40152</c:v>
                      </c:pt>
                      <c:pt idx="67">
                        <c:v>102248.04152</c:v>
                      </c:pt>
                      <c:pt idx="68">
                        <c:v>102351.68152</c:v>
                      </c:pt>
                      <c:pt idx="69">
                        <c:v>102455.32152</c:v>
                      </c:pt>
                      <c:pt idx="70">
                        <c:v>102558.96152000001</c:v>
                      </c:pt>
                      <c:pt idx="71">
                        <c:v>102662.60152</c:v>
                      </c:pt>
                      <c:pt idx="72">
                        <c:v>102766.24152000001</c:v>
                      </c:pt>
                      <c:pt idx="73">
                        <c:v>102869.88152</c:v>
                      </c:pt>
                      <c:pt idx="74">
                        <c:v>102973.52152000001</c:v>
                      </c:pt>
                      <c:pt idx="75">
                        <c:v>103077.16151999999</c:v>
                      </c:pt>
                      <c:pt idx="76">
                        <c:v>103180.80152000001</c:v>
                      </c:pt>
                      <c:pt idx="77">
                        <c:v>103284.44151999999</c:v>
                      </c:pt>
                      <c:pt idx="78">
                        <c:v>101678.08152000001</c:v>
                      </c:pt>
                      <c:pt idx="79">
                        <c:v>101756.72152000001</c:v>
                      </c:pt>
                      <c:pt idx="80">
                        <c:v>101835.36152000001</c:v>
                      </c:pt>
                      <c:pt idx="81">
                        <c:v>101914.00152000001</c:v>
                      </c:pt>
                      <c:pt idx="82">
                        <c:v>101992.64152</c:v>
                      </c:pt>
                      <c:pt idx="83">
                        <c:v>102071.28152</c:v>
                      </c:pt>
                      <c:pt idx="84">
                        <c:v>102149.92152</c:v>
                      </c:pt>
                      <c:pt idx="85">
                        <c:v>102228.56152</c:v>
                      </c:pt>
                      <c:pt idx="86">
                        <c:v>102307.20152</c:v>
                      </c:pt>
                      <c:pt idx="87">
                        <c:v>102385.84152</c:v>
                      </c:pt>
                      <c:pt idx="88">
                        <c:v>102464.48152</c:v>
                      </c:pt>
                      <c:pt idx="89">
                        <c:v>102543.12152</c:v>
                      </c:pt>
                      <c:pt idx="90">
                        <c:v>102621.76152</c:v>
                      </c:pt>
                      <c:pt idx="91">
                        <c:v>102700.40152</c:v>
                      </c:pt>
                      <c:pt idx="92">
                        <c:v>102779.04152</c:v>
                      </c:pt>
                      <c:pt idx="93">
                        <c:v>102857.68152</c:v>
                      </c:pt>
                      <c:pt idx="94">
                        <c:v>102936.32152</c:v>
                      </c:pt>
                      <c:pt idx="95">
                        <c:v>103014.96152</c:v>
                      </c:pt>
                      <c:pt idx="96">
                        <c:v>103093.60152</c:v>
                      </c:pt>
                      <c:pt idx="97">
                        <c:v>103172.24152000001</c:v>
                      </c:pt>
                      <c:pt idx="98">
                        <c:v>103250.88152</c:v>
                      </c:pt>
                      <c:pt idx="99">
                        <c:v>103329.52152000001</c:v>
                      </c:pt>
                      <c:pt idx="100">
                        <c:v>103408.16151999999</c:v>
                      </c:pt>
                      <c:pt idx="101">
                        <c:v>103486.80152000001</c:v>
                      </c:pt>
                      <c:pt idx="102">
                        <c:v>103697.45352000001</c:v>
                      </c:pt>
                      <c:pt idx="103">
                        <c:v>103926.09351999999</c:v>
                      </c:pt>
                      <c:pt idx="104">
                        <c:v>104154.73352000001</c:v>
                      </c:pt>
                      <c:pt idx="105">
                        <c:v>104383.37351999999</c:v>
                      </c:pt>
                      <c:pt idx="106">
                        <c:v>104612.01352000001</c:v>
                      </c:pt>
                      <c:pt idx="107">
                        <c:v>86219.653519999993</c:v>
                      </c:pt>
                      <c:pt idx="108">
                        <c:v>86448.293520000007</c:v>
                      </c:pt>
                      <c:pt idx="109">
                        <c:v>86676.933520000006</c:v>
                      </c:pt>
                      <c:pt idx="110">
                        <c:v>86905.573520000005</c:v>
                      </c:pt>
                      <c:pt idx="111">
                        <c:v>87134.213520000005</c:v>
                      </c:pt>
                      <c:pt idx="112">
                        <c:v>87398.853520000004</c:v>
                      </c:pt>
                      <c:pt idx="113">
                        <c:v>87747.493520000004</c:v>
                      </c:pt>
                      <c:pt idx="114">
                        <c:v>87808.133520000003</c:v>
                      </c:pt>
                      <c:pt idx="115">
                        <c:v>87871.24</c:v>
                      </c:pt>
                      <c:pt idx="116">
                        <c:v>88346.240000000005</c:v>
                      </c:pt>
                      <c:pt idx="117">
                        <c:v>88821.24</c:v>
                      </c:pt>
                      <c:pt idx="118">
                        <c:v>89296.24</c:v>
                      </c:pt>
                      <c:pt idx="119">
                        <c:v>89771.24</c:v>
                      </c:pt>
                      <c:pt idx="120">
                        <c:v>90246.24</c:v>
                      </c:pt>
                      <c:pt idx="121">
                        <c:v>90721.24</c:v>
                      </c:pt>
                      <c:pt idx="122">
                        <c:v>91196.24</c:v>
                      </c:pt>
                      <c:pt idx="123">
                        <c:v>91671.24</c:v>
                      </c:pt>
                      <c:pt idx="124">
                        <c:v>92146.240000000005</c:v>
                      </c:pt>
                      <c:pt idx="125">
                        <c:v>92621.24</c:v>
                      </c:pt>
                      <c:pt idx="126">
                        <c:v>93096.24</c:v>
                      </c:pt>
                      <c:pt idx="127">
                        <c:v>93571.24</c:v>
                      </c:pt>
                      <c:pt idx="128">
                        <c:v>94046.24</c:v>
                      </c:pt>
                      <c:pt idx="129">
                        <c:v>94521.24</c:v>
                      </c:pt>
                      <c:pt idx="130">
                        <c:v>94114</c:v>
                      </c:pt>
                      <c:pt idx="131">
                        <c:v>94589</c:v>
                      </c:pt>
                      <c:pt idx="132">
                        <c:v>95064</c:v>
                      </c:pt>
                      <c:pt idx="133">
                        <c:v>95539</c:v>
                      </c:pt>
                      <c:pt idx="134">
                        <c:v>96014</c:v>
                      </c:pt>
                      <c:pt idx="135">
                        <c:v>96489</c:v>
                      </c:pt>
                      <c:pt idx="136">
                        <c:v>96964</c:v>
                      </c:pt>
                      <c:pt idx="137">
                        <c:v>97439</c:v>
                      </c:pt>
                      <c:pt idx="138">
                        <c:v>97914</c:v>
                      </c:pt>
                      <c:pt idx="139">
                        <c:v>98389</c:v>
                      </c:pt>
                      <c:pt idx="140">
                        <c:v>98864</c:v>
                      </c:pt>
                      <c:pt idx="141">
                        <c:v>99339</c:v>
                      </c:pt>
                      <c:pt idx="142">
                        <c:v>99814</c:v>
                      </c:pt>
                      <c:pt idx="143">
                        <c:v>100289</c:v>
                      </c:pt>
                      <c:pt idx="144">
                        <c:v>100764</c:v>
                      </c:pt>
                      <c:pt idx="145">
                        <c:v>101239</c:v>
                      </c:pt>
                      <c:pt idx="146">
                        <c:v>101714</c:v>
                      </c:pt>
                      <c:pt idx="147">
                        <c:v>102189</c:v>
                      </c:pt>
                      <c:pt idx="148">
                        <c:v>102664</c:v>
                      </c:pt>
                      <c:pt idx="149">
                        <c:v>103139</c:v>
                      </c:pt>
                      <c:pt idx="150">
                        <c:v>103614</c:v>
                      </c:pt>
                      <c:pt idx="151">
                        <c:v>104089</c:v>
                      </c:pt>
                      <c:pt idx="152">
                        <c:v>104564</c:v>
                      </c:pt>
                      <c:pt idx="153">
                        <c:v>105039</c:v>
                      </c:pt>
                      <c:pt idx="154">
                        <c:v>105514</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3" zoomScale="85" zoomScaleNormal="85" workbookViewId="0">
      <selection activeCell="G82" sqref="G82"/>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3</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3</v>
      </c>
      <c r="C30" s="432" t="s">
        <v>34</v>
      </c>
      <c r="D30" s="433"/>
      <c r="O30" s="225"/>
      <c r="P30" s="224"/>
      <c r="Q30" s="216"/>
      <c r="R30" s="216"/>
      <c r="S30" s="216"/>
      <c r="T30" s="215"/>
      <c r="U30" s="224"/>
      <c r="V30" s="215"/>
      <c r="Y30" s="224"/>
      <c r="Z30" s="224"/>
    </row>
    <row r="31" spans="1:26" ht="23.25" customHeight="1" x14ac:dyDescent="0.25">
      <c r="A31" s="229" t="s">
        <v>35</v>
      </c>
      <c r="B31" s="230">
        <v>2</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5</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35</v>
      </c>
      <c r="C37" s="434" t="s">
        <v>680</v>
      </c>
      <c r="D37" s="435"/>
      <c r="E37" s="376" t="s">
        <v>67</v>
      </c>
      <c r="O37" s="225"/>
      <c r="P37" s="224"/>
      <c r="Q37" s="216"/>
      <c r="R37" s="216"/>
      <c r="S37" s="216"/>
      <c r="T37" s="215"/>
      <c r="U37" s="224"/>
      <c r="V37" s="215"/>
      <c r="Y37" s="224"/>
      <c r="Z37" s="224"/>
    </row>
    <row r="38" spans="1:26" ht="14.25" customHeight="1" x14ac:dyDescent="0.25">
      <c r="A38" s="235" t="s">
        <v>41</v>
      </c>
      <c r="B38" s="236">
        <v>66</v>
      </c>
      <c r="C38" s="393" t="s">
        <v>680</v>
      </c>
      <c r="D38" s="394"/>
      <c r="E38" s="377" t="s">
        <v>62</v>
      </c>
      <c r="O38" s="225"/>
      <c r="P38" s="224"/>
      <c r="Q38" s="216"/>
      <c r="R38" s="216"/>
      <c r="S38" s="216"/>
      <c r="T38" s="215"/>
      <c r="U38" s="224"/>
      <c r="V38" s="215"/>
      <c r="Y38" s="224"/>
      <c r="Z38" s="224"/>
    </row>
    <row r="39" spans="1:26" ht="14.25" customHeight="1" x14ac:dyDescent="0.25">
      <c r="A39" s="235" t="s">
        <v>42</v>
      </c>
      <c r="B39" s="236">
        <v>66</v>
      </c>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128</v>
      </c>
      <c r="C48" s="417"/>
      <c r="O48" s="216"/>
      <c r="P48" s="216"/>
      <c r="Q48" s="216"/>
      <c r="R48" s="216"/>
      <c r="S48" s="216"/>
      <c r="T48" s="215"/>
      <c r="U48" s="224"/>
      <c r="V48" s="215"/>
      <c r="Y48" s="224"/>
      <c r="Z48" s="224"/>
    </row>
    <row r="49" spans="1:30" ht="14.25" customHeight="1" x14ac:dyDescent="0.25">
      <c r="A49" s="235" t="s">
        <v>52</v>
      </c>
      <c r="B49" s="300" t="s">
        <v>120</v>
      </c>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67</v>
      </c>
      <c r="C59" s="331" t="s">
        <v>64</v>
      </c>
      <c r="D59" s="341">
        <v>0</v>
      </c>
      <c r="E59" s="331" t="s">
        <v>63</v>
      </c>
      <c r="F59" s="341">
        <v>0</v>
      </c>
      <c r="G59" s="381" t="s">
        <v>65</v>
      </c>
      <c r="H59" s="342">
        <v>1</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0</v>
      </c>
      <c r="E61" s="307" t="s">
        <v>68</v>
      </c>
      <c r="F61" s="343">
        <v>1</v>
      </c>
      <c r="G61" s="333" t="s">
        <v>69</v>
      </c>
      <c r="H61" s="332">
        <v>400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1500</v>
      </c>
      <c r="C77" s="305" t="s">
        <v>83</v>
      </c>
      <c r="D77" s="387" t="s">
        <v>695</v>
      </c>
      <c r="O77" s="225"/>
      <c r="P77" s="224"/>
      <c r="Q77" s="216"/>
      <c r="R77" s="216"/>
      <c r="S77" s="216"/>
      <c r="T77" s="215"/>
      <c r="U77" s="224"/>
      <c r="V77" s="215"/>
      <c r="Y77" s="224"/>
      <c r="Z77" s="224"/>
    </row>
    <row r="78" spans="1:30" ht="35.25" customHeight="1" thickBot="1" x14ac:dyDescent="0.3">
      <c r="A78" s="295" t="s">
        <v>84</v>
      </c>
      <c r="B78" s="296">
        <v>1500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900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1500</v>
      </c>
      <c r="C90" s="270">
        <f>SUM(E90:M90)</f>
        <v>6317.2690000000002</v>
      </c>
      <c r="D90" s="271">
        <f>SUM(E90:M90)+B90</f>
        <v>7817.2690000000002</v>
      </c>
      <c r="E90" s="267">
        <f>'Child care subsidy'!S208</f>
        <v>2040</v>
      </c>
      <c r="F90" s="268">
        <f>EITC!E208/12</f>
        <v>690</v>
      </c>
      <c r="G90" s="268">
        <f>'Health insurance subsidy '!L220</f>
        <v>0</v>
      </c>
      <c r="H90" s="268">
        <f>'Housing Voucher'!Q209</f>
        <v>813.99900000000002</v>
      </c>
      <c r="I90" s="268">
        <f>Medicaid!N212</f>
        <v>2188.75</v>
      </c>
      <c r="J90" s="268">
        <f>SNAP!V209</f>
        <v>511</v>
      </c>
      <c r="K90" s="268">
        <f>MAX('TANF-VIEW'!L212,'TANF-VIEW'!T212)</f>
        <v>0</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1500</v>
      </c>
      <c r="C91" s="270">
        <f>SUM(E91:M91)</f>
        <v>6317.2690000000002</v>
      </c>
      <c r="D91" s="271">
        <f>SUM(E91:M91)+B91</f>
        <v>7817.2690000000002</v>
      </c>
      <c r="E91" s="282">
        <f>'Child care subsidy'!S210</f>
        <v>2040</v>
      </c>
      <c r="F91" s="283">
        <f>EITC!E210/12</f>
        <v>690</v>
      </c>
      <c r="G91" s="283">
        <f>'Health insurance subsidy '!L222</f>
        <v>0</v>
      </c>
      <c r="H91" s="283">
        <f>'Housing Voucher'!Q211</f>
        <v>813.99900000000002</v>
      </c>
      <c r="I91" s="283">
        <f>Medicaid!N214</f>
        <v>2188.75</v>
      </c>
      <c r="J91" s="283">
        <f>SNAP!V211</f>
        <v>511</v>
      </c>
      <c r="K91" s="283">
        <f>MAX('TANF-VIEW'!L214,'TANF-VIEW'!T214)</f>
        <v>0</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24720</v>
      </c>
      <c r="D2" s="185">
        <f>MAX('TANF-VIEW'!L9,'TANF-VIEW'!T9)*12</f>
        <v>5784</v>
      </c>
      <c r="E2" s="193">
        <f>SNAP!V6*12</f>
        <v>14196</v>
      </c>
      <c r="F2" s="184">
        <f>WIC!F8*12</f>
        <v>882.24</v>
      </c>
      <c r="G2" s="185">
        <f>'Housing Voucher'!Q6*12</f>
        <v>13432.788</v>
      </c>
      <c r="H2" s="184">
        <f>EITC!E5</f>
        <v>0</v>
      </c>
      <c r="I2" s="205">
        <f>Medicaid!N9*12</f>
        <v>26265</v>
      </c>
      <c r="J2" s="183"/>
      <c r="K2" s="185">
        <f>SUM(C2:I2)</f>
        <v>85280.027999999991</v>
      </c>
      <c r="L2" s="185">
        <f>A2+K2</f>
        <v>85280.027999999991</v>
      </c>
      <c r="M2" s="36">
        <f>L2/12</f>
        <v>7106.668999999999</v>
      </c>
    </row>
    <row r="3" spans="1:13" x14ac:dyDescent="0.25">
      <c r="A3" s="186">
        <v>500</v>
      </c>
      <c r="B3" s="33">
        <f>A3/12</f>
        <v>41.666666666666664</v>
      </c>
      <c r="C3" s="185">
        <f>'Child care subsidy'!S6*12</f>
        <v>24695</v>
      </c>
      <c r="D3" s="185">
        <f>MAX('TANF-VIEW'!L10,'TANF-VIEW'!T10)*12</f>
        <v>5784</v>
      </c>
      <c r="E3" s="193">
        <f>SNAP!V7*12</f>
        <v>14196</v>
      </c>
      <c r="F3" s="184">
        <f>WIC!F9*12</f>
        <v>882.24</v>
      </c>
      <c r="G3" s="185">
        <f>'Housing Voucher'!Q7*12</f>
        <v>13282.788</v>
      </c>
      <c r="H3" s="197">
        <f>EITC!E6</f>
        <v>240</v>
      </c>
      <c r="I3" s="205">
        <f>Medicaid!N10*12</f>
        <v>26265</v>
      </c>
      <c r="J3" s="183"/>
      <c r="K3" s="185">
        <f>SUM(C3:I3)</f>
        <v>85345.027999999991</v>
      </c>
      <c r="L3" s="185">
        <f>A3+K3</f>
        <v>85845.027999999991</v>
      </c>
      <c r="M3" s="36">
        <f t="shared" ref="M3:M66" si="0">L3/12</f>
        <v>7153.7523333333329</v>
      </c>
    </row>
    <row r="4" spans="1:13" ht="15.75" customHeight="1" x14ac:dyDescent="0.25">
      <c r="A4" s="186">
        <v>1000</v>
      </c>
      <c r="B4" s="33">
        <f>A4/12</f>
        <v>83.333333333333329</v>
      </c>
      <c r="C4" s="185">
        <f>'Child care subsidy'!S7*12</f>
        <v>24670</v>
      </c>
      <c r="D4" s="185">
        <f>MAX('TANF-VIEW'!L11,'TANF-VIEW'!T11)*12</f>
        <v>5784</v>
      </c>
      <c r="E4" s="193">
        <f>SNAP!V8*12</f>
        <v>14076</v>
      </c>
      <c r="F4" s="184">
        <f>WIC!F10*12</f>
        <v>882.24</v>
      </c>
      <c r="G4" s="185">
        <f>'Housing Voucher'!Q8*12</f>
        <v>13132.787999999999</v>
      </c>
      <c r="H4" s="197">
        <f>EITC!E7</f>
        <v>480</v>
      </c>
      <c r="I4" s="205">
        <f>Medicaid!N11*12</f>
        <v>26265</v>
      </c>
      <c r="K4" s="185">
        <f t="shared" ref="K4:K67" si="1">SUM(C4:I4)</f>
        <v>85290.027999999991</v>
      </c>
      <c r="L4" s="185">
        <f t="shared" ref="L4:L67" si="2">A4+K4</f>
        <v>86290.027999999991</v>
      </c>
      <c r="M4" s="36">
        <f t="shared" si="0"/>
        <v>7190.8356666666659</v>
      </c>
    </row>
    <row r="5" spans="1:13" x14ac:dyDescent="0.25">
      <c r="A5" s="186">
        <v>1500</v>
      </c>
      <c r="B5" s="33">
        <f t="shared" ref="B5:B68" si="3">A5/12</f>
        <v>125</v>
      </c>
      <c r="C5" s="185">
        <f>'Child care subsidy'!S8*12</f>
        <v>24645</v>
      </c>
      <c r="D5" s="185">
        <f>MAX('TANF-VIEW'!L12,'TANF-VIEW'!T12)*12</f>
        <v>5784</v>
      </c>
      <c r="E5" s="193">
        <f>SNAP!V9*12</f>
        <v>13896</v>
      </c>
      <c r="F5" s="184">
        <f>WIC!F11*12</f>
        <v>882.24</v>
      </c>
      <c r="G5" s="185">
        <f>'Housing Voucher'!Q9*12</f>
        <v>12982.787999999999</v>
      </c>
      <c r="H5" s="197">
        <f>EITC!E8</f>
        <v>720</v>
      </c>
      <c r="I5" s="205">
        <f>Medicaid!N12*12</f>
        <v>26265</v>
      </c>
      <c r="K5" s="185">
        <f t="shared" si="1"/>
        <v>85175.027999999991</v>
      </c>
      <c r="L5" s="185">
        <f t="shared" si="2"/>
        <v>86675.027999999991</v>
      </c>
      <c r="M5" s="36">
        <f t="shared" si="0"/>
        <v>7222.918999999999</v>
      </c>
    </row>
    <row r="6" spans="1:13" x14ac:dyDescent="0.25">
      <c r="A6" s="186">
        <v>2000</v>
      </c>
      <c r="B6" s="33">
        <f t="shared" si="3"/>
        <v>166.66666666666666</v>
      </c>
      <c r="C6" s="185">
        <f>'Child care subsidy'!S9*12</f>
        <v>24620</v>
      </c>
      <c r="D6" s="185">
        <f>MAX('TANF-VIEW'!L13,'TANF-VIEW'!T13)*12</f>
        <v>5784</v>
      </c>
      <c r="E6" s="193">
        <f>SNAP!V10*12</f>
        <v>13716</v>
      </c>
      <c r="F6" s="184">
        <f>WIC!F12*12</f>
        <v>882.24</v>
      </c>
      <c r="G6" s="185">
        <f>'Housing Voucher'!Q10*12</f>
        <v>12832.788</v>
      </c>
      <c r="H6" s="197">
        <f>EITC!E9</f>
        <v>960</v>
      </c>
      <c r="I6" s="205">
        <f>Medicaid!N13*12</f>
        <v>26265</v>
      </c>
      <c r="K6" s="185">
        <f t="shared" si="1"/>
        <v>85060.027999999991</v>
      </c>
      <c r="L6" s="185">
        <f t="shared" si="2"/>
        <v>87060.027999999991</v>
      </c>
      <c r="M6" s="36">
        <f t="shared" si="0"/>
        <v>7255.0023333333329</v>
      </c>
    </row>
    <row r="7" spans="1:13" x14ac:dyDescent="0.25">
      <c r="A7" s="186">
        <v>2500</v>
      </c>
      <c r="B7" s="33">
        <f t="shared" si="3"/>
        <v>208.33333333333334</v>
      </c>
      <c r="C7" s="185">
        <f>'Child care subsidy'!S10*12</f>
        <v>24595</v>
      </c>
      <c r="D7" s="185">
        <f>MAX('TANF-VIEW'!L14,'TANF-VIEW'!T14)*12</f>
        <v>5784</v>
      </c>
      <c r="E7" s="193">
        <f>SNAP!V11*12</f>
        <v>13536</v>
      </c>
      <c r="F7" s="184">
        <f>WIC!F13*12</f>
        <v>882.24</v>
      </c>
      <c r="G7" s="185">
        <f>'Housing Voucher'!Q11*12</f>
        <v>12682.787999999999</v>
      </c>
      <c r="H7" s="197">
        <f>EITC!E10</f>
        <v>1200</v>
      </c>
      <c r="I7" s="205">
        <f>Medicaid!N14*12</f>
        <v>26265</v>
      </c>
      <c r="K7" s="185">
        <f t="shared" si="1"/>
        <v>84945.027999999991</v>
      </c>
      <c r="L7" s="185">
        <f t="shared" si="2"/>
        <v>87445.027999999991</v>
      </c>
      <c r="M7" s="36">
        <f t="shared" si="0"/>
        <v>7287.0856666666659</v>
      </c>
    </row>
    <row r="8" spans="1:13" x14ac:dyDescent="0.25">
      <c r="A8" s="186">
        <v>3000</v>
      </c>
      <c r="B8" s="33">
        <f t="shared" si="3"/>
        <v>250</v>
      </c>
      <c r="C8" s="185">
        <f>'Child care subsidy'!S11*12</f>
        <v>24570</v>
      </c>
      <c r="D8" s="185">
        <f>MAX('TANF-VIEW'!L15,'TANF-VIEW'!T15)*12</f>
        <v>5390.4</v>
      </c>
      <c r="E8" s="193">
        <f>SNAP!V12*12</f>
        <v>13536</v>
      </c>
      <c r="F8" s="184">
        <f>WIC!F14*12</f>
        <v>882.24</v>
      </c>
      <c r="G8" s="185">
        <f>'Housing Voucher'!Q12*12</f>
        <v>12650.868</v>
      </c>
      <c r="H8" s="197">
        <f>EITC!E11</f>
        <v>1440</v>
      </c>
      <c r="I8" s="205">
        <f>Medicaid!N15*12</f>
        <v>26265</v>
      </c>
      <c r="K8" s="185">
        <f t="shared" si="1"/>
        <v>84734.508000000002</v>
      </c>
      <c r="L8" s="185">
        <f t="shared" si="2"/>
        <v>87734.508000000002</v>
      </c>
      <c r="M8" s="36">
        <f t="shared" si="0"/>
        <v>7311.2089999999998</v>
      </c>
    </row>
    <row r="9" spans="1:13" x14ac:dyDescent="0.25">
      <c r="A9" s="186">
        <v>3500</v>
      </c>
      <c r="B9" s="33">
        <f t="shared" si="3"/>
        <v>291.66666666666669</v>
      </c>
      <c r="C9" s="185">
        <f>'Child care subsidy'!S12*12</f>
        <v>24545</v>
      </c>
      <c r="D9" s="185">
        <f>MAX('TANF-VIEW'!L16,'TANF-VIEW'!T16)*12</f>
        <v>4990.3999999999996</v>
      </c>
      <c r="E9" s="193">
        <f>SNAP!V13*12</f>
        <v>13536</v>
      </c>
      <c r="F9" s="184">
        <f>WIC!F15*12</f>
        <v>882.24</v>
      </c>
      <c r="G9" s="185">
        <f>'Housing Voucher'!Q13*12</f>
        <v>12620.868</v>
      </c>
      <c r="H9" s="197">
        <f>EITC!E12</f>
        <v>1680</v>
      </c>
      <c r="I9" s="205">
        <f>Medicaid!N16*12</f>
        <v>26265</v>
      </c>
      <c r="K9" s="185">
        <f t="shared" si="1"/>
        <v>84519.508000000002</v>
      </c>
      <c r="L9" s="185">
        <f t="shared" si="2"/>
        <v>88019.508000000002</v>
      </c>
      <c r="M9" s="36">
        <f t="shared" si="0"/>
        <v>7334.9589999999998</v>
      </c>
    </row>
    <row r="10" spans="1:13" x14ac:dyDescent="0.25">
      <c r="A10" s="186">
        <v>4000</v>
      </c>
      <c r="B10" s="33">
        <f t="shared" si="3"/>
        <v>333.33333333333331</v>
      </c>
      <c r="C10" s="185">
        <f>'Child care subsidy'!S13*12</f>
        <v>24520</v>
      </c>
      <c r="D10" s="185">
        <f>MAX('TANF-VIEW'!L17,'TANF-VIEW'!T17)*12</f>
        <v>4590.4000000000005</v>
      </c>
      <c r="E10" s="193">
        <f>SNAP!V14*12</f>
        <v>13536</v>
      </c>
      <c r="F10" s="184">
        <f>WIC!F16*12</f>
        <v>882.24</v>
      </c>
      <c r="G10" s="185">
        <f>'Housing Voucher'!Q14*12</f>
        <v>12590.868</v>
      </c>
      <c r="H10" s="197">
        <f>EITC!E13</f>
        <v>1920</v>
      </c>
      <c r="I10" s="205">
        <f>Medicaid!N17*12</f>
        <v>26265</v>
      </c>
      <c r="K10" s="185">
        <f t="shared" si="1"/>
        <v>84304.508000000002</v>
      </c>
      <c r="L10" s="185">
        <f t="shared" si="2"/>
        <v>88304.508000000002</v>
      </c>
      <c r="M10" s="36">
        <f t="shared" si="0"/>
        <v>7358.7089999999998</v>
      </c>
    </row>
    <row r="11" spans="1:13" x14ac:dyDescent="0.25">
      <c r="A11" s="186">
        <v>4500</v>
      </c>
      <c r="B11" s="33">
        <f t="shared" si="3"/>
        <v>375</v>
      </c>
      <c r="C11" s="185">
        <f>'Child care subsidy'!S14*12</f>
        <v>24495</v>
      </c>
      <c r="D11" s="185">
        <f>MAX('TANF-VIEW'!L18,'TANF-VIEW'!T18)*12</f>
        <v>4190.3999999999996</v>
      </c>
      <c r="E11" s="193">
        <f>SNAP!V15*12</f>
        <v>13536</v>
      </c>
      <c r="F11" s="184">
        <f>WIC!F17*12</f>
        <v>882.24</v>
      </c>
      <c r="G11" s="185">
        <f>'Housing Voucher'!Q15*12</f>
        <v>12560.868</v>
      </c>
      <c r="H11" s="197">
        <f>EITC!E14</f>
        <v>2160</v>
      </c>
      <c r="I11" s="205">
        <f>Medicaid!N18*12</f>
        <v>26265</v>
      </c>
      <c r="K11" s="185">
        <f t="shared" si="1"/>
        <v>84089.508000000002</v>
      </c>
      <c r="L11" s="185">
        <f t="shared" si="2"/>
        <v>88589.508000000002</v>
      </c>
      <c r="M11" s="36">
        <f t="shared" si="0"/>
        <v>7382.4589999999998</v>
      </c>
    </row>
    <row r="12" spans="1:13" x14ac:dyDescent="0.25">
      <c r="A12" s="186">
        <v>5000</v>
      </c>
      <c r="B12" s="33">
        <f t="shared" si="3"/>
        <v>416.66666666666669</v>
      </c>
      <c r="C12" s="185">
        <f>'Child care subsidy'!S15*12</f>
        <v>24480</v>
      </c>
      <c r="D12" s="185">
        <f>MAX('TANF-VIEW'!L19,'TANF-VIEW'!T19)*12</f>
        <v>3790.4</v>
      </c>
      <c r="E12" s="193">
        <f>SNAP!V16*12</f>
        <v>13536</v>
      </c>
      <c r="F12" s="184">
        <f>WIC!F18*12</f>
        <v>882.24</v>
      </c>
      <c r="G12" s="185">
        <f>'Housing Voucher'!Q16*12</f>
        <v>12530.868</v>
      </c>
      <c r="H12" s="197">
        <f>EITC!E15</f>
        <v>2400</v>
      </c>
      <c r="I12" s="205">
        <f>Medicaid!N19*12</f>
        <v>26265</v>
      </c>
      <c r="K12" s="185">
        <f t="shared" si="1"/>
        <v>83884.508000000002</v>
      </c>
      <c r="L12" s="185">
        <f t="shared" si="2"/>
        <v>88884.508000000002</v>
      </c>
      <c r="M12" s="36">
        <f t="shared" si="0"/>
        <v>7407.0423333333338</v>
      </c>
    </row>
    <row r="13" spans="1:13" x14ac:dyDescent="0.25">
      <c r="A13" s="186">
        <v>5500</v>
      </c>
      <c r="B13" s="33">
        <f t="shared" si="3"/>
        <v>458.33333333333331</v>
      </c>
      <c r="C13" s="185">
        <f>'Child care subsidy'!S16*12</f>
        <v>24480</v>
      </c>
      <c r="D13" s="185">
        <f>MAX('TANF-VIEW'!L20,'TANF-VIEW'!T20)*12</f>
        <v>3390.4000000000005</v>
      </c>
      <c r="E13" s="193">
        <f>SNAP!V17*12</f>
        <v>13536</v>
      </c>
      <c r="F13" s="184">
        <f>WIC!F19*12</f>
        <v>882.24</v>
      </c>
      <c r="G13" s="185">
        <f>'Housing Voucher'!Q17*12</f>
        <v>12500.868</v>
      </c>
      <c r="H13" s="197">
        <f>EITC!E16</f>
        <v>2640</v>
      </c>
      <c r="I13" s="205">
        <f>Medicaid!N20*12</f>
        <v>26265</v>
      </c>
      <c r="K13" s="185">
        <f t="shared" si="1"/>
        <v>83694.508000000002</v>
      </c>
      <c r="L13" s="185">
        <f t="shared" si="2"/>
        <v>89194.508000000002</v>
      </c>
      <c r="M13" s="36">
        <f t="shared" si="0"/>
        <v>7432.8756666666668</v>
      </c>
    </row>
    <row r="14" spans="1:13" x14ac:dyDescent="0.25">
      <c r="A14" s="186">
        <v>6000</v>
      </c>
      <c r="B14" s="33">
        <f t="shared" si="3"/>
        <v>500</v>
      </c>
      <c r="C14" s="185">
        <f>'Child care subsidy'!S17*12</f>
        <v>24480</v>
      </c>
      <c r="D14" s="185">
        <f>MAX('TANF-VIEW'!L21,'TANF-VIEW'!T21)*12</f>
        <v>2990.3999999999996</v>
      </c>
      <c r="E14" s="193">
        <f>SNAP!V18*12</f>
        <v>13536</v>
      </c>
      <c r="F14" s="184">
        <f>WIC!F20*12</f>
        <v>882.24</v>
      </c>
      <c r="G14" s="185">
        <f>'Housing Voucher'!Q18*12</f>
        <v>12470.868</v>
      </c>
      <c r="H14" s="197">
        <f>EITC!E17</f>
        <v>2880</v>
      </c>
      <c r="I14" s="205">
        <f>Medicaid!N21*12</f>
        <v>26265</v>
      </c>
      <c r="K14" s="185">
        <f t="shared" si="1"/>
        <v>83504.508000000002</v>
      </c>
      <c r="L14" s="185">
        <f t="shared" si="2"/>
        <v>89504.508000000002</v>
      </c>
      <c r="M14" s="36">
        <f t="shared" si="0"/>
        <v>7458.7089999999998</v>
      </c>
    </row>
    <row r="15" spans="1:13" x14ac:dyDescent="0.25">
      <c r="A15" s="186">
        <v>6500</v>
      </c>
      <c r="B15" s="33">
        <f t="shared" si="3"/>
        <v>541.66666666666663</v>
      </c>
      <c r="C15" s="185">
        <f>'Child care subsidy'!S18*12</f>
        <v>24480</v>
      </c>
      <c r="D15" s="185">
        <f>MAX('TANF-VIEW'!L22,'TANF-VIEW'!T22)*12</f>
        <v>2590.4</v>
      </c>
      <c r="E15" s="193">
        <f>SNAP!V19*12</f>
        <v>13536</v>
      </c>
      <c r="F15" s="184">
        <f>WIC!F21*12</f>
        <v>882.24</v>
      </c>
      <c r="G15" s="185">
        <f>'Housing Voucher'!Q19*12</f>
        <v>12440.868</v>
      </c>
      <c r="H15" s="197">
        <f>EITC!E18</f>
        <v>3120</v>
      </c>
      <c r="I15" s="205">
        <f>Medicaid!N22*12</f>
        <v>26265</v>
      </c>
      <c r="K15" s="185">
        <f t="shared" si="1"/>
        <v>83314.508000000002</v>
      </c>
      <c r="L15" s="185">
        <f t="shared" si="2"/>
        <v>89814.508000000002</v>
      </c>
      <c r="M15" s="36">
        <f t="shared" si="0"/>
        <v>7484.5423333333338</v>
      </c>
    </row>
    <row r="16" spans="1:13" x14ac:dyDescent="0.25">
      <c r="A16" s="186">
        <v>7000</v>
      </c>
      <c r="B16" s="33">
        <f t="shared" si="3"/>
        <v>583.33333333333337</v>
      </c>
      <c r="C16" s="185">
        <f>'Child care subsidy'!S19*12</f>
        <v>24480</v>
      </c>
      <c r="D16" s="185">
        <f>MAX('TANF-VIEW'!L23,'TANF-VIEW'!T23)*12</f>
        <v>2190.3999999999996</v>
      </c>
      <c r="E16" s="193">
        <f>SNAP!V20*12</f>
        <v>13536</v>
      </c>
      <c r="F16" s="184">
        <f>WIC!F22*12</f>
        <v>882.24</v>
      </c>
      <c r="G16" s="185">
        <f>'Housing Voucher'!Q20*12</f>
        <v>12410.868</v>
      </c>
      <c r="H16" s="197">
        <f>EITC!E19</f>
        <v>3360</v>
      </c>
      <c r="I16" s="205">
        <f>Medicaid!N23*12</f>
        <v>26265</v>
      </c>
      <c r="K16" s="185">
        <f t="shared" si="1"/>
        <v>83124.508000000002</v>
      </c>
      <c r="L16" s="185">
        <f t="shared" si="2"/>
        <v>90124.508000000002</v>
      </c>
      <c r="M16" s="36">
        <f t="shared" si="0"/>
        <v>7510.3756666666668</v>
      </c>
    </row>
    <row r="17" spans="1:13" x14ac:dyDescent="0.25">
      <c r="A17" s="186">
        <v>7500</v>
      </c>
      <c r="B17" s="33">
        <f t="shared" si="3"/>
        <v>625</v>
      </c>
      <c r="C17" s="185">
        <f>'Child care subsidy'!S20*12</f>
        <v>24480</v>
      </c>
      <c r="D17" s="185">
        <f>MAX('TANF-VIEW'!L24,'TANF-VIEW'!T24)*12</f>
        <v>1790.3999999999999</v>
      </c>
      <c r="E17" s="193">
        <f>SNAP!V21*12</f>
        <v>13536</v>
      </c>
      <c r="F17" s="184">
        <f>WIC!F23*12</f>
        <v>882.24</v>
      </c>
      <c r="G17" s="185">
        <f>'Housing Voucher'!Q21*12</f>
        <v>12380.868</v>
      </c>
      <c r="H17" s="197">
        <f>EITC!E20</f>
        <v>3600</v>
      </c>
      <c r="I17" s="205">
        <f>Medicaid!N24*12</f>
        <v>26265</v>
      </c>
      <c r="K17" s="185">
        <f t="shared" si="1"/>
        <v>82934.508000000002</v>
      </c>
      <c r="L17" s="185">
        <f t="shared" si="2"/>
        <v>90434.508000000002</v>
      </c>
      <c r="M17" s="36">
        <f t="shared" si="0"/>
        <v>7536.2089999999998</v>
      </c>
    </row>
    <row r="18" spans="1:13" x14ac:dyDescent="0.25">
      <c r="A18" s="186">
        <v>8000</v>
      </c>
      <c r="B18" s="33">
        <f t="shared" si="3"/>
        <v>666.66666666666663</v>
      </c>
      <c r="C18" s="185">
        <f>'Child care subsidy'!S21*12</f>
        <v>24480</v>
      </c>
      <c r="D18" s="185">
        <f>MAX('TANF-VIEW'!L25,'TANF-VIEW'!T25)*12</f>
        <v>1390.4</v>
      </c>
      <c r="E18" s="193">
        <f>SNAP!V22*12</f>
        <v>13536</v>
      </c>
      <c r="F18" s="184">
        <f>WIC!F24*12</f>
        <v>882.24</v>
      </c>
      <c r="G18" s="185">
        <f>'Housing Voucher'!Q22*12</f>
        <v>12350.868</v>
      </c>
      <c r="H18" s="197">
        <f>EITC!E21</f>
        <v>3840</v>
      </c>
      <c r="I18" s="205">
        <f>Medicaid!N25*12</f>
        <v>26265</v>
      </c>
      <c r="K18" s="185">
        <f t="shared" si="1"/>
        <v>82744.508000000002</v>
      </c>
      <c r="L18" s="185">
        <f t="shared" si="2"/>
        <v>90744.508000000002</v>
      </c>
      <c r="M18" s="36">
        <f t="shared" si="0"/>
        <v>7562.0423333333338</v>
      </c>
    </row>
    <row r="19" spans="1:13" x14ac:dyDescent="0.25">
      <c r="A19" s="186">
        <v>8500</v>
      </c>
      <c r="B19" s="33">
        <f t="shared" si="3"/>
        <v>708.33333333333337</v>
      </c>
      <c r="C19" s="185">
        <f>'Child care subsidy'!S22*12</f>
        <v>24480</v>
      </c>
      <c r="D19" s="185">
        <f>MAX('TANF-VIEW'!L26,'TANF-VIEW'!T26)*12</f>
        <v>990.39999999999964</v>
      </c>
      <c r="E19" s="193">
        <f>SNAP!V23*12</f>
        <v>13536</v>
      </c>
      <c r="F19" s="184">
        <f>WIC!F25*12</f>
        <v>882.24</v>
      </c>
      <c r="G19" s="185">
        <f>'Housing Voucher'!Q23*12</f>
        <v>12320.868</v>
      </c>
      <c r="H19" s="197">
        <f>EITC!E22</f>
        <v>4080</v>
      </c>
      <c r="I19" s="205">
        <f>Medicaid!N26*12</f>
        <v>26265</v>
      </c>
      <c r="K19" s="185">
        <f t="shared" si="1"/>
        <v>82554.508000000002</v>
      </c>
      <c r="L19" s="185">
        <f t="shared" si="2"/>
        <v>91054.508000000002</v>
      </c>
      <c r="M19" s="36">
        <f t="shared" si="0"/>
        <v>7587.8756666666668</v>
      </c>
    </row>
    <row r="20" spans="1:13" x14ac:dyDescent="0.25">
      <c r="A20" s="186">
        <v>9000</v>
      </c>
      <c r="B20" s="33">
        <f t="shared" si="3"/>
        <v>750</v>
      </c>
      <c r="C20" s="185">
        <f>'Child care subsidy'!S23*12</f>
        <v>24480</v>
      </c>
      <c r="D20" s="185">
        <f>MAX('TANF-VIEW'!L27,'TANF-VIEW'!T27)*12</f>
        <v>590.39999999999986</v>
      </c>
      <c r="E20" s="193">
        <f>SNAP!V24*12</f>
        <v>13536</v>
      </c>
      <c r="F20" s="184">
        <f>WIC!F26*12</f>
        <v>882.24</v>
      </c>
      <c r="G20" s="185">
        <f>'Housing Voucher'!Q24*12</f>
        <v>12290.868</v>
      </c>
      <c r="H20" s="197">
        <f>EITC!E23</f>
        <v>4320</v>
      </c>
      <c r="I20" s="205">
        <f>Medicaid!N27*12</f>
        <v>26265</v>
      </c>
      <c r="K20" s="185">
        <f t="shared" si="1"/>
        <v>82364.508000000002</v>
      </c>
      <c r="L20" s="185">
        <f t="shared" si="2"/>
        <v>91364.508000000002</v>
      </c>
      <c r="M20" s="36">
        <f t="shared" si="0"/>
        <v>7613.7089999999998</v>
      </c>
    </row>
    <row r="21" spans="1:13" x14ac:dyDescent="0.25">
      <c r="A21" s="186">
        <v>9500</v>
      </c>
      <c r="B21" s="33">
        <f t="shared" si="3"/>
        <v>791.66666666666663</v>
      </c>
      <c r="C21" s="185">
        <f>'Child care subsidy'!S24*12</f>
        <v>24480</v>
      </c>
      <c r="D21" s="185">
        <f>MAX('TANF-VIEW'!L28,'TANF-VIEW'!T28)*12</f>
        <v>190.40000000000009</v>
      </c>
      <c r="E21" s="193">
        <f>SNAP!V25*12</f>
        <v>13536</v>
      </c>
      <c r="F21" s="184">
        <f>WIC!F27*12</f>
        <v>882.24</v>
      </c>
      <c r="G21" s="185">
        <f>'Housing Voucher'!Q25*12</f>
        <v>12260.868</v>
      </c>
      <c r="H21" s="197">
        <f>EITC!E24</f>
        <v>4560</v>
      </c>
      <c r="I21" s="205">
        <f>Medicaid!N28*12</f>
        <v>26265</v>
      </c>
      <c r="K21" s="185">
        <f t="shared" si="1"/>
        <v>82174.508000000002</v>
      </c>
      <c r="L21" s="185">
        <f t="shared" si="2"/>
        <v>91674.508000000002</v>
      </c>
      <c r="M21" s="36">
        <f t="shared" si="0"/>
        <v>7639.5423333333338</v>
      </c>
    </row>
    <row r="22" spans="1:13" x14ac:dyDescent="0.25">
      <c r="A22" s="186">
        <v>10000</v>
      </c>
      <c r="B22" s="33">
        <f t="shared" si="3"/>
        <v>833.33333333333337</v>
      </c>
      <c r="C22" s="185">
        <f>'Child care subsidy'!S25*12</f>
        <v>24480</v>
      </c>
      <c r="D22" s="185">
        <f>MAX('TANF-VIEW'!L29,'TANF-VIEW'!T29)*12</f>
        <v>0</v>
      </c>
      <c r="E22" s="193">
        <f>SNAP!V26*12</f>
        <v>13440</v>
      </c>
      <c r="F22" s="184">
        <f>WIC!F28*12</f>
        <v>882.24</v>
      </c>
      <c r="G22" s="185">
        <f>'Housing Voucher'!Q26*12</f>
        <v>12167.988000000001</v>
      </c>
      <c r="H22" s="197">
        <f>EITC!E25</f>
        <v>4800</v>
      </c>
      <c r="I22" s="205">
        <f>Medicaid!N29*12</f>
        <v>26265</v>
      </c>
      <c r="K22" s="185">
        <f t="shared" si="1"/>
        <v>82035.228000000003</v>
      </c>
      <c r="L22" s="185">
        <f t="shared" si="2"/>
        <v>92035.228000000003</v>
      </c>
      <c r="M22" s="36">
        <f t="shared" si="0"/>
        <v>7669.6023333333333</v>
      </c>
    </row>
    <row r="23" spans="1:13" x14ac:dyDescent="0.25">
      <c r="A23" s="186">
        <v>10500</v>
      </c>
      <c r="B23" s="33">
        <f t="shared" si="3"/>
        <v>875</v>
      </c>
      <c r="C23" s="185">
        <f>'Child care subsidy'!S26*12</f>
        <v>24480</v>
      </c>
      <c r="D23" s="185">
        <f>MAX('TANF-VIEW'!L30,'TANF-VIEW'!T30)*12</f>
        <v>0</v>
      </c>
      <c r="E23" s="193">
        <f>SNAP!V27*12</f>
        <v>13260</v>
      </c>
      <c r="F23" s="184">
        <f>WIC!F29*12</f>
        <v>882.24</v>
      </c>
      <c r="G23" s="185">
        <f>'Housing Voucher'!Q27*12</f>
        <v>12017.988000000001</v>
      </c>
      <c r="H23" s="197">
        <f>EITC!E26</f>
        <v>5040</v>
      </c>
      <c r="I23" s="205">
        <f>Medicaid!N30*12</f>
        <v>26265</v>
      </c>
      <c r="K23" s="185">
        <f t="shared" si="1"/>
        <v>81945.228000000003</v>
      </c>
      <c r="L23" s="185">
        <f t="shared" si="2"/>
        <v>92445.228000000003</v>
      </c>
      <c r="M23" s="36">
        <f t="shared" si="0"/>
        <v>7703.7690000000002</v>
      </c>
    </row>
    <row r="24" spans="1:13" ht="15.75" customHeight="1" x14ac:dyDescent="0.25">
      <c r="A24" s="186">
        <v>11000</v>
      </c>
      <c r="B24" s="33">
        <f t="shared" si="3"/>
        <v>916.66666666666663</v>
      </c>
      <c r="C24" s="185">
        <f>'Child care subsidy'!S27*12</f>
        <v>24480</v>
      </c>
      <c r="D24" s="185">
        <f>MAX('TANF-VIEW'!L31,'TANF-VIEW'!T31)*12</f>
        <v>0</v>
      </c>
      <c r="E24" s="193">
        <f>SNAP!V28*12</f>
        <v>13080</v>
      </c>
      <c r="F24" s="184">
        <f>WIC!F30*12</f>
        <v>882.24</v>
      </c>
      <c r="G24" s="185">
        <f>'Housing Voucher'!Q28*12</f>
        <v>11867.988000000001</v>
      </c>
      <c r="H24" s="197">
        <f>EITC!E27</f>
        <v>5280</v>
      </c>
      <c r="I24" s="205">
        <f>Medicaid!N31*12</f>
        <v>26265</v>
      </c>
      <c r="K24" s="185">
        <f t="shared" si="1"/>
        <v>81855.228000000003</v>
      </c>
      <c r="L24" s="185">
        <f t="shared" si="2"/>
        <v>92855.228000000003</v>
      </c>
      <c r="M24" s="36">
        <f t="shared" si="0"/>
        <v>7737.9356666666672</v>
      </c>
    </row>
    <row r="25" spans="1:13" ht="15" customHeight="1" x14ac:dyDescent="0.25">
      <c r="A25" s="186">
        <v>11500</v>
      </c>
      <c r="B25" s="33">
        <f t="shared" si="3"/>
        <v>958.33333333333337</v>
      </c>
      <c r="C25" s="185">
        <f>'Child care subsidy'!S28*12</f>
        <v>24480</v>
      </c>
      <c r="D25" s="185">
        <f>MAX('TANF-VIEW'!L32,'TANF-VIEW'!T32)*12</f>
        <v>0</v>
      </c>
      <c r="E25" s="193">
        <f>SNAP!V29*12</f>
        <v>12900</v>
      </c>
      <c r="F25" s="184">
        <f>WIC!F31*12</f>
        <v>882.24</v>
      </c>
      <c r="G25" s="185">
        <f>'Housing Voucher'!Q29*12</f>
        <v>11717.988000000001</v>
      </c>
      <c r="H25" s="197">
        <f>EITC!E28</f>
        <v>5520</v>
      </c>
      <c r="I25" s="205">
        <f>Medicaid!N32*12</f>
        <v>26265</v>
      </c>
      <c r="K25" s="185">
        <f t="shared" si="1"/>
        <v>81765.228000000003</v>
      </c>
      <c r="L25" s="185">
        <f t="shared" si="2"/>
        <v>93265.228000000003</v>
      </c>
      <c r="M25" s="36">
        <f t="shared" si="0"/>
        <v>7772.1023333333333</v>
      </c>
    </row>
    <row r="26" spans="1:13" ht="15" customHeight="1" x14ac:dyDescent="0.25">
      <c r="A26" s="186">
        <v>12000</v>
      </c>
      <c r="B26" s="33">
        <f t="shared" si="3"/>
        <v>1000</v>
      </c>
      <c r="C26" s="185">
        <f>'Child care subsidy'!S29*12</f>
        <v>24480</v>
      </c>
      <c r="D26" s="185">
        <f>MAX('TANF-VIEW'!L33,'TANF-VIEW'!T33)*12</f>
        <v>0</v>
      </c>
      <c r="E26" s="193">
        <f>SNAP!V30*12</f>
        <v>12720</v>
      </c>
      <c r="F26" s="184">
        <f>WIC!F32*12</f>
        <v>882.24</v>
      </c>
      <c r="G26" s="185">
        <f>'Housing Voucher'!Q30*12</f>
        <v>11567.988000000001</v>
      </c>
      <c r="H26" s="197">
        <f>EITC!E29</f>
        <v>5760</v>
      </c>
      <c r="I26" s="205">
        <f>Medicaid!N33*12</f>
        <v>26265</v>
      </c>
      <c r="K26" s="185">
        <f t="shared" si="1"/>
        <v>81675.228000000003</v>
      </c>
      <c r="L26" s="185">
        <f t="shared" si="2"/>
        <v>93675.228000000003</v>
      </c>
      <c r="M26" s="36">
        <f t="shared" si="0"/>
        <v>7806.2690000000002</v>
      </c>
    </row>
    <row r="27" spans="1:13" ht="15" customHeight="1" x14ac:dyDescent="0.25">
      <c r="A27" s="186">
        <v>12500</v>
      </c>
      <c r="B27" s="33">
        <f t="shared" si="3"/>
        <v>1041.6666666666667</v>
      </c>
      <c r="C27" s="185">
        <f>'Child care subsidy'!S30*12</f>
        <v>24480</v>
      </c>
      <c r="D27" s="185">
        <f>MAX('TANF-VIEW'!L34,'TANF-VIEW'!T34)*12</f>
        <v>0</v>
      </c>
      <c r="E27" s="193">
        <f>SNAP!V31*12</f>
        <v>12540</v>
      </c>
      <c r="F27" s="184">
        <f>WIC!F33*12</f>
        <v>882.24</v>
      </c>
      <c r="G27" s="185">
        <f>'Housing Voucher'!Q31*12</f>
        <v>11417.988000000001</v>
      </c>
      <c r="H27" s="197">
        <f>EITC!E30</f>
        <v>6000</v>
      </c>
      <c r="I27" s="205">
        <f>Medicaid!N34*12</f>
        <v>26265</v>
      </c>
      <c r="K27" s="185">
        <f t="shared" si="1"/>
        <v>81585.228000000003</v>
      </c>
      <c r="L27" s="185">
        <f t="shared" si="2"/>
        <v>94085.228000000003</v>
      </c>
      <c r="M27" s="36">
        <f t="shared" si="0"/>
        <v>7840.4356666666672</v>
      </c>
    </row>
    <row r="28" spans="1:13" x14ac:dyDescent="0.25">
      <c r="A28" s="186">
        <v>13000</v>
      </c>
      <c r="B28" s="33">
        <f t="shared" si="3"/>
        <v>1083.3333333333333</v>
      </c>
      <c r="C28" s="185">
        <f>'Child care subsidy'!S31*12</f>
        <v>24480</v>
      </c>
      <c r="D28" s="185">
        <f>MAX('TANF-VIEW'!L35,'TANF-VIEW'!T35)*12</f>
        <v>0</v>
      </c>
      <c r="E28" s="193">
        <f>SNAP!V32*12</f>
        <v>12360</v>
      </c>
      <c r="F28" s="184">
        <f>WIC!F34*12</f>
        <v>882.24</v>
      </c>
      <c r="G28" s="185">
        <f>'Housing Voucher'!Q32*12</f>
        <v>11267.988000000001</v>
      </c>
      <c r="H28" s="197">
        <f>EITC!E31</f>
        <v>6240</v>
      </c>
      <c r="I28" s="205">
        <f>Medicaid!N35*12</f>
        <v>26265</v>
      </c>
      <c r="K28" s="185">
        <f t="shared" si="1"/>
        <v>81495.228000000003</v>
      </c>
      <c r="L28" s="185">
        <f t="shared" si="2"/>
        <v>94495.228000000003</v>
      </c>
      <c r="M28" s="36">
        <f t="shared" si="0"/>
        <v>7874.6023333333333</v>
      </c>
    </row>
    <row r="29" spans="1:13" x14ac:dyDescent="0.25">
      <c r="A29" s="186">
        <v>13500</v>
      </c>
      <c r="B29" s="33">
        <f t="shared" si="3"/>
        <v>1125</v>
      </c>
      <c r="C29" s="185">
        <f>'Child care subsidy'!S32*12</f>
        <v>24480</v>
      </c>
      <c r="D29" s="185">
        <f>MAX('TANF-VIEW'!L36,'TANF-VIEW'!T36)*12</f>
        <v>0</v>
      </c>
      <c r="E29" s="193">
        <f>SNAP!V33*12</f>
        <v>12180</v>
      </c>
      <c r="F29" s="184">
        <f>WIC!F35*12</f>
        <v>882.24</v>
      </c>
      <c r="G29" s="185">
        <f>'Housing Voucher'!Q33*12</f>
        <v>11117.988000000001</v>
      </c>
      <c r="H29" s="197">
        <f>EITC!E32</f>
        <v>6480</v>
      </c>
      <c r="I29" s="205">
        <f>Medicaid!N36*12</f>
        <v>26265</v>
      </c>
      <c r="K29" s="185">
        <f t="shared" si="1"/>
        <v>81405.228000000003</v>
      </c>
      <c r="L29" s="185">
        <f t="shared" si="2"/>
        <v>94905.228000000003</v>
      </c>
      <c r="M29" s="36">
        <f t="shared" si="0"/>
        <v>7908.7690000000002</v>
      </c>
    </row>
    <row r="30" spans="1:13" x14ac:dyDescent="0.25">
      <c r="A30" s="186">
        <v>14000</v>
      </c>
      <c r="B30" s="33">
        <f t="shared" si="3"/>
        <v>1166.6666666666667</v>
      </c>
      <c r="C30" s="185">
        <f>'Child care subsidy'!S33*12</f>
        <v>24480</v>
      </c>
      <c r="D30" s="185">
        <f>MAX('TANF-VIEW'!L37,'TANF-VIEW'!T37)*12</f>
        <v>0</v>
      </c>
      <c r="E30" s="193">
        <f>SNAP!V34*12</f>
        <v>12000</v>
      </c>
      <c r="F30" s="184">
        <f>WIC!F36*12</f>
        <v>882.24</v>
      </c>
      <c r="G30" s="185">
        <f>'Housing Voucher'!Q34*12</f>
        <v>10967.988000000001</v>
      </c>
      <c r="H30" s="197">
        <f>EITC!E33</f>
        <v>6720</v>
      </c>
      <c r="I30" s="205">
        <f>Medicaid!N37*12</f>
        <v>26265</v>
      </c>
      <c r="K30" s="185">
        <f t="shared" si="1"/>
        <v>81315.228000000003</v>
      </c>
      <c r="L30" s="185">
        <f t="shared" si="2"/>
        <v>95315.228000000003</v>
      </c>
      <c r="M30" s="36">
        <f t="shared" si="0"/>
        <v>7942.9356666666672</v>
      </c>
    </row>
    <row r="31" spans="1:13" x14ac:dyDescent="0.25">
      <c r="A31" s="186">
        <v>14500</v>
      </c>
      <c r="B31" s="33">
        <f t="shared" si="3"/>
        <v>1208.3333333333333</v>
      </c>
      <c r="C31" s="185">
        <f>'Child care subsidy'!S34*12</f>
        <v>24480</v>
      </c>
      <c r="D31" s="185">
        <f>MAX('TANF-VIEW'!L38,'TANF-VIEW'!T38)*12</f>
        <v>0</v>
      </c>
      <c r="E31" s="193">
        <f>SNAP!V35*12</f>
        <v>11820</v>
      </c>
      <c r="F31" s="184">
        <f>WIC!F37*12</f>
        <v>882.24</v>
      </c>
      <c r="G31" s="185">
        <f>'Housing Voucher'!Q35*12</f>
        <v>10817.988000000001</v>
      </c>
      <c r="H31" s="197">
        <f>EITC!E34</f>
        <v>6960</v>
      </c>
      <c r="I31" s="205">
        <f>Medicaid!N38*12</f>
        <v>26265</v>
      </c>
      <c r="K31" s="185">
        <f t="shared" si="1"/>
        <v>81225.228000000003</v>
      </c>
      <c r="L31" s="185">
        <f t="shared" si="2"/>
        <v>95725.228000000003</v>
      </c>
      <c r="M31" s="36">
        <f t="shared" si="0"/>
        <v>7977.1023333333333</v>
      </c>
    </row>
    <row r="32" spans="1:13" x14ac:dyDescent="0.25">
      <c r="A32" s="186">
        <v>15000</v>
      </c>
      <c r="B32" s="33">
        <f t="shared" si="3"/>
        <v>1250</v>
      </c>
      <c r="C32" s="185">
        <f>'Child care subsidy'!S35*12</f>
        <v>24480</v>
      </c>
      <c r="D32" s="185">
        <f>MAX('TANF-VIEW'!L39,'TANF-VIEW'!T39)*12</f>
        <v>0</v>
      </c>
      <c r="E32" s="193">
        <f>SNAP!V36*12</f>
        <v>11640</v>
      </c>
      <c r="F32" s="184">
        <f>WIC!F38*12</f>
        <v>882.24</v>
      </c>
      <c r="G32" s="185">
        <f>'Housing Voucher'!Q36*12</f>
        <v>10667.988000000001</v>
      </c>
      <c r="H32" s="197">
        <f>EITC!E35</f>
        <v>7200</v>
      </c>
      <c r="I32" s="205">
        <f>Medicaid!N39*12</f>
        <v>26265</v>
      </c>
      <c r="K32" s="185">
        <f t="shared" si="1"/>
        <v>81135.228000000003</v>
      </c>
      <c r="L32" s="185">
        <f t="shared" si="2"/>
        <v>96135.228000000003</v>
      </c>
      <c r="M32" s="36">
        <f t="shared" si="0"/>
        <v>8011.2690000000002</v>
      </c>
    </row>
    <row r="33" spans="1:13" x14ac:dyDescent="0.25">
      <c r="A33" s="186">
        <v>15500</v>
      </c>
      <c r="B33" s="33">
        <f t="shared" si="3"/>
        <v>1291.6666666666667</v>
      </c>
      <c r="C33" s="185">
        <f>'Child care subsidy'!S36*12</f>
        <v>24480</v>
      </c>
      <c r="D33" s="185">
        <f>MAX('TANF-VIEW'!L40,'TANF-VIEW'!T40)*12</f>
        <v>0</v>
      </c>
      <c r="E33" s="193">
        <f>SNAP!V37*12</f>
        <v>11460</v>
      </c>
      <c r="F33" s="184">
        <f>WIC!F39*12</f>
        <v>882.24</v>
      </c>
      <c r="G33" s="185">
        <f>'Housing Voucher'!Q37*12</f>
        <v>10517.988000000001</v>
      </c>
      <c r="H33" s="197">
        <f>EITC!E36</f>
        <v>7440</v>
      </c>
      <c r="I33" s="205">
        <f>Medicaid!N40*12</f>
        <v>26265</v>
      </c>
      <c r="K33" s="185">
        <f t="shared" si="1"/>
        <v>81045.228000000003</v>
      </c>
      <c r="L33" s="185">
        <f t="shared" si="2"/>
        <v>96545.228000000003</v>
      </c>
      <c r="M33" s="36">
        <f t="shared" si="0"/>
        <v>8045.4356666666672</v>
      </c>
    </row>
    <row r="34" spans="1:13" x14ac:dyDescent="0.25">
      <c r="A34" s="186">
        <v>16000</v>
      </c>
      <c r="B34" s="33">
        <f t="shared" si="3"/>
        <v>1333.3333333333333</v>
      </c>
      <c r="C34" s="185">
        <f>'Child care subsidy'!S37*12</f>
        <v>24480</v>
      </c>
      <c r="D34" s="185">
        <f>MAX('TANF-VIEW'!L41,'TANF-VIEW'!T41)*12</f>
        <v>0</v>
      </c>
      <c r="E34" s="193">
        <f>SNAP!V38*12</f>
        <v>11280</v>
      </c>
      <c r="F34" s="184">
        <f>WIC!F40*12</f>
        <v>882.24</v>
      </c>
      <c r="G34" s="185">
        <f>'Housing Voucher'!Q38*12</f>
        <v>10367.988000000001</v>
      </c>
      <c r="H34" s="197">
        <f>EITC!E37</f>
        <v>7680</v>
      </c>
      <c r="I34" s="205">
        <f>Medicaid!N41*12</f>
        <v>26265</v>
      </c>
      <c r="K34" s="185">
        <f t="shared" si="1"/>
        <v>80955.228000000003</v>
      </c>
      <c r="L34" s="185">
        <f t="shared" si="2"/>
        <v>96955.228000000003</v>
      </c>
      <c r="M34" s="36">
        <f t="shared" si="0"/>
        <v>8079.6023333333333</v>
      </c>
    </row>
    <row r="35" spans="1:13" x14ac:dyDescent="0.25">
      <c r="A35" s="186">
        <v>16500</v>
      </c>
      <c r="B35" s="33">
        <f t="shared" si="3"/>
        <v>1375</v>
      </c>
      <c r="C35" s="185">
        <f>'Child care subsidy'!S38*12</f>
        <v>24480</v>
      </c>
      <c r="D35" s="185">
        <f>MAX('TANF-VIEW'!L42,'TANF-VIEW'!T42)*12</f>
        <v>0</v>
      </c>
      <c r="E35" s="193">
        <f>SNAP!V39*12</f>
        <v>11100</v>
      </c>
      <c r="F35" s="184">
        <f>WIC!F41*12</f>
        <v>882.24</v>
      </c>
      <c r="G35" s="185">
        <f>'Housing Voucher'!Q39*12</f>
        <v>10217.988000000001</v>
      </c>
      <c r="H35" s="197">
        <f>EITC!E38</f>
        <v>7920</v>
      </c>
      <c r="I35" s="205">
        <f>Medicaid!N42*12</f>
        <v>26265</v>
      </c>
      <c r="K35" s="185">
        <f t="shared" si="1"/>
        <v>80865.228000000003</v>
      </c>
      <c r="L35" s="185">
        <f t="shared" si="2"/>
        <v>97365.228000000003</v>
      </c>
      <c r="M35" s="36">
        <f t="shared" si="0"/>
        <v>8113.7690000000002</v>
      </c>
    </row>
    <row r="36" spans="1:13" x14ac:dyDescent="0.25">
      <c r="A36" s="186">
        <v>17000</v>
      </c>
      <c r="B36" s="33">
        <f t="shared" si="3"/>
        <v>1416.6666666666667</v>
      </c>
      <c r="C36" s="185">
        <f>'Child care subsidy'!S39*12</f>
        <v>24480</v>
      </c>
      <c r="D36" s="185">
        <f>MAX('TANF-VIEW'!L43,'TANF-VIEW'!T43)*12</f>
        <v>0</v>
      </c>
      <c r="E36" s="193">
        <f>SNAP!V40*12</f>
        <v>10920</v>
      </c>
      <c r="F36" s="184">
        <f>WIC!F42*12</f>
        <v>882.24</v>
      </c>
      <c r="G36" s="185">
        <f>'Housing Voucher'!Q40*12</f>
        <v>10067.988000000001</v>
      </c>
      <c r="H36" s="197">
        <f>EITC!E39</f>
        <v>8160</v>
      </c>
      <c r="I36" s="205">
        <f>Medicaid!N43*12</f>
        <v>26265</v>
      </c>
      <c r="K36" s="185">
        <f t="shared" si="1"/>
        <v>80775.228000000003</v>
      </c>
      <c r="L36" s="185">
        <f t="shared" si="2"/>
        <v>97775.228000000003</v>
      </c>
      <c r="M36" s="36">
        <f t="shared" si="0"/>
        <v>8147.9356666666672</v>
      </c>
    </row>
    <row r="37" spans="1:13" x14ac:dyDescent="0.25">
      <c r="A37" s="186">
        <v>17500</v>
      </c>
      <c r="B37" s="33">
        <f t="shared" si="3"/>
        <v>1458.3333333333333</v>
      </c>
      <c r="C37" s="185">
        <f>'Child care subsidy'!S40*12</f>
        <v>24480</v>
      </c>
      <c r="D37" s="185">
        <f>MAX('TANF-VIEW'!L44,'TANF-VIEW'!T44)*12</f>
        <v>0</v>
      </c>
      <c r="E37" s="193">
        <f>SNAP!V41*12</f>
        <v>10740</v>
      </c>
      <c r="F37" s="184">
        <f>WIC!F43*12</f>
        <v>882.24</v>
      </c>
      <c r="G37" s="185">
        <f>'Housing Voucher'!Q41*12</f>
        <v>9917.9880000000012</v>
      </c>
      <c r="H37" s="197">
        <f>EITC!E40</f>
        <v>8400</v>
      </c>
      <c r="I37" s="205">
        <f>Medicaid!N44*12</f>
        <v>26265</v>
      </c>
      <c r="K37" s="185">
        <f t="shared" si="1"/>
        <v>80685.228000000003</v>
      </c>
      <c r="L37" s="185">
        <f t="shared" si="2"/>
        <v>98185.228000000003</v>
      </c>
      <c r="M37" s="36">
        <f t="shared" si="0"/>
        <v>8182.1023333333333</v>
      </c>
    </row>
    <row r="38" spans="1:13" x14ac:dyDescent="0.25">
      <c r="A38" s="186">
        <v>18000</v>
      </c>
      <c r="B38" s="33">
        <f t="shared" si="3"/>
        <v>1500</v>
      </c>
      <c r="C38" s="185">
        <f>'Child care subsidy'!S41*12</f>
        <v>24480</v>
      </c>
      <c r="D38" s="185">
        <f>MAX('TANF-VIEW'!L45,'TANF-VIEW'!T45)*12</f>
        <v>0</v>
      </c>
      <c r="E38" s="193">
        <f>SNAP!V42*12</f>
        <v>10560</v>
      </c>
      <c r="F38" s="184">
        <f>WIC!F44*12</f>
        <v>882.24</v>
      </c>
      <c r="G38" s="185">
        <f>'Housing Voucher'!Q42*12</f>
        <v>9767.9880000000012</v>
      </c>
      <c r="H38" s="197">
        <f>EITC!E41</f>
        <v>8640</v>
      </c>
      <c r="I38" s="205">
        <f>Medicaid!N45*12</f>
        <v>26265</v>
      </c>
      <c r="K38" s="185">
        <f t="shared" si="1"/>
        <v>80595.228000000003</v>
      </c>
      <c r="L38" s="185">
        <f t="shared" si="2"/>
        <v>98595.228000000003</v>
      </c>
      <c r="M38" s="36">
        <f t="shared" si="0"/>
        <v>8216.2690000000002</v>
      </c>
    </row>
    <row r="39" spans="1:13" ht="15" customHeight="1" x14ac:dyDescent="0.25">
      <c r="A39" s="186">
        <v>18500</v>
      </c>
      <c r="B39" s="33">
        <f t="shared" si="3"/>
        <v>1541.6666666666667</v>
      </c>
      <c r="C39" s="185">
        <f>'Child care subsidy'!S42*12</f>
        <v>24480</v>
      </c>
      <c r="D39" s="185">
        <f>MAX('TANF-VIEW'!L46,'TANF-VIEW'!T46)*12</f>
        <v>0</v>
      </c>
      <c r="E39" s="193">
        <f>SNAP!V43*12</f>
        <v>10380</v>
      </c>
      <c r="F39" s="184">
        <f>WIC!F45*12</f>
        <v>882.24</v>
      </c>
      <c r="G39" s="185">
        <f>'Housing Voucher'!Q43*12</f>
        <v>9617.9880000000012</v>
      </c>
      <c r="H39" s="197">
        <f>EITC!E42</f>
        <v>8779.2000000000007</v>
      </c>
      <c r="I39" s="205">
        <f>Medicaid!N46*12</f>
        <v>26265</v>
      </c>
      <c r="K39" s="185">
        <f t="shared" si="1"/>
        <v>80404.428</v>
      </c>
      <c r="L39" s="185">
        <f t="shared" si="2"/>
        <v>98904.428</v>
      </c>
      <c r="M39" s="36">
        <f t="shared" si="0"/>
        <v>8242.0356666666667</v>
      </c>
    </row>
    <row r="40" spans="1:13" x14ac:dyDescent="0.25">
      <c r="A40" s="186">
        <v>19000</v>
      </c>
      <c r="B40" s="33">
        <f t="shared" si="3"/>
        <v>1583.3333333333333</v>
      </c>
      <c r="C40" s="185">
        <f>'Child care subsidy'!S43*12</f>
        <v>24480</v>
      </c>
      <c r="D40" s="185">
        <f>MAX('TANF-VIEW'!L47,'TANF-VIEW'!T47)*12</f>
        <v>0</v>
      </c>
      <c r="E40" s="193">
        <f>SNAP!V44*12</f>
        <v>10200</v>
      </c>
      <c r="F40" s="184">
        <f>WIC!F46*12</f>
        <v>882.24</v>
      </c>
      <c r="G40" s="185">
        <f>'Housing Voucher'!Q44*12</f>
        <v>9467.9880000000012</v>
      </c>
      <c r="H40" s="197">
        <f>EITC!E43</f>
        <v>8779.2000000000007</v>
      </c>
      <c r="I40" s="205">
        <f>Medicaid!N47*12</f>
        <v>26265</v>
      </c>
      <c r="K40" s="185">
        <f t="shared" si="1"/>
        <v>80074.428</v>
      </c>
      <c r="L40" s="185">
        <f t="shared" si="2"/>
        <v>99074.428</v>
      </c>
      <c r="M40" s="36">
        <f t="shared" si="0"/>
        <v>8256.2023333333327</v>
      </c>
    </row>
    <row r="41" spans="1:13" x14ac:dyDescent="0.25">
      <c r="A41" s="186">
        <v>19500</v>
      </c>
      <c r="B41" s="33">
        <f t="shared" si="3"/>
        <v>1625</v>
      </c>
      <c r="C41" s="185">
        <f>'Child care subsidy'!S44*12</f>
        <v>24480</v>
      </c>
      <c r="D41" s="185">
        <f>MAX('TANF-VIEW'!L48,'TANF-VIEW'!T48)*12</f>
        <v>0</v>
      </c>
      <c r="E41" s="193">
        <f>SNAP!V45*12</f>
        <v>10020</v>
      </c>
      <c r="F41" s="184">
        <f>WIC!F47*12</f>
        <v>882.24</v>
      </c>
      <c r="G41" s="185">
        <f>'Housing Voucher'!Q45*12</f>
        <v>9317.9880000000012</v>
      </c>
      <c r="H41" s="197">
        <f>EITC!E44</f>
        <v>8779.2000000000007</v>
      </c>
      <c r="I41" s="205">
        <f>Medicaid!N48*12</f>
        <v>26265</v>
      </c>
      <c r="K41" s="185">
        <f t="shared" si="1"/>
        <v>79744.428</v>
      </c>
      <c r="L41" s="185">
        <f t="shared" si="2"/>
        <v>99244.428</v>
      </c>
      <c r="M41" s="36">
        <f t="shared" si="0"/>
        <v>8270.3690000000006</v>
      </c>
    </row>
    <row r="42" spans="1:13" x14ac:dyDescent="0.25">
      <c r="A42" s="186">
        <v>20000</v>
      </c>
      <c r="B42" s="33">
        <f t="shared" si="3"/>
        <v>1666.6666666666667</v>
      </c>
      <c r="C42" s="185">
        <f>'Child care subsidy'!S45*12</f>
        <v>24480</v>
      </c>
      <c r="D42" s="185">
        <f>MAX('TANF-VIEW'!L49,'TANF-VIEW'!T49)*12</f>
        <v>0</v>
      </c>
      <c r="E42" s="193">
        <f>SNAP!V46*12</f>
        <v>9840</v>
      </c>
      <c r="F42" s="184">
        <f>WIC!F48*12</f>
        <v>882.24</v>
      </c>
      <c r="G42" s="185">
        <f>'Housing Voucher'!Q46*12</f>
        <v>9167.9879999999994</v>
      </c>
      <c r="H42" s="197">
        <f>EITC!E45</f>
        <v>8779.2000000000007</v>
      </c>
      <c r="I42" s="205">
        <f>Medicaid!N49*12</f>
        <v>26265</v>
      </c>
      <c r="K42" s="185">
        <f t="shared" si="1"/>
        <v>79414.428</v>
      </c>
      <c r="L42" s="185">
        <f t="shared" si="2"/>
        <v>99414.428</v>
      </c>
      <c r="M42" s="36">
        <f t="shared" si="0"/>
        <v>8284.5356666666667</v>
      </c>
    </row>
    <row r="43" spans="1:13" x14ac:dyDescent="0.25">
      <c r="A43" s="186">
        <v>20500</v>
      </c>
      <c r="B43" s="33">
        <f t="shared" si="3"/>
        <v>1708.3333333333333</v>
      </c>
      <c r="C43" s="185">
        <f>'Child care subsidy'!S46*12</f>
        <v>24480</v>
      </c>
      <c r="D43" s="185">
        <f>MAX('TANF-VIEW'!L50,'TANF-VIEW'!T50)*12</f>
        <v>0</v>
      </c>
      <c r="E43" s="193">
        <f>SNAP!V47*12</f>
        <v>9660</v>
      </c>
      <c r="F43" s="184">
        <f>WIC!F49*12</f>
        <v>882.24</v>
      </c>
      <c r="G43" s="185">
        <f>'Housing Voucher'!Q47*12</f>
        <v>9017.9880000000012</v>
      </c>
      <c r="H43" s="197">
        <f>EITC!E46</f>
        <v>8779.2000000000007</v>
      </c>
      <c r="I43" s="205">
        <f>Medicaid!N50*12</f>
        <v>26265</v>
      </c>
      <c r="K43" s="185">
        <f t="shared" si="1"/>
        <v>79084.428</v>
      </c>
      <c r="L43" s="185">
        <f t="shared" si="2"/>
        <v>99584.428</v>
      </c>
      <c r="M43" s="36">
        <f t="shared" si="0"/>
        <v>8298.7023333333327</v>
      </c>
    </row>
    <row r="44" spans="1:13" x14ac:dyDescent="0.25">
      <c r="A44" s="186">
        <v>21000</v>
      </c>
      <c r="B44" s="33">
        <f t="shared" si="3"/>
        <v>1750</v>
      </c>
      <c r="C44" s="185">
        <f>'Child care subsidy'!S47*12</f>
        <v>24480</v>
      </c>
      <c r="D44" s="185">
        <f>MAX('TANF-VIEW'!L51,'TANF-VIEW'!T51)*12</f>
        <v>0</v>
      </c>
      <c r="E44" s="193">
        <f>SNAP!V48*12</f>
        <v>9480</v>
      </c>
      <c r="F44" s="184">
        <f>WIC!F50*12</f>
        <v>882.24</v>
      </c>
      <c r="G44" s="185">
        <f>'Housing Voucher'!Q48*12</f>
        <v>8867.9880000000012</v>
      </c>
      <c r="H44" s="197">
        <f>EITC!E47</f>
        <v>8779.2000000000007</v>
      </c>
      <c r="I44" s="205">
        <f>Medicaid!N51*12</f>
        <v>26265</v>
      </c>
      <c r="K44" s="185">
        <f t="shared" si="1"/>
        <v>78754.428</v>
      </c>
      <c r="L44" s="185">
        <f t="shared" si="2"/>
        <v>99754.428</v>
      </c>
      <c r="M44" s="36">
        <f t="shared" si="0"/>
        <v>8312.8690000000006</v>
      </c>
    </row>
    <row r="45" spans="1:13" x14ac:dyDescent="0.25">
      <c r="A45" s="186">
        <v>21500</v>
      </c>
      <c r="B45" s="33">
        <f t="shared" si="3"/>
        <v>1791.6666666666667</v>
      </c>
      <c r="C45" s="185">
        <f>'Child care subsidy'!S48*12</f>
        <v>24480</v>
      </c>
      <c r="D45" s="185">
        <f>MAX('TANF-VIEW'!L52,'TANF-VIEW'!T52)*12</f>
        <v>0</v>
      </c>
      <c r="E45" s="193">
        <f>SNAP!V49*12</f>
        <v>9300</v>
      </c>
      <c r="F45" s="184">
        <f>WIC!F51*12</f>
        <v>882.24</v>
      </c>
      <c r="G45" s="185">
        <f>'Housing Voucher'!Q49*12</f>
        <v>8717.9879999999994</v>
      </c>
      <c r="H45" s="197">
        <f>EITC!E48</f>
        <v>8779.2000000000007</v>
      </c>
      <c r="I45" s="205">
        <f>Medicaid!N52*12</f>
        <v>26265</v>
      </c>
      <c r="K45" s="185">
        <f t="shared" si="1"/>
        <v>78424.428</v>
      </c>
      <c r="L45" s="185">
        <f t="shared" si="2"/>
        <v>99924.428</v>
      </c>
      <c r="M45" s="36">
        <f t="shared" si="0"/>
        <v>8327.0356666666667</v>
      </c>
    </row>
    <row r="46" spans="1:13" x14ac:dyDescent="0.25">
      <c r="A46" s="186">
        <v>22000</v>
      </c>
      <c r="B46" s="33">
        <f t="shared" si="3"/>
        <v>1833.3333333333333</v>
      </c>
      <c r="C46" s="185">
        <f>'Child care subsidy'!S49*12</f>
        <v>24480</v>
      </c>
      <c r="D46" s="185">
        <f>MAX('TANF-VIEW'!L53,'TANF-VIEW'!T53)*12</f>
        <v>0</v>
      </c>
      <c r="E46" s="193">
        <f>SNAP!V50*12</f>
        <v>9120</v>
      </c>
      <c r="F46" s="184">
        <f>WIC!F52*12</f>
        <v>882.24</v>
      </c>
      <c r="G46" s="185">
        <f>'Housing Voucher'!Q50*12</f>
        <v>8567.9880000000012</v>
      </c>
      <c r="H46" s="197">
        <f>EITC!E49</f>
        <v>8779.2000000000007</v>
      </c>
      <c r="I46" s="205">
        <f>Medicaid!N53*12</f>
        <v>26265</v>
      </c>
      <c r="K46" s="185">
        <f t="shared" si="1"/>
        <v>78094.428</v>
      </c>
      <c r="L46" s="185">
        <f t="shared" si="2"/>
        <v>100094.428</v>
      </c>
      <c r="M46" s="36">
        <f t="shared" si="0"/>
        <v>8341.2023333333327</v>
      </c>
    </row>
    <row r="47" spans="1:13" x14ac:dyDescent="0.25">
      <c r="A47" s="186">
        <v>22500</v>
      </c>
      <c r="B47" s="33">
        <f t="shared" si="3"/>
        <v>1875</v>
      </c>
      <c r="C47" s="185">
        <f>'Child care subsidy'!S50*12</f>
        <v>24480</v>
      </c>
      <c r="D47" s="185">
        <f>MAX('TANF-VIEW'!L54,'TANF-VIEW'!T54)*12</f>
        <v>0</v>
      </c>
      <c r="E47" s="193">
        <f>SNAP!V51*12</f>
        <v>8940</v>
      </c>
      <c r="F47" s="184">
        <f>WIC!F53*12</f>
        <v>882.24</v>
      </c>
      <c r="G47" s="185">
        <f>'Housing Voucher'!Q51*12</f>
        <v>8417.9880000000012</v>
      </c>
      <c r="H47" s="197">
        <f>EITC!E50</f>
        <v>8779.2000000000007</v>
      </c>
      <c r="I47" s="205">
        <f>Medicaid!N54*12</f>
        <v>26265</v>
      </c>
      <c r="K47" s="185">
        <f t="shared" si="1"/>
        <v>77764.428</v>
      </c>
      <c r="L47" s="185">
        <f t="shared" si="2"/>
        <v>100264.428</v>
      </c>
      <c r="M47" s="36">
        <f t="shared" si="0"/>
        <v>8355.3690000000006</v>
      </c>
    </row>
    <row r="48" spans="1:13" x14ac:dyDescent="0.25">
      <c r="A48" s="186">
        <v>23000</v>
      </c>
      <c r="B48" s="33">
        <f t="shared" si="3"/>
        <v>1916.6666666666667</v>
      </c>
      <c r="C48" s="185">
        <f>'Child care subsidy'!S51*12</f>
        <v>24480</v>
      </c>
      <c r="D48" s="185">
        <f>MAX('TANF-VIEW'!L55,'TANF-VIEW'!T55)*12</f>
        <v>0</v>
      </c>
      <c r="E48" s="193">
        <f>SNAP!V52*12</f>
        <v>8760</v>
      </c>
      <c r="F48" s="184">
        <f>WIC!F54*12</f>
        <v>882.24</v>
      </c>
      <c r="G48" s="185">
        <f>'Housing Voucher'!Q52*12</f>
        <v>8267.9879999999994</v>
      </c>
      <c r="H48" s="197">
        <f>EITC!E51</f>
        <v>8779.2000000000007</v>
      </c>
      <c r="I48" s="205">
        <f>Medicaid!N55*12</f>
        <v>26265</v>
      </c>
      <c r="K48" s="185">
        <f t="shared" si="1"/>
        <v>77434.428</v>
      </c>
      <c r="L48" s="185">
        <f t="shared" si="2"/>
        <v>100434.428</v>
      </c>
      <c r="M48" s="36">
        <f t="shared" si="0"/>
        <v>8369.5356666666667</v>
      </c>
    </row>
    <row r="49" spans="1:13" x14ac:dyDescent="0.25">
      <c r="A49" s="186">
        <v>23500</v>
      </c>
      <c r="B49" s="33">
        <f t="shared" si="3"/>
        <v>1958.3333333333333</v>
      </c>
      <c r="C49" s="185">
        <f>'Child care subsidy'!S52*12</f>
        <v>24480</v>
      </c>
      <c r="D49" s="185">
        <f>MAX('TANF-VIEW'!L56,'TANF-VIEW'!T56)*12</f>
        <v>0</v>
      </c>
      <c r="E49" s="193">
        <f>SNAP!V53*12</f>
        <v>8580</v>
      </c>
      <c r="F49" s="184">
        <f>WIC!F55*12</f>
        <v>882.24</v>
      </c>
      <c r="G49" s="185">
        <f>'Housing Voucher'!Q53*12</f>
        <v>8117.9880000000012</v>
      </c>
      <c r="H49" s="197">
        <f>EITC!E52</f>
        <v>8779.2000000000007</v>
      </c>
      <c r="I49" s="205">
        <f>Medicaid!N56*12</f>
        <v>26265</v>
      </c>
      <c r="K49" s="185">
        <f t="shared" si="1"/>
        <v>77104.428</v>
      </c>
      <c r="L49" s="185">
        <f t="shared" si="2"/>
        <v>100604.428</v>
      </c>
      <c r="M49" s="36">
        <f t="shared" si="0"/>
        <v>8383.7023333333327</v>
      </c>
    </row>
    <row r="50" spans="1:13" x14ac:dyDescent="0.25">
      <c r="A50" s="186">
        <v>24000</v>
      </c>
      <c r="B50" s="33">
        <f t="shared" si="3"/>
        <v>2000</v>
      </c>
      <c r="C50" s="185">
        <f>'Child care subsidy'!S53*12</f>
        <v>24480</v>
      </c>
      <c r="D50" s="185">
        <f>MAX('TANF-VIEW'!L57,'TANF-VIEW'!T57)*12</f>
        <v>0</v>
      </c>
      <c r="E50" s="193">
        <f>SNAP!V54*12</f>
        <v>8400</v>
      </c>
      <c r="F50" s="184">
        <f>WIC!F56*12</f>
        <v>882.24</v>
      </c>
      <c r="G50" s="185">
        <f>'Housing Voucher'!Q54*12</f>
        <v>7967.9880000000003</v>
      </c>
      <c r="H50" s="197">
        <f>EITC!E53</f>
        <v>8751.6535199999998</v>
      </c>
      <c r="I50" s="205">
        <f>Medicaid!N57*12</f>
        <v>26265</v>
      </c>
      <c r="K50" s="185">
        <f t="shared" si="1"/>
        <v>76746.881519999995</v>
      </c>
      <c r="L50" s="185">
        <f t="shared" si="2"/>
        <v>100746.88152</v>
      </c>
      <c r="M50" s="36">
        <f t="shared" si="0"/>
        <v>8395.5734599999996</v>
      </c>
    </row>
    <row r="51" spans="1:13" x14ac:dyDescent="0.25">
      <c r="A51" s="186">
        <v>24500</v>
      </c>
      <c r="B51" s="33">
        <f t="shared" si="3"/>
        <v>2041.6666666666667</v>
      </c>
      <c r="C51" s="185">
        <f>'Child care subsidy'!S54*12</f>
        <v>24480</v>
      </c>
      <c r="D51" s="185">
        <f>MAX('TANF-VIEW'!L58,'TANF-VIEW'!T58)*12</f>
        <v>0</v>
      </c>
      <c r="E51" s="193">
        <f>SNAP!V55*12</f>
        <v>8220</v>
      </c>
      <c r="F51" s="184">
        <f>WIC!F57*12</f>
        <v>882.24</v>
      </c>
      <c r="G51" s="185">
        <f>'Housing Voucher'!Q55*12</f>
        <v>7817.9879999999994</v>
      </c>
      <c r="H51" s="197">
        <f>EITC!E54</f>
        <v>8625.2935199999993</v>
      </c>
      <c r="I51" s="205">
        <f>Medicaid!N58*12</f>
        <v>26265</v>
      </c>
      <c r="K51" s="185">
        <f t="shared" si="1"/>
        <v>76290.521519999995</v>
      </c>
      <c r="L51" s="185">
        <f t="shared" si="2"/>
        <v>100790.52151999999</v>
      </c>
      <c r="M51" s="36">
        <f t="shared" si="0"/>
        <v>8399.2101266666668</v>
      </c>
    </row>
    <row r="52" spans="1:13" x14ac:dyDescent="0.25">
      <c r="A52" s="186">
        <v>25000</v>
      </c>
      <c r="B52" s="33">
        <f t="shared" si="3"/>
        <v>2083.3333333333335</v>
      </c>
      <c r="C52" s="185">
        <f>'Child care subsidy'!S55*12</f>
        <v>24480</v>
      </c>
      <c r="D52" s="185">
        <f>MAX('TANF-VIEW'!L59,'TANF-VIEW'!T59)*12</f>
        <v>0</v>
      </c>
      <c r="E52" s="193">
        <f>SNAP!V56*12</f>
        <v>8040</v>
      </c>
      <c r="F52" s="184">
        <f>WIC!F58*12</f>
        <v>882.24</v>
      </c>
      <c r="G52" s="185">
        <f>'Housing Voucher'!Q56*12</f>
        <v>7667.9879999999994</v>
      </c>
      <c r="H52" s="197">
        <f>EITC!E55</f>
        <v>8498.9335200000005</v>
      </c>
      <c r="I52" s="205">
        <f>Medicaid!N59*12</f>
        <v>26265</v>
      </c>
      <c r="K52" s="185">
        <f t="shared" si="1"/>
        <v>75834.161519999994</v>
      </c>
      <c r="L52" s="185">
        <f t="shared" si="2"/>
        <v>100834.16151999999</v>
      </c>
      <c r="M52" s="36">
        <f t="shared" si="0"/>
        <v>8402.8467933333322</v>
      </c>
    </row>
    <row r="53" spans="1:13" x14ac:dyDescent="0.25">
      <c r="A53" s="186">
        <v>25500</v>
      </c>
      <c r="B53" s="33">
        <f t="shared" si="3"/>
        <v>2125</v>
      </c>
      <c r="C53" s="185">
        <f>'Child care subsidy'!S56*12</f>
        <v>24480</v>
      </c>
      <c r="D53" s="185">
        <f>MAX('TANF-VIEW'!L60,'TANF-VIEW'!T60)*12</f>
        <v>0</v>
      </c>
      <c r="E53" s="193">
        <f>SNAP!V57*12</f>
        <v>7860</v>
      </c>
      <c r="F53" s="184">
        <f>WIC!F59*12</f>
        <v>882.24</v>
      </c>
      <c r="G53" s="185">
        <f>'Housing Voucher'!Q57*12</f>
        <v>7517.9880000000003</v>
      </c>
      <c r="H53" s="197">
        <f>EITC!E56</f>
        <v>8372.5735199999999</v>
      </c>
      <c r="I53" s="205">
        <f>Medicaid!N60*12</f>
        <v>26265</v>
      </c>
      <c r="K53" s="185">
        <f t="shared" si="1"/>
        <v>75377.801519999994</v>
      </c>
      <c r="L53" s="185">
        <f t="shared" si="2"/>
        <v>100877.80151999999</v>
      </c>
      <c r="M53" s="36">
        <f t="shared" si="0"/>
        <v>8406.4834599999995</v>
      </c>
    </row>
    <row r="54" spans="1:13" x14ac:dyDescent="0.25">
      <c r="A54" s="186">
        <v>26000</v>
      </c>
      <c r="B54" s="33">
        <f t="shared" si="3"/>
        <v>2166.6666666666665</v>
      </c>
      <c r="C54" s="185">
        <f>'Child care subsidy'!S57*12</f>
        <v>24480</v>
      </c>
      <c r="D54" s="185">
        <f>MAX('TANF-VIEW'!L61,'TANF-VIEW'!T61)*12</f>
        <v>0</v>
      </c>
      <c r="E54" s="193">
        <f>SNAP!V58*12</f>
        <v>7680</v>
      </c>
      <c r="F54" s="184">
        <f>WIC!F60*12</f>
        <v>882.24</v>
      </c>
      <c r="G54" s="185">
        <f>'Housing Voucher'!Q58*12</f>
        <v>7367.9880000000003</v>
      </c>
      <c r="H54" s="197">
        <f>EITC!E57</f>
        <v>8246.2135200000012</v>
      </c>
      <c r="I54" s="205">
        <f>Medicaid!N61*12</f>
        <v>26265</v>
      </c>
      <c r="K54" s="185">
        <f t="shared" si="1"/>
        <v>74921.441519999993</v>
      </c>
      <c r="L54" s="185">
        <f t="shared" si="2"/>
        <v>100921.44151999999</v>
      </c>
      <c r="M54" s="36">
        <f t="shared" si="0"/>
        <v>8410.1201266666667</v>
      </c>
    </row>
    <row r="55" spans="1:13" x14ac:dyDescent="0.25">
      <c r="A55" s="206">
        <v>26500</v>
      </c>
      <c r="B55" s="207">
        <f t="shared" si="3"/>
        <v>2208.3333333333335</v>
      </c>
      <c r="C55" s="208">
        <f>'Child care subsidy'!S58*12</f>
        <v>24480</v>
      </c>
      <c r="D55" s="208">
        <f>MAX('TANF-VIEW'!L62,'TANF-VIEW'!T62)*12</f>
        <v>0</v>
      </c>
      <c r="E55" s="209">
        <f>SNAP!V59*12</f>
        <v>7500</v>
      </c>
      <c r="F55" s="210">
        <f>WIC!F61*12</f>
        <v>882.24</v>
      </c>
      <c r="G55" s="208">
        <f>'Housing Voucher'!Q59*12</f>
        <v>7217.9879999999994</v>
      </c>
      <c r="H55" s="211">
        <f>EITC!E58</f>
        <v>8119.8535200000006</v>
      </c>
      <c r="I55" s="212">
        <f>Medicaid!N62*12</f>
        <v>26265</v>
      </c>
      <c r="J55" s="213"/>
      <c r="K55" s="208">
        <f t="shared" si="1"/>
        <v>74465.081519999992</v>
      </c>
      <c r="L55" s="208">
        <f t="shared" si="2"/>
        <v>100965.08151999999</v>
      </c>
      <c r="M55" s="36">
        <f t="shared" si="0"/>
        <v>8413.7567933333321</v>
      </c>
    </row>
    <row r="56" spans="1:13" x14ac:dyDescent="0.25">
      <c r="A56" s="206">
        <v>27000</v>
      </c>
      <c r="B56" s="207">
        <f t="shared" si="3"/>
        <v>2250</v>
      </c>
      <c r="C56" s="208">
        <f>'Child care subsidy'!S59*12</f>
        <v>24480</v>
      </c>
      <c r="D56" s="208">
        <f>MAX('TANF-VIEW'!L63,'TANF-VIEW'!T63)*12</f>
        <v>0</v>
      </c>
      <c r="E56" s="209">
        <f>SNAP!V60*12</f>
        <v>7320</v>
      </c>
      <c r="F56" s="210">
        <f>WIC!F62*12</f>
        <v>882.24</v>
      </c>
      <c r="G56" s="208">
        <f>'Housing Voucher'!Q60*12</f>
        <v>7067.9880000000003</v>
      </c>
      <c r="H56" s="211">
        <f>EITC!E59</f>
        <v>7993.49352</v>
      </c>
      <c r="I56" s="212">
        <f>Medicaid!N63*12</f>
        <v>26265</v>
      </c>
      <c r="J56" s="213"/>
      <c r="K56" s="208">
        <f t="shared" si="1"/>
        <v>74008.721520000006</v>
      </c>
      <c r="L56" s="208">
        <f t="shared" si="2"/>
        <v>101008.72152000001</v>
      </c>
      <c r="M56" s="36">
        <f t="shared" si="0"/>
        <v>8417.3934600000011</v>
      </c>
    </row>
    <row r="57" spans="1:13" x14ac:dyDescent="0.25">
      <c r="A57" s="186">
        <v>27500</v>
      </c>
      <c r="B57" s="33">
        <f t="shared" si="3"/>
        <v>2291.6666666666665</v>
      </c>
      <c r="C57" s="185">
        <f>'Child care subsidy'!S60*12</f>
        <v>24480</v>
      </c>
      <c r="D57" s="185">
        <f>MAX('TANF-VIEW'!L64,'TANF-VIEW'!T64)*12</f>
        <v>0</v>
      </c>
      <c r="E57" s="193">
        <f>SNAP!V61*12</f>
        <v>7140</v>
      </c>
      <c r="F57" s="184">
        <f>WIC!F63*12</f>
        <v>882.24</v>
      </c>
      <c r="G57" s="185">
        <f>'Housing Voucher'!Q61*12</f>
        <v>6917.9880000000003</v>
      </c>
      <c r="H57" s="197">
        <f>EITC!E60</f>
        <v>7867.1335199999994</v>
      </c>
      <c r="I57" s="205">
        <f>Medicaid!N64*12</f>
        <v>26265</v>
      </c>
      <c r="K57" s="185">
        <f t="shared" si="1"/>
        <v>73552.361520000006</v>
      </c>
      <c r="L57" s="185">
        <f t="shared" si="2"/>
        <v>101052.36152000001</v>
      </c>
      <c r="M57" s="36">
        <f t="shared" si="0"/>
        <v>8421.0301266666665</v>
      </c>
    </row>
    <row r="58" spans="1:13" x14ac:dyDescent="0.25">
      <c r="A58" s="186">
        <v>28000</v>
      </c>
      <c r="B58" s="33">
        <f t="shared" si="3"/>
        <v>2333.3333333333335</v>
      </c>
      <c r="C58" s="185">
        <f>'Child care subsidy'!S61*12</f>
        <v>24480</v>
      </c>
      <c r="D58" s="185">
        <f>MAX('TANF-VIEW'!L65,'TANF-VIEW'!T65)*12</f>
        <v>0</v>
      </c>
      <c r="E58" s="193">
        <f>SNAP!V62*12</f>
        <v>6972</v>
      </c>
      <c r="F58" s="184">
        <f>WIC!F64*12</f>
        <v>882.24</v>
      </c>
      <c r="G58" s="185">
        <f>'Housing Voucher'!Q62*12</f>
        <v>6767.9879999999994</v>
      </c>
      <c r="H58" s="197">
        <f>EITC!E61</f>
        <v>7740.7735199999997</v>
      </c>
      <c r="I58" s="205">
        <f>Medicaid!N65*12</f>
        <v>26265</v>
      </c>
      <c r="K58" s="185">
        <f t="shared" si="1"/>
        <v>73108.001520000005</v>
      </c>
      <c r="L58" s="185">
        <f t="shared" si="2"/>
        <v>101108.00152000001</v>
      </c>
      <c r="M58" s="36">
        <f t="shared" si="0"/>
        <v>8425.6667933333338</v>
      </c>
    </row>
    <row r="59" spans="1:13" x14ac:dyDescent="0.25">
      <c r="A59" s="186">
        <v>28500</v>
      </c>
      <c r="B59" s="33">
        <f t="shared" si="3"/>
        <v>2375</v>
      </c>
      <c r="C59" s="185">
        <f>'Child care subsidy'!S62*12</f>
        <v>24480</v>
      </c>
      <c r="D59" s="185">
        <f>MAX('TANF-VIEW'!L66,'TANF-VIEW'!T66)*12</f>
        <v>0</v>
      </c>
      <c r="E59" s="193">
        <f>SNAP!V63*12</f>
        <v>6852</v>
      </c>
      <c r="F59" s="184">
        <f>WIC!F65*12</f>
        <v>882.24</v>
      </c>
      <c r="G59" s="185">
        <f>'Housing Voucher'!Q63*12</f>
        <v>6617.9880000000003</v>
      </c>
      <c r="H59" s="197">
        <f>EITC!E62</f>
        <v>7614.4135200000001</v>
      </c>
      <c r="I59" s="205">
        <f>Medicaid!N66*12</f>
        <v>26265</v>
      </c>
      <c r="K59" s="185">
        <f t="shared" si="1"/>
        <v>72711.641520000005</v>
      </c>
      <c r="L59" s="185">
        <f t="shared" si="2"/>
        <v>101211.64152</v>
      </c>
      <c r="M59" s="36">
        <f t="shared" si="0"/>
        <v>8434.303460000001</v>
      </c>
    </row>
    <row r="60" spans="1:13" x14ac:dyDescent="0.25">
      <c r="A60" s="186">
        <v>29000</v>
      </c>
      <c r="B60" s="33">
        <f t="shared" si="3"/>
        <v>2416.6666666666665</v>
      </c>
      <c r="C60" s="185">
        <f>'Child care subsidy'!S63*12</f>
        <v>24480</v>
      </c>
      <c r="D60" s="185">
        <f>MAX('TANF-VIEW'!L67,'TANF-VIEW'!T67)*12</f>
        <v>0</v>
      </c>
      <c r="E60" s="193">
        <f>SNAP!V64*12</f>
        <v>6732</v>
      </c>
      <c r="F60" s="184">
        <f>WIC!F66*12</f>
        <v>882.24</v>
      </c>
      <c r="G60" s="185">
        <f>'Housing Voucher'!Q64*12</f>
        <v>6467.9880000000003</v>
      </c>
      <c r="H60" s="197">
        <f>EITC!E63</f>
        <v>7488.0535200000004</v>
      </c>
      <c r="I60" s="205">
        <f>Medicaid!N67*12</f>
        <v>26265</v>
      </c>
      <c r="K60" s="185">
        <f t="shared" si="1"/>
        <v>72315.281520000004</v>
      </c>
      <c r="L60" s="185">
        <f t="shared" si="2"/>
        <v>101315.28152</v>
      </c>
      <c r="M60" s="36">
        <f t="shared" si="0"/>
        <v>8442.9401266666664</v>
      </c>
    </row>
    <row r="61" spans="1:13" x14ac:dyDescent="0.25">
      <c r="A61" s="186">
        <v>29500</v>
      </c>
      <c r="B61" s="33">
        <f t="shared" si="3"/>
        <v>2458.3333333333335</v>
      </c>
      <c r="C61" s="185">
        <f>'Child care subsidy'!S64*12</f>
        <v>24480</v>
      </c>
      <c r="D61" s="185">
        <f>MAX('TANF-VIEW'!L68,'TANF-VIEW'!T68)*12</f>
        <v>0</v>
      </c>
      <c r="E61" s="193">
        <f>SNAP!V65*12</f>
        <v>6612</v>
      </c>
      <c r="F61" s="184">
        <f>WIC!F67*12</f>
        <v>882.24</v>
      </c>
      <c r="G61" s="185">
        <f>'Housing Voucher'!Q65*12</f>
        <v>6317.9879999999994</v>
      </c>
      <c r="H61" s="197">
        <f>EITC!E64</f>
        <v>7361.6935199999998</v>
      </c>
      <c r="I61" s="205">
        <f>Medicaid!N68*12</f>
        <v>26265</v>
      </c>
      <c r="K61" s="185">
        <f t="shared" si="1"/>
        <v>71918.921520000004</v>
      </c>
      <c r="L61" s="185">
        <f t="shared" si="2"/>
        <v>101418.92152</v>
      </c>
      <c r="M61" s="36">
        <f t="shared" si="0"/>
        <v>8451.5767933333336</v>
      </c>
    </row>
    <row r="62" spans="1:13" x14ac:dyDescent="0.25">
      <c r="A62" s="186">
        <v>30000</v>
      </c>
      <c r="B62" s="33">
        <f t="shared" si="3"/>
        <v>2500</v>
      </c>
      <c r="C62" s="185">
        <f>'Child care subsidy'!S65*12</f>
        <v>24480</v>
      </c>
      <c r="D62" s="185">
        <f>MAX('TANF-VIEW'!L69,'TANF-VIEW'!T69)*12</f>
        <v>0</v>
      </c>
      <c r="E62" s="193">
        <f>SNAP!V66*12</f>
        <v>6492</v>
      </c>
      <c r="F62" s="184">
        <f>WIC!F68*12</f>
        <v>882.24</v>
      </c>
      <c r="G62" s="185">
        <f>'Housing Voucher'!Q66*12</f>
        <v>6167.9880000000003</v>
      </c>
      <c r="H62" s="197">
        <f>EITC!E65</f>
        <v>7235.3335200000001</v>
      </c>
      <c r="I62" s="205">
        <f>Medicaid!N69*12</f>
        <v>26265</v>
      </c>
      <c r="K62" s="185">
        <f t="shared" si="1"/>
        <v>71522.561520000003</v>
      </c>
      <c r="L62" s="185">
        <f t="shared" si="2"/>
        <v>101522.56152</v>
      </c>
      <c r="M62" s="36">
        <f t="shared" si="0"/>
        <v>8460.2134600000009</v>
      </c>
    </row>
    <row r="63" spans="1:13" x14ac:dyDescent="0.25">
      <c r="A63" s="186">
        <v>30500</v>
      </c>
      <c r="B63" s="33">
        <f t="shared" si="3"/>
        <v>2541.6666666666665</v>
      </c>
      <c r="C63" s="185">
        <f>'Child care subsidy'!S66*12</f>
        <v>24480</v>
      </c>
      <c r="D63" s="185">
        <f>MAX('TANF-VIEW'!L70,'TANF-VIEW'!T70)*12</f>
        <v>0</v>
      </c>
      <c r="E63" s="193">
        <f>SNAP!V67*12</f>
        <v>6372</v>
      </c>
      <c r="F63" s="184">
        <f>WIC!F69*12</f>
        <v>882.24</v>
      </c>
      <c r="G63" s="185">
        <f>'Housing Voucher'!Q67*12</f>
        <v>6017.9880000000003</v>
      </c>
      <c r="H63" s="197">
        <f>EITC!E66</f>
        <v>7108.9735199999996</v>
      </c>
      <c r="I63" s="205">
        <f>Medicaid!N70*12</f>
        <v>26265</v>
      </c>
      <c r="K63" s="185">
        <f t="shared" si="1"/>
        <v>71126.201520000002</v>
      </c>
      <c r="L63" s="185">
        <f t="shared" si="2"/>
        <v>101626.20152</v>
      </c>
      <c r="M63" s="36">
        <f t="shared" si="0"/>
        <v>8468.8501266666663</v>
      </c>
    </row>
    <row r="64" spans="1:13" x14ac:dyDescent="0.25">
      <c r="A64" s="186">
        <v>31000</v>
      </c>
      <c r="B64" s="33">
        <f t="shared" si="3"/>
        <v>2583.3333333333335</v>
      </c>
      <c r="C64" s="185">
        <f>'Child care subsidy'!S67*12</f>
        <v>24480</v>
      </c>
      <c r="D64" s="185">
        <f>MAX('TANF-VIEW'!L71,'TANF-VIEW'!T71)*12</f>
        <v>0</v>
      </c>
      <c r="E64" s="193">
        <f>SNAP!V68*12</f>
        <v>6252</v>
      </c>
      <c r="F64" s="184">
        <f>WIC!F70*12</f>
        <v>882.24</v>
      </c>
      <c r="G64" s="185">
        <f>'Housing Voucher'!Q68*12</f>
        <v>5867.9879999999994</v>
      </c>
      <c r="H64" s="197">
        <f>EITC!E67</f>
        <v>6982.6135200000008</v>
      </c>
      <c r="I64" s="205">
        <f>Medicaid!N71*12</f>
        <v>26265</v>
      </c>
      <c r="K64" s="185">
        <f t="shared" si="1"/>
        <v>70729.841520000002</v>
      </c>
      <c r="L64" s="185">
        <f t="shared" si="2"/>
        <v>101729.84152</v>
      </c>
      <c r="M64" s="36">
        <f t="shared" si="0"/>
        <v>8477.4867933333335</v>
      </c>
    </row>
    <row r="65" spans="1:13" x14ac:dyDescent="0.25">
      <c r="A65" s="186">
        <v>31500</v>
      </c>
      <c r="B65" s="33">
        <f t="shared" si="3"/>
        <v>2625</v>
      </c>
      <c r="C65" s="185">
        <f>'Child care subsidy'!S68*12</f>
        <v>24480</v>
      </c>
      <c r="D65" s="185">
        <f>MAX('TANF-VIEW'!L72,'TANF-VIEW'!T72)*12</f>
        <v>0</v>
      </c>
      <c r="E65" s="193">
        <f>SNAP!V69*12</f>
        <v>6132</v>
      </c>
      <c r="F65" s="184">
        <f>WIC!F71*12</f>
        <v>882.24</v>
      </c>
      <c r="G65" s="185">
        <f>'Housing Voucher'!Q69*12</f>
        <v>5717.9880000000003</v>
      </c>
      <c r="H65" s="197">
        <f>EITC!E68</f>
        <v>6856.2535200000002</v>
      </c>
      <c r="I65" s="205">
        <f>Medicaid!N72*12</f>
        <v>26265</v>
      </c>
      <c r="K65" s="185">
        <f t="shared" si="1"/>
        <v>70333.481520000001</v>
      </c>
      <c r="L65" s="185">
        <f t="shared" si="2"/>
        <v>101833.48152</v>
      </c>
      <c r="M65" s="36">
        <f t="shared" si="0"/>
        <v>8486.1234600000007</v>
      </c>
    </row>
    <row r="66" spans="1:13" x14ac:dyDescent="0.25">
      <c r="A66" s="186">
        <v>32000</v>
      </c>
      <c r="B66" s="33">
        <f t="shared" si="3"/>
        <v>2666.6666666666665</v>
      </c>
      <c r="C66" s="185">
        <f>'Child care subsidy'!S69*12</f>
        <v>24480</v>
      </c>
      <c r="D66" s="185">
        <f>MAX('TANF-VIEW'!L73,'TANF-VIEW'!T73)*12</f>
        <v>0</v>
      </c>
      <c r="E66" s="193">
        <f>SNAP!V70*12</f>
        <v>6012</v>
      </c>
      <c r="F66" s="184">
        <f>WIC!F72*12</f>
        <v>882.24</v>
      </c>
      <c r="G66" s="185">
        <f>'Housing Voucher'!Q70*12</f>
        <v>5567.9880000000003</v>
      </c>
      <c r="H66" s="197">
        <f>EITC!E69</f>
        <v>6729.8935199999996</v>
      </c>
      <c r="I66" s="205">
        <f>Medicaid!N73*12</f>
        <v>26265</v>
      </c>
      <c r="K66" s="185">
        <f t="shared" si="1"/>
        <v>69937.121520000001</v>
      </c>
      <c r="L66" s="185">
        <f t="shared" si="2"/>
        <v>101937.12152</v>
      </c>
      <c r="M66" s="36">
        <f t="shared" si="0"/>
        <v>8494.7601266666661</v>
      </c>
    </row>
    <row r="67" spans="1:13" x14ac:dyDescent="0.25">
      <c r="A67" s="186">
        <v>32500</v>
      </c>
      <c r="B67" s="33">
        <f t="shared" si="3"/>
        <v>2708.3333333333335</v>
      </c>
      <c r="C67" s="185">
        <f>'Child care subsidy'!S70*12</f>
        <v>24480</v>
      </c>
      <c r="D67" s="185">
        <f>MAX('TANF-VIEW'!L74,'TANF-VIEW'!T74)*12</f>
        <v>0</v>
      </c>
      <c r="E67" s="193">
        <f>SNAP!V71*12</f>
        <v>5892</v>
      </c>
      <c r="F67" s="184">
        <f>WIC!F73*12</f>
        <v>882.24</v>
      </c>
      <c r="G67" s="185">
        <f>'Housing Voucher'!Q71*12</f>
        <v>5417.9879999999994</v>
      </c>
      <c r="H67" s="197">
        <f>EITC!E70</f>
        <v>6603.53352</v>
      </c>
      <c r="I67" s="205">
        <f>Medicaid!N74*12</f>
        <v>26265</v>
      </c>
      <c r="K67" s="185">
        <f t="shared" si="1"/>
        <v>69540.76152</v>
      </c>
      <c r="L67" s="185">
        <f t="shared" si="2"/>
        <v>102040.76152</v>
      </c>
      <c r="M67" s="36">
        <f t="shared" ref="M67:M130" si="4">L67/12</f>
        <v>8503.3967933333333</v>
      </c>
    </row>
    <row r="68" spans="1:13" x14ac:dyDescent="0.25">
      <c r="A68" s="206">
        <v>33000</v>
      </c>
      <c r="B68" s="207">
        <f t="shared" si="3"/>
        <v>2750</v>
      </c>
      <c r="C68" s="208">
        <f>'Child care subsidy'!S71*12</f>
        <v>24480</v>
      </c>
      <c r="D68" s="208">
        <f>MAX('TANF-VIEW'!L75,'TANF-VIEW'!T75)*12</f>
        <v>0</v>
      </c>
      <c r="E68" s="209">
        <f>SNAP!V72*12</f>
        <v>5772</v>
      </c>
      <c r="F68" s="210">
        <f>WIC!F74*12</f>
        <v>882.24</v>
      </c>
      <c r="G68" s="208">
        <f>'Housing Voucher'!Q72*12</f>
        <v>5267.9880000000003</v>
      </c>
      <c r="H68" s="211">
        <f>EITC!E71</f>
        <v>6477.1735199999994</v>
      </c>
      <c r="I68" s="212">
        <f>Medicaid!N75*12</f>
        <v>26265</v>
      </c>
      <c r="J68" s="213"/>
      <c r="K68" s="208">
        <f t="shared" ref="K68:K131" si="5">SUM(C68:I68)</f>
        <v>69144.401519999999</v>
      </c>
      <c r="L68" s="208">
        <f t="shared" ref="L68:L131" si="6">A68+K68</f>
        <v>102144.40152</v>
      </c>
      <c r="M68" s="36">
        <f t="shared" si="4"/>
        <v>8512.0334600000006</v>
      </c>
    </row>
    <row r="69" spans="1:13" x14ac:dyDescent="0.25">
      <c r="A69" s="206">
        <v>33500</v>
      </c>
      <c r="B69" s="207">
        <f t="shared" ref="B69:B102" si="7">A69/12</f>
        <v>2791.6666666666665</v>
      </c>
      <c r="C69" s="208">
        <f>'Child care subsidy'!S72*12</f>
        <v>24480</v>
      </c>
      <c r="D69" s="208">
        <f>MAX('TANF-VIEW'!L76,'TANF-VIEW'!T76)*12</f>
        <v>0</v>
      </c>
      <c r="E69" s="209">
        <f>SNAP!V73*12</f>
        <v>5652</v>
      </c>
      <c r="F69" s="210">
        <f>WIC!F75*12</f>
        <v>882.24</v>
      </c>
      <c r="G69" s="208">
        <f>'Housing Voucher'!Q73*12</f>
        <v>5117.9880000000003</v>
      </c>
      <c r="H69" s="211">
        <f>EITC!E72</f>
        <v>6350.8135200000006</v>
      </c>
      <c r="I69" s="212">
        <f>Medicaid!N76*12</f>
        <v>26265</v>
      </c>
      <c r="J69" s="213"/>
      <c r="K69" s="208">
        <f t="shared" si="5"/>
        <v>68748.041519999999</v>
      </c>
      <c r="L69" s="208">
        <f t="shared" si="6"/>
        <v>102248.04152</v>
      </c>
      <c r="M69" s="36">
        <f t="shared" si="4"/>
        <v>8520.670126666666</v>
      </c>
    </row>
    <row r="70" spans="1:13" x14ac:dyDescent="0.25">
      <c r="A70" s="186">
        <v>34000</v>
      </c>
      <c r="B70" s="33">
        <f t="shared" si="7"/>
        <v>2833.3333333333335</v>
      </c>
      <c r="C70" s="185">
        <f>'Child care subsidy'!S73*12</f>
        <v>24480</v>
      </c>
      <c r="D70" s="185">
        <f>MAX('TANF-VIEW'!L77,'TANF-VIEW'!T77)*12</f>
        <v>0</v>
      </c>
      <c r="E70" s="193">
        <f>SNAP!V74*12</f>
        <v>5532</v>
      </c>
      <c r="F70" s="184">
        <f>WIC!F76*12</f>
        <v>882.24</v>
      </c>
      <c r="G70" s="185">
        <f>'Housing Voucher'!Q74*12</f>
        <v>4967.9880000000003</v>
      </c>
      <c r="H70" s="197">
        <f>EITC!E73</f>
        <v>6224.4535199999991</v>
      </c>
      <c r="I70" s="205">
        <f>Medicaid!N77*12</f>
        <v>26265</v>
      </c>
      <c r="K70" s="185">
        <f t="shared" si="5"/>
        <v>68351.681519999998</v>
      </c>
      <c r="L70" s="185">
        <f t="shared" si="6"/>
        <v>102351.68152</v>
      </c>
      <c r="M70" s="36">
        <f t="shared" si="4"/>
        <v>8529.3067933333332</v>
      </c>
    </row>
    <row r="71" spans="1:13" x14ac:dyDescent="0.25">
      <c r="A71" s="186">
        <v>34500</v>
      </c>
      <c r="B71" s="33">
        <f t="shared" si="7"/>
        <v>2875</v>
      </c>
      <c r="C71" s="185">
        <f>'Child care subsidy'!S74*12</f>
        <v>24480</v>
      </c>
      <c r="D71" s="185">
        <f>MAX('TANF-VIEW'!L78,'TANF-VIEW'!T78)*12</f>
        <v>0</v>
      </c>
      <c r="E71" s="193">
        <f>SNAP!V75*12</f>
        <v>5412</v>
      </c>
      <c r="F71" s="184">
        <f>WIC!F77*12</f>
        <v>882.24</v>
      </c>
      <c r="G71" s="185">
        <f>'Housing Voucher'!Q75*12</f>
        <v>4817.9880000000003</v>
      </c>
      <c r="H71" s="197">
        <f>EITC!E74</f>
        <v>6098.0935200000004</v>
      </c>
      <c r="I71" s="205">
        <f>Medicaid!N78*12</f>
        <v>26265</v>
      </c>
      <c r="K71" s="185">
        <f t="shared" si="5"/>
        <v>67955.321519999998</v>
      </c>
      <c r="L71" s="185">
        <f t="shared" si="6"/>
        <v>102455.32152</v>
      </c>
      <c r="M71" s="36">
        <f t="shared" si="4"/>
        <v>8537.9434600000004</v>
      </c>
    </row>
    <row r="72" spans="1:13" x14ac:dyDescent="0.25">
      <c r="A72" s="186">
        <v>35000</v>
      </c>
      <c r="B72" s="33">
        <f t="shared" si="7"/>
        <v>2916.6666666666665</v>
      </c>
      <c r="C72" s="185">
        <f>'Child care subsidy'!S75*12</f>
        <v>24480</v>
      </c>
      <c r="D72" s="185">
        <f>MAX('TANF-VIEW'!L79,'TANF-VIEW'!T79)*12</f>
        <v>0</v>
      </c>
      <c r="E72" s="193">
        <f>SNAP!V76*12</f>
        <v>5292</v>
      </c>
      <c r="F72" s="184">
        <f>WIC!F78*12</f>
        <v>882.24</v>
      </c>
      <c r="G72" s="185">
        <f>'Housing Voucher'!Q76*12</f>
        <v>4667.9880000000003</v>
      </c>
      <c r="H72" s="197">
        <f>EITC!E75</f>
        <v>5971.7335199999998</v>
      </c>
      <c r="I72" s="205">
        <f>Medicaid!N79*12</f>
        <v>26265</v>
      </c>
      <c r="K72" s="185">
        <f t="shared" si="5"/>
        <v>67558.961520000012</v>
      </c>
      <c r="L72" s="185">
        <f t="shared" si="6"/>
        <v>102558.96152000001</v>
      </c>
      <c r="M72" s="36">
        <f t="shared" si="4"/>
        <v>8546.5801266666676</v>
      </c>
    </row>
    <row r="73" spans="1:13" x14ac:dyDescent="0.25">
      <c r="A73" s="186">
        <v>35500</v>
      </c>
      <c r="B73" s="33">
        <f t="shared" si="7"/>
        <v>2958.3333333333335</v>
      </c>
      <c r="C73" s="185">
        <f>'Child care subsidy'!S76*12</f>
        <v>24480</v>
      </c>
      <c r="D73" s="185">
        <f>MAX('TANF-VIEW'!L80,'TANF-VIEW'!T80)*12</f>
        <v>0</v>
      </c>
      <c r="E73" s="193">
        <f>SNAP!V77*12</f>
        <v>5172</v>
      </c>
      <c r="F73" s="184">
        <f>WIC!F79*12</f>
        <v>882.24</v>
      </c>
      <c r="G73" s="185">
        <f>'Housing Voucher'!Q77*12</f>
        <v>4517.9880000000003</v>
      </c>
      <c r="H73" s="197">
        <f>EITC!E76</f>
        <v>5845.3735199999992</v>
      </c>
      <c r="I73" s="205">
        <f>Medicaid!N80*12</f>
        <v>26265</v>
      </c>
      <c r="K73" s="185">
        <f t="shared" si="5"/>
        <v>67162.601519999997</v>
      </c>
      <c r="L73" s="185">
        <f t="shared" si="6"/>
        <v>102662.60152</v>
      </c>
      <c r="M73" s="36">
        <f t="shared" si="4"/>
        <v>8555.216793333333</v>
      </c>
    </row>
    <row r="74" spans="1:13" x14ac:dyDescent="0.25">
      <c r="A74" s="186">
        <v>36000</v>
      </c>
      <c r="B74" s="33">
        <f t="shared" si="7"/>
        <v>3000</v>
      </c>
      <c r="C74" s="185">
        <f>'Child care subsidy'!S77*12</f>
        <v>24480</v>
      </c>
      <c r="D74" s="185">
        <f>MAX('TANF-VIEW'!L81,'TANF-VIEW'!T81)*12</f>
        <v>0</v>
      </c>
      <c r="E74" s="193">
        <f>SNAP!V78*12</f>
        <v>5052</v>
      </c>
      <c r="F74" s="184">
        <f>WIC!F80*12</f>
        <v>882.24</v>
      </c>
      <c r="G74" s="185">
        <f>'Housing Voucher'!Q78*12</f>
        <v>4367.9880000000003</v>
      </c>
      <c r="H74" s="197">
        <f>EITC!E77</f>
        <v>5719.0135200000004</v>
      </c>
      <c r="I74" s="205">
        <f>Medicaid!N81*12</f>
        <v>26265</v>
      </c>
      <c r="K74" s="185">
        <f t="shared" si="5"/>
        <v>66766.24152000001</v>
      </c>
      <c r="L74" s="185">
        <f t="shared" si="6"/>
        <v>102766.24152000001</v>
      </c>
      <c r="M74" s="36">
        <f t="shared" si="4"/>
        <v>8563.8534600000003</v>
      </c>
    </row>
    <row r="75" spans="1:13" x14ac:dyDescent="0.25">
      <c r="A75" s="206">
        <v>36500</v>
      </c>
      <c r="B75" s="207">
        <f t="shared" si="7"/>
        <v>3041.6666666666665</v>
      </c>
      <c r="C75" s="208">
        <f>'Child care subsidy'!S78*12</f>
        <v>24480</v>
      </c>
      <c r="D75" s="208">
        <f>MAX('TANF-VIEW'!L82,'TANF-VIEW'!T82)*12</f>
        <v>0</v>
      </c>
      <c r="E75" s="209">
        <f>SNAP!V79*12</f>
        <v>4932</v>
      </c>
      <c r="F75" s="210">
        <f>WIC!F81*12</f>
        <v>882.24</v>
      </c>
      <c r="G75" s="208">
        <f>'Housing Voucher'!Q79*12</f>
        <v>4217.9880000000003</v>
      </c>
      <c r="H75" s="211">
        <f>EITC!E78</f>
        <v>5592.6535199999989</v>
      </c>
      <c r="I75" s="212">
        <f>Medicaid!N82*12</f>
        <v>26265</v>
      </c>
      <c r="J75" s="213"/>
      <c r="K75" s="208">
        <f t="shared" si="5"/>
        <v>66369.881519999995</v>
      </c>
      <c r="L75" s="208">
        <f t="shared" si="6"/>
        <v>102869.88152</v>
      </c>
      <c r="M75" s="36">
        <f t="shared" si="4"/>
        <v>8572.4901266666657</v>
      </c>
    </row>
    <row r="76" spans="1:13" x14ac:dyDescent="0.25">
      <c r="A76" s="206">
        <v>37000</v>
      </c>
      <c r="B76" s="207">
        <f t="shared" si="7"/>
        <v>3083.3333333333335</v>
      </c>
      <c r="C76" s="208">
        <f>'Child care subsidy'!S79*12</f>
        <v>24480</v>
      </c>
      <c r="D76" s="208">
        <f>MAX('TANF-VIEW'!L83,'TANF-VIEW'!T83)*12</f>
        <v>0</v>
      </c>
      <c r="E76" s="209">
        <f>SNAP!V80*12</f>
        <v>4812</v>
      </c>
      <c r="F76" s="210">
        <f>WIC!F82*12</f>
        <v>882.24</v>
      </c>
      <c r="G76" s="208">
        <f>'Housing Voucher'!Q80*12</f>
        <v>4067.9880000000003</v>
      </c>
      <c r="H76" s="211">
        <f>EITC!E79</f>
        <v>5466.2935200000002</v>
      </c>
      <c r="I76" s="212">
        <f>Medicaid!N83*12</f>
        <v>26265</v>
      </c>
      <c r="J76" s="213"/>
      <c r="K76" s="208">
        <f t="shared" si="5"/>
        <v>65973.521520000009</v>
      </c>
      <c r="L76" s="208">
        <f t="shared" si="6"/>
        <v>102973.52152000001</v>
      </c>
      <c r="M76" s="36">
        <f t="shared" si="4"/>
        <v>8581.1267933333347</v>
      </c>
    </row>
    <row r="77" spans="1:13" x14ac:dyDescent="0.25">
      <c r="A77" s="186">
        <v>37500</v>
      </c>
      <c r="B77" s="33">
        <f t="shared" si="7"/>
        <v>3125</v>
      </c>
      <c r="C77" s="185">
        <f>'Child care subsidy'!S80*12</f>
        <v>24480</v>
      </c>
      <c r="D77" s="185">
        <f>MAX('TANF-VIEW'!L84,'TANF-VIEW'!T84)*12</f>
        <v>0</v>
      </c>
      <c r="E77" s="193">
        <f>SNAP!V81*12</f>
        <v>4692</v>
      </c>
      <c r="F77" s="184">
        <f>WIC!F83*12</f>
        <v>882.24</v>
      </c>
      <c r="G77" s="185">
        <f>'Housing Voucher'!Q81*12</f>
        <v>3917.9880000000003</v>
      </c>
      <c r="H77" s="197">
        <f>EITC!E80</f>
        <v>5339.9335199999996</v>
      </c>
      <c r="I77" s="205">
        <f>Medicaid!N84*12</f>
        <v>26265</v>
      </c>
      <c r="K77" s="185">
        <f t="shared" si="5"/>
        <v>65577.161519999994</v>
      </c>
      <c r="L77" s="185">
        <f t="shared" si="6"/>
        <v>103077.16151999999</v>
      </c>
      <c r="M77" s="36">
        <f t="shared" si="4"/>
        <v>8589.7634600000001</v>
      </c>
    </row>
    <row r="78" spans="1:13" x14ac:dyDescent="0.25">
      <c r="A78" s="186">
        <v>38000</v>
      </c>
      <c r="B78" s="33">
        <f t="shared" si="7"/>
        <v>3166.6666666666665</v>
      </c>
      <c r="C78" s="185">
        <f>'Child care subsidy'!S81*12</f>
        <v>24480</v>
      </c>
      <c r="D78" s="185">
        <f>MAX('TANF-VIEW'!L85,'TANF-VIEW'!T85)*12</f>
        <v>0</v>
      </c>
      <c r="E78" s="193">
        <f>SNAP!V82*12</f>
        <v>4572</v>
      </c>
      <c r="F78" s="184">
        <f>WIC!F84*12</f>
        <v>882.24</v>
      </c>
      <c r="G78" s="185">
        <f>'Housing Voucher'!Q82*12</f>
        <v>3767.9880000000003</v>
      </c>
      <c r="H78" s="197">
        <f>EITC!E81</f>
        <v>5213.5735199999999</v>
      </c>
      <c r="I78" s="205">
        <f>Medicaid!N85*12</f>
        <v>26265</v>
      </c>
      <c r="K78" s="185">
        <f t="shared" si="5"/>
        <v>65180.801520000001</v>
      </c>
      <c r="L78" s="185">
        <f t="shared" si="6"/>
        <v>103180.80152000001</v>
      </c>
      <c r="M78" s="36">
        <f t="shared" si="4"/>
        <v>8598.4001266666673</v>
      </c>
    </row>
    <row r="79" spans="1:13" x14ac:dyDescent="0.25">
      <c r="A79" s="186">
        <v>38500</v>
      </c>
      <c r="B79" s="33">
        <f t="shared" si="7"/>
        <v>3208.3333333333335</v>
      </c>
      <c r="C79" s="185">
        <f>'Child care subsidy'!S82*12</f>
        <v>24480</v>
      </c>
      <c r="D79" s="185">
        <f>MAX('TANF-VIEW'!L86,'TANF-VIEW'!T86)*12</f>
        <v>0</v>
      </c>
      <c r="E79" s="193">
        <f>SNAP!V83*12</f>
        <v>4452</v>
      </c>
      <c r="F79" s="184">
        <f>WIC!F85*12</f>
        <v>882.24</v>
      </c>
      <c r="G79" s="185">
        <f>'Housing Voucher'!Q83*12</f>
        <v>3617.9880000000003</v>
      </c>
      <c r="H79" s="197">
        <f>EITC!E82</f>
        <v>5087.2135200000002</v>
      </c>
      <c r="I79" s="205">
        <f>Medicaid!N86*12</f>
        <v>26265</v>
      </c>
      <c r="K79" s="185">
        <f t="shared" si="5"/>
        <v>64784.44152</v>
      </c>
      <c r="L79" s="185">
        <f t="shared" si="6"/>
        <v>103284.44151999999</v>
      </c>
      <c r="M79" s="36">
        <f t="shared" si="4"/>
        <v>8607.0367933333328</v>
      </c>
    </row>
    <row r="80" spans="1:13" x14ac:dyDescent="0.25">
      <c r="A80" s="186">
        <v>39000</v>
      </c>
      <c r="B80" s="33">
        <f t="shared" si="7"/>
        <v>3250</v>
      </c>
      <c r="C80" s="185">
        <f>'Child care subsidy'!S83*12</f>
        <v>22770</v>
      </c>
      <c r="D80" s="185">
        <f>MAX('TANF-VIEW'!L87,'TANF-VIEW'!T87)*12</f>
        <v>0</v>
      </c>
      <c r="E80" s="193">
        <f>SNAP!V84*12</f>
        <v>4332</v>
      </c>
      <c r="F80" s="184">
        <f>WIC!F86*12</f>
        <v>882.24</v>
      </c>
      <c r="G80" s="185">
        <f>'Housing Voucher'!Q84*12</f>
        <v>3467.9880000000003</v>
      </c>
      <c r="H80" s="197">
        <f>EITC!E83</f>
        <v>4960.8535199999988</v>
      </c>
      <c r="I80" s="205">
        <f>Medicaid!N87*12</f>
        <v>26265</v>
      </c>
      <c r="K80" s="185">
        <f t="shared" si="5"/>
        <v>62678.08152</v>
      </c>
      <c r="L80" s="185">
        <f t="shared" si="6"/>
        <v>101678.08152000001</v>
      </c>
      <c r="M80" s="36">
        <f t="shared" si="4"/>
        <v>8473.17346</v>
      </c>
    </row>
    <row r="81" spans="1:13" x14ac:dyDescent="0.25">
      <c r="A81" s="186">
        <v>39500</v>
      </c>
      <c r="B81" s="33">
        <f t="shared" si="7"/>
        <v>3291.6666666666665</v>
      </c>
      <c r="C81" s="185">
        <f>'Child care subsidy'!S84*12</f>
        <v>22745</v>
      </c>
      <c r="D81" s="185">
        <f>MAX('TANF-VIEW'!L88,'TANF-VIEW'!T88)*12</f>
        <v>0</v>
      </c>
      <c r="E81" s="193">
        <f>SNAP!V85*12</f>
        <v>4212</v>
      </c>
      <c r="F81" s="184">
        <f>WIC!F87*12</f>
        <v>882.24</v>
      </c>
      <c r="G81" s="185">
        <f>'Housing Voucher'!Q85*12</f>
        <v>3317.9880000000003</v>
      </c>
      <c r="H81" s="197">
        <f>EITC!E84</f>
        <v>4834.49352</v>
      </c>
      <c r="I81" s="205">
        <f>Medicaid!N88*12</f>
        <v>26265</v>
      </c>
      <c r="K81" s="185">
        <f t="shared" si="5"/>
        <v>62256.721520000006</v>
      </c>
      <c r="L81" s="185">
        <f t="shared" si="6"/>
        <v>101756.72152000001</v>
      </c>
      <c r="M81" s="36">
        <f t="shared" si="4"/>
        <v>8479.7267933333333</v>
      </c>
    </row>
    <row r="82" spans="1:13" x14ac:dyDescent="0.25">
      <c r="A82" s="186">
        <v>40000</v>
      </c>
      <c r="B82" s="33">
        <f t="shared" si="7"/>
        <v>3333.3333333333335</v>
      </c>
      <c r="C82" s="185">
        <f>'Child care subsidy'!S85*12</f>
        <v>22720</v>
      </c>
      <c r="D82" s="185">
        <f>MAX('TANF-VIEW'!L89,'TANF-VIEW'!T89)*12</f>
        <v>0</v>
      </c>
      <c r="E82" s="193">
        <f>SNAP!V86*12</f>
        <v>4092</v>
      </c>
      <c r="F82" s="184">
        <f>WIC!F88*12</f>
        <v>882.24</v>
      </c>
      <c r="G82" s="185">
        <f>'Housing Voucher'!Q86*12</f>
        <v>3167.9880000000003</v>
      </c>
      <c r="H82" s="197">
        <f>EITC!E85</f>
        <v>4708.1335199999994</v>
      </c>
      <c r="I82" s="205">
        <f>Medicaid!N89*12</f>
        <v>26265</v>
      </c>
      <c r="K82" s="185">
        <f t="shared" si="5"/>
        <v>61835.361520000006</v>
      </c>
      <c r="L82" s="185">
        <f t="shared" si="6"/>
        <v>101835.36152000001</v>
      </c>
      <c r="M82" s="36">
        <f t="shared" si="4"/>
        <v>8486.2801266666665</v>
      </c>
    </row>
    <row r="83" spans="1:13" x14ac:dyDescent="0.25">
      <c r="A83" s="186">
        <v>40500</v>
      </c>
      <c r="B83" s="33">
        <f t="shared" si="7"/>
        <v>3375</v>
      </c>
      <c r="C83" s="185">
        <f>'Child care subsidy'!S86*12</f>
        <v>22695</v>
      </c>
      <c r="D83" s="185">
        <f>MAX('TANF-VIEW'!L90,'TANF-VIEW'!T90)*12</f>
        <v>0</v>
      </c>
      <c r="E83" s="193">
        <f>SNAP!V87*12</f>
        <v>3972</v>
      </c>
      <c r="F83" s="184">
        <f>WIC!F89*12</f>
        <v>882.24</v>
      </c>
      <c r="G83" s="185">
        <f>'Housing Voucher'!Q87*12</f>
        <v>3017.9880000000003</v>
      </c>
      <c r="H83" s="197">
        <f>EITC!E86</f>
        <v>4581.7735199999997</v>
      </c>
      <c r="I83" s="205">
        <f>Medicaid!N90*12</f>
        <v>26265</v>
      </c>
      <c r="K83" s="185">
        <f t="shared" si="5"/>
        <v>61414.001520000005</v>
      </c>
      <c r="L83" s="185">
        <f t="shared" si="6"/>
        <v>101914.00152000001</v>
      </c>
      <c r="M83" s="36">
        <f t="shared" si="4"/>
        <v>8492.8334599999998</v>
      </c>
    </row>
    <row r="84" spans="1:13" x14ac:dyDescent="0.25">
      <c r="A84" s="186">
        <v>41000</v>
      </c>
      <c r="B84" s="33">
        <f t="shared" si="7"/>
        <v>3416.6666666666665</v>
      </c>
      <c r="C84" s="185">
        <f>'Child care subsidy'!S87*12</f>
        <v>22670</v>
      </c>
      <c r="D84" s="185">
        <f>MAX('TANF-VIEW'!L91,'TANF-VIEW'!T91)*12</f>
        <v>0</v>
      </c>
      <c r="E84" s="193">
        <f>SNAP!V88*12</f>
        <v>3852</v>
      </c>
      <c r="F84" s="184">
        <f>WIC!F90*12</f>
        <v>882.24</v>
      </c>
      <c r="G84" s="185">
        <f>'Housing Voucher'!Q88*12</f>
        <v>2867.9880000000003</v>
      </c>
      <c r="H84" s="197">
        <f>EITC!E87</f>
        <v>4455.4135200000001</v>
      </c>
      <c r="I84" s="205">
        <f>Medicaid!N91*12</f>
        <v>26265</v>
      </c>
      <c r="K84" s="185">
        <f t="shared" si="5"/>
        <v>60992.641520000005</v>
      </c>
      <c r="L84" s="185">
        <f t="shared" si="6"/>
        <v>101992.64152</v>
      </c>
      <c r="M84" s="36">
        <f t="shared" si="4"/>
        <v>8499.3867933333331</v>
      </c>
    </row>
    <row r="85" spans="1:13" x14ac:dyDescent="0.25">
      <c r="A85" s="186">
        <v>41500</v>
      </c>
      <c r="B85" s="33">
        <f t="shared" si="7"/>
        <v>3458.3333333333335</v>
      </c>
      <c r="C85" s="185">
        <f>'Child care subsidy'!S88*12</f>
        <v>22645</v>
      </c>
      <c r="D85" s="185">
        <f>MAX('TANF-VIEW'!L92,'TANF-VIEW'!T92)*12</f>
        <v>0</v>
      </c>
      <c r="E85" s="193">
        <f>SNAP!V89*12</f>
        <v>3732</v>
      </c>
      <c r="F85" s="184">
        <f>WIC!F91*12</f>
        <v>882.24</v>
      </c>
      <c r="G85" s="185">
        <f>'Housing Voucher'!Q89*12</f>
        <v>2717.9880000000003</v>
      </c>
      <c r="H85" s="197">
        <f>EITC!E88</f>
        <v>4329.0535199999995</v>
      </c>
      <c r="I85" s="205">
        <f>Medicaid!N92*12</f>
        <v>26265</v>
      </c>
      <c r="K85" s="185">
        <f t="shared" si="5"/>
        <v>60571.281520000004</v>
      </c>
      <c r="L85" s="185">
        <f t="shared" si="6"/>
        <v>102071.28152</v>
      </c>
      <c r="M85" s="36">
        <f t="shared" si="4"/>
        <v>8505.9401266666664</v>
      </c>
    </row>
    <row r="86" spans="1:13" x14ac:dyDescent="0.25">
      <c r="A86" s="186">
        <v>42000</v>
      </c>
      <c r="B86" s="33">
        <f t="shared" si="7"/>
        <v>3500</v>
      </c>
      <c r="C86" s="185">
        <f>'Child care subsidy'!S89*12</f>
        <v>22620</v>
      </c>
      <c r="D86" s="185">
        <f>MAX('TANF-VIEW'!L93,'TANF-VIEW'!T93)*12</f>
        <v>0</v>
      </c>
      <c r="E86" s="193">
        <f>SNAP!V90*12</f>
        <v>3612</v>
      </c>
      <c r="F86" s="184">
        <f>WIC!F92*12</f>
        <v>882.24</v>
      </c>
      <c r="G86" s="185">
        <f>'Housing Voucher'!Q90*12</f>
        <v>2567.9880000000003</v>
      </c>
      <c r="H86" s="197">
        <f>EITC!E89</f>
        <v>4202.6935199999998</v>
      </c>
      <c r="I86" s="205">
        <f>Medicaid!N93*12</f>
        <v>26265</v>
      </c>
      <c r="K86" s="185">
        <f t="shared" si="5"/>
        <v>60149.921520000004</v>
      </c>
      <c r="L86" s="185">
        <f t="shared" si="6"/>
        <v>102149.92152</v>
      </c>
      <c r="M86" s="36">
        <f t="shared" si="4"/>
        <v>8512.4934599999997</v>
      </c>
    </row>
    <row r="87" spans="1:13" x14ac:dyDescent="0.25">
      <c r="A87" s="186">
        <v>42500</v>
      </c>
      <c r="B87" s="33">
        <f t="shared" si="7"/>
        <v>3541.6666666666665</v>
      </c>
      <c r="C87" s="185">
        <f>'Child care subsidy'!S90*12</f>
        <v>22595</v>
      </c>
      <c r="D87" s="185">
        <f>MAX('TANF-VIEW'!L94,'TANF-VIEW'!T94)*12</f>
        <v>0</v>
      </c>
      <c r="E87" s="193">
        <f>SNAP!V91*12</f>
        <v>3492</v>
      </c>
      <c r="F87" s="184">
        <f>WIC!F93*12</f>
        <v>882.24</v>
      </c>
      <c r="G87" s="185">
        <f>'Housing Voucher'!Q91*12</f>
        <v>2417.9880000000003</v>
      </c>
      <c r="H87" s="197">
        <f>EITC!E90</f>
        <v>4076.3335199999997</v>
      </c>
      <c r="I87" s="205">
        <f>Medicaid!N94*12</f>
        <v>26265</v>
      </c>
      <c r="K87" s="185">
        <f t="shared" si="5"/>
        <v>59728.561520000003</v>
      </c>
      <c r="L87" s="185">
        <f t="shared" si="6"/>
        <v>102228.56152</v>
      </c>
      <c r="M87" s="36">
        <f t="shared" si="4"/>
        <v>8519.046793333333</v>
      </c>
    </row>
    <row r="88" spans="1:13" x14ac:dyDescent="0.25">
      <c r="A88" s="186">
        <v>43000</v>
      </c>
      <c r="B88" s="33">
        <f t="shared" si="7"/>
        <v>3583.3333333333335</v>
      </c>
      <c r="C88" s="185">
        <f>'Child care subsidy'!S91*12</f>
        <v>22570</v>
      </c>
      <c r="D88" s="185">
        <f>MAX('TANF-VIEW'!L95,'TANF-VIEW'!T95)*12</f>
        <v>0</v>
      </c>
      <c r="E88" s="193">
        <f>SNAP!V92*12</f>
        <v>3372</v>
      </c>
      <c r="F88" s="184">
        <f>WIC!F94*12</f>
        <v>882.24</v>
      </c>
      <c r="G88" s="185">
        <f>'Housing Voucher'!Q92*12</f>
        <v>2267.9880000000003</v>
      </c>
      <c r="H88" s="197">
        <f>EITC!E91</f>
        <v>3949.9735199999996</v>
      </c>
      <c r="I88" s="205">
        <f>Medicaid!N95*12</f>
        <v>26265</v>
      </c>
      <c r="K88" s="185">
        <f t="shared" si="5"/>
        <v>59307.201520000002</v>
      </c>
      <c r="L88" s="185">
        <f t="shared" si="6"/>
        <v>102307.20152</v>
      </c>
      <c r="M88" s="36">
        <f t="shared" si="4"/>
        <v>8525.6001266666663</v>
      </c>
    </row>
    <row r="89" spans="1:13" x14ac:dyDescent="0.25">
      <c r="A89" s="186">
        <v>43500</v>
      </c>
      <c r="B89" s="33">
        <f t="shared" si="7"/>
        <v>3625</v>
      </c>
      <c r="C89" s="185">
        <f>'Child care subsidy'!S92*12</f>
        <v>22545</v>
      </c>
      <c r="D89" s="185">
        <f>MAX('TANF-VIEW'!L96,'TANF-VIEW'!T96)*12</f>
        <v>0</v>
      </c>
      <c r="E89" s="193">
        <f>SNAP!V93*12</f>
        <v>3252</v>
      </c>
      <c r="F89" s="184">
        <f>WIC!F95*12</f>
        <v>882.24</v>
      </c>
      <c r="G89" s="185">
        <f>'Housing Voucher'!Q93*12</f>
        <v>2117.9880000000003</v>
      </c>
      <c r="H89" s="197">
        <f>EITC!E92</f>
        <v>3823.6135199999994</v>
      </c>
      <c r="I89" s="205">
        <f>Medicaid!N96*12</f>
        <v>26265</v>
      </c>
      <c r="K89" s="185">
        <f t="shared" si="5"/>
        <v>58885.841520000002</v>
      </c>
      <c r="L89" s="185">
        <f t="shared" si="6"/>
        <v>102385.84152</v>
      </c>
      <c r="M89" s="36">
        <f t="shared" si="4"/>
        <v>8532.1534599999995</v>
      </c>
    </row>
    <row r="90" spans="1:13" x14ac:dyDescent="0.25">
      <c r="A90" s="186">
        <v>44000</v>
      </c>
      <c r="B90" s="33">
        <f t="shared" si="7"/>
        <v>3666.6666666666665</v>
      </c>
      <c r="C90" s="185">
        <f>'Child care subsidy'!S93*12</f>
        <v>22520</v>
      </c>
      <c r="D90" s="185">
        <f>MAX('TANF-VIEW'!L97,'TANF-VIEW'!T97)*12</f>
        <v>0</v>
      </c>
      <c r="E90" s="193">
        <f>SNAP!V94*12</f>
        <v>3132</v>
      </c>
      <c r="F90" s="184">
        <f>WIC!F96*12</f>
        <v>882.24</v>
      </c>
      <c r="G90" s="185">
        <f>'Housing Voucher'!Q94*12</f>
        <v>1967.9880000000003</v>
      </c>
      <c r="H90" s="197">
        <f>EITC!E93</f>
        <v>3697.2535200000002</v>
      </c>
      <c r="I90" s="205">
        <f>Medicaid!N97*12</f>
        <v>26265</v>
      </c>
      <c r="K90" s="185">
        <f t="shared" si="5"/>
        <v>58464.481520000001</v>
      </c>
      <c r="L90" s="185">
        <f t="shared" si="6"/>
        <v>102464.48152</v>
      </c>
      <c r="M90" s="36">
        <f t="shared" si="4"/>
        <v>8538.7067933333328</v>
      </c>
    </row>
    <row r="91" spans="1:13" x14ac:dyDescent="0.25">
      <c r="A91" s="186">
        <v>44500</v>
      </c>
      <c r="B91" s="33">
        <f t="shared" si="7"/>
        <v>3708.3333333333335</v>
      </c>
      <c r="C91" s="185">
        <f>'Child care subsidy'!S94*12</f>
        <v>22495</v>
      </c>
      <c r="D91" s="185">
        <f>MAX('TANF-VIEW'!L98,'TANF-VIEW'!T98)*12</f>
        <v>0</v>
      </c>
      <c r="E91" s="193">
        <f>SNAP!V95*12</f>
        <v>3012</v>
      </c>
      <c r="F91" s="184">
        <f>WIC!F97*12</f>
        <v>882.24</v>
      </c>
      <c r="G91" s="185">
        <f>'Housing Voucher'!Q95*12</f>
        <v>1817.9879999999976</v>
      </c>
      <c r="H91" s="197">
        <f>EITC!E94</f>
        <v>3570.8935200000001</v>
      </c>
      <c r="I91" s="205">
        <f>Medicaid!N98*12</f>
        <v>26265</v>
      </c>
      <c r="K91" s="185">
        <f t="shared" si="5"/>
        <v>58043.121520000001</v>
      </c>
      <c r="L91" s="185">
        <f t="shared" si="6"/>
        <v>102543.12152</v>
      </c>
      <c r="M91" s="36">
        <f t="shared" si="4"/>
        <v>8545.2601266666661</v>
      </c>
    </row>
    <row r="92" spans="1:13" x14ac:dyDescent="0.25">
      <c r="A92" s="186">
        <v>45000</v>
      </c>
      <c r="B92" s="33">
        <f t="shared" si="7"/>
        <v>3750</v>
      </c>
      <c r="C92" s="185">
        <f>'Child care subsidy'!S95*12</f>
        <v>22470</v>
      </c>
      <c r="D92" s="185">
        <f>MAX('TANF-VIEW'!L99,'TANF-VIEW'!T99)*12</f>
        <v>0</v>
      </c>
      <c r="E92" s="193">
        <f>SNAP!V96*12</f>
        <v>2892</v>
      </c>
      <c r="F92" s="184">
        <f>WIC!F98*12</f>
        <v>882.24</v>
      </c>
      <c r="G92" s="185">
        <f>'Housing Voucher'!Q96*12</f>
        <v>1667.9880000000003</v>
      </c>
      <c r="H92" s="197">
        <f>EITC!E95</f>
        <v>3444.53352</v>
      </c>
      <c r="I92" s="205">
        <f>Medicaid!N99*12</f>
        <v>26265</v>
      </c>
      <c r="K92" s="185">
        <f t="shared" si="5"/>
        <v>57621.76152</v>
      </c>
      <c r="L92" s="185">
        <f t="shared" si="6"/>
        <v>102621.76152</v>
      </c>
      <c r="M92" s="36">
        <f t="shared" si="4"/>
        <v>8551.8134599999994</v>
      </c>
    </row>
    <row r="93" spans="1:13" x14ac:dyDescent="0.25">
      <c r="A93" s="186">
        <v>45500</v>
      </c>
      <c r="B93" s="33">
        <f t="shared" si="7"/>
        <v>3791.6666666666665</v>
      </c>
      <c r="C93" s="185">
        <f>'Child care subsidy'!S96*12</f>
        <v>22445</v>
      </c>
      <c r="D93" s="185">
        <f>MAX('TANF-VIEW'!L100,'TANF-VIEW'!T100)*12</f>
        <v>0</v>
      </c>
      <c r="E93" s="193">
        <f>SNAP!V97*12</f>
        <v>2772</v>
      </c>
      <c r="F93" s="184">
        <f>WIC!F99*12</f>
        <v>882.24</v>
      </c>
      <c r="G93" s="185">
        <f>'Housing Voucher'!Q97*12</f>
        <v>1517.988000000003</v>
      </c>
      <c r="H93" s="197">
        <f>EITC!E96</f>
        <v>3318.1735199999994</v>
      </c>
      <c r="I93" s="205">
        <f>Medicaid!N100*12</f>
        <v>26265</v>
      </c>
      <c r="K93" s="185">
        <f t="shared" si="5"/>
        <v>57200.401519999999</v>
      </c>
      <c r="L93" s="185">
        <f t="shared" si="6"/>
        <v>102700.40152</v>
      </c>
      <c r="M93" s="36">
        <f t="shared" si="4"/>
        <v>8558.3667933333327</v>
      </c>
    </row>
    <row r="94" spans="1:13" x14ac:dyDescent="0.25">
      <c r="A94" s="186">
        <v>46000</v>
      </c>
      <c r="B94" s="33">
        <f>A94/12</f>
        <v>3833.3333333333335</v>
      </c>
      <c r="C94" s="185">
        <f>'Child care subsidy'!S97*12</f>
        <v>22420</v>
      </c>
      <c r="D94" s="185">
        <f>MAX('TANF-VIEW'!L101,'TANF-VIEW'!T101)*12</f>
        <v>0</v>
      </c>
      <c r="E94" s="193">
        <f>SNAP!V98*12</f>
        <v>2652</v>
      </c>
      <c r="F94" s="184">
        <f>WIC!F100*12</f>
        <v>882.24</v>
      </c>
      <c r="G94" s="185">
        <f>'Housing Voucher'!Q98*12</f>
        <v>1367.9879999999976</v>
      </c>
      <c r="H94" s="197">
        <f>EITC!E97</f>
        <v>3191.8135199999992</v>
      </c>
      <c r="I94" s="205">
        <f>Medicaid!N101*12</f>
        <v>26265</v>
      </c>
      <c r="K94" s="185">
        <f t="shared" si="5"/>
        <v>56779.041519999999</v>
      </c>
      <c r="L94" s="185">
        <f t="shared" si="6"/>
        <v>102779.04152</v>
      </c>
      <c r="M94" s="36">
        <f t="shared" si="4"/>
        <v>8564.920126666666</v>
      </c>
    </row>
    <row r="95" spans="1:13" x14ac:dyDescent="0.25">
      <c r="A95" s="186">
        <v>46500</v>
      </c>
      <c r="B95" s="33">
        <f t="shared" si="7"/>
        <v>3875</v>
      </c>
      <c r="C95" s="185">
        <f>'Child care subsidy'!S98*12</f>
        <v>22395</v>
      </c>
      <c r="D95" s="185">
        <f>MAX('TANF-VIEW'!L102,'TANF-VIEW'!T102)*12</f>
        <v>0</v>
      </c>
      <c r="E95" s="193">
        <f>SNAP!V99*12</f>
        <v>2532</v>
      </c>
      <c r="F95" s="184">
        <f>WIC!F101*12</f>
        <v>882.24</v>
      </c>
      <c r="G95" s="185">
        <f>'Housing Voucher'!Q99*12</f>
        <v>1217.9880000000003</v>
      </c>
      <c r="H95" s="197">
        <f>EITC!E98</f>
        <v>3065.45352</v>
      </c>
      <c r="I95" s="205">
        <f>Medicaid!N102*12</f>
        <v>26265</v>
      </c>
      <c r="K95" s="185">
        <f t="shared" si="5"/>
        <v>56357.681519999998</v>
      </c>
      <c r="L95" s="185">
        <f t="shared" si="6"/>
        <v>102857.68152</v>
      </c>
      <c r="M95" s="36">
        <f t="shared" si="4"/>
        <v>8571.4734599999992</v>
      </c>
    </row>
    <row r="96" spans="1:13" x14ac:dyDescent="0.25">
      <c r="A96" s="186">
        <v>47000</v>
      </c>
      <c r="B96" s="33">
        <f t="shared" si="7"/>
        <v>3916.6666666666665</v>
      </c>
      <c r="C96" s="185">
        <f>'Child care subsidy'!S99*12</f>
        <v>22370</v>
      </c>
      <c r="D96" s="185">
        <f>MAX('TANF-VIEW'!L103,'TANF-VIEW'!T103)*12</f>
        <v>0</v>
      </c>
      <c r="E96" s="193">
        <f>SNAP!V100*12</f>
        <v>2412</v>
      </c>
      <c r="F96" s="184">
        <f>WIC!F102*12</f>
        <v>882.24</v>
      </c>
      <c r="G96" s="185">
        <f>'Housing Voucher'!Q100*12</f>
        <v>1067.988000000003</v>
      </c>
      <c r="H96" s="197">
        <f>EITC!E99</f>
        <v>2939.0935199999999</v>
      </c>
      <c r="I96" s="205">
        <f>Medicaid!N103*12</f>
        <v>26265</v>
      </c>
      <c r="K96" s="185">
        <f t="shared" si="5"/>
        <v>55936.321519999998</v>
      </c>
      <c r="L96" s="185">
        <f t="shared" si="6"/>
        <v>102936.32152</v>
      </c>
      <c r="M96" s="36">
        <f t="shared" si="4"/>
        <v>8578.0267933333325</v>
      </c>
    </row>
    <row r="97" spans="1:13" x14ac:dyDescent="0.25">
      <c r="A97" s="186">
        <v>47500</v>
      </c>
      <c r="B97" s="33">
        <f t="shared" si="7"/>
        <v>3958.3333333333335</v>
      </c>
      <c r="C97" s="185">
        <f>'Child care subsidy'!S100*12</f>
        <v>22345</v>
      </c>
      <c r="D97" s="185">
        <f>MAX('TANF-VIEW'!L104,'TANF-VIEW'!T104)*12</f>
        <v>0</v>
      </c>
      <c r="E97" s="193">
        <f>SNAP!V101*12</f>
        <v>2292</v>
      </c>
      <c r="F97" s="184">
        <f>WIC!F103*12</f>
        <v>882.24</v>
      </c>
      <c r="G97" s="185">
        <f>'Housing Voucher'!Q101*12</f>
        <v>917.98799999999756</v>
      </c>
      <c r="H97" s="197">
        <f>EITC!E100</f>
        <v>2812.7335199999998</v>
      </c>
      <c r="I97" s="205">
        <f>Medicaid!N104*12</f>
        <v>26265</v>
      </c>
      <c r="K97" s="185">
        <f t="shared" si="5"/>
        <v>55514.961519999997</v>
      </c>
      <c r="L97" s="185">
        <f t="shared" si="6"/>
        <v>103014.96152</v>
      </c>
      <c r="M97" s="36">
        <f t="shared" si="4"/>
        <v>8584.5801266666658</v>
      </c>
    </row>
    <row r="98" spans="1:13" x14ac:dyDescent="0.25">
      <c r="A98" s="186">
        <v>48000</v>
      </c>
      <c r="B98" s="33">
        <f t="shared" si="7"/>
        <v>4000</v>
      </c>
      <c r="C98" s="185">
        <f>'Child care subsidy'!S101*12</f>
        <v>22320</v>
      </c>
      <c r="D98" s="185">
        <f>MAX('TANF-VIEW'!L105,'TANF-VIEW'!T105)*12</f>
        <v>0</v>
      </c>
      <c r="E98" s="193">
        <f>SNAP!V102*12</f>
        <v>2172</v>
      </c>
      <c r="F98" s="184">
        <f>WIC!F104*12</f>
        <v>882.24</v>
      </c>
      <c r="G98" s="185">
        <f>'Housing Voucher'!Q102*12</f>
        <v>767.98800000000028</v>
      </c>
      <c r="H98" s="197">
        <f>EITC!E101</f>
        <v>2686.3735199999996</v>
      </c>
      <c r="I98" s="205">
        <f>Medicaid!N105*12</f>
        <v>26265</v>
      </c>
      <c r="K98" s="185">
        <f t="shared" si="5"/>
        <v>55093.601520000004</v>
      </c>
      <c r="L98" s="185">
        <f t="shared" si="6"/>
        <v>103093.60152</v>
      </c>
      <c r="M98" s="36">
        <f t="shared" si="4"/>
        <v>8591.1334599999991</v>
      </c>
    </row>
    <row r="99" spans="1:13" x14ac:dyDescent="0.25">
      <c r="A99" s="186">
        <v>48500</v>
      </c>
      <c r="B99" s="33">
        <f t="shared" si="7"/>
        <v>4041.6666666666665</v>
      </c>
      <c r="C99" s="185">
        <f>'Child care subsidy'!S102*12</f>
        <v>22295</v>
      </c>
      <c r="D99" s="185">
        <f>MAX('TANF-VIEW'!L106,'TANF-VIEW'!T106)*12</f>
        <v>0</v>
      </c>
      <c r="E99" s="193">
        <f>SNAP!V103*12</f>
        <v>2052</v>
      </c>
      <c r="F99" s="184">
        <f>WIC!F105*12</f>
        <v>882.24</v>
      </c>
      <c r="G99" s="185">
        <f>'Housing Voucher'!Q103*12</f>
        <v>617.98800000000301</v>
      </c>
      <c r="H99" s="197">
        <f>EITC!E102</f>
        <v>2560.0135199999995</v>
      </c>
      <c r="I99" s="205">
        <f>Medicaid!N106*12</f>
        <v>26265</v>
      </c>
      <c r="K99" s="185">
        <f t="shared" si="5"/>
        <v>54672.241520000003</v>
      </c>
      <c r="L99" s="185">
        <f t="shared" si="6"/>
        <v>103172.24152000001</v>
      </c>
      <c r="M99" s="36">
        <f t="shared" si="4"/>
        <v>8597.6867933333342</v>
      </c>
    </row>
    <row r="100" spans="1:13" x14ac:dyDescent="0.25">
      <c r="A100" s="186">
        <v>49000</v>
      </c>
      <c r="B100" s="33">
        <f t="shared" si="7"/>
        <v>4083.3333333333335</v>
      </c>
      <c r="C100" s="185">
        <f>'Child care subsidy'!S103*12</f>
        <v>22270</v>
      </c>
      <c r="D100" s="185">
        <f>MAX('TANF-VIEW'!L107,'TANF-VIEW'!T107)*12</f>
        <v>0</v>
      </c>
      <c r="E100" s="193">
        <f>SNAP!V104*12</f>
        <v>1932</v>
      </c>
      <c r="F100" s="184">
        <f>WIC!F106*12</f>
        <v>882.24</v>
      </c>
      <c r="G100" s="185">
        <f>'Housing Voucher'!Q104*12</f>
        <v>467.98799999999756</v>
      </c>
      <c r="H100" s="197">
        <f>EITC!E103</f>
        <v>2433.6535200000003</v>
      </c>
      <c r="I100" s="205">
        <f>Medicaid!N107*12</f>
        <v>26265</v>
      </c>
      <c r="K100" s="185">
        <f t="shared" si="5"/>
        <v>54250.881519999995</v>
      </c>
      <c r="L100" s="185">
        <f t="shared" si="6"/>
        <v>103250.88152</v>
      </c>
      <c r="M100" s="36">
        <f t="shared" si="4"/>
        <v>8604.2401266666657</v>
      </c>
    </row>
    <row r="101" spans="1:13" x14ac:dyDescent="0.25">
      <c r="A101" s="186">
        <v>49500</v>
      </c>
      <c r="B101" s="33">
        <f t="shared" si="7"/>
        <v>4125</v>
      </c>
      <c r="C101" s="185">
        <f>'Child care subsidy'!S104*12</f>
        <v>22245</v>
      </c>
      <c r="D101" s="185">
        <f>MAX('TANF-VIEW'!L108,'TANF-VIEW'!T108)*12</f>
        <v>0</v>
      </c>
      <c r="E101" s="193">
        <f>SNAP!V105*12</f>
        <v>1812</v>
      </c>
      <c r="F101" s="184">
        <f>WIC!F107*12</f>
        <v>882.24</v>
      </c>
      <c r="G101" s="185">
        <f>'Housing Voucher'!Q105*12</f>
        <v>317.98800000000028</v>
      </c>
      <c r="H101" s="197">
        <f>EITC!E104</f>
        <v>2307.2935200000002</v>
      </c>
      <c r="I101" s="205">
        <f>Medicaid!N108*12</f>
        <v>26265</v>
      </c>
      <c r="K101" s="185">
        <f t="shared" si="5"/>
        <v>53829.521520000002</v>
      </c>
      <c r="L101" s="185">
        <f t="shared" si="6"/>
        <v>103329.52152000001</v>
      </c>
      <c r="M101" s="36">
        <f t="shared" si="4"/>
        <v>8610.7934600000008</v>
      </c>
    </row>
    <row r="102" spans="1:13" x14ac:dyDescent="0.25">
      <c r="A102" s="186">
        <v>50000</v>
      </c>
      <c r="B102" s="33">
        <f t="shared" si="7"/>
        <v>4166.666666666667</v>
      </c>
      <c r="C102" s="185">
        <f>'Child care subsidy'!S105*12</f>
        <v>22220</v>
      </c>
      <c r="D102" s="185">
        <f>MAX('TANF-VIEW'!L109,'TANF-VIEW'!T109)*12</f>
        <v>0</v>
      </c>
      <c r="E102" s="193">
        <f>SNAP!V106*12</f>
        <v>1692</v>
      </c>
      <c r="F102" s="184">
        <f>WIC!F108*12</f>
        <v>882.24</v>
      </c>
      <c r="G102" s="185">
        <f>'Housing Voucher'!Q106*12</f>
        <v>167.98800000000028</v>
      </c>
      <c r="H102" s="197">
        <f>EITC!E105</f>
        <v>2180.9335199999996</v>
      </c>
      <c r="I102" s="205">
        <f>Medicaid!N109*12</f>
        <v>26265</v>
      </c>
      <c r="K102" s="185">
        <f t="shared" si="5"/>
        <v>53408.161520000001</v>
      </c>
      <c r="L102" s="185">
        <f t="shared" si="6"/>
        <v>103408.16151999999</v>
      </c>
      <c r="M102" s="36">
        <f t="shared" si="4"/>
        <v>8617.3467933333322</v>
      </c>
    </row>
    <row r="103" spans="1:13" x14ac:dyDescent="0.25">
      <c r="A103" s="186">
        <v>50500</v>
      </c>
      <c r="B103" s="33">
        <f>A103/12</f>
        <v>4208.333333333333</v>
      </c>
      <c r="C103" s="185">
        <f>'Child care subsidy'!S106*12</f>
        <v>22195</v>
      </c>
      <c r="D103" s="185">
        <f>MAX('TANF-VIEW'!L110,'TANF-VIEW'!T110)*12</f>
        <v>0</v>
      </c>
      <c r="E103" s="193">
        <f>SNAP!V107*12</f>
        <v>1572</v>
      </c>
      <c r="F103" s="184">
        <f>WIC!F109*12</f>
        <v>882.24</v>
      </c>
      <c r="G103" s="185">
        <f>'Housing Voucher'!Q107*12</f>
        <v>17.988000000000284</v>
      </c>
      <c r="H103" s="197">
        <f>EITC!E106</f>
        <v>2054.5735199999995</v>
      </c>
      <c r="I103" s="205">
        <f>Medicaid!N110*12</f>
        <v>26265</v>
      </c>
      <c r="K103" s="185">
        <f t="shared" si="5"/>
        <v>52986.801520000001</v>
      </c>
      <c r="L103" s="185">
        <f t="shared" si="6"/>
        <v>103486.80152000001</v>
      </c>
      <c r="M103" s="36">
        <f t="shared" si="4"/>
        <v>8623.9001266666673</v>
      </c>
    </row>
    <row r="104" spans="1:13" x14ac:dyDescent="0.25">
      <c r="A104" s="186">
        <v>51000</v>
      </c>
      <c r="B104" s="33">
        <f t="shared" ref="B104:B167" si="8">A104/12</f>
        <v>4250</v>
      </c>
      <c r="C104" s="185">
        <f>'Child care subsidy'!S107*12</f>
        <v>22170</v>
      </c>
      <c r="D104" s="185">
        <f>MAX('TANF-VIEW'!L111,'TANF-VIEW'!T111)*12</f>
        <v>0</v>
      </c>
      <c r="E104" s="193">
        <f>SNAP!V108*12</f>
        <v>1452</v>
      </c>
      <c r="F104" s="184">
        <f>WIC!F110*12</f>
        <v>882.24</v>
      </c>
      <c r="G104" s="185">
        <f>'Housing Voucher'!Q108*12</f>
        <v>0</v>
      </c>
      <c r="H104" s="197">
        <f>EITC!E107</f>
        <v>1928.2135199999993</v>
      </c>
      <c r="I104" s="205">
        <f>Medicaid!N111*12</f>
        <v>26265</v>
      </c>
      <c r="K104" s="185">
        <f t="shared" si="5"/>
        <v>52697.453520000003</v>
      </c>
      <c r="L104" s="185">
        <f t="shared" si="6"/>
        <v>103697.45352000001</v>
      </c>
      <c r="M104" s="36">
        <f t="shared" si="4"/>
        <v>8641.4544600000008</v>
      </c>
    </row>
    <row r="105" spans="1:13" x14ac:dyDescent="0.25">
      <c r="A105" s="186">
        <v>51500</v>
      </c>
      <c r="B105" s="33">
        <f t="shared" si="8"/>
        <v>4291.666666666667</v>
      </c>
      <c r="C105" s="185">
        <f>'Child care subsidy'!S108*12</f>
        <v>22145</v>
      </c>
      <c r="D105" s="185">
        <f>MAX('TANF-VIEW'!L112,'TANF-VIEW'!T112)*12</f>
        <v>0</v>
      </c>
      <c r="E105" s="193">
        <f>SNAP!V109*12</f>
        <v>1332</v>
      </c>
      <c r="F105" s="184">
        <f>WIC!F111*12</f>
        <v>882.24</v>
      </c>
      <c r="G105" s="185">
        <f>'Housing Voucher'!Q109*12</f>
        <v>0</v>
      </c>
      <c r="H105" s="197">
        <f>EITC!E108</f>
        <v>1801.8535200000001</v>
      </c>
      <c r="I105" s="205">
        <f>Medicaid!N112*12</f>
        <v>26265</v>
      </c>
      <c r="K105" s="185">
        <f t="shared" si="5"/>
        <v>52426.093520000002</v>
      </c>
      <c r="L105" s="185">
        <f t="shared" si="6"/>
        <v>103926.09351999999</v>
      </c>
      <c r="M105" s="36">
        <f t="shared" si="4"/>
        <v>8660.5077933333323</v>
      </c>
    </row>
    <row r="106" spans="1:13" x14ac:dyDescent="0.25">
      <c r="A106" s="186">
        <v>52000</v>
      </c>
      <c r="B106" s="33">
        <f t="shared" si="8"/>
        <v>4333.333333333333</v>
      </c>
      <c r="C106" s="185">
        <f>'Child care subsidy'!S109*12</f>
        <v>22120</v>
      </c>
      <c r="D106" s="185">
        <f>MAX('TANF-VIEW'!L113,'TANF-VIEW'!T113)*12</f>
        <v>0</v>
      </c>
      <c r="E106" s="193">
        <f>SNAP!V110*12</f>
        <v>1212</v>
      </c>
      <c r="F106" s="184">
        <f>WIC!F112*12</f>
        <v>882.24</v>
      </c>
      <c r="G106" s="185">
        <f>'Housing Voucher'!Q110*12</f>
        <v>0</v>
      </c>
      <c r="H106" s="197">
        <f>EITC!E109</f>
        <v>1675.49352</v>
      </c>
      <c r="I106" s="205">
        <f>Medicaid!N113*12</f>
        <v>26265</v>
      </c>
      <c r="K106" s="185">
        <f t="shared" si="5"/>
        <v>52154.733520000002</v>
      </c>
      <c r="L106" s="185">
        <f t="shared" si="6"/>
        <v>104154.73352000001</v>
      </c>
      <c r="M106" s="36">
        <f t="shared" si="4"/>
        <v>8679.5611266666674</v>
      </c>
    </row>
    <row r="107" spans="1:13" x14ac:dyDescent="0.25">
      <c r="A107" s="186">
        <v>52500</v>
      </c>
      <c r="B107" s="33">
        <f t="shared" si="8"/>
        <v>4375</v>
      </c>
      <c r="C107" s="185">
        <f>'Child care subsidy'!S110*12</f>
        <v>22095</v>
      </c>
      <c r="D107" s="185">
        <f>MAX('TANF-VIEW'!L114,'TANF-VIEW'!T114)*12</f>
        <v>0</v>
      </c>
      <c r="E107" s="193">
        <f>SNAP!V111*12</f>
        <v>1092</v>
      </c>
      <c r="F107" s="184">
        <f>WIC!F113*12</f>
        <v>882.24</v>
      </c>
      <c r="G107" s="185">
        <f>'Housing Voucher'!Q111*12</f>
        <v>0</v>
      </c>
      <c r="H107" s="197">
        <f>EITC!E110</f>
        <v>1549.1335199999999</v>
      </c>
      <c r="I107" s="205">
        <f>Medicaid!N114*12</f>
        <v>26265</v>
      </c>
      <c r="K107" s="185">
        <f t="shared" si="5"/>
        <v>51883.373520000001</v>
      </c>
      <c r="L107" s="185">
        <f t="shared" si="6"/>
        <v>104383.37351999999</v>
      </c>
      <c r="M107" s="36">
        <f t="shared" si="4"/>
        <v>8698.6144599999989</v>
      </c>
    </row>
    <row r="108" spans="1:13" x14ac:dyDescent="0.25">
      <c r="A108" s="186">
        <v>53000</v>
      </c>
      <c r="B108" s="33">
        <f t="shared" si="8"/>
        <v>4416.666666666667</v>
      </c>
      <c r="C108" s="185">
        <f>'Child care subsidy'!S111*12</f>
        <v>22070</v>
      </c>
      <c r="D108" s="185">
        <f>MAX('TANF-VIEW'!L115,'TANF-VIEW'!T115)*12</f>
        <v>0</v>
      </c>
      <c r="E108" s="193">
        <f>SNAP!V112*12</f>
        <v>972</v>
      </c>
      <c r="F108" s="184">
        <f>WIC!F114*12</f>
        <v>882.24</v>
      </c>
      <c r="G108" s="185">
        <f>'Housing Voucher'!Q112*12</f>
        <v>0</v>
      </c>
      <c r="H108" s="197">
        <f>EITC!E111</f>
        <v>1422.7735199999995</v>
      </c>
      <c r="I108" s="205">
        <f>Medicaid!N115*12</f>
        <v>26265</v>
      </c>
      <c r="K108" s="185">
        <f t="shared" si="5"/>
        <v>51612.01352</v>
      </c>
      <c r="L108" s="185">
        <f t="shared" si="6"/>
        <v>104612.01352000001</v>
      </c>
      <c r="M108" s="36">
        <f t="shared" si="4"/>
        <v>8717.667793333334</v>
      </c>
    </row>
    <row r="109" spans="1:13" x14ac:dyDescent="0.25">
      <c r="A109" s="186">
        <v>53500</v>
      </c>
      <c r="B109" s="33">
        <f t="shared" si="8"/>
        <v>4458.333333333333</v>
      </c>
      <c r="C109" s="185">
        <f>'Child care subsidy'!S112*12</f>
        <v>22045</v>
      </c>
      <c r="D109" s="185">
        <f>MAX('TANF-VIEW'!L116,'TANF-VIEW'!T116)*12</f>
        <v>0</v>
      </c>
      <c r="E109" s="193">
        <f>SNAP!V113*12</f>
        <v>852</v>
      </c>
      <c r="F109" s="184">
        <f>WIC!F115*12</f>
        <v>882.24</v>
      </c>
      <c r="G109" s="185">
        <f>'Housing Voucher'!Q113*12</f>
        <v>0</v>
      </c>
      <c r="H109" s="197">
        <f>EITC!E112</f>
        <v>1296.4135199999994</v>
      </c>
      <c r="I109" s="205">
        <f>Medicaid!N116*12</f>
        <v>7644</v>
      </c>
      <c r="K109" s="185">
        <f t="shared" si="5"/>
        <v>32719.65352</v>
      </c>
      <c r="L109" s="185">
        <f t="shared" si="6"/>
        <v>86219.653519999993</v>
      </c>
      <c r="M109" s="36">
        <f t="shared" si="4"/>
        <v>7184.9711266666664</v>
      </c>
    </row>
    <row r="110" spans="1:13" x14ac:dyDescent="0.25">
      <c r="A110" s="186">
        <v>54000</v>
      </c>
      <c r="B110" s="33">
        <f t="shared" si="8"/>
        <v>4500</v>
      </c>
      <c r="C110" s="185">
        <f>'Child care subsidy'!S113*12</f>
        <v>22020</v>
      </c>
      <c r="D110" s="185">
        <f>MAX('TANF-VIEW'!L117,'TANF-VIEW'!T117)*12</f>
        <v>0</v>
      </c>
      <c r="E110" s="193">
        <f>SNAP!V114*12</f>
        <v>732</v>
      </c>
      <c r="F110" s="184">
        <f>WIC!F116*12</f>
        <v>882.24</v>
      </c>
      <c r="G110" s="185">
        <f>'Housing Voucher'!Q114*12</f>
        <v>0</v>
      </c>
      <c r="H110" s="197">
        <f>EITC!E113</f>
        <v>1170.053519999999</v>
      </c>
      <c r="I110" s="205">
        <f>Medicaid!N117*12</f>
        <v>7644</v>
      </c>
      <c r="K110" s="185">
        <f t="shared" si="5"/>
        <v>32448.293519999999</v>
      </c>
      <c r="L110" s="185">
        <f t="shared" si="6"/>
        <v>86448.293520000007</v>
      </c>
      <c r="M110" s="36">
        <f t="shared" si="4"/>
        <v>7204.0244600000005</v>
      </c>
    </row>
    <row r="111" spans="1:13" x14ac:dyDescent="0.25">
      <c r="A111" s="186">
        <v>54500</v>
      </c>
      <c r="B111" s="33">
        <f t="shared" si="8"/>
        <v>4541.666666666667</v>
      </c>
      <c r="C111" s="185">
        <f>'Child care subsidy'!S114*12</f>
        <v>21995</v>
      </c>
      <c r="D111" s="185">
        <f>MAX('TANF-VIEW'!L118,'TANF-VIEW'!T118)*12</f>
        <v>0</v>
      </c>
      <c r="E111" s="193">
        <f>SNAP!V115*12</f>
        <v>612</v>
      </c>
      <c r="F111" s="184">
        <f>WIC!F117*12</f>
        <v>882.24</v>
      </c>
      <c r="G111" s="185">
        <f>'Housing Voucher'!Q115*12</f>
        <v>0</v>
      </c>
      <c r="H111" s="197">
        <f>EITC!E114</f>
        <v>1043.69352</v>
      </c>
      <c r="I111" s="205">
        <f>Medicaid!N118*12</f>
        <v>7644</v>
      </c>
      <c r="K111" s="185">
        <f t="shared" si="5"/>
        <v>32176.933520000002</v>
      </c>
      <c r="L111" s="185">
        <f t="shared" si="6"/>
        <v>86676.933520000006</v>
      </c>
      <c r="M111" s="36">
        <f t="shared" si="4"/>
        <v>7223.0777933333338</v>
      </c>
    </row>
    <row r="112" spans="1:13" x14ac:dyDescent="0.25">
      <c r="A112" s="186">
        <v>55000</v>
      </c>
      <c r="B112" s="33">
        <f t="shared" si="8"/>
        <v>4583.333333333333</v>
      </c>
      <c r="C112" s="185">
        <f>'Child care subsidy'!S115*12</f>
        <v>21970</v>
      </c>
      <c r="D112" s="185">
        <f>MAX('TANF-VIEW'!L119,'TANF-VIEW'!T119)*12</f>
        <v>0</v>
      </c>
      <c r="E112" s="193">
        <f>SNAP!V116*12</f>
        <v>492</v>
      </c>
      <c r="F112" s="184">
        <f>WIC!F118*12</f>
        <v>882.24</v>
      </c>
      <c r="G112" s="185">
        <f>'Housing Voucher'!Q116*12</f>
        <v>0</v>
      </c>
      <c r="H112" s="197">
        <f>EITC!E115</f>
        <v>917.33351999999979</v>
      </c>
      <c r="I112" s="205">
        <f>Medicaid!N119*12</f>
        <v>7644</v>
      </c>
      <c r="K112" s="185">
        <f t="shared" si="5"/>
        <v>31905.573520000002</v>
      </c>
      <c r="L112" s="185">
        <f t="shared" si="6"/>
        <v>86905.573520000005</v>
      </c>
      <c r="M112" s="36">
        <f t="shared" si="4"/>
        <v>7242.1311266666671</v>
      </c>
    </row>
    <row r="113" spans="1:13" x14ac:dyDescent="0.25">
      <c r="A113" s="206">
        <v>55500</v>
      </c>
      <c r="B113" s="207">
        <f t="shared" si="8"/>
        <v>4625</v>
      </c>
      <c r="C113" s="208">
        <f>'Child care subsidy'!S116*12</f>
        <v>21945</v>
      </c>
      <c r="D113" s="208">
        <f>MAX('TANF-VIEW'!L120,'TANF-VIEW'!T120)*12</f>
        <v>0</v>
      </c>
      <c r="E113" s="209">
        <f>SNAP!V117*12</f>
        <v>372</v>
      </c>
      <c r="F113" s="210">
        <f>WIC!F119*12</f>
        <v>882.24</v>
      </c>
      <c r="G113" s="208">
        <f>'Housing Voucher'!Q117*12</f>
        <v>0</v>
      </c>
      <c r="H113" s="211">
        <f>EITC!E116</f>
        <v>790.97351999999955</v>
      </c>
      <c r="I113" s="212">
        <f>Medicaid!N120*12</f>
        <v>7644</v>
      </c>
      <c r="J113" s="213"/>
      <c r="K113" s="208">
        <f t="shared" si="5"/>
        <v>31634.213520000001</v>
      </c>
      <c r="L113" s="208">
        <f t="shared" si="6"/>
        <v>87134.213520000005</v>
      </c>
      <c r="M113" s="36">
        <f t="shared" si="4"/>
        <v>7261.1844600000004</v>
      </c>
    </row>
    <row r="114" spans="1:13" x14ac:dyDescent="0.25">
      <c r="A114" s="206">
        <v>56000</v>
      </c>
      <c r="B114" s="207">
        <f t="shared" si="8"/>
        <v>4666.666666666667</v>
      </c>
      <c r="C114" s="208">
        <f>'Child care subsidy'!S117*12</f>
        <v>21920</v>
      </c>
      <c r="D114" s="208">
        <f>MAX('TANF-VIEW'!L121,'TANF-VIEW'!T121)*12</f>
        <v>0</v>
      </c>
      <c r="E114" s="209">
        <f>SNAP!V118*12</f>
        <v>288</v>
      </c>
      <c r="F114" s="210">
        <f>WIC!F120*12</f>
        <v>882.24</v>
      </c>
      <c r="G114" s="208">
        <f>'Housing Voucher'!Q118*12</f>
        <v>0</v>
      </c>
      <c r="H114" s="211">
        <f>EITC!E117</f>
        <v>664.61351999999931</v>
      </c>
      <c r="I114" s="212">
        <f>Medicaid!N121*12</f>
        <v>7644</v>
      </c>
      <c r="J114" s="213"/>
      <c r="K114" s="208">
        <f t="shared" si="5"/>
        <v>31398.853520000001</v>
      </c>
      <c r="L114" s="208">
        <f t="shared" si="6"/>
        <v>87398.853520000004</v>
      </c>
      <c r="M114" s="36">
        <f t="shared" si="4"/>
        <v>7283.2377933333337</v>
      </c>
    </row>
    <row r="115" spans="1:13" x14ac:dyDescent="0.25">
      <c r="A115" s="186">
        <v>56500</v>
      </c>
      <c r="B115" s="33">
        <f t="shared" si="8"/>
        <v>4708.333333333333</v>
      </c>
      <c r="C115" s="185">
        <f>'Child care subsidy'!S118*12</f>
        <v>21895</v>
      </c>
      <c r="D115" s="185">
        <f>MAX('TANF-VIEW'!L122,'TANF-VIEW'!T122)*12</f>
        <v>0</v>
      </c>
      <c r="E115" s="193">
        <f>SNAP!V119*12</f>
        <v>288</v>
      </c>
      <c r="F115" s="184">
        <f>WIC!F121*12</f>
        <v>882.24</v>
      </c>
      <c r="G115" s="185">
        <f>'Housing Voucher'!Q119*12</f>
        <v>0</v>
      </c>
      <c r="H115" s="197">
        <f>EITC!E118</f>
        <v>538.25351999999907</v>
      </c>
      <c r="I115" s="205">
        <f>Medicaid!N122*12</f>
        <v>7644</v>
      </c>
      <c r="K115" s="185">
        <f t="shared" si="5"/>
        <v>31247.49352</v>
      </c>
      <c r="L115" s="185">
        <f t="shared" si="6"/>
        <v>87747.493520000004</v>
      </c>
      <c r="M115" s="36">
        <f t="shared" si="4"/>
        <v>7312.291126666667</v>
      </c>
    </row>
    <row r="116" spans="1:13" x14ac:dyDescent="0.25">
      <c r="A116" s="186">
        <v>57000</v>
      </c>
      <c r="B116" s="33">
        <f t="shared" si="8"/>
        <v>4750</v>
      </c>
      <c r="C116" s="185">
        <f>'Child care subsidy'!S119*12</f>
        <v>21870</v>
      </c>
      <c r="D116" s="185">
        <f>MAX('TANF-VIEW'!L123,'TANF-VIEW'!T123)*12</f>
        <v>0</v>
      </c>
      <c r="E116" s="193">
        <f>SNAP!V120*12</f>
        <v>0</v>
      </c>
      <c r="F116" s="184">
        <f>WIC!F122*12</f>
        <v>882.24</v>
      </c>
      <c r="G116" s="185">
        <f>'Housing Voucher'!Q120*12</f>
        <v>0</v>
      </c>
      <c r="H116" s="197">
        <f>EITC!E119</f>
        <v>411.89351999999997</v>
      </c>
      <c r="I116" s="205">
        <f>Medicaid!N123*12</f>
        <v>7644</v>
      </c>
      <c r="K116" s="185">
        <f t="shared" si="5"/>
        <v>30808.133520000003</v>
      </c>
      <c r="L116" s="185">
        <f t="shared" si="6"/>
        <v>87808.133520000003</v>
      </c>
      <c r="M116" s="36">
        <f t="shared" si="4"/>
        <v>7317.3444600000003</v>
      </c>
    </row>
    <row r="117" spans="1:13" x14ac:dyDescent="0.25">
      <c r="A117" s="186">
        <v>57500</v>
      </c>
      <c r="B117" s="33">
        <f t="shared" si="8"/>
        <v>4791.666666666667</v>
      </c>
      <c r="C117" s="185">
        <f>'Child care subsidy'!S120*12</f>
        <v>21845</v>
      </c>
      <c r="D117" s="185">
        <f>MAX('TANF-VIEW'!L124,'TANF-VIEW'!T124)*12</f>
        <v>0</v>
      </c>
      <c r="E117" s="193">
        <f>SNAP!V121*12</f>
        <v>0</v>
      </c>
      <c r="F117" s="184">
        <f>WIC!F123*12</f>
        <v>882.24</v>
      </c>
      <c r="G117" s="185">
        <f>'Housing Voucher'!Q121*12</f>
        <v>0</v>
      </c>
      <c r="H117" s="197">
        <f>EITC!E120</f>
        <v>0</v>
      </c>
      <c r="I117" s="205">
        <f>Medicaid!N124*12</f>
        <v>7644</v>
      </c>
      <c r="K117" s="185">
        <f t="shared" si="5"/>
        <v>30371.24</v>
      </c>
      <c r="L117" s="185">
        <f t="shared" si="6"/>
        <v>87871.24</v>
      </c>
      <c r="M117" s="36">
        <f t="shared" si="4"/>
        <v>7322.6033333333335</v>
      </c>
    </row>
    <row r="118" spans="1:13" x14ac:dyDescent="0.25">
      <c r="A118" s="186">
        <v>58000</v>
      </c>
      <c r="B118" s="33">
        <f t="shared" si="8"/>
        <v>4833.333333333333</v>
      </c>
      <c r="C118" s="185">
        <f>'Child care subsidy'!S121*12</f>
        <v>21820</v>
      </c>
      <c r="D118" s="185">
        <f>MAX('TANF-VIEW'!L125,'TANF-VIEW'!T125)*12</f>
        <v>0</v>
      </c>
      <c r="E118" s="193">
        <f>SNAP!V122*12</f>
        <v>0</v>
      </c>
      <c r="F118" s="184">
        <f>WIC!F124*12</f>
        <v>882.24</v>
      </c>
      <c r="G118" s="185">
        <f>'Housing Voucher'!Q122*12</f>
        <v>0</v>
      </c>
      <c r="H118" s="197">
        <f>EITC!E121</f>
        <v>0</v>
      </c>
      <c r="I118" s="205">
        <f>Medicaid!N125*12</f>
        <v>7644</v>
      </c>
      <c r="K118" s="185">
        <f t="shared" si="5"/>
        <v>30346.240000000002</v>
      </c>
      <c r="L118" s="185">
        <f t="shared" si="6"/>
        <v>88346.240000000005</v>
      </c>
      <c r="M118" s="36">
        <f t="shared" si="4"/>
        <v>7362.1866666666674</v>
      </c>
    </row>
    <row r="119" spans="1:13" x14ac:dyDescent="0.25">
      <c r="A119" s="186">
        <v>58500</v>
      </c>
      <c r="B119" s="33">
        <f t="shared" si="8"/>
        <v>4875</v>
      </c>
      <c r="C119" s="185">
        <f>'Child care subsidy'!S122*12</f>
        <v>21795</v>
      </c>
      <c r="D119" s="185">
        <f>MAX('TANF-VIEW'!L126,'TANF-VIEW'!T126)*12</f>
        <v>0</v>
      </c>
      <c r="E119" s="193">
        <f>SNAP!V123*12</f>
        <v>0</v>
      </c>
      <c r="F119" s="184">
        <f>WIC!F125*12</f>
        <v>882.24</v>
      </c>
      <c r="G119" s="185">
        <f>'Housing Voucher'!Q123*12</f>
        <v>0</v>
      </c>
      <c r="H119" s="197">
        <f>EITC!E122</f>
        <v>0</v>
      </c>
      <c r="I119" s="205">
        <f>Medicaid!N126*12</f>
        <v>7644</v>
      </c>
      <c r="K119" s="185">
        <f t="shared" si="5"/>
        <v>30321.24</v>
      </c>
      <c r="L119" s="185">
        <f t="shared" si="6"/>
        <v>88821.24</v>
      </c>
      <c r="M119" s="36">
        <f t="shared" si="4"/>
        <v>7401.77</v>
      </c>
    </row>
    <row r="120" spans="1:13" x14ac:dyDescent="0.25">
      <c r="A120" s="186">
        <v>59000</v>
      </c>
      <c r="B120" s="33">
        <f t="shared" si="8"/>
        <v>4916.666666666667</v>
      </c>
      <c r="C120" s="185">
        <f>'Child care subsidy'!S123*12</f>
        <v>21770</v>
      </c>
      <c r="D120" s="185">
        <f>MAX('TANF-VIEW'!L127,'TANF-VIEW'!T127)*12</f>
        <v>0</v>
      </c>
      <c r="E120" s="193">
        <f>SNAP!V124*12</f>
        <v>0</v>
      </c>
      <c r="F120" s="184">
        <f>WIC!F126*12</f>
        <v>882.24</v>
      </c>
      <c r="G120" s="185">
        <f>'Housing Voucher'!Q124*12</f>
        <v>0</v>
      </c>
      <c r="H120" s="197">
        <f>EITC!E123</f>
        <v>0</v>
      </c>
      <c r="I120" s="205">
        <f>Medicaid!N127*12</f>
        <v>7644</v>
      </c>
      <c r="K120" s="185">
        <f t="shared" si="5"/>
        <v>30296.240000000002</v>
      </c>
      <c r="L120" s="185">
        <f t="shared" si="6"/>
        <v>89296.24</v>
      </c>
      <c r="M120" s="36">
        <f t="shared" si="4"/>
        <v>7441.3533333333335</v>
      </c>
    </row>
    <row r="121" spans="1:13" x14ac:dyDescent="0.25">
      <c r="A121" s="186">
        <v>59500</v>
      </c>
      <c r="B121" s="33">
        <f t="shared" si="8"/>
        <v>4958.333333333333</v>
      </c>
      <c r="C121" s="185">
        <f>'Child care subsidy'!S124*12</f>
        <v>21745</v>
      </c>
      <c r="D121" s="185">
        <f>MAX('TANF-VIEW'!L128,'TANF-VIEW'!T128)*12</f>
        <v>0</v>
      </c>
      <c r="E121" s="193">
        <f>SNAP!V125*12</f>
        <v>0</v>
      </c>
      <c r="F121" s="184">
        <f>WIC!F127*12</f>
        <v>882.24</v>
      </c>
      <c r="G121" s="185">
        <f>'Housing Voucher'!Q125*12</f>
        <v>0</v>
      </c>
      <c r="H121" s="197">
        <f>EITC!E124</f>
        <v>0</v>
      </c>
      <c r="I121" s="205">
        <f>Medicaid!N128*12</f>
        <v>7644</v>
      </c>
      <c r="K121" s="185">
        <f t="shared" si="5"/>
        <v>30271.24</v>
      </c>
      <c r="L121" s="185">
        <f t="shared" si="6"/>
        <v>89771.24</v>
      </c>
      <c r="M121" s="36">
        <f t="shared" si="4"/>
        <v>7480.9366666666674</v>
      </c>
    </row>
    <row r="122" spans="1:13" x14ac:dyDescent="0.25">
      <c r="A122" s="186">
        <v>60000</v>
      </c>
      <c r="B122" s="33">
        <f t="shared" si="8"/>
        <v>5000</v>
      </c>
      <c r="C122" s="185">
        <f>'Child care subsidy'!S125*12</f>
        <v>21720</v>
      </c>
      <c r="D122" s="185">
        <f>MAX('TANF-VIEW'!L129,'TANF-VIEW'!T129)*12</f>
        <v>0</v>
      </c>
      <c r="E122" s="193">
        <f>SNAP!V126*12</f>
        <v>0</v>
      </c>
      <c r="F122" s="184">
        <f>WIC!F128*12</f>
        <v>882.24</v>
      </c>
      <c r="G122" s="185">
        <f>'Housing Voucher'!Q126*12</f>
        <v>0</v>
      </c>
      <c r="H122" s="197">
        <f>EITC!E125</f>
        <v>0</v>
      </c>
      <c r="I122" s="205">
        <f>Medicaid!N129*12</f>
        <v>7644</v>
      </c>
      <c r="K122" s="185">
        <f t="shared" si="5"/>
        <v>30246.240000000002</v>
      </c>
      <c r="L122" s="185">
        <f t="shared" si="6"/>
        <v>90246.24</v>
      </c>
      <c r="M122" s="36">
        <f t="shared" si="4"/>
        <v>7520.52</v>
      </c>
    </row>
    <row r="123" spans="1:13" x14ac:dyDescent="0.25">
      <c r="A123" s="186">
        <v>60500</v>
      </c>
      <c r="B123" s="33">
        <f t="shared" si="8"/>
        <v>5041.666666666667</v>
      </c>
      <c r="C123" s="185">
        <f>'Child care subsidy'!S126*12</f>
        <v>21695</v>
      </c>
      <c r="D123" s="185">
        <f>MAX('TANF-VIEW'!L130,'TANF-VIEW'!T130)*12</f>
        <v>0</v>
      </c>
      <c r="E123" s="193">
        <f>SNAP!V127*12</f>
        <v>0</v>
      </c>
      <c r="F123" s="184">
        <f>WIC!F129*12</f>
        <v>882.24</v>
      </c>
      <c r="G123" s="185">
        <f>'Housing Voucher'!Q127*12</f>
        <v>0</v>
      </c>
      <c r="H123" s="197">
        <f>EITC!E126</f>
        <v>0</v>
      </c>
      <c r="I123" s="205">
        <f>Medicaid!N130*12</f>
        <v>7644</v>
      </c>
      <c r="K123" s="185">
        <f t="shared" si="5"/>
        <v>30221.24</v>
      </c>
      <c r="L123" s="185">
        <f t="shared" si="6"/>
        <v>90721.24</v>
      </c>
      <c r="M123" s="36">
        <f t="shared" si="4"/>
        <v>7560.1033333333335</v>
      </c>
    </row>
    <row r="124" spans="1:13" x14ac:dyDescent="0.25">
      <c r="A124" s="186">
        <v>61000</v>
      </c>
      <c r="B124" s="33">
        <f t="shared" si="8"/>
        <v>5083.333333333333</v>
      </c>
      <c r="C124" s="185">
        <f>'Child care subsidy'!S127*12</f>
        <v>21670</v>
      </c>
      <c r="D124" s="185">
        <f>MAX('TANF-VIEW'!L131,'TANF-VIEW'!T131)*12</f>
        <v>0</v>
      </c>
      <c r="E124" s="193">
        <f>SNAP!V128*12</f>
        <v>0</v>
      </c>
      <c r="F124" s="184">
        <f>WIC!F130*12</f>
        <v>882.24</v>
      </c>
      <c r="G124" s="185">
        <f>'Housing Voucher'!Q128*12</f>
        <v>0</v>
      </c>
      <c r="H124" s="197">
        <f>EITC!E127</f>
        <v>0</v>
      </c>
      <c r="I124" s="205">
        <f>Medicaid!N131*12</f>
        <v>7644</v>
      </c>
      <c r="K124" s="185">
        <f t="shared" si="5"/>
        <v>30196.240000000002</v>
      </c>
      <c r="L124" s="185">
        <f t="shared" si="6"/>
        <v>91196.24</v>
      </c>
      <c r="M124" s="36">
        <f t="shared" si="4"/>
        <v>7599.6866666666674</v>
      </c>
    </row>
    <row r="125" spans="1:13" x14ac:dyDescent="0.25">
      <c r="A125" s="186">
        <v>61500</v>
      </c>
      <c r="B125" s="33">
        <f t="shared" si="8"/>
        <v>5125</v>
      </c>
      <c r="C125" s="185">
        <f>'Child care subsidy'!S128*12</f>
        <v>21645</v>
      </c>
      <c r="D125" s="185">
        <f>MAX('TANF-VIEW'!L132,'TANF-VIEW'!T132)*12</f>
        <v>0</v>
      </c>
      <c r="E125" s="193">
        <f>SNAP!V129*12</f>
        <v>0</v>
      </c>
      <c r="F125" s="184">
        <f>WIC!F131*12</f>
        <v>882.24</v>
      </c>
      <c r="G125" s="185">
        <f>'Housing Voucher'!Q129*12</f>
        <v>0</v>
      </c>
      <c r="H125" s="197">
        <f>EITC!E128</f>
        <v>0</v>
      </c>
      <c r="I125" s="205">
        <f>Medicaid!N132*12</f>
        <v>7644</v>
      </c>
      <c r="K125" s="185">
        <f t="shared" si="5"/>
        <v>30171.24</v>
      </c>
      <c r="L125" s="185">
        <f t="shared" si="6"/>
        <v>91671.24</v>
      </c>
      <c r="M125" s="36">
        <f t="shared" si="4"/>
        <v>7639.27</v>
      </c>
    </row>
    <row r="126" spans="1:13" x14ac:dyDescent="0.25">
      <c r="A126" s="186">
        <v>62000</v>
      </c>
      <c r="B126" s="33">
        <f t="shared" si="8"/>
        <v>5166.666666666667</v>
      </c>
      <c r="C126" s="185">
        <f>'Child care subsidy'!S129*12</f>
        <v>21620</v>
      </c>
      <c r="D126" s="185">
        <f>MAX('TANF-VIEW'!L133,'TANF-VIEW'!T133)*12</f>
        <v>0</v>
      </c>
      <c r="E126" s="193">
        <f>SNAP!V130*12</f>
        <v>0</v>
      </c>
      <c r="F126" s="184">
        <f>WIC!F132*12</f>
        <v>882.24</v>
      </c>
      <c r="G126" s="185">
        <f>'Housing Voucher'!Q130*12</f>
        <v>0</v>
      </c>
      <c r="H126" s="197">
        <f>EITC!E129</f>
        <v>0</v>
      </c>
      <c r="I126" s="205">
        <f>Medicaid!N133*12</f>
        <v>7644</v>
      </c>
      <c r="K126" s="185">
        <f t="shared" si="5"/>
        <v>30146.240000000002</v>
      </c>
      <c r="L126" s="185">
        <f t="shared" si="6"/>
        <v>92146.240000000005</v>
      </c>
      <c r="M126" s="36">
        <f t="shared" si="4"/>
        <v>7678.8533333333335</v>
      </c>
    </row>
    <row r="127" spans="1:13" x14ac:dyDescent="0.25">
      <c r="A127" s="186">
        <v>62500</v>
      </c>
      <c r="B127" s="33">
        <f t="shared" si="8"/>
        <v>5208.333333333333</v>
      </c>
      <c r="C127" s="185">
        <f>'Child care subsidy'!S130*12</f>
        <v>21595</v>
      </c>
      <c r="D127" s="185">
        <f>MAX('TANF-VIEW'!L134,'TANF-VIEW'!T134)*12</f>
        <v>0</v>
      </c>
      <c r="E127" s="193">
        <f>SNAP!V131*12</f>
        <v>0</v>
      </c>
      <c r="F127" s="184">
        <f>WIC!F133*12</f>
        <v>882.24</v>
      </c>
      <c r="G127" s="185">
        <f>'Housing Voucher'!Q131*12</f>
        <v>0</v>
      </c>
      <c r="H127" s="197">
        <f>EITC!E130</f>
        <v>0</v>
      </c>
      <c r="I127" s="205">
        <f>Medicaid!N134*12</f>
        <v>7644</v>
      </c>
      <c r="K127" s="185">
        <f t="shared" si="5"/>
        <v>30121.24</v>
      </c>
      <c r="L127" s="185">
        <f t="shared" si="6"/>
        <v>92621.24</v>
      </c>
      <c r="M127" s="36">
        <f t="shared" si="4"/>
        <v>7718.4366666666674</v>
      </c>
    </row>
    <row r="128" spans="1:13" x14ac:dyDescent="0.25">
      <c r="A128" s="186">
        <v>63000</v>
      </c>
      <c r="B128" s="33">
        <f t="shared" si="8"/>
        <v>5250</v>
      </c>
      <c r="C128" s="185">
        <f>'Child care subsidy'!S131*12</f>
        <v>21570</v>
      </c>
      <c r="D128" s="185">
        <f>MAX('TANF-VIEW'!L135,'TANF-VIEW'!T135)*12</f>
        <v>0</v>
      </c>
      <c r="E128" s="193">
        <f>SNAP!V132*12</f>
        <v>0</v>
      </c>
      <c r="F128" s="184">
        <f>WIC!F134*12</f>
        <v>882.24</v>
      </c>
      <c r="G128" s="185">
        <f>'Housing Voucher'!Q132*12</f>
        <v>0</v>
      </c>
      <c r="H128" s="197">
        <f>EITC!E131</f>
        <v>0</v>
      </c>
      <c r="I128" s="205">
        <f>Medicaid!N135*12</f>
        <v>7644</v>
      </c>
      <c r="K128" s="185">
        <f t="shared" si="5"/>
        <v>30096.240000000002</v>
      </c>
      <c r="L128" s="185">
        <f t="shared" si="6"/>
        <v>93096.24</v>
      </c>
      <c r="M128" s="36">
        <f t="shared" si="4"/>
        <v>7758.02</v>
      </c>
    </row>
    <row r="129" spans="1:16" x14ac:dyDescent="0.25">
      <c r="A129" s="186">
        <v>63500</v>
      </c>
      <c r="B129" s="33">
        <f t="shared" si="8"/>
        <v>5291.666666666667</v>
      </c>
      <c r="C129" s="185">
        <f>'Child care subsidy'!S132*12</f>
        <v>21545</v>
      </c>
      <c r="D129" s="185">
        <f>MAX('TANF-VIEW'!L136,'TANF-VIEW'!T136)*12</f>
        <v>0</v>
      </c>
      <c r="E129" s="193">
        <f>SNAP!V133*12</f>
        <v>0</v>
      </c>
      <c r="F129" s="184">
        <f>WIC!F135*12</f>
        <v>882.24</v>
      </c>
      <c r="G129" s="185">
        <f>'Housing Voucher'!Q133*12</f>
        <v>0</v>
      </c>
      <c r="H129" s="197">
        <f>EITC!E132</f>
        <v>0</v>
      </c>
      <c r="I129" s="205">
        <f>Medicaid!N136*12</f>
        <v>7644</v>
      </c>
      <c r="K129" s="185">
        <f t="shared" si="5"/>
        <v>30071.24</v>
      </c>
      <c r="L129" s="185">
        <f t="shared" si="6"/>
        <v>93571.24</v>
      </c>
      <c r="M129" s="36">
        <f t="shared" si="4"/>
        <v>7797.6033333333335</v>
      </c>
    </row>
    <row r="130" spans="1:16" x14ac:dyDescent="0.25">
      <c r="A130" s="186">
        <v>64000</v>
      </c>
      <c r="B130" s="33">
        <f t="shared" si="8"/>
        <v>5333.333333333333</v>
      </c>
      <c r="C130" s="185">
        <f>'Child care subsidy'!S133*12</f>
        <v>21520</v>
      </c>
      <c r="D130" s="185">
        <f>MAX('TANF-VIEW'!L137,'TANF-VIEW'!T137)*12</f>
        <v>0</v>
      </c>
      <c r="E130" s="193">
        <f>SNAP!V134*12</f>
        <v>0</v>
      </c>
      <c r="F130" s="184">
        <f>WIC!F136*12</f>
        <v>882.24</v>
      </c>
      <c r="G130" s="185">
        <f>'Housing Voucher'!Q134*12</f>
        <v>0</v>
      </c>
      <c r="H130" s="197">
        <f>EITC!E133</f>
        <v>0</v>
      </c>
      <c r="I130" s="205">
        <f>Medicaid!N137*12</f>
        <v>7644</v>
      </c>
      <c r="K130" s="185">
        <f t="shared" si="5"/>
        <v>30046.240000000002</v>
      </c>
      <c r="L130" s="185">
        <f t="shared" si="6"/>
        <v>94046.24</v>
      </c>
      <c r="M130" s="36">
        <f t="shared" si="4"/>
        <v>7837.1866666666674</v>
      </c>
    </row>
    <row r="131" spans="1:16" x14ac:dyDescent="0.25">
      <c r="A131" s="186">
        <v>64500</v>
      </c>
      <c r="B131" s="33">
        <f t="shared" si="8"/>
        <v>5375</v>
      </c>
      <c r="C131" s="185">
        <f>'Child care subsidy'!S134*12</f>
        <v>21495</v>
      </c>
      <c r="D131" s="185">
        <f>MAX('TANF-VIEW'!L138,'TANF-VIEW'!T138)*12</f>
        <v>0</v>
      </c>
      <c r="E131" s="193">
        <f>SNAP!V135*12</f>
        <v>0</v>
      </c>
      <c r="F131" s="184">
        <f>WIC!F137*12</f>
        <v>882.24</v>
      </c>
      <c r="G131" s="185">
        <f>'Housing Voucher'!Q135*12</f>
        <v>0</v>
      </c>
      <c r="H131" s="197">
        <f>EITC!E134</f>
        <v>0</v>
      </c>
      <c r="I131" s="205">
        <f>Medicaid!N138*12</f>
        <v>7644</v>
      </c>
      <c r="K131" s="185">
        <f t="shared" si="5"/>
        <v>30021.24</v>
      </c>
      <c r="L131" s="185">
        <f t="shared" si="6"/>
        <v>94521.24</v>
      </c>
      <c r="M131" s="36">
        <f t="shared" ref="M131:M194" si="9">L131/12</f>
        <v>7876.77</v>
      </c>
    </row>
    <row r="132" spans="1:16" x14ac:dyDescent="0.25">
      <c r="A132" s="186">
        <v>65000</v>
      </c>
      <c r="B132" s="33">
        <f t="shared" si="8"/>
        <v>5416.666666666667</v>
      </c>
      <c r="C132" s="185">
        <f>'Child care subsidy'!S135*12</f>
        <v>21470</v>
      </c>
      <c r="D132" s="185">
        <f>MAX('TANF-VIEW'!L139,'TANF-VIEW'!T139)*12</f>
        <v>0</v>
      </c>
      <c r="E132" s="193">
        <f>SNAP!V136*12</f>
        <v>0</v>
      </c>
      <c r="F132" s="184">
        <f>WIC!F138*12</f>
        <v>0</v>
      </c>
      <c r="G132" s="185">
        <f>'Housing Voucher'!Q136*12</f>
        <v>0</v>
      </c>
      <c r="H132" s="197">
        <f>EITC!E135</f>
        <v>0</v>
      </c>
      <c r="I132" s="205">
        <f>Medicaid!N139*12</f>
        <v>7644</v>
      </c>
      <c r="K132" s="185">
        <f t="shared" ref="K132:K195" si="10">SUM(C132:I132)</f>
        <v>29114</v>
      </c>
      <c r="L132" s="185">
        <f t="shared" ref="L132:L195" si="11">A132+K132</f>
        <v>94114</v>
      </c>
      <c r="M132" s="36">
        <f t="shared" si="9"/>
        <v>7842.833333333333</v>
      </c>
    </row>
    <row r="133" spans="1:16" x14ac:dyDescent="0.25">
      <c r="A133" s="186">
        <v>65500</v>
      </c>
      <c r="B133" s="33">
        <f t="shared" si="8"/>
        <v>5458.333333333333</v>
      </c>
      <c r="C133" s="185">
        <f>'Child care subsidy'!S136*12</f>
        <v>21445</v>
      </c>
      <c r="D133" s="185">
        <f>MAX('TANF-VIEW'!L140,'TANF-VIEW'!T140)*12</f>
        <v>0</v>
      </c>
      <c r="E133" s="193">
        <f>SNAP!V137*12</f>
        <v>0</v>
      </c>
      <c r="F133" s="184">
        <f>WIC!F139*12</f>
        <v>0</v>
      </c>
      <c r="G133" s="185">
        <f>'Housing Voucher'!Q137*12</f>
        <v>0</v>
      </c>
      <c r="H133" s="197">
        <f>EITC!E136</f>
        <v>0</v>
      </c>
      <c r="I133" s="205">
        <f>Medicaid!N140*12</f>
        <v>7644</v>
      </c>
      <c r="K133" s="185">
        <f t="shared" si="10"/>
        <v>29089</v>
      </c>
      <c r="L133" s="185">
        <f t="shared" si="11"/>
        <v>94589</v>
      </c>
      <c r="M133" s="36">
        <f t="shared" si="9"/>
        <v>7882.416666666667</v>
      </c>
      <c r="P133" s="34">
        <f>C135/12</f>
        <v>1782.9166666666667</v>
      </c>
    </row>
    <row r="134" spans="1:16" x14ac:dyDescent="0.25">
      <c r="A134" s="186">
        <v>66000</v>
      </c>
      <c r="B134" s="33">
        <f t="shared" si="8"/>
        <v>5500</v>
      </c>
      <c r="C134" s="185">
        <f>'Child care subsidy'!S137*12</f>
        <v>21420</v>
      </c>
      <c r="D134" s="185">
        <f>MAX('TANF-VIEW'!L141,'TANF-VIEW'!T141)*12</f>
        <v>0</v>
      </c>
      <c r="E134" s="193">
        <f>SNAP!V138*12</f>
        <v>0</v>
      </c>
      <c r="F134" s="184">
        <f>WIC!F140*12</f>
        <v>0</v>
      </c>
      <c r="G134" s="185">
        <f>'Housing Voucher'!Q138*12</f>
        <v>0</v>
      </c>
      <c r="H134" s="197">
        <f>EITC!E137</f>
        <v>0</v>
      </c>
      <c r="I134" s="205">
        <f>Medicaid!N141*12</f>
        <v>7644</v>
      </c>
      <c r="K134" s="185">
        <f t="shared" si="10"/>
        <v>29064</v>
      </c>
      <c r="L134" s="185">
        <f t="shared" si="11"/>
        <v>95064</v>
      </c>
      <c r="M134" s="36">
        <f t="shared" si="9"/>
        <v>7922</v>
      </c>
    </row>
    <row r="135" spans="1:16" x14ac:dyDescent="0.25">
      <c r="A135" s="186">
        <v>66500</v>
      </c>
      <c r="B135" s="33">
        <f t="shared" si="8"/>
        <v>5541.666666666667</v>
      </c>
      <c r="C135" s="185">
        <f>'Child care subsidy'!S138*12</f>
        <v>21395</v>
      </c>
      <c r="D135" s="185">
        <f>MAX('TANF-VIEW'!L142,'TANF-VIEW'!T142)*12</f>
        <v>0</v>
      </c>
      <c r="E135" s="193">
        <f>SNAP!V139*12</f>
        <v>0</v>
      </c>
      <c r="F135" s="184">
        <f>WIC!F141*12</f>
        <v>0</v>
      </c>
      <c r="G135" s="185">
        <f>'Housing Voucher'!Q139*12</f>
        <v>0</v>
      </c>
      <c r="H135" s="197">
        <f>EITC!E138</f>
        <v>0</v>
      </c>
      <c r="I135" s="205">
        <f>Medicaid!N142*12</f>
        <v>7644</v>
      </c>
      <c r="K135" s="185">
        <f t="shared" si="10"/>
        <v>29039</v>
      </c>
      <c r="L135" s="185">
        <f t="shared" si="11"/>
        <v>95539</v>
      </c>
      <c r="M135" s="36">
        <f t="shared" si="9"/>
        <v>7961.583333333333</v>
      </c>
    </row>
    <row r="136" spans="1:16" x14ac:dyDescent="0.25">
      <c r="A136" s="186">
        <v>67000</v>
      </c>
      <c r="B136" s="33">
        <f t="shared" si="8"/>
        <v>5583.333333333333</v>
      </c>
      <c r="C136" s="185">
        <f>'Child care subsidy'!S139*12</f>
        <v>21370</v>
      </c>
      <c r="D136" s="185">
        <f>MAX('TANF-VIEW'!L143,'TANF-VIEW'!T143)*12</f>
        <v>0</v>
      </c>
      <c r="E136" s="193">
        <f>SNAP!V140*12</f>
        <v>0</v>
      </c>
      <c r="F136" s="184">
        <f>WIC!F142*12</f>
        <v>0</v>
      </c>
      <c r="G136" s="185">
        <f>'Housing Voucher'!Q140*12</f>
        <v>0</v>
      </c>
      <c r="H136" s="197">
        <f>EITC!E139</f>
        <v>0</v>
      </c>
      <c r="I136" s="205">
        <f>Medicaid!N143*12</f>
        <v>7644</v>
      </c>
      <c r="K136" s="185">
        <f t="shared" si="10"/>
        <v>29014</v>
      </c>
      <c r="L136" s="185">
        <f t="shared" si="11"/>
        <v>96014</v>
      </c>
      <c r="M136" s="36">
        <f t="shared" si="9"/>
        <v>8001.166666666667</v>
      </c>
    </row>
    <row r="137" spans="1:16" x14ac:dyDescent="0.25">
      <c r="A137" s="186">
        <v>67500</v>
      </c>
      <c r="B137" s="33">
        <f t="shared" si="8"/>
        <v>5625</v>
      </c>
      <c r="C137" s="185">
        <f>'Child care subsidy'!S140*12</f>
        <v>21345</v>
      </c>
      <c r="D137" s="185">
        <f>MAX('TANF-VIEW'!L144,'TANF-VIEW'!T144)*12</f>
        <v>0</v>
      </c>
      <c r="E137" s="193">
        <f>SNAP!V141*12</f>
        <v>0</v>
      </c>
      <c r="F137" s="184">
        <f>WIC!F143*12</f>
        <v>0</v>
      </c>
      <c r="G137" s="185">
        <f>'Housing Voucher'!Q141*12</f>
        <v>0</v>
      </c>
      <c r="H137" s="197">
        <f>EITC!E140</f>
        <v>0</v>
      </c>
      <c r="I137" s="205">
        <f>Medicaid!N144*12</f>
        <v>7644</v>
      </c>
      <c r="K137" s="185">
        <f t="shared" si="10"/>
        <v>28989</v>
      </c>
      <c r="L137" s="185">
        <f t="shared" si="11"/>
        <v>96489</v>
      </c>
      <c r="M137" s="36">
        <f t="shared" si="9"/>
        <v>8040.75</v>
      </c>
    </row>
    <row r="138" spans="1:16" x14ac:dyDescent="0.25">
      <c r="A138" s="186">
        <v>68000</v>
      </c>
      <c r="B138" s="33">
        <f t="shared" si="8"/>
        <v>5666.666666666667</v>
      </c>
      <c r="C138" s="185">
        <f>'Child care subsidy'!S141*12</f>
        <v>21320</v>
      </c>
      <c r="D138" s="185">
        <f>MAX('TANF-VIEW'!L145,'TANF-VIEW'!T145)*12</f>
        <v>0</v>
      </c>
      <c r="E138" s="193">
        <f>SNAP!V142*12</f>
        <v>0</v>
      </c>
      <c r="F138" s="184">
        <f>WIC!F144*12</f>
        <v>0</v>
      </c>
      <c r="G138" s="185">
        <f>'Housing Voucher'!Q142*12</f>
        <v>0</v>
      </c>
      <c r="H138" s="197">
        <f>EITC!E141</f>
        <v>0</v>
      </c>
      <c r="I138" s="205">
        <f>Medicaid!N145*12</f>
        <v>7644</v>
      </c>
      <c r="K138" s="185">
        <f t="shared" si="10"/>
        <v>28964</v>
      </c>
      <c r="L138" s="185">
        <f t="shared" si="11"/>
        <v>96964</v>
      </c>
      <c r="M138" s="36">
        <f t="shared" si="9"/>
        <v>8080.333333333333</v>
      </c>
    </row>
    <row r="139" spans="1:16" x14ac:dyDescent="0.25">
      <c r="A139" s="186">
        <v>68500</v>
      </c>
      <c r="B139" s="33">
        <f t="shared" si="8"/>
        <v>5708.333333333333</v>
      </c>
      <c r="C139" s="185">
        <f>'Child care subsidy'!S142*12</f>
        <v>21295</v>
      </c>
      <c r="D139" s="185">
        <f>MAX('TANF-VIEW'!L146,'TANF-VIEW'!T146)*12</f>
        <v>0</v>
      </c>
      <c r="E139" s="193">
        <f>SNAP!V143*12</f>
        <v>0</v>
      </c>
      <c r="F139" s="184">
        <f>WIC!F145*12</f>
        <v>0</v>
      </c>
      <c r="G139" s="185">
        <f>'Housing Voucher'!Q143*12</f>
        <v>0</v>
      </c>
      <c r="H139" s="197">
        <f>EITC!E142</f>
        <v>0</v>
      </c>
      <c r="I139" s="205">
        <f>Medicaid!N146*12</f>
        <v>7644</v>
      </c>
      <c r="K139" s="185">
        <f t="shared" si="10"/>
        <v>28939</v>
      </c>
      <c r="L139" s="185">
        <f t="shared" si="11"/>
        <v>97439</v>
      </c>
      <c r="M139" s="36">
        <f t="shared" si="9"/>
        <v>8119.916666666667</v>
      </c>
    </row>
    <row r="140" spans="1:16" x14ac:dyDescent="0.25">
      <c r="A140" s="186">
        <v>69000</v>
      </c>
      <c r="B140" s="33">
        <f t="shared" si="8"/>
        <v>5750</v>
      </c>
      <c r="C140" s="185">
        <f>'Child care subsidy'!S143*12</f>
        <v>21270</v>
      </c>
      <c r="D140" s="185">
        <f>MAX('TANF-VIEW'!L147,'TANF-VIEW'!T147)*12</f>
        <v>0</v>
      </c>
      <c r="E140" s="193">
        <f>SNAP!V144*12</f>
        <v>0</v>
      </c>
      <c r="F140" s="184">
        <f>WIC!F146*12</f>
        <v>0</v>
      </c>
      <c r="G140" s="185">
        <f>'Housing Voucher'!Q144*12</f>
        <v>0</v>
      </c>
      <c r="H140" s="197">
        <f>EITC!E143</f>
        <v>0</v>
      </c>
      <c r="I140" s="205">
        <f>Medicaid!N147*12</f>
        <v>7644</v>
      </c>
      <c r="K140" s="185">
        <f t="shared" si="10"/>
        <v>28914</v>
      </c>
      <c r="L140" s="185">
        <f t="shared" si="11"/>
        <v>97914</v>
      </c>
      <c r="M140" s="36">
        <f t="shared" si="9"/>
        <v>8159.5</v>
      </c>
    </row>
    <row r="141" spans="1:16" x14ac:dyDescent="0.25">
      <c r="A141" s="186">
        <v>69500</v>
      </c>
      <c r="B141" s="33">
        <f t="shared" si="8"/>
        <v>5791.666666666667</v>
      </c>
      <c r="C141" s="185">
        <f>'Child care subsidy'!S144*12</f>
        <v>21245</v>
      </c>
      <c r="D141" s="185">
        <f>MAX('TANF-VIEW'!L148,'TANF-VIEW'!T148)*12</f>
        <v>0</v>
      </c>
      <c r="E141" s="193">
        <f>SNAP!V145*12</f>
        <v>0</v>
      </c>
      <c r="F141" s="184">
        <f>WIC!F147*12</f>
        <v>0</v>
      </c>
      <c r="G141" s="185">
        <f>'Housing Voucher'!Q145*12</f>
        <v>0</v>
      </c>
      <c r="H141" s="197">
        <f>EITC!E144</f>
        <v>0</v>
      </c>
      <c r="I141" s="205">
        <f>Medicaid!N148*12</f>
        <v>7644</v>
      </c>
      <c r="K141" s="185">
        <f t="shared" si="10"/>
        <v>28889</v>
      </c>
      <c r="L141" s="185">
        <f t="shared" si="11"/>
        <v>98389</v>
      </c>
      <c r="M141" s="36">
        <f t="shared" si="9"/>
        <v>8199.0833333333339</v>
      </c>
    </row>
    <row r="142" spans="1:16" x14ac:dyDescent="0.25">
      <c r="A142" s="186">
        <v>70000</v>
      </c>
      <c r="B142" s="33">
        <f t="shared" si="8"/>
        <v>5833.333333333333</v>
      </c>
      <c r="C142" s="185">
        <f>'Child care subsidy'!S145*12</f>
        <v>21220</v>
      </c>
      <c r="D142" s="185">
        <f>MAX('TANF-VIEW'!L149,'TANF-VIEW'!T149)*12</f>
        <v>0</v>
      </c>
      <c r="E142" s="193">
        <f>SNAP!V146*12</f>
        <v>0</v>
      </c>
      <c r="F142" s="184">
        <f>WIC!F148*12</f>
        <v>0</v>
      </c>
      <c r="G142" s="185">
        <f>'Housing Voucher'!Q146*12</f>
        <v>0</v>
      </c>
      <c r="H142" s="197">
        <f>EITC!E145</f>
        <v>0</v>
      </c>
      <c r="I142" s="205">
        <f>Medicaid!N149*12</f>
        <v>7644</v>
      </c>
      <c r="K142" s="185">
        <f t="shared" si="10"/>
        <v>28864</v>
      </c>
      <c r="L142" s="185">
        <f t="shared" si="11"/>
        <v>98864</v>
      </c>
      <c r="M142" s="36">
        <f t="shared" si="9"/>
        <v>8238.6666666666661</v>
      </c>
    </row>
    <row r="143" spans="1:16" x14ac:dyDescent="0.25">
      <c r="A143" s="186">
        <v>70500</v>
      </c>
      <c r="B143" s="33">
        <f t="shared" si="8"/>
        <v>5875</v>
      </c>
      <c r="C143" s="185">
        <f>'Child care subsidy'!S146*12</f>
        <v>21195</v>
      </c>
      <c r="D143" s="185">
        <f>MAX('TANF-VIEW'!L150,'TANF-VIEW'!T150)*12</f>
        <v>0</v>
      </c>
      <c r="E143" s="193">
        <f>SNAP!V147*12</f>
        <v>0</v>
      </c>
      <c r="F143" s="184">
        <f>WIC!F149*12</f>
        <v>0</v>
      </c>
      <c r="G143" s="185">
        <f>'Housing Voucher'!Q147*12</f>
        <v>0</v>
      </c>
      <c r="H143" s="197">
        <f>EITC!E146</f>
        <v>0</v>
      </c>
      <c r="I143" s="205">
        <f>Medicaid!N150*12</f>
        <v>7644</v>
      </c>
      <c r="K143" s="185">
        <f t="shared" si="10"/>
        <v>28839</v>
      </c>
      <c r="L143" s="185">
        <f t="shared" si="11"/>
        <v>99339</v>
      </c>
      <c r="M143" s="36">
        <f t="shared" si="9"/>
        <v>8278.25</v>
      </c>
    </row>
    <row r="144" spans="1:16" x14ac:dyDescent="0.25">
      <c r="A144" s="186">
        <v>71000</v>
      </c>
      <c r="B144" s="33">
        <f t="shared" si="8"/>
        <v>5916.666666666667</v>
      </c>
      <c r="C144" s="185">
        <f>'Child care subsidy'!S147*12</f>
        <v>21170</v>
      </c>
      <c r="D144" s="185">
        <f>MAX('TANF-VIEW'!L151,'TANF-VIEW'!T151)*12</f>
        <v>0</v>
      </c>
      <c r="E144" s="193">
        <f>SNAP!V148*12</f>
        <v>0</v>
      </c>
      <c r="F144" s="184">
        <f>WIC!F150*12</f>
        <v>0</v>
      </c>
      <c r="G144" s="185">
        <f>'Housing Voucher'!Q148*12</f>
        <v>0</v>
      </c>
      <c r="H144" s="197">
        <f>EITC!E147</f>
        <v>0</v>
      </c>
      <c r="I144" s="205">
        <f>Medicaid!N151*12</f>
        <v>7644</v>
      </c>
      <c r="K144" s="185">
        <f t="shared" si="10"/>
        <v>28814</v>
      </c>
      <c r="L144" s="185">
        <f t="shared" si="11"/>
        <v>99814</v>
      </c>
      <c r="M144" s="36">
        <f t="shared" si="9"/>
        <v>8317.8333333333339</v>
      </c>
    </row>
    <row r="145" spans="1:13" x14ac:dyDescent="0.25">
      <c r="A145" s="186">
        <v>71500</v>
      </c>
      <c r="B145" s="33">
        <f t="shared" si="8"/>
        <v>5958.333333333333</v>
      </c>
      <c r="C145" s="185">
        <f>'Child care subsidy'!S148*12</f>
        <v>21145</v>
      </c>
      <c r="D145" s="185">
        <f>MAX('TANF-VIEW'!L152,'TANF-VIEW'!T152)*12</f>
        <v>0</v>
      </c>
      <c r="E145" s="193">
        <f>SNAP!V149*12</f>
        <v>0</v>
      </c>
      <c r="F145" s="184">
        <f>WIC!F151*12</f>
        <v>0</v>
      </c>
      <c r="G145" s="185">
        <f>'Housing Voucher'!Q149*12</f>
        <v>0</v>
      </c>
      <c r="H145" s="197">
        <f>EITC!E148</f>
        <v>0</v>
      </c>
      <c r="I145" s="205">
        <f>Medicaid!N152*12</f>
        <v>7644</v>
      </c>
      <c r="K145" s="185">
        <f t="shared" si="10"/>
        <v>28789</v>
      </c>
      <c r="L145" s="185">
        <f t="shared" si="11"/>
        <v>100289</v>
      </c>
      <c r="M145" s="36">
        <f t="shared" si="9"/>
        <v>8357.4166666666661</v>
      </c>
    </row>
    <row r="146" spans="1:13" x14ac:dyDescent="0.25">
      <c r="A146" s="186">
        <v>72000</v>
      </c>
      <c r="B146" s="33">
        <f t="shared" si="8"/>
        <v>6000</v>
      </c>
      <c r="C146" s="185">
        <f>'Child care subsidy'!S149*12</f>
        <v>21120</v>
      </c>
      <c r="D146" s="185">
        <f>MAX('TANF-VIEW'!L153,'TANF-VIEW'!T153)*12</f>
        <v>0</v>
      </c>
      <c r="E146" s="193">
        <f>SNAP!V150*12</f>
        <v>0</v>
      </c>
      <c r="F146" s="184">
        <f>WIC!F152*12</f>
        <v>0</v>
      </c>
      <c r="G146" s="185">
        <f>'Housing Voucher'!Q150*12</f>
        <v>0</v>
      </c>
      <c r="H146" s="197">
        <f>EITC!E149</f>
        <v>0</v>
      </c>
      <c r="I146" s="205">
        <f>Medicaid!N153*12</f>
        <v>7644</v>
      </c>
      <c r="K146" s="185">
        <f t="shared" si="10"/>
        <v>28764</v>
      </c>
      <c r="L146" s="185">
        <f t="shared" si="11"/>
        <v>100764</v>
      </c>
      <c r="M146" s="36">
        <f t="shared" si="9"/>
        <v>8397</v>
      </c>
    </row>
    <row r="147" spans="1:13" x14ac:dyDescent="0.25">
      <c r="A147" s="186">
        <v>72500</v>
      </c>
      <c r="B147" s="33">
        <f t="shared" si="8"/>
        <v>6041.666666666667</v>
      </c>
      <c r="C147" s="185">
        <f>'Child care subsidy'!S150*12</f>
        <v>21095</v>
      </c>
      <c r="D147" s="185">
        <f>MAX('TANF-VIEW'!L154,'TANF-VIEW'!T154)*12</f>
        <v>0</v>
      </c>
      <c r="E147" s="193">
        <f>SNAP!V151*12</f>
        <v>0</v>
      </c>
      <c r="F147" s="184">
        <f>WIC!F153*12</f>
        <v>0</v>
      </c>
      <c r="G147" s="185">
        <f>'Housing Voucher'!Q151*12</f>
        <v>0</v>
      </c>
      <c r="H147" s="197">
        <f>EITC!E150</f>
        <v>0</v>
      </c>
      <c r="I147" s="205">
        <f>Medicaid!N154*12</f>
        <v>7644</v>
      </c>
      <c r="K147" s="185">
        <f t="shared" si="10"/>
        <v>28739</v>
      </c>
      <c r="L147" s="185">
        <f t="shared" si="11"/>
        <v>101239</v>
      </c>
      <c r="M147" s="36">
        <f t="shared" si="9"/>
        <v>8436.5833333333339</v>
      </c>
    </row>
    <row r="148" spans="1:13" x14ac:dyDescent="0.25">
      <c r="A148" s="186">
        <v>73000</v>
      </c>
      <c r="B148" s="33">
        <f t="shared" si="8"/>
        <v>6083.333333333333</v>
      </c>
      <c r="C148" s="185">
        <f>'Child care subsidy'!S151*12</f>
        <v>21070</v>
      </c>
      <c r="D148" s="185">
        <f>MAX('TANF-VIEW'!L155,'TANF-VIEW'!T155)*12</f>
        <v>0</v>
      </c>
      <c r="E148" s="193">
        <f>SNAP!V152*12</f>
        <v>0</v>
      </c>
      <c r="F148" s="184">
        <f>WIC!F154*12</f>
        <v>0</v>
      </c>
      <c r="G148" s="185">
        <f>'Housing Voucher'!Q152*12</f>
        <v>0</v>
      </c>
      <c r="H148" s="197">
        <f>EITC!E151</f>
        <v>0</v>
      </c>
      <c r="I148" s="205">
        <f>Medicaid!N155*12</f>
        <v>7644</v>
      </c>
      <c r="K148" s="185">
        <f t="shared" si="10"/>
        <v>28714</v>
      </c>
      <c r="L148" s="185">
        <f t="shared" si="11"/>
        <v>101714</v>
      </c>
      <c r="M148" s="36">
        <f t="shared" si="9"/>
        <v>8476.1666666666661</v>
      </c>
    </row>
    <row r="149" spans="1:13" x14ac:dyDescent="0.25">
      <c r="A149" s="186">
        <v>73500</v>
      </c>
      <c r="B149" s="33">
        <f t="shared" si="8"/>
        <v>6125</v>
      </c>
      <c r="C149" s="185">
        <f>'Child care subsidy'!S152*12</f>
        <v>21045</v>
      </c>
      <c r="D149" s="185">
        <f>MAX('TANF-VIEW'!L156,'TANF-VIEW'!T156)*12</f>
        <v>0</v>
      </c>
      <c r="E149" s="193">
        <f>SNAP!V153*12</f>
        <v>0</v>
      </c>
      <c r="F149" s="184">
        <f>WIC!F155*12</f>
        <v>0</v>
      </c>
      <c r="G149" s="185">
        <f>'Housing Voucher'!Q153*12</f>
        <v>0</v>
      </c>
      <c r="H149" s="197">
        <f>EITC!E152</f>
        <v>0</v>
      </c>
      <c r="I149" s="205">
        <f>Medicaid!N156*12</f>
        <v>7644</v>
      </c>
      <c r="K149" s="185">
        <f t="shared" si="10"/>
        <v>28689</v>
      </c>
      <c r="L149" s="185">
        <f t="shared" si="11"/>
        <v>102189</v>
      </c>
      <c r="M149" s="36">
        <f t="shared" si="9"/>
        <v>8515.75</v>
      </c>
    </row>
    <row r="150" spans="1:13" x14ac:dyDescent="0.25">
      <c r="A150" s="186">
        <v>74000</v>
      </c>
      <c r="B150" s="33">
        <f t="shared" si="8"/>
        <v>6166.666666666667</v>
      </c>
      <c r="C150" s="185">
        <f>'Child care subsidy'!S153*12</f>
        <v>21020</v>
      </c>
      <c r="D150" s="185">
        <f>MAX('TANF-VIEW'!L157,'TANF-VIEW'!T157)*12</f>
        <v>0</v>
      </c>
      <c r="E150" s="193">
        <f>SNAP!V154*12</f>
        <v>0</v>
      </c>
      <c r="F150" s="184">
        <f>WIC!F156*12</f>
        <v>0</v>
      </c>
      <c r="G150" s="185">
        <f>'Housing Voucher'!Q154*12</f>
        <v>0</v>
      </c>
      <c r="H150" s="197">
        <f>EITC!E153</f>
        <v>0</v>
      </c>
      <c r="I150" s="205">
        <f>Medicaid!N157*12</f>
        <v>7644</v>
      </c>
      <c r="K150" s="185">
        <f t="shared" si="10"/>
        <v>28664</v>
      </c>
      <c r="L150" s="185">
        <f t="shared" si="11"/>
        <v>102664</v>
      </c>
      <c r="M150" s="36">
        <f t="shared" si="9"/>
        <v>8555.3333333333339</v>
      </c>
    </row>
    <row r="151" spans="1:13" x14ac:dyDescent="0.25">
      <c r="A151" s="186">
        <v>74500</v>
      </c>
      <c r="B151" s="33">
        <f t="shared" si="8"/>
        <v>6208.333333333333</v>
      </c>
      <c r="C151" s="185">
        <f>'Child care subsidy'!S154*12</f>
        <v>20995</v>
      </c>
      <c r="D151" s="185">
        <f>MAX('TANF-VIEW'!L158,'TANF-VIEW'!T158)*12</f>
        <v>0</v>
      </c>
      <c r="E151" s="193">
        <f>SNAP!V155*12</f>
        <v>0</v>
      </c>
      <c r="F151" s="184">
        <f>WIC!F157*12</f>
        <v>0</v>
      </c>
      <c r="G151" s="185">
        <f>'Housing Voucher'!Q155*12</f>
        <v>0</v>
      </c>
      <c r="H151" s="197">
        <f>EITC!E154</f>
        <v>0</v>
      </c>
      <c r="I151" s="205">
        <f>Medicaid!N158*12</f>
        <v>7644</v>
      </c>
      <c r="K151" s="185">
        <f t="shared" si="10"/>
        <v>28639</v>
      </c>
      <c r="L151" s="185">
        <f t="shared" si="11"/>
        <v>103139</v>
      </c>
      <c r="M151" s="36">
        <f t="shared" si="9"/>
        <v>8594.9166666666661</v>
      </c>
    </row>
    <row r="152" spans="1:13" x14ac:dyDescent="0.25">
      <c r="A152" s="186">
        <v>75000</v>
      </c>
      <c r="B152" s="33">
        <f t="shared" si="8"/>
        <v>6250</v>
      </c>
      <c r="C152" s="185">
        <f>'Child care subsidy'!S155*12</f>
        <v>20970</v>
      </c>
      <c r="D152" s="185">
        <f>MAX('TANF-VIEW'!L159,'TANF-VIEW'!T159)*12</f>
        <v>0</v>
      </c>
      <c r="E152" s="193">
        <f>SNAP!V156*12</f>
        <v>0</v>
      </c>
      <c r="F152" s="184">
        <f>WIC!F158*12</f>
        <v>0</v>
      </c>
      <c r="G152" s="185">
        <f>'Housing Voucher'!Q156*12</f>
        <v>0</v>
      </c>
      <c r="H152" s="197">
        <f>EITC!E155</f>
        <v>0</v>
      </c>
      <c r="I152" s="205">
        <f>Medicaid!N159*12</f>
        <v>7644</v>
      </c>
      <c r="K152" s="185">
        <f t="shared" si="10"/>
        <v>28614</v>
      </c>
      <c r="L152" s="185">
        <f t="shared" si="11"/>
        <v>103614</v>
      </c>
      <c r="M152" s="36">
        <f t="shared" si="9"/>
        <v>8634.5</v>
      </c>
    </row>
    <row r="153" spans="1:13" x14ac:dyDescent="0.25">
      <c r="A153" s="186">
        <v>75500</v>
      </c>
      <c r="B153" s="33">
        <f t="shared" si="8"/>
        <v>6291.666666666667</v>
      </c>
      <c r="C153" s="185">
        <f>'Child care subsidy'!S156*12</f>
        <v>20945</v>
      </c>
      <c r="D153" s="185">
        <f>MAX('TANF-VIEW'!L160,'TANF-VIEW'!T160)*12</f>
        <v>0</v>
      </c>
      <c r="E153" s="193">
        <f>SNAP!V157*12</f>
        <v>0</v>
      </c>
      <c r="F153" s="184">
        <f>WIC!F159*12</f>
        <v>0</v>
      </c>
      <c r="G153" s="185">
        <f>'Housing Voucher'!Q157*12</f>
        <v>0</v>
      </c>
      <c r="H153" s="197">
        <f>EITC!E156</f>
        <v>0</v>
      </c>
      <c r="I153" s="205">
        <f>Medicaid!N160*12</f>
        <v>7644</v>
      </c>
      <c r="K153" s="185">
        <f t="shared" si="10"/>
        <v>28589</v>
      </c>
      <c r="L153" s="185">
        <f t="shared" si="11"/>
        <v>104089</v>
      </c>
      <c r="M153" s="36">
        <f t="shared" si="9"/>
        <v>8674.0833333333339</v>
      </c>
    </row>
    <row r="154" spans="1:13" x14ac:dyDescent="0.25">
      <c r="A154" s="186">
        <v>76000</v>
      </c>
      <c r="B154" s="33">
        <f t="shared" si="8"/>
        <v>6333.333333333333</v>
      </c>
      <c r="C154" s="185">
        <f>'Child care subsidy'!S157*12</f>
        <v>20920</v>
      </c>
      <c r="D154" s="185">
        <f>MAX('TANF-VIEW'!L161,'TANF-VIEW'!T161)*12</f>
        <v>0</v>
      </c>
      <c r="E154" s="193">
        <f>SNAP!V158*12</f>
        <v>0</v>
      </c>
      <c r="F154" s="184">
        <f>WIC!F160*12</f>
        <v>0</v>
      </c>
      <c r="G154" s="185">
        <f>'Housing Voucher'!Q158*12</f>
        <v>0</v>
      </c>
      <c r="H154" s="197">
        <f>EITC!E157</f>
        <v>0</v>
      </c>
      <c r="I154" s="205">
        <f>Medicaid!N161*12</f>
        <v>7644</v>
      </c>
      <c r="K154" s="185">
        <f t="shared" si="10"/>
        <v>28564</v>
      </c>
      <c r="L154" s="185">
        <f t="shared" si="11"/>
        <v>104564</v>
      </c>
      <c r="M154" s="36">
        <f t="shared" si="9"/>
        <v>8713.6666666666661</v>
      </c>
    </row>
    <row r="155" spans="1:13" x14ac:dyDescent="0.25">
      <c r="A155" s="186">
        <v>76500</v>
      </c>
      <c r="B155" s="33">
        <f t="shared" si="8"/>
        <v>6375</v>
      </c>
      <c r="C155" s="185">
        <f>'Child care subsidy'!S158*12</f>
        <v>20895</v>
      </c>
      <c r="D155" s="185">
        <f>MAX('TANF-VIEW'!L162,'TANF-VIEW'!T162)*12</f>
        <v>0</v>
      </c>
      <c r="E155" s="193">
        <f>SNAP!V159*12</f>
        <v>0</v>
      </c>
      <c r="F155" s="184">
        <f>WIC!F161*12</f>
        <v>0</v>
      </c>
      <c r="G155" s="185">
        <f>'Housing Voucher'!Q159*12</f>
        <v>0</v>
      </c>
      <c r="H155" s="197">
        <f>EITC!E158</f>
        <v>0</v>
      </c>
      <c r="I155" s="205">
        <f>Medicaid!N162*12</f>
        <v>7644</v>
      </c>
      <c r="K155" s="185">
        <f t="shared" si="10"/>
        <v>28539</v>
      </c>
      <c r="L155" s="185">
        <f t="shared" si="11"/>
        <v>105039</v>
      </c>
      <c r="M155" s="36">
        <f t="shared" si="9"/>
        <v>8753.25</v>
      </c>
    </row>
    <row r="156" spans="1:13" x14ac:dyDescent="0.25">
      <c r="A156" s="186">
        <v>77000</v>
      </c>
      <c r="B156" s="33">
        <f t="shared" si="8"/>
        <v>6416.666666666667</v>
      </c>
      <c r="C156" s="185">
        <f>'Child care subsidy'!S159*12</f>
        <v>20870</v>
      </c>
      <c r="D156" s="185">
        <f>MAX('TANF-VIEW'!L163,'TANF-VIEW'!T163)*12</f>
        <v>0</v>
      </c>
      <c r="E156" s="193">
        <f>SNAP!V160*12</f>
        <v>0</v>
      </c>
      <c r="F156" s="184">
        <f>WIC!F162*12</f>
        <v>0</v>
      </c>
      <c r="G156" s="185">
        <f>'Housing Voucher'!Q160*12</f>
        <v>0</v>
      </c>
      <c r="H156" s="197">
        <f>EITC!E159</f>
        <v>0</v>
      </c>
      <c r="I156" s="205">
        <f>Medicaid!N163*12</f>
        <v>7644</v>
      </c>
      <c r="K156" s="185">
        <f t="shared" si="10"/>
        <v>28514</v>
      </c>
      <c r="L156" s="185">
        <f t="shared" si="11"/>
        <v>105514</v>
      </c>
      <c r="M156" s="36">
        <f t="shared" si="9"/>
        <v>8792.8333333333339</v>
      </c>
    </row>
    <row r="157" spans="1:13" x14ac:dyDescent="0.25">
      <c r="A157" s="186">
        <v>77500</v>
      </c>
      <c r="B157" s="33">
        <f t="shared" si="8"/>
        <v>6458.333333333333</v>
      </c>
      <c r="C157" s="185">
        <f>'Child care subsidy'!S160*12</f>
        <v>20845</v>
      </c>
      <c r="D157" s="185">
        <f>MAX('TANF-VIEW'!L164,'TANF-VIEW'!T164)*12</f>
        <v>0</v>
      </c>
      <c r="E157" s="193">
        <f>SNAP!V161*12</f>
        <v>0</v>
      </c>
      <c r="F157" s="184">
        <f>WIC!F163*12</f>
        <v>0</v>
      </c>
      <c r="G157" s="185">
        <f>'Housing Voucher'!Q161*12</f>
        <v>0</v>
      </c>
      <c r="H157" s="197">
        <f>EITC!E160</f>
        <v>0</v>
      </c>
      <c r="I157" s="205">
        <f>Medicaid!N164*12</f>
        <v>0</v>
      </c>
      <c r="K157" s="185">
        <f t="shared" si="10"/>
        <v>20845</v>
      </c>
      <c r="L157" s="185">
        <f t="shared" si="11"/>
        <v>98345</v>
      </c>
      <c r="M157" s="36">
        <f t="shared" si="9"/>
        <v>8195.4166666666661</v>
      </c>
    </row>
    <row r="158" spans="1:13" x14ac:dyDescent="0.25">
      <c r="A158" s="186">
        <v>78000</v>
      </c>
      <c r="B158" s="33">
        <f t="shared" si="8"/>
        <v>6500</v>
      </c>
      <c r="C158" s="185">
        <f>'Child care subsidy'!S161*12</f>
        <v>20820</v>
      </c>
      <c r="D158" s="185">
        <f>MAX('TANF-VIEW'!L165,'TANF-VIEW'!T165)*12</f>
        <v>0</v>
      </c>
      <c r="E158" s="193">
        <f>SNAP!V162*12</f>
        <v>0</v>
      </c>
      <c r="F158" s="184">
        <f>WIC!F164*12</f>
        <v>0</v>
      </c>
      <c r="G158" s="185">
        <f>'Housing Voucher'!Q162*12</f>
        <v>0</v>
      </c>
      <c r="H158" s="197">
        <f>EITC!E161</f>
        <v>0</v>
      </c>
      <c r="I158" s="205">
        <f>Medicaid!N165*12</f>
        <v>0</v>
      </c>
      <c r="K158" s="185">
        <f t="shared" si="10"/>
        <v>20820</v>
      </c>
      <c r="L158" s="185">
        <f t="shared" si="11"/>
        <v>98820</v>
      </c>
      <c r="M158" s="36">
        <f t="shared" si="9"/>
        <v>8235</v>
      </c>
    </row>
    <row r="159" spans="1:13" x14ac:dyDescent="0.25">
      <c r="A159" s="186">
        <v>78500</v>
      </c>
      <c r="B159" s="33">
        <f t="shared" si="8"/>
        <v>6541.666666666667</v>
      </c>
      <c r="C159" s="185">
        <f>'Child care subsidy'!S162*12</f>
        <v>20795</v>
      </c>
      <c r="D159" s="185">
        <f>MAX('TANF-VIEW'!L166,'TANF-VIEW'!T166)*12</f>
        <v>0</v>
      </c>
      <c r="E159" s="193">
        <f>SNAP!V163*12</f>
        <v>0</v>
      </c>
      <c r="F159" s="184">
        <f>WIC!F165*12</f>
        <v>0</v>
      </c>
      <c r="G159" s="185">
        <f>'Housing Voucher'!Q163*12</f>
        <v>0</v>
      </c>
      <c r="H159" s="197">
        <f>EITC!E162</f>
        <v>0</v>
      </c>
      <c r="I159" s="205">
        <f>Medicaid!N166*12</f>
        <v>0</v>
      </c>
      <c r="K159" s="185">
        <f t="shared" si="10"/>
        <v>20795</v>
      </c>
      <c r="L159" s="185">
        <f t="shared" si="11"/>
        <v>99295</v>
      </c>
      <c r="M159" s="36">
        <f t="shared" si="9"/>
        <v>8274.5833333333339</v>
      </c>
    </row>
    <row r="160" spans="1:13" x14ac:dyDescent="0.25">
      <c r="A160" s="186">
        <v>79000</v>
      </c>
      <c r="B160" s="33">
        <f t="shared" si="8"/>
        <v>6583.333333333333</v>
      </c>
      <c r="C160" s="185">
        <f>'Child care subsidy'!S163*12</f>
        <v>20770</v>
      </c>
      <c r="D160" s="185">
        <f>MAX('TANF-VIEW'!L167,'TANF-VIEW'!T167)*12</f>
        <v>0</v>
      </c>
      <c r="E160" s="193">
        <f>SNAP!V164*12</f>
        <v>0</v>
      </c>
      <c r="F160" s="184">
        <f>WIC!F166*12</f>
        <v>0</v>
      </c>
      <c r="G160" s="185">
        <f>'Housing Voucher'!Q164*12</f>
        <v>0</v>
      </c>
      <c r="H160" s="197">
        <f>EITC!E163</f>
        <v>0</v>
      </c>
      <c r="I160" s="205">
        <f>Medicaid!N167*12</f>
        <v>0</v>
      </c>
      <c r="K160" s="185">
        <f t="shared" si="10"/>
        <v>20770</v>
      </c>
      <c r="L160" s="185">
        <f t="shared" si="11"/>
        <v>99770</v>
      </c>
      <c r="M160" s="36">
        <f t="shared" si="9"/>
        <v>8314.1666666666661</v>
      </c>
    </row>
    <row r="161" spans="1:13" x14ac:dyDescent="0.25">
      <c r="A161" s="186">
        <v>79500</v>
      </c>
      <c r="B161" s="33">
        <f t="shared" si="8"/>
        <v>6625</v>
      </c>
      <c r="C161" s="185">
        <f>'Child care subsidy'!S164*12</f>
        <v>20745</v>
      </c>
      <c r="D161" s="185">
        <f>MAX('TANF-VIEW'!L168,'TANF-VIEW'!T168)*12</f>
        <v>0</v>
      </c>
      <c r="E161" s="193">
        <f>SNAP!V165*12</f>
        <v>0</v>
      </c>
      <c r="F161" s="184">
        <f>WIC!F167*12</f>
        <v>0</v>
      </c>
      <c r="G161" s="185">
        <f>'Housing Voucher'!Q165*12</f>
        <v>0</v>
      </c>
      <c r="H161" s="197">
        <f>EITC!E164</f>
        <v>0</v>
      </c>
      <c r="I161" s="205">
        <f>Medicaid!N168*12</f>
        <v>0</v>
      </c>
      <c r="K161" s="185">
        <f t="shared" si="10"/>
        <v>20745</v>
      </c>
      <c r="L161" s="185">
        <f t="shared" si="11"/>
        <v>100245</v>
      </c>
      <c r="M161" s="36">
        <f t="shared" si="9"/>
        <v>8353.75</v>
      </c>
    </row>
    <row r="162" spans="1:13" x14ac:dyDescent="0.25">
      <c r="A162" s="186">
        <v>80000</v>
      </c>
      <c r="B162" s="33">
        <f t="shared" si="8"/>
        <v>6666.666666666667</v>
      </c>
      <c r="C162" s="185">
        <f>'Child care subsidy'!S165*12</f>
        <v>20720</v>
      </c>
      <c r="D162" s="185">
        <f>MAX('TANF-VIEW'!L169,'TANF-VIEW'!T169)*12</f>
        <v>0</v>
      </c>
      <c r="E162" s="193">
        <f>SNAP!V166*12</f>
        <v>0</v>
      </c>
      <c r="F162" s="184">
        <f>WIC!F168*12</f>
        <v>0</v>
      </c>
      <c r="G162" s="185">
        <f>'Housing Voucher'!Q166*12</f>
        <v>0</v>
      </c>
      <c r="H162" s="197">
        <f>EITC!E165</f>
        <v>0</v>
      </c>
      <c r="I162" s="205">
        <f>Medicaid!N169*12</f>
        <v>0</v>
      </c>
      <c r="K162" s="185">
        <f t="shared" si="10"/>
        <v>20720</v>
      </c>
      <c r="L162" s="185">
        <f t="shared" si="11"/>
        <v>100720</v>
      </c>
      <c r="M162" s="36">
        <f t="shared" si="9"/>
        <v>8393.3333333333339</v>
      </c>
    </row>
    <row r="163" spans="1:13" x14ac:dyDescent="0.25">
      <c r="A163" s="186">
        <v>80500</v>
      </c>
      <c r="B163" s="33">
        <f t="shared" si="8"/>
        <v>6708.333333333333</v>
      </c>
      <c r="C163" s="185">
        <f>'Child care subsidy'!S166*12</f>
        <v>20695</v>
      </c>
      <c r="D163" s="185">
        <f>MAX('TANF-VIEW'!L170,'TANF-VIEW'!T170)*12</f>
        <v>0</v>
      </c>
      <c r="E163" s="193">
        <f>SNAP!V167*12</f>
        <v>0</v>
      </c>
      <c r="F163" s="184">
        <f>WIC!F169*12</f>
        <v>0</v>
      </c>
      <c r="G163" s="185">
        <f>'Housing Voucher'!Q167*12</f>
        <v>0</v>
      </c>
      <c r="H163" s="197">
        <f>EITC!E166</f>
        <v>0</v>
      </c>
      <c r="I163" s="205">
        <f>Medicaid!N170*12</f>
        <v>0</v>
      </c>
      <c r="K163" s="185">
        <f t="shared" si="10"/>
        <v>20695</v>
      </c>
      <c r="L163" s="185">
        <f t="shared" si="11"/>
        <v>101195</v>
      </c>
      <c r="M163" s="36">
        <f t="shared" si="9"/>
        <v>8432.9166666666661</v>
      </c>
    </row>
    <row r="164" spans="1:13" x14ac:dyDescent="0.25">
      <c r="A164" s="186">
        <v>81000</v>
      </c>
      <c r="B164" s="33">
        <f t="shared" si="8"/>
        <v>6750</v>
      </c>
      <c r="C164" s="185">
        <f>'Child care subsidy'!S167*12</f>
        <v>20670</v>
      </c>
      <c r="D164" s="185">
        <f>MAX('TANF-VIEW'!L171,'TANF-VIEW'!T171)*12</f>
        <v>0</v>
      </c>
      <c r="E164" s="193">
        <f>SNAP!V168*12</f>
        <v>0</v>
      </c>
      <c r="F164" s="184">
        <f>WIC!F170*12</f>
        <v>0</v>
      </c>
      <c r="G164" s="185">
        <f>'Housing Voucher'!Q168*12</f>
        <v>0</v>
      </c>
      <c r="H164" s="197">
        <f>EITC!E167</f>
        <v>0</v>
      </c>
      <c r="I164" s="205">
        <f>Medicaid!N171*12</f>
        <v>0</v>
      </c>
      <c r="K164" s="185">
        <f t="shared" si="10"/>
        <v>20670</v>
      </c>
      <c r="L164" s="185">
        <f t="shared" si="11"/>
        <v>101670</v>
      </c>
      <c r="M164" s="36">
        <f t="shared" si="9"/>
        <v>8472.5</v>
      </c>
    </row>
    <row r="165" spans="1:13" x14ac:dyDescent="0.25">
      <c r="A165" s="186">
        <v>81500</v>
      </c>
      <c r="B165" s="33">
        <f t="shared" si="8"/>
        <v>6791.666666666667</v>
      </c>
      <c r="C165" s="185">
        <f>'Child care subsidy'!S168*12</f>
        <v>20645</v>
      </c>
      <c r="D165" s="185">
        <f>MAX('TANF-VIEW'!L172,'TANF-VIEW'!T172)*12</f>
        <v>0</v>
      </c>
      <c r="E165" s="193">
        <f>SNAP!V169*12</f>
        <v>0</v>
      </c>
      <c r="F165" s="184">
        <f>WIC!F171*12</f>
        <v>0</v>
      </c>
      <c r="G165" s="185">
        <f>'Housing Voucher'!Q169*12</f>
        <v>0</v>
      </c>
      <c r="H165" s="197">
        <f>EITC!E168</f>
        <v>0</v>
      </c>
      <c r="I165" s="205">
        <f>Medicaid!N172*12</f>
        <v>0</v>
      </c>
      <c r="K165" s="185">
        <f t="shared" si="10"/>
        <v>20645</v>
      </c>
      <c r="L165" s="185">
        <f t="shared" si="11"/>
        <v>102145</v>
      </c>
      <c r="M165" s="36">
        <f t="shared" si="9"/>
        <v>8512.0833333333339</v>
      </c>
    </row>
    <row r="166" spans="1:13" x14ac:dyDescent="0.25">
      <c r="A166" s="186">
        <v>82000</v>
      </c>
      <c r="B166" s="33">
        <f t="shared" si="8"/>
        <v>6833.333333333333</v>
      </c>
      <c r="C166" s="185">
        <f>'Child care subsidy'!S169*12</f>
        <v>20620</v>
      </c>
      <c r="D166" s="185">
        <f>MAX('TANF-VIEW'!L173,'TANF-VIEW'!T173)*12</f>
        <v>0</v>
      </c>
      <c r="E166" s="193">
        <f>SNAP!V170*12</f>
        <v>0</v>
      </c>
      <c r="F166" s="184">
        <f>WIC!F172*12</f>
        <v>0</v>
      </c>
      <c r="G166" s="185">
        <f>'Housing Voucher'!Q170*12</f>
        <v>0</v>
      </c>
      <c r="H166" s="197">
        <f>EITC!E169</f>
        <v>0</v>
      </c>
      <c r="I166" s="205">
        <f>Medicaid!N173*12</f>
        <v>0</v>
      </c>
      <c r="K166" s="185">
        <f t="shared" si="10"/>
        <v>20620</v>
      </c>
      <c r="L166" s="185">
        <f t="shared" si="11"/>
        <v>102620</v>
      </c>
      <c r="M166" s="36">
        <f t="shared" si="9"/>
        <v>8551.6666666666661</v>
      </c>
    </row>
    <row r="167" spans="1:13" x14ac:dyDescent="0.25">
      <c r="A167" s="186">
        <v>82500</v>
      </c>
      <c r="B167" s="33">
        <f t="shared" si="8"/>
        <v>6875</v>
      </c>
      <c r="C167" s="185">
        <f>'Child care subsidy'!S170*12</f>
        <v>20595</v>
      </c>
      <c r="D167" s="185">
        <f>MAX('TANF-VIEW'!L174,'TANF-VIEW'!T174)*12</f>
        <v>0</v>
      </c>
      <c r="E167" s="193">
        <f>SNAP!V171*12</f>
        <v>0</v>
      </c>
      <c r="F167" s="184">
        <f>WIC!F173*12</f>
        <v>0</v>
      </c>
      <c r="G167" s="185">
        <f>'Housing Voucher'!Q171*12</f>
        <v>0</v>
      </c>
      <c r="H167" s="197">
        <f>EITC!E170</f>
        <v>0</v>
      </c>
      <c r="I167" s="205">
        <f>Medicaid!N174*12</f>
        <v>0</v>
      </c>
      <c r="K167" s="185">
        <f t="shared" si="10"/>
        <v>20595</v>
      </c>
      <c r="L167" s="185">
        <f t="shared" si="11"/>
        <v>103095</v>
      </c>
      <c r="M167" s="36">
        <f t="shared" si="9"/>
        <v>8591.25</v>
      </c>
    </row>
    <row r="168" spans="1:13" x14ac:dyDescent="0.25">
      <c r="A168" s="186">
        <v>83000</v>
      </c>
      <c r="B168" s="33">
        <f t="shared" ref="B168:B202" si="12">A168/12</f>
        <v>6916.666666666667</v>
      </c>
      <c r="C168" s="185">
        <f>'Child care subsidy'!S171*12</f>
        <v>20570</v>
      </c>
      <c r="D168" s="185">
        <f>MAX('TANF-VIEW'!L175,'TANF-VIEW'!T175)*12</f>
        <v>0</v>
      </c>
      <c r="E168" s="193">
        <f>SNAP!V172*12</f>
        <v>0</v>
      </c>
      <c r="F168" s="184">
        <f>WIC!F174*12</f>
        <v>0</v>
      </c>
      <c r="G168" s="185">
        <f>'Housing Voucher'!Q172*12</f>
        <v>0</v>
      </c>
      <c r="H168" s="197">
        <f>EITC!E171</f>
        <v>0</v>
      </c>
      <c r="I168" s="205">
        <f>Medicaid!N175*12</f>
        <v>0</v>
      </c>
      <c r="K168" s="185">
        <f t="shared" si="10"/>
        <v>20570</v>
      </c>
      <c r="L168" s="185">
        <f t="shared" si="11"/>
        <v>103570</v>
      </c>
      <c r="M168" s="36">
        <f t="shared" si="9"/>
        <v>8630.8333333333339</v>
      </c>
    </row>
    <row r="169" spans="1:13" x14ac:dyDescent="0.25">
      <c r="A169" s="186">
        <v>83500</v>
      </c>
      <c r="B169" s="33">
        <f t="shared" si="12"/>
        <v>6958.333333333333</v>
      </c>
      <c r="C169" s="185">
        <f>'Child care subsidy'!S172*12</f>
        <v>20545</v>
      </c>
      <c r="D169" s="185">
        <f>MAX('TANF-VIEW'!L176,'TANF-VIEW'!T176)*12</f>
        <v>0</v>
      </c>
      <c r="E169" s="193">
        <f>SNAP!V173*12</f>
        <v>0</v>
      </c>
      <c r="F169" s="184">
        <f>WIC!F175*12</f>
        <v>0</v>
      </c>
      <c r="G169" s="185">
        <f>'Housing Voucher'!Q173*12</f>
        <v>0</v>
      </c>
      <c r="H169" s="197">
        <f>EITC!E172</f>
        <v>0</v>
      </c>
      <c r="I169" s="205">
        <f>Medicaid!N176*12</f>
        <v>0</v>
      </c>
      <c r="K169" s="185">
        <f t="shared" si="10"/>
        <v>20545</v>
      </c>
      <c r="L169" s="185">
        <f t="shared" si="11"/>
        <v>104045</v>
      </c>
      <c r="M169" s="36">
        <f t="shared" si="9"/>
        <v>8670.4166666666661</v>
      </c>
    </row>
    <row r="170" spans="1:13" x14ac:dyDescent="0.25">
      <c r="A170" s="186">
        <v>84000</v>
      </c>
      <c r="B170" s="33">
        <f t="shared" si="12"/>
        <v>7000</v>
      </c>
      <c r="C170" s="185">
        <f>'Child care subsidy'!S173*12</f>
        <v>20520</v>
      </c>
      <c r="D170" s="185">
        <f>MAX('TANF-VIEW'!L177,'TANF-VIEW'!T177)*12</f>
        <v>0</v>
      </c>
      <c r="E170" s="193">
        <f>SNAP!V174*12</f>
        <v>0</v>
      </c>
      <c r="F170" s="184">
        <f>WIC!F176*12</f>
        <v>0</v>
      </c>
      <c r="G170" s="185">
        <f>'Housing Voucher'!Q174*12</f>
        <v>0</v>
      </c>
      <c r="H170" s="197">
        <f>EITC!E173</f>
        <v>0</v>
      </c>
      <c r="I170" s="205">
        <f>Medicaid!N177*12</f>
        <v>0</v>
      </c>
      <c r="K170" s="185">
        <f t="shared" si="10"/>
        <v>20520</v>
      </c>
      <c r="L170" s="185">
        <f t="shared" si="11"/>
        <v>104520</v>
      </c>
      <c r="M170" s="36">
        <f t="shared" si="9"/>
        <v>8710</v>
      </c>
    </row>
    <row r="171" spans="1:13" x14ac:dyDescent="0.25">
      <c r="A171" s="186">
        <v>84500</v>
      </c>
      <c r="B171" s="33">
        <f t="shared" si="12"/>
        <v>7041.666666666667</v>
      </c>
      <c r="C171" s="185">
        <f>'Child care subsidy'!S174*12</f>
        <v>20495</v>
      </c>
      <c r="D171" s="185">
        <f>MAX('TANF-VIEW'!L178,'TANF-VIEW'!T178)*12</f>
        <v>0</v>
      </c>
      <c r="E171" s="193">
        <f>SNAP!V175*12</f>
        <v>0</v>
      </c>
      <c r="F171" s="184">
        <f>WIC!F177*12</f>
        <v>0</v>
      </c>
      <c r="G171" s="185">
        <f>'Housing Voucher'!Q175*12</f>
        <v>0</v>
      </c>
      <c r="H171" s="197">
        <f>EITC!E174</f>
        <v>0</v>
      </c>
      <c r="I171" s="205">
        <f>Medicaid!N178*12</f>
        <v>0</v>
      </c>
      <c r="K171" s="185">
        <f t="shared" si="10"/>
        <v>20495</v>
      </c>
      <c r="L171" s="185">
        <f t="shared" si="11"/>
        <v>104995</v>
      </c>
      <c r="M171" s="36">
        <f t="shared" si="9"/>
        <v>8749.5833333333339</v>
      </c>
    </row>
    <row r="172" spans="1:13" x14ac:dyDescent="0.25">
      <c r="A172" s="186">
        <v>85000</v>
      </c>
      <c r="B172" s="33">
        <f t="shared" si="12"/>
        <v>7083.333333333333</v>
      </c>
      <c r="C172" s="185">
        <f>'Child care subsidy'!S175*12</f>
        <v>20470</v>
      </c>
      <c r="D172" s="185">
        <f>MAX('TANF-VIEW'!L179,'TANF-VIEW'!T179)*12</f>
        <v>0</v>
      </c>
      <c r="E172" s="193">
        <f>SNAP!V176*12</f>
        <v>0</v>
      </c>
      <c r="F172" s="184">
        <f>WIC!F178*12</f>
        <v>0</v>
      </c>
      <c r="G172" s="185">
        <f>'Housing Voucher'!Q176*12</f>
        <v>0</v>
      </c>
      <c r="H172" s="197">
        <f>EITC!E175</f>
        <v>0</v>
      </c>
      <c r="I172" s="205">
        <f>Medicaid!N179*12</f>
        <v>0</v>
      </c>
      <c r="K172" s="185">
        <f t="shared" si="10"/>
        <v>20470</v>
      </c>
      <c r="L172" s="185">
        <f t="shared" si="11"/>
        <v>105470</v>
      </c>
      <c r="M172" s="36">
        <f t="shared" si="9"/>
        <v>8789.1666666666661</v>
      </c>
    </row>
    <row r="173" spans="1:13" x14ac:dyDescent="0.25">
      <c r="A173" s="186">
        <v>85500</v>
      </c>
      <c r="B173" s="33">
        <f t="shared" si="12"/>
        <v>7125</v>
      </c>
      <c r="C173" s="185">
        <f>'Child care subsidy'!S176*12</f>
        <v>20445</v>
      </c>
      <c r="D173" s="185">
        <f>MAX('TANF-VIEW'!L180,'TANF-VIEW'!T180)*12</f>
        <v>0</v>
      </c>
      <c r="E173" s="193">
        <f>SNAP!V177*12</f>
        <v>0</v>
      </c>
      <c r="F173" s="184">
        <f>WIC!F179*12</f>
        <v>0</v>
      </c>
      <c r="G173" s="185">
        <f>'Housing Voucher'!Q177*12</f>
        <v>0</v>
      </c>
      <c r="H173" s="197">
        <f>EITC!E176</f>
        <v>0</v>
      </c>
      <c r="I173" s="205">
        <f>Medicaid!N180*12</f>
        <v>0</v>
      </c>
      <c r="K173" s="185">
        <f t="shared" si="10"/>
        <v>20445</v>
      </c>
      <c r="L173" s="185">
        <f t="shared" si="11"/>
        <v>105945</v>
      </c>
      <c r="M173" s="36">
        <f t="shared" si="9"/>
        <v>8828.75</v>
      </c>
    </row>
    <row r="174" spans="1:13" x14ac:dyDescent="0.25">
      <c r="A174" s="186">
        <v>86000</v>
      </c>
      <c r="B174" s="33">
        <f t="shared" si="12"/>
        <v>7166.666666666667</v>
      </c>
      <c r="C174" s="185">
        <f>'Child care subsidy'!S177*12</f>
        <v>20420</v>
      </c>
      <c r="D174" s="185">
        <f>MAX('TANF-VIEW'!L181,'TANF-VIEW'!T181)*12</f>
        <v>0</v>
      </c>
      <c r="E174" s="193">
        <f>SNAP!V178*12</f>
        <v>0</v>
      </c>
      <c r="F174" s="184">
        <f>WIC!F180*12</f>
        <v>0</v>
      </c>
      <c r="G174" s="185">
        <f>'Housing Voucher'!Q178*12</f>
        <v>0</v>
      </c>
      <c r="H174" s="197">
        <f>EITC!E177</f>
        <v>0</v>
      </c>
      <c r="I174" s="205">
        <f>Medicaid!N181*12</f>
        <v>0</v>
      </c>
      <c r="K174" s="185">
        <f t="shared" si="10"/>
        <v>20420</v>
      </c>
      <c r="L174" s="185">
        <f t="shared" si="11"/>
        <v>106420</v>
      </c>
      <c r="M174" s="36">
        <f t="shared" si="9"/>
        <v>8868.3333333333339</v>
      </c>
    </row>
    <row r="175" spans="1:13" x14ac:dyDescent="0.25">
      <c r="A175" s="186">
        <v>86500</v>
      </c>
      <c r="B175" s="33">
        <f t="shared" si="12"/>
        <v>7208.333333333333</v>
      </c>
      <c r="C175" s="185">
        <f>'Child care subsidy'!S178*12</f>
        <v>20395</v>
      </c>
      <c r="D175" s="185">
        <f>MAX('TANF-VIEW'!L182,'TANF-VIEW'!T182)*12</f>
        <v>0</v>
      </c>
      <c r="E175" s="193">
        <f>SNAP!V179*12</f>
        <v>0</v>
      </c>
      <c r="F175" s="184">
        <f>WIC!F181*12</f>
        <v>0</v>
      </c>
      <c r="G175" s="185">
        <f>'Housing Voucher'!Q179*12</f>
        <v>0</v>
      </c>
      <c r="H175" s="197">
        <f>EITC!E178</f>
        <v>0</v>
      </c>
      <c r="I175" s="205">
        <f>Medicaid!N182*12</f>
        <v>0</v>
      </c>
      <c r="K175" s="185">
        <f t="shared" si="10"/>
        <v>20395</v>
      </c>
      <c r="L175" s="185">
        <f t="shared" si="11"/>
        <v>106895</v>
      </c>
      <c r="M175" s="36">
        <f t="shared" si="9"/>
        <v>8907.9166666666661</v>
      </c>
    </row>
    <row r="176" spans="1:13" x14ac:dyDescent="0.25">
      <c r="A176" s="186">
        <v>87000</v>
      </c>
      <c r="B176" s="33">
        <f t="shared" si="12"/>
        <v>7250</v>
      </c>
      <c r="C176" s="185">
        <f>'Child care subsidy'!S179*12</f>
        <v>20370</v>
      </c>
      <c r="D176" s="185">
        <f>MAX('TANF-VIEW'!L183,'TANF-VIEW'!T183)*12</f>
        <v>0</v>
      </c>
      <c r="E176" s="193">
        <f>SNAP!V180*12</f>
        <v>0</v>
      </c>
      <c r="F176" s="184">
        <f>WIC!F182*12</f>
        <v>0</v>
      </c>
      <c r="G176" s="185">
        <f>'Housing Voucher'!Q180*12</f>
        <v>0</v>
      </c>
      <c r="H176" s="197">
        <f>EITC!E179</f>
        <v>0</v>
      </c>
      <c r="I176" s="205">
        <f>Medicaid!N183*12</f>
        <v>0</v>
      </c>
      <c r="K176" s="185">
        <f t="shared" si="10"/>
        <v>20370</v>
      </c>
      <c r="L176" s="185">
        <f t="shared" si="11"/>
        <v>107370</v>
      </c>
      <c r="M176" s="36">
        <f t="shared" si="9"/>
        <v>8947.5</v>
      </c>
    </row>
    <row r="177" spans="1:13" x14ac:dyDescent="0.25">
      <c r="A177" s="186">
        <v>87500</v>
      </c>
      <c r="B177" s="33">
        <f t="shared" si="12"/>
        <v>7291.666666666667</v>
      </c>
      <c r="C177" s="185">
        <f>'Child care subsidy'!S180*12</f>
        <v>20345</v>
      </c>
      <c r="D177" s="185">
        <f>MAX('TANF-VIEW'!L184,'TANF-VIEW'!T184)*12</f>
        <v>0</v>
      </c>
      <c r="E177" s="193">
        <f>SNAP!V181*12</f>
        <v>0</v>
      </c>
      <c r="F177" s="184">
        <f>WIC!F183*12</f>
        <v>0</v>
      </c>
      <c r="G177" s="185">
        <f>'Housing Voucher'!Q181*12</f>
        <v>0</v>
      </c>
      <c r="H177" s="197">
        <f>EITC!E180</f>
        <v>0</v>
      </c>
      <c r="I177" s="205">
        <f>Medicaid!N184*12</f>
        <v>0</v>
      </c>
      <c r="K177" s="185">
        <f t="shared" si="10"/>
        <v>20345</v>
      </c>
      <c r="L177" s="185">
        <f t="shared" si="11"/>
        <v>107845</v>
      </c>
      <c r="M177" s="36">
        <f t="shared" si="9"/>
        <v>8987.0833333333339</v>
      </c>
    </row>
    <row r="178" spans="1:13" x14ac:dyDescent="0.25">
      <c r="A178" s="186">
        <v>88000</v>
      </c>
      <c r="B178" s="33">
        <f t="shared" si="12"/>
        <v>7333.333333333333</v>
      </c>
      <c r="C178" s="185">
        <f>'Child care subsidy'!S181*12</f>
        <v>20320</v>
      </c>
      <c r="D178" s="185">
        <f>MAX('TANF-VIEW'!L185,'TANF-VIEW'!T185)*12</f>
        <v>0</v>
      </c>
      <c r="E178" s="193">
        <f>SNAP!V182*12</f>
        <v>0</v>
      </c>
      <c r="F178" s="184">
        <f>WIC!F184*12</f>
        <v>0</v>
      </c>
      <c r="G178" s="185">
        <f>'Housing Voucher'!Q182*12</f>
        <v>0</v>
      </c>
      <c r="H178" s="197">
        <f>EITC!E181</f>
        <v>0</v>
      </c>
      <c r="I178" s="205">
        <f>Medicaid!N185*12</f>
        <v>0</v>
      </c>
      <c r="K178" s="185">
        <f t="shared" si="10"/>
        <v>20320</v>
      </c>
      <c r="L178" s="185">
        <f t="shared" si="11"/>
        <v>108320</v>
      </c>
      <c r="M178" s="36">
        <f t="shared" si="9"/>
        <v>9026.6666666666661</v>
      </c>
    </row>
    <row r="179" spans="1:13" x14ac:dyDescent="0.25">
      <c r="A179" s="186">
        <v>88500</v>
      </c>
      <c r="B179" s="33">
        <f t="shared" si="12"/>
        <v>7375</v>
      </c>
      <c r="C179" s="185">
        <f>'Child care subsidy'!S182*12</f>
        <v>20295</v>
      </c>
      <c r="D179" s="185">
        <f>MAX('TANF-VIEW'!L186,'TANF-VIEW'!T186)*12</f>
        <v>0</v>
      </c>
      <c r="E179" s="193">
        <f>SNAP!V183*12</f>
        <v>0</v>
      </c>
      <c r="F179" s="184">
        <f>WIC!F185*12</f>
        <v>0</v>
      </c>
      <c r="G179" s="185">
        <f>'Housing Voucher'!Q183*12</f>
        <v>0</v>
      </c>
      <c r="H179" s="197">
        <f>EITC!E182</f>
        <v>0</v>
      </c>
      <c r="I179" s="205">
        <f>Medicaid!N186*12</f>
        <v>0</v>
      </c>
      <c r="K179" s="185">
        <f t="shared" si="10"/>
        <v>20295</v>
      </c>
      <c r="L179" s="185">
        <f t="shared" si="11"/>
        <v>108795</v>
      </c>
      <c r="M179" s="36">
        <f t="shared" si="9"/>
        <v>9066.25</v>
      </c>
    </row>
    <row r="180" spans="1:13" x14ac:dyDescent="0.25">
      <c r="A180" s="186">
        <v>89000</v>
      </c>
      <c r="B180" s="33">
        <f t="shared" si="12"/>
        <v>7416.666666666667</v>
      </c>
      <c r="C180" s="185">
        <f>'Child care subsidy'!S183*12</f>
        <v>20270</v>
      </c>
      <c r="D180" s="185">
        <f>MAX('TANF-VIEW'!L187,'TANF-VIEW'!T187)*12</f>
        <v>0</v>
      </c>
      <c r="E180" s="193">
        <f>SNAP!V184*12</f>
        <v>0</v>
      </c>
      <c r="F180" s="184">
        <f>WIC!F186*12</f>
        <v>0</v>
      </c>
      <c r="G180" s="185">
        <f>'Housing Voucher'!Q184*12</f>
        <v>0</v>
      </c>
      <c r="H180" s="197">
        <f>EITC!E183</f>
        <v>0</v>
      </c>
      <c r="I180" s="205">
        <f>Medicaid!N187*12</f>
        <v>0</v>
      </c>
      <c r="K180" s="185">
        <f t="shared" si="10"/>
        <v>20270</v>
      </c>
      <c r="L180" s="185">
        <f t="shared" si="11"/>
        <v>109270</v>
      </c>
      <c r="M180" s="36">
        <f t="shared" si="9"/>
        <v>9105.8333333333339</v>
      </c>
    </row>
    <row r="181" spans="1:13" x14ac:dyDescent="0.25">
      <c r="A181" s="186">
        <v>89500</v>
      </c>
      <c r="B181" s="33">
        <f t="shared" si="12"/>
        <v>7458.333333333333</v>
      </c>
      <c r="C181" s="185">
        <f>'Child care subsidy'!S184*12</f>
        <v>20245</v>
      </c>
      <c r="D181" s="185">
        <f>MAX('TANF-VIEW'!L188,'TANF-VIEW'!T188)*12</f>
        <v>0</v>
      </c>
      <c r="E181" s="193">
        <f>SNAP!V185*12</f>
        <v>0</v>
      </c>
      <c r="F181" s="184">
        <f>WIC!F187*12</f>
        <v>0</v>
      </c>
      <c r="G181" s="185">
        <f>'Housing Voucher'!Q185*12</f>
        <v>0</v>
      </c>
      <c r="H181" s="197">
        <f>EITC!E184</f>
        <v>0</v>
      </c>
      <c r="I181" s="205">
        <f>Medicaid!N188*12</f>
        <v>0</v>
      </c>
      <c r="K181" s="185">
        <f t="shared" si="10"/>
        <v>20245</v>
      </c>
      <c r="L181" s="185">
        <f t="shared" si="11"/>
        <v>109745</v>
      </c>
      <c r="M181" s="36">
        <f t="shared" si="9"/>
        <v>9145.4166666666661</v>
      </c>
    </row>
    <row r="182" spans="1:13" x14ac:dyDescent="0.25">
      <c r="A182" s="186">
        <v>90000</v>
      </c>
      <c r="B182" s="33">
        <f t="shared" si="12"/>
        <v>7500</v>
      </c>
      <c r="C182" s="185">
        <f>'Child care subsidy'!S185*12</f>
        <v>20220</v>
      </c>
      <c r="D182" s="185">
        <f>MAX('TANF-VIEW'!L189,'TANF-VIEW'!T189)*12</f>
        <v>0</v>
      </c>
      <c r="E182" s="193">
        <f>SNAP!V186*12</f>
        <v>0</v>
      </c>
      <c r="F182" s="184">
        <f>WIC!F188*12</f>
        <v>0</v>
      </c>
      <c r="G182" s="185">
        <f>'Housing Voucher'!Q186*12</f>
        <v>0</v>
      </c>
      <c r="H182" s="197">
        <f>EITC!E185</f>
        <v>0</v>
      </c>
      <c r="I182" s="205">
        <f>Medicaid!N189*12</f>
        <v>0</v>
      </c>
      <c r="K182" s="185">
        <f t="shared" si="10"/>
        <v>20220</v>
      </c>
      <c r="L182" s="185">
        <f t="shared" si="11"/>
        <v>110220</v>
      </c>
      <c r="M182" s="36">
        <f t="shared" si="9"/>
        <v>9185</v>
      </c>
    </row>
    <row r="183" spans="1:13" x14ac:dyDescent="0.25">
      <c r="A183" s="186">
        <v>90500</v>
      </c>
      <c r="B183" s="33">
        <f t="shared" si="12"/>
        <v>7541.666666666667</v>
      </c>
      <c r="C183" s="185">
        <f>'Child care subsidy'!S186*12</f>
        <v>20195</v>
      </c>
      <c r="D183" s="185">
        <f>MAX('TANF-VIEW'!L190,'TANF-VIEW'!T190)*12</f>
        <v>0</v>
      </c>
      <c r="E183" s="193">
        <f>SNAP!V187*12</f>
        <v>0</v>
      </c>
      <c r="F183" s="184">
        <f>WIC!F189*12</f>
        <v>0</v>
      </c>
      <c r="G183" s="185">
        <f>'Housing Voucher'!Q187*12</f>
        <v>0</v>
      </c>
      <c r="H183" s="197">
        <f>EITC!E186</f>
        <v>0</v>
      </c>
      <c r="I183" s="205">
        <f>Medicaid!N190*12</f>
        <v>0</v>
      </c>
      <c r="K183" s="185">
        <f t="shared" si="10"/>
        <v>20195</v>
      </c>
      <c r="L183" s="185">
        <f t="shared" si="11"/>
        <v>110695</v>
      </c>
      <c r="M183" s="36">
        <f t="shared" si="9"/>
        <v>9224.5833333333339</v>
      </c>
    </row>
    <row r="184" spans="1:13" x14ac:dyDescent="0.25">
      <c r="A184" s="186">
        <v>91000</v>
      </c>
      <c r="B184" s="33">
        <f t="shared" si="12"/>
        <v>7583.333333333333</v>
      </c>
      <c r="C184" s="185">
        <f>'Child care subsidy'!S187*12</f>
        <v>20170</v>
      </c>
      <c r="D184" s="185">
        <f>MAX('TANF-VIEW'!L191,'TANF-VIEW'!T191)*12</f>
        <v>0</v>
      </c>
      <c r="E184" s="193">
        <f>SNAP!V188*12</f>
        <v>0</v>
      </c>
      <c r="F184" s="184">
        <f>WIC!F190*12</f>
        <v>0</v>
      </c>
      <c r="G184" s="185">
        <f>'Housing Voucher'!Q188*12</f>
        <v>0</v>
      </c>
      <c r="H184" s="197">
        <f>EITC!E187</f>
        <v>0</v>
      </c>
      <c r="I184" s="205">
        <f>Medicaid!N191*12</f>
        <v>0</v>
      </c>
      <c r="K184" s="185">
        <f t="shared" si="10"/>
        <v>20170</v>
      </c>
      <c r="L184" s="185">
        <f t="shared" si="11"/>
        <v>111170</v>
      </c>
      <c r="M184" s="36">
        <f t="shared" si="9"/>
        <v>9264.1666666666661</v>
      </c>
    </row>
    <row r="185" spans="1:13" x14ac:dyDescent="0.25">
      <c r="A185" s="186">
        <v>91500</v>
      </c>
      <c r="B185" s="33">
        <f t="shared" si="12"/>
        <v>7625</v>
      </c>
      <c r="C185" s="185">
        <f>'Child care subsidy'!S188*12</f>
        <v>20145</v>
      </c>
      <c r="D185" s="185">
        <f>MAX('TANF-VIEW'!L192,'TANF-VIEW'!T192)*12</f>
        <v>0</v>
      </c>
      <c r="E185" s="193">
        <f>SNAP!V189*12</f>
        <v>0</v>
      </c>
      <c r="F185" s="184">
        <f>WIC!F191*12</f>
        <v>0</v>
      </c>
      <c r="G185" s="185">
        <f>'Housing Voucher'!Q189*12</f>
        <v>0</v>
      </c>
      <c r="H185" s="197">
        <f>EITC!E188</f>
        <v>0</v>
      </c>
      <c r="I185" s="205">
        <f>Medicaid!N192*12</f>
        <v>0</v>
      </c>
      <c r="K185" s="185">
        <f t="shared" si="10"/>
        <v>20145</v>
      </c>
      <c r="L185" s="185">
        <f t="shared" si="11"/>
        <v>111645</v>
      </c>
      <c r="M185" s="36">
        <f t="shared" si="9"/>
        <v>9303.75</v>
      </c>
    </row>
    <row r="186" spans="1:13" x14ac:dyDescent="0.25">
      <c r="A186" s="186">
        <v>92000</v>
      </c>
      <c r="B186" s="33">
        <f t="shared" si="12"/>
        <v>7666.666666666667</v>
      </c>
      <c r="C186" s="185">
        <f>'Child care subsidy'!S189*12</f>
        <v>20120</v>
      </c>
      <c r="D186" s="185">
        <f>MAX('TANF-VIEW'!L193,'TANF-VIEW'!T193)*12</f>
        <v>0</v>
      </c>
      <c r="E186" s="193">
        <f>SNAP!V190*12</f>
        <v>0</v>
      </c>
      <c r="F186" s="184">
        <f>WIC!F192*12</f>
        <v>0</v>
      </c>
      <c r="G186" s="185">
        <f>'Housing Voucher'!Q190*12</f>
        <v>0</v>
      </c>
      <c r="H186" s="197">
        <f>EITC!E189</f>
        <v>0</v>
      </c>
      <c r="I186" s="205">
        <f>Medicaid!N193*12</f>
        <v>0</v>
      </c>
      <c r="K186" s="185">
        <f t="shared" si="10"/>
        <v>20120</v>
      </c>
      <c r="L186" s="185">
        <f t="shared" si="11"/>
        <v>112120</v>
      </c>
      <c r="M186" s="36">
        <f t="shared" si="9"/>
        <v>9343.3333333333339</v>
      </c>
    </row>
    <row r="187" spans="1:13" x14ac:dyDescent="0.25">
      <c r="A187" s="186">
        <v>92500</v>
      </c>
      <c r="B187" s="33">
        <f t="shared" si="12"/>
        <v>7708.333333333333</v>
      </c>
      <c r="C187" s="185">
        <f>'Child care subsidy'!S190*12</f>
        <v>20095</v>
      </c>
      <c r="D187" s="185">
        <f>MAX('TANF-VIEW'!L194,'TANF-VIEW'!T194)*12</f>
        <v>0</v>
      </c>
      <c r="E187" s="193">
        <f>SNAP!V191*12</f>
        <v>0</v>
      </c>
      <c r="F187" s="184">
        <f>WIC!F193*12</f>
        <v>0</v>
      </c>
      <c r="G187" s="185">
        <f>'Housing Voucher'!Q191*12</f>
        <v>0</v>
      </c>
      <c r="H187" s="197">
        <f>EITC!E190</f>
        <v>0</v>
      </c>
      <c r="I187" s="205">
        <f>Medicaid!N194*12</f>
        <v>0</v>
      </c>
      <c r="K187" s="185">
        <f t="shared" si="10"/>
        <v>20095</v>
      </c>
      <c r="L187" s="185">
        <f t="shared" si="11"/>
        <v>112595</v>
      </c>
      <c r="M187" s="36">
        <f t="shared" si="9"/>
        <v>9382.9166666666661</v>
      </c>
    </row>
    <row r="188" spans="1:13" x14ac:dyDescent="0.25">
      <c r="A188" s="186">
        <v>93000</v>
      </c>
      <c r="B188" s="33">
        <f t="shared" si="12"/>
        <v>7750</v>
      </c>
      <c r="C188" s="185">
        <f>'Child care subsidy'!S191*12</f>
        <v>20070</v>
      </c>
      <c r="D188" s="185">
        <f>MAX('TANF-VIEW'!L195,'TANF-VIEW'!T195)*12</f>
        <v>0</v>
      </c>
      <c r="E188" s="193">
        <f>SNAP!V192*12</f>
        <v>0</v>
      </c>
      <c r="F188" s="184">
        <f>WIC!F194*12</f>
        <v>0</v>
      </c>
      <c r="G188" s="185">
        <f>'Housing Voucher'!Q192*12</f>
        <v>0</v>
      </c>
      <c r="H188" s="197">
        <f>EITC!E191</f>
        <v>0</v>
      </c>
      <c r="I188" s="205">
        <f>Medicaid!N195*12</f>
        <v>0</v>
      </c>
      <c r="K188" s="185">
        <f t="shared" si="10"/>
        <v>20070</v>
      </c>
      <c r="L188" s="185">
        <f t="shared" si="11"/>
        <v>113070</v>
      </c>
      <c r="M188" s="36">
        <f t="shared" si="9"/>
        <v>9422.5</v>
      </c>
    </row>
    <row r="189" spans="1:13" x14ac:dyDescent="0.25">
      <c r="A189" s="186">
        <v>93500</v>
      </c>
      <c r="B189" s="33">
        <f t="shared" si="12"/>
        <v>7791.666666666667</v>
      </c>
      <c r="C189" s="185">
        <f>'Child care subsidy'!S192*12</f>
        <v>20045</v>
      </c>
      <c r="D189" s="185">
        <f>MAX('TANF-VIEW'!L196,'TANF-VIEW'!T196)*12</f>
        <v>0</v>
      </c>
      <c r="E189" s="193">
        <f>SNAP!V193*12</f>
        <v>0</v>
      </c>
      <c r="F189" s="184">
        <f>WIC!F195*12</f>
        <v>0</v>
      </c>
      <c r="G189" s="185">
        <f>'Housing Voucher'!Q193*12</f>
        <v>0</v>
      </c>
      <c r="H189" s="197">
        <f>EITC!E192</f>
        <v>0</v>
      </c>
      <c r="I189" s="205">
        <f>Medicaid!N196*12</f>
        <v>0</v>
      </c>
      <c r="K189" s="185">
        <f t="shared" si="10"/>
        <v>20045</v>
      </c>
      <c r="L189" s="185">
        <f t="shared" si="11"/>
        <v>113545</v>
      </c>
      <c r="M189" s="36">
        <f t="shared" si="9"/>
        <v>9462.0833333333339</v>
      </c>
    </row>
    <row r="190" spans="1:13" x14ac:dyDescent="0.25">
      <c r="A190" s="186">
        <v>94000</v>
      </c>
      <c r="B190" s="33">
        <f t="shared" si="12"/>
        <v>7833.333333333333</v>
      </c>
      <c r="C190" s="185">
        <f>'Child care subsidy'!S193*12</f>
        <v>20020</v>
      </c>
      <c r="D190" s="185">
        <f>MAX('TANF-VIEW'!L197,'TANF-VIEW'!T197)*12</f>
        <v>0</v>
      </c>
      <c r="E190" s="193">
        <f>SNAP!V194*12</f>
        <v>0</v>
      </c>
      <c r="F190" s="184">
        <f>WIC!F196*12</f>
        <v>0</v>
      </c>
      <c r="G190" s="185">
        <f>'Housing Voucher'!Q194*12</f>
        <v>0</v>
      </c>
      <c r="H190" s="197">
        <f>EITC!E193</f>
        <v>0</v>
      </c>
      <c r="I190" s="205">
        <f>Medicaid!N197*12</f>
        <v>0</v>
      </c>
      <c r="K190" s="185">
        <f t="shared" si="10"/>
        <v>20020</v>
      </c>
      <c r="L190" s="185">
        <f t="shared" si="11"/>
        <v>114020</v>
      </c>
      <c r="M190" s="36">
        <f t="shared" si="9"/>
        <v>9501.6666666666661</v>
      </c>
    </row>
    <row r="191" spans="1:13" x14ac:dyDescent="0.25">
      <c r="A191" s="186">
        <v>94500</v>
      </c>
      <c r="B191" s="33">
        <f t="shared" si="12"/>
        <v>7875</v>
      </c>
      <c r="C191" s="185">
        <f>'Child care subsidy'!S194*12</f>
        <v>19995</v>
      </c>
      <c r="D191" s="185">
        <f>MAX('TANF-VIEW'!L198,'TANF-VIEW'!T198)*12</f>
        <v>0</v>
      </c>
      <c r="E191" s="193">
        <f>SNAP!V195*12</f>
        <v>0</v>
      </c>
      <c r="F191" s="184">
        <f>WIC!F197*12</f>
        <v>0</v>
      </c>
      <c r="G191" s="185">
        <f>'Housing Voucher'!Q195*12</f>
        <v>0</v>
      </c>
      <c r="H191" s="197">
        <f>EITC!E194</f>
        <v>0</v>
      </c>
      <c r="I191" s="205">
        <f>Medicaid!N198*12</f>
        <v>0</v>
      </c>
      <c r="K191" s="185">
        <f t="shared" si="10"/>
        <v>19995</v>
      </c>
      <c r="L191" s="185">
        <f t="shared" si="11"/>
        <v>114495</v>
      </c>
      <c r="M191" s="36">
        <f t="shared" si="9"/>
        <v>9541.25</v>
      </c>
    </row>
    <row r="192" spans="1:13" x14ac:dyDescent="0.25">
      <c r="A192" s="186">
        <v>95000</v>
      </c>
      <c r="B192" s="33">
        <f t="shared" si="12"/>
        <v>7916.666666666667</v>
      </c>
      <c r="C192" s="185">
        <f>'Child care subsidy'!S195*12</f>
        <v>19970</v>
      </c>
      <c r="D192" s="185">
        <f>MAX('TANF-VIEW'!L199,'TANF-VIEW'!T199)*12</f>
        <v>0</v>
      </c>
      <c r="E192" s="193">
        <f>SNAP!V196*12</f>
        <v>0</v>
      </c>
      <c r="F192" s="184">
        <f>WIC!F198*12</f>
        <v>0</v>
      </c>
      <c r="G192" s="185">
        <f>'Housing Voucher'!Q196*12</f>
        <v>0</v>
      </c>
      <c r="H192" s="197">
        <f>EITC!E195</f>
        <v>0</v>
      </c>
      <c r="I192" s="205">
        <f>Medicaid!N199*12</f>
        <v>0</v>
      </c>
      <c r="K192" s="185">
        <f t="shared" si="10"/>
        <v>19970</v>
      </c>
      <c r="L192" s="185">
        <f t="shared" si="11"/>
        <v>114970</v>
      </c>
      <c r="M192" s="36">
        <f t="shared" si="9"/>
        <v>9580.8333333333339</v>
      </c>
    </row>
    <row r="193" spans="1:13" s="214" customFormat="1" x14ac:dyDescent="0.25">
      <c r="A193" s="206">
        <v>95500</v>
      </c>
      <c r="B193" s="207">
        <f t="shared" si="12"/>
        <v>7958.333333333333</v>
      </c>
      <c r="C193" s="208">
        <f>'Child care subsidy'!S196*12</f>
        <v>19945</v>
      </c>
      <c r="D193" s="208">
        <f>MAX('TANF-VIEW'!L200,'TANF-VIEW'!T200)*12</f>
        <v>0</v>
      </c>
      <c r="E193" s="209">
        <f>SNAP!V197*12</f>
        <v>0</v>
      </c>
      <c r="F193" s="210">
        <f>WIC!F199*12</f>
        <v>0</v>
      </c>
      <c r="G193" s="208">
        <f>'Housing Voucher'!Q197*12</f>
        <v>0</v>
      </c>
      <c r="H193" s="211">
        <f>EITC!E196</f>
        <v>0</v>
      </c>
      <c r="I193" s="212">
        <f>Medicaid!N200*12</f>
        <v>0</v>
      </c>
      <c r="J193" s="213"/>
      <c r="K193" s="208">
        <f t="shared" si="10"/>
        <v>19945</v>
      </c>
      <c r="L193" s="208">
        <f t="shared" si="11"/>
        <v>115445</v>
      </c>
      <c r="M193" s="36">
        <f t="shared" si="9"/>
        <v>9620.4166666666661</v>
      </c>
    </row>
    <row r="194" spans="1:13" s="214" customFormat="1" x14ac:dyDescent="0.25">
      <c r="A194" s="206">
        <v>96000</v>
      </c>
      <c r="B194" s="207">
        <f t="shared" si="12"/>
        <v>8000</v>
      </c>
      <c r="C194" s="208">
        <f>'Child care subsidy'!S197*12</f>
        <v>19920</v>
      </c>
      <c r="D194" s="208">
        <f>MAX('TANF-VIEW'!L201,'TANF-VIEW'!T201)*12</f>
        <v>0</v>
      </c>
      <c r="E194" s="209">
        <f>SNAP!V198*12</f>
        <v>0</v>
      </c>
      <c r="F194" s="210">
        <f>WIC!F200*12</f>
        <v>0</v>
      </c>
      <c r="G194" s="208">
        <f>'Housing Voucher'!Q198*12</f>
        <v>0</v>
      </c>
      <c r="H194" s="211">
        <f>EITC!E197</f>
        <v>0</v>
      </c>
      <c r="I194" s="212">
        <f>Medicaid!N201*12</f>
        <v>0</v>
      </c>
      <c r="J194" s="213"/>
      <c r="K194" s="208">
        <f t="shared" si="10"/>
        <v>19920</v>
      </c>
      <c r="L194" s="208">
        <f t="shared" si="11"/>
        <v>115920</v>
      </c>
      <c r="M194" s="36">
        <f t="shared" si="9"/>
        <v>9660</v>
      </c>
    </row>
    <row r="195" spans="1:13" x14ac:dyDescent="0.25">
      <c r="A195" s="186">
        <v>96500</v>
      </c>
      <c r="B195" s="33">
        <f t="shared" si="12"/>
        <v>8041.666666666667</v>
      </c>
      <c r="C195" s="185">
        <f>'Child care subsidy'!S198*12</f>
        <v>19895</v>
      </c>
      <c r="D195" s="185">
        <f>MAX('TANF-VIEW'!L202,'TANF-VIEW'!T202)*12</f>
        <v>0</v>
      </c>
      <c r="E195" s="193">
        <f>SNAP!V199*12</f>
        <v>0</v>
      </c>
      <c r="F195" s="184">
        <f>WIC!F201*12</f>
        <v>0</v>
      </c>
      <c r="G195" s="185">
        <f>'Housing Voucher'!Q199*12</f>
        <v>0</v>
      </c>
      <c r="H195" s="197">
        <f>EITC!E198</f>
        <v>0</v>
      </c>
      <c r="I195" s="205">
        <f>Medicaid!N202*12</f>
        <v>0</v>
      </c>
      <c r="K195" s="185">
        <f t="shared" si="10"/>
        <v>19895</v>
      </c>
      <c r="L195" s="185">
        <f t="shared" si="11"/>
        <v>116395</v>
      </c>
      <c r="M195" s="36">
        <f t="shared" ref="M195:M202" si="13">L195/12</f>
        <v>9699.5833333333339</v>
      </c>
    </row>
    <row r="196" spans="1:13" x14ac:dyDescent="0.25">
      <c r="A196" s="186">
        <v>97000</v>
      </c>
      <c r="B196" s="33">
        <f t="shared" si="12"/>
        <v>8083.333333333333</v>
      </c>
      <c r="C196" s="185">
        <f>'Child care subsidy'!S199*12</f>
        <v>19870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19870</v>
      </c>
      <c r="L196" s="185">
        <f t="shared" ref="L196:L202" si="15">A196+K196</f>
        <v>116870</v>
      </c>
      <c r="M196" s="36">
        <f t="shared" si="13"/>
        <v>9739.1666666666661</v>
      </c>
    </row>
    <row r="197" spans="1:13" x14ac:dyDescent="0.25">
      <c r="A197" s="186">
        <v>97500</v>
      </c>
      <c r="B197" s="33">
        <f t="shared" si="12"/>
        <v>8125</v>
      </c>
      <c r="C197" s="185">
        <f>'Child care subsidy'!S200*12</f>
        <v>19845</v>
      </c>
      <c r="D197" s="185">
        <f>MAX('TANF-VIEW'!L204,'TANF-VIEW'!T204)*12</f>
        <v>0</v>
      </c>
      <c r="E197" s="193">
        <f>SNAP!V201*12</f>
        <v>0</v>
      </c>
      <c r="F197" s="184">
        <f>WIC!F203*12</f>
        <v>0</v>
      </c>
      <c r="G197" s="185">
        <f>'Housing Voucher'!Q201*12</f>
        <v>0</v>
      </c>
      <c r="H197" s="197">
        <f>EITC!E200</f>
        <v>0</v>
      </c>
      <c r="I197" s="205">
        <f>Medicaid!N204*12</f>
        <v>0</v>
      </c>
      <c r="K197" s="185">
        <f t="shared" si="14"/>
        <v>19845</v>
      </c>
      <c r="L197" s="185">
        <f t="shared" si="15"/>
        <v>117345</v>
      </c>
      <c r="M197" s="36">
        <f t="shared" si="13"/>
        <v>9778.75</v>
      </c>
    </row>
    <row r="198" spans="1:13" x14ac:dyDescent="0.25">
      <c r="A198" s="186">
        <v>98000</v>
      </c>
      <c r="B198" s="33">
        <f t="shared" si="12"/>
        <v>8166.666666666667</v>
      </c>
      <c r="C198" s="185">
        <f>'Child care subsidy'!S201*12</f>
        <v>19820</v>
      </c>
      <c r="D198" s="185">
        <f>MAX('TANF-VIEW'!L205,'TANF-VIEW'!T205)*12</f>
        <v>0</v>
      </c>
      <c r="E198" s="193">
        <f>SNAP!V202*12</f>
        <v>0</v>
      </c>
      <c r="F198" s="184">
        <f>WIC!F204*12</f>
        <v>0</v>
      </c>
      <c r="G198" s="185">
        <f>'Housing Voucher'!Q202*12</f>
        <v>0</v>
      </c>
      <c r="H198" s="197">
        <f>EITC!E201</f>
        <v>0</v>
      </c>
      <c r="I198" s="205">
        <f>Medicaid!N205*12</f>
        <v>0</v>
      </c>
      <c r="K198" s="185">
        <f t="shared" si="14"/>
        <v>19820</v>
      </c>
      <c r="L198" s="185">
        <f t="shared" si="15"/>
        <v>117820</v>
      </c>
      <c r="M198" s="36">
        <f t="shared" si="13"/>
        <v>9818.3333333333339</v>
      </c>
    </row>
    <row r="199" spans="1:13" x14ac:dyDescent="0.25">
      <c r="A199" s="186">
        <v>98500</v>
      </c>
      <c r="B199" s="33">
        <f t="shared" si="12"/>
        <v>8208.3333333333339</v>
      </c>
      <c r="C199" s="185">
        <f>'Child care subsidy'!S202*12</f>
        <v>19795</v>
      </c>
      <c r="D199" s="185">
        <f>MAX('TANF-VIEW'!L206,'TANF-VIEW'!T206)*12</f>
        <v>0</v>
      </c>
      <c r="E199" s="193">
        <f>SNAP!V203*12</f>
        <v>0</v>
      </c>
      <c r="F199" s="184">
        <f>WIC!F205*12</f>
        <v>0</v>
      </c>
      <c r="G199" s="185">
        <f>'Housing Voucher'!Q203*12</f>
        <v>0</v>
      </c>
      <c r="H199" s="197">
        <f>EITC!E202</f>
        <v>0</v>
      </c>
      <c r="I199" s="205">
        <f>Medicaid!N206*12</f>
        <v>0</v>
      </c>
      <c r="K199" s="185">
        <f t="shared" si="14"/>
        <v>19795</v>
      </c>
      <c r="L199" s="185">
        <f t="shared" si="15"/>
        <v>118295</v>
      </c>
      <c r="M199" s="36">
        <f t="shared" si="13"/>
        <v>9857.9166666666661</v>
      </c>
    </row>
    <row r="200" spans="1:13" x14ac:dyDescent="0.25">
      <c r="A200" s="186">
        <v>99000</v>
      </c>
      <c r="B200" s="33">
        <f t="shared" si="12"/>
        <v>8250</v>
      </c>
      <c r="C200" s="185">
        <f>'Child care subsidy'!S203*12</f>
        <v>19770</v>
      </c>
      <c r="D200" s="185">
        <f>MAX('TANF-VIEW'!L207,'TANF-VIEW'!T207)*12</f>
        <v>0</v>
      </c>
      <c r="E200" s="193">
        <f>SNAP!V204*12</f>
        <v>0</v>
      </c>
      <c r="F200" s="184">
        <f>WIC!F206*12</f>
        <v>0</v>
      </c>
      <c r="G200" s="185">
        <f>'Housing Voucher'!Q204*12</f>
        <v>0</v>
      </c>
      <c r="H200" s="197">
        <f>EITC!E203</f>
        <v>0</v>
      </c>
      <c r="I200" s="205">
        <f>Medicaid!N207*12</f>
        <v>0</v>
      </c>
      <c r="K200" s="185">
        <f t="shared" si="14"/>
        <v>19770</v>
      </c>
      <c r="L200" s="185">
        <f t="shared" si="15"/>
        <v>118770</v>
      </c>
      <c r="M200" s="36">
        <f t="shared" si="13"/>
        <v>9897.5</v>
      </c>
    </row>
    <row r="201" spans="1:13" x14ac:dyDescent="0.25">
      <c r="A201" s="186">
        <v>99500</v>
      </c>
      <c r="B201" s="33">
        <f t="shared" si="12"/>
        <v>8291.6666666666661</v>
      </c>
      <c r="C201" s="185">
        <f>'Child care subsidy'!S204*12</f>
        <v>19745</v>
      </c>
      <c r="D201" s="185">
        <f>MAX('TANF-VIEW'!L208,'TANF-VIEW'!T208)*12</f>
        <v>0</v>
      </c>
      <c r="E201" s="193">
        <f>SNAP!V205*12</f>
        <v>0</v>
      </c>
      <c r="F201" s="184">
        <f>WIC!F207*12</f>
        <v>0</v>
      </c>
      <c r="G201" s="185">
        <f>'Housing Voucher'!Q205*12</f>
        <v>0</v>
      </c>
      <c r="H201" s="197">
        <f>EITC!E204</f>
        <v>0</v>
      </c>
      <c r="I201" s="205">
        <f>Medicaid!N208*12</f>
        <v>0</v>
      </c>
      <c r="K201" s="185">
        <f t="shared" si="14"/>
        <v>19745</v>
      </c>
      <c r="L201" s="185">
        <f t="shared" si="15"/>
        <v>119245</v>
      </c>
      <c r="M201" s="36">
        <f t="shared" si="13"/>
        <v>9937.0833333333339</v>
      </c>
    </row>
    <row r="202" spans="1:13" x14ac:dyDescent="0.25">
      <c r="A202" s="186">
        <v>100000</v>
      </c>
      <c r="B202" s="33">
        <f t="shared" si="12"/>
        <v>8333.3333333333339</v>
      </c>
      <c r="C202" s="185">
        <f>'Child care subsidy'!S205*12</f>
        <v>17720</v>
      </c>
      <c r="D202" s="185">
        <f>MAX('TANF-VIEW'!L209,'TANF-VIEW'!T209)*12</f>
        <v>0</v>
      </c>
      <c r="E202" s="193">
        <f>SNAP!V206*12</f>
        <v>0</v>
      </c>
      <c r="F202" s="184">
        <f>WIC!F208*12</f>
        <v>0</v>
      </c>
      <c r="G202" s="185">
        <f>'Housing Voucher'!Q206*12</f>
        <v>0</v>
      </c>
      <c r="H202" s="197">
        <f>EITC!E205</f>
        <v>0</v>
      </c>
      <c r="I202" s="205">
        <f>Medicaid!N209*12</f>
        <v>0</v>
      </c>
      <c r="K202" s="185">
        <f t="shared" si="14"/>
        <v>17720</v>
      </c>
      <c r="L202" s="185">
        <f t="shared" si="15"/>
        <v>117720</v>
      </c>
      <c r="M202" s="36">
        <f t="shared" si="13"/>
        <v>9810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5</v>
      </c>
      <c r="C2" s="77">
        <f>COUNTIF('Total income package'!$B$48:$B$54,"Infant")</f>
        <v>1</v>
      </c>
      <c r="D2" s="77">
        <f>COUNTIF('Total income package'!$B$48:$B$54,"Toddler")</f>
        <v>0</v>
      </c>
      <c r="E2" s="77">
        <f>COUNTIF('Total income package'!$B$48:$B$54,"Two year old")</f>
        <v>0</v>
      </c>
      <c r="F2" s="77">
        <f>COUNTIF('Total income package'!$B$48:$B$54,"Preschool")</f>
        <v>1</v>
      </c>
      <c r="G2" s="77">
        <f>COUNTIF('Total income package'!$B$48:$B$54,"School age")</f>
        <v>0</v>
      </c>
      <c r="H2" s="77">
        <f>COUNTIF('Total income package'!$B$48:$B$54,"13-18 years old")</f>
        <v>0</v>
      </c>
      <c r="J2" s="100">
        <f>VLOOKUP(B2,'Program specific data'!A5:C13,2)</f>
        <v>38680</v>
      </c>
      <c r="K2" s="442">
        <f>VLOOKUP(B2,'Program specific data'!A5:C13,3)</f>
        <v>3223.3333333333335</v>
      </c>
      <c r="L2" s="442"/>
      <c r="M2" s="78">
        <f>IF(A3=1,VLOOKUP(B2,'Program specific data'!A20:F27,3,FALSE),IF(A3=2,VLOOKUP(B2,'Program specific data'!A20:F27,4,FALSE),IF(A3=3,VLOOKUP(B2,'Program specific data'!A20:F27,5),IF(A3=4,VLOOKUP(B2,'Program specific data'!A20:F27,6,FALSE)))))</f>
        <v>4835</v>
      </c>
      <c r="N2" s="311">
        <f>VLOOKUP(B2,'Program specific data'!A20:B27,2)</f>
        <v>11011</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2060</v>
      </c>
    </row>
    <row r="6" spans="1:19" s="14" customFormat="1" x14ac:dyDescent="0.25">
      <c r="A6" s="63">
        <v>500</v>
      </c>
      <c r="B6" s="7">
        <f t="shared" ref="B6:B69" si="5">A6/12</f>
        <v>41.666666666666664</v>
      </c>
      <c r="C6" s="7">
        <f>'Total income package'!$D$80</f>
        <v>0</v>
      </c>
      <c r="D6" s="7">
        <f t="shared" ref="D6:D69" si="6">B6+C6</f>
        <v>41.666666666666664</v>
      </c>
      <c r="E6" s="65">
        <f t="shared" ref="E6:E69" si="7">D6/$K$2</f>
        <v>1.2926577042399171E-2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0</v>
      </c>
      <c r="O6" s="6">
        <f t="shared" si="2"/>
        <v>20</v>
      </c>
      <c r="P6" s="312">
        <f t="shared" si="3"/>
        <v>2.0833333333333335</v>
      </c>
      <c r="Q6" s="312">
        <f t="shared" si="4"/>
        <v>30</v>
      </c>
      <c r="R6" s="312">
        <f t="shared" ref="R6:R69" si="9">IF(MIN(O6,P6)&lt;Q6,MIN(O6,P6),Q6)</f>
        <v>2.0833333333333335</v>
      </c>
      <c r="S6" s="160">
        <f>IF(AND('Total income package'!$A$8=TRUE,OR(F6="Yes",G6="Yes",H6="Yes")),SUM(J6:N6)-R6,0)</f>
        <v>2057.9166666666665</v>
      </c>
    </row>
    <row r="7" spans="1:19" s="5" customFormat="1" x14ac:dyDescent="0.25">
      <c r="A7" s="6">
        <v>1000</v>
      </c>
      <c r="B7" s="7">
        <f t="shared" si="5"/>
        <v>83.333333333333329</v>
      </c>
      <c r="C7" s="7">
        <f>'Total income package'!$D$80</f>
        <v>0</v>
      </c>
      <c r="D7" s="7">
        <f t="shared" si="6"/>
        <v>83.333333333333329</v>
      </c>
      <c r="E7" s="65">
        <f t="shared" si="7"/>
        <v>2.5853154084798342E-2</v>
      </c>
      <c r="F7" s="65" t="str">
        <f t="shared" si="0"/>
        <v>Yes</v>
      </c>
      <c r="G7" s="65" t="str">
        <f t="shared" si="1"/>
        <v>Yes</v>
      </c>
      <c r="H7" s="301" t="str">
        <f>IF(OR('TANF-VIEW'!L11&gt;0,'TANF-VIEW'!T11&gt;0),"Yes","No")</f>
        <v>Yes</v>
      </c>
      <c r="I7" s="63">
        <f t="shared" si="8"/>
        <v>10</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0</v>
      </c>
      <c r="O7" s="6">
        <f t="shared" si="2"/>
        <v>20</v>
      </c>
      <c r="P7" s="312">
        <f t="shared" si="3"/>
        <v>4.166666666666667</v>
      </c>
      <c r="Q7" s="312">
        <f t="shared" si="4"/>
        <v>30</v>
      </c>
      <c r="R7" s="312">
        <f t="shared" si="9"/>
        <v>4.166666666666667</v>
      </c>
      <c r="S7" s="160">
        <f>IF(AND('Total income package'!$A$8=TRUE,OR(F7="Yes",G7="Yes",H7="Yes")),SUM(J7:N7)-R7,0)</f>
        <v>2055.8333333333335</v>
      </c>
    </row>
    <row r="8" spans="1:19" s="5" customFormat="1" x14ac:dyDescent="0.25">
      <c r="A8" s="6">
        <v>1500</v>
      </c>
      <c r="B8" s="7">
        <f t="shared" si="5"/>
        <v>125</v>
      </c>
      <c r="C8" s="7">
        <f>'Total income package'!$D$80</f>
        <v>0</v>
      </c>
      <c r="D8" s="7">
        <f t="shared" si="6"/>
        <v>125</v>
      </c>
      <c r="E8" s="65">
        <f t="shared" si="7"/>
        <v>3.8779731127197514E-2</v>
      </c>
      <c r="F8" s="65" t="str">
        <f t="shared" si="0"/>
        <v>Yes</v>
      </c>
      <c r="G8" s="65" t="str">
        <f t="shared" si="1"/>
        <v>Yes</v>
      </c>
      <c r="H8" s="301" t="str">
        <f>IF(OR('TANF-VIEW'!L12&gt;0,'TANF-VIEW'!T12&gt;0),"Yes","No")</f>
        <v>Yes</v>
      </c>
      <c r="I8" s="63">
        <f t="shared" si="8"/>
        <v>10</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0</v>
      </c>
      <c r="O8" s="6">
        <f t="shared" si="2"/>
        <v>20</v>
      </c>
      <c r="P8" s="312">
        <f t="shared" si="3"/>
        <v>6.25</v>
      </c>
      <c r="Q8" s="312">
        <f t="shared" si="4"/>
        <v>30</v>
      </c>
      <c r="R8" s="312">
        <f t="shared" si="9"/>
        <v>6.25</v>
      </c>
      <c r="S8" s="160">
        <f>IF(AND('Total income package'!$A$8=TRUE,OR(F8="Yes",G8="Yes",H8="Yes")),SUM(J8:N8)-R8,0)</f>
        <v>2053.75</v>
      </c>
    </row>
    <row r="9" spans="1:19" s="5" customFormat="1" x14ac:dyDescent="0.25">
      <c r="A9" s="6">
        <v>2000</v>
      </c>
      <c r="B9" s="7">
        <f t="shared" si="5"/>
        <v>166.66666666666666</v>
      </c>
      <c r="C9" s="7">
        <f>'Total income package'!$D$80</f>
        <v>0</v>
      </c>
      <c r="D9" s="7">
        <f t="shared" si="6"/>
        <v>166.66666666666666</v>
      </c>
      <c r="E9" s="65">
        <f t="shared" si="7"/>
        <v>5.1706308169596683E-2</v>
      </c>
      <c r="F9" s="65" t="str">
        <f t="shared" si="0"/>
        <v>Yes</v>
      </c>
      <c r="G9" s="65" t="str">
        <f t="shared" si="1"/>
        <v>Yes</v>
      </c>
      <c r="H9" s="301" t="str">
        <f>IF(OR('TANF-VIEW'!L13&gt;0,'TANF-VIEW'!T13&gt;0),"Yes","No")</f>
        <v>Yes</v>
      </c>
      <c r="I9" s="63">
        <f t="shared" si="8"/>
        <v>10</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0</v>
      </c>
      <c r="O9" s="6">
        <f t="shared" si="2"/>
        <v>20</v>
      </c>
      <c r="P9" s="312">
        <f t="shared" si="3"/>
        <v>8.3333333333333339</v>
      </c>
      <c r="Q9" s="312">
        <f t="shared" si="4"/>
        <v>30</v>
      </c>
      <c r="R9" s="312">
        <f t="shared" si="9"/>
        <v>8.3333333333333339</v>
      </c>
      <c r="S9" s="160">
        <f>IF(AND('Total income package'!$A$8=TRUE,OR(F9="Yes",G9="Yes",H9="Yes")),SUM(J9:N9)-R9,0)</f>
        <v>2051.6666666666665</v>
      </c>
    </row>
    <row r="10" spans="1:19" s="5" customFormat="1" x14ac:dyDescent="0.25">
      <c r="A10" s="6">
        <v>2500</v>
      </c>
      <c r="B10" s="7">
        <f t="shared" si="5"/>
        <v>208.33333333333334</v>
      </c>
      <c r="C10" s="7">
        <f>'Total income package'!$D$80</f>
        <v>0</v>
      </c>
      <c r="D10" s="7">
        <f t="shared" si="6"/>
        <v>208.33333333333334</v>
      </c>
      <c r="E10" s="65">
        <f t="shared" si="7"/>
        <v>6.4632885211995866E-2</v>
      </c>
      <c r="F10" s="65" t="str">
        <f t="shared" si="0"/>
        <v>Yes</v>
      </c>
      <c r="G10" s="65" t="str">
        <f t="shared" si="1"/>
        <v>Yes</v>
      </c>
      <c r="H10" s="301" t="str">
        <f>IF(OR('TANF-VIEW'!L14&gt;0,'TANF-VIEW'!T14&gt;0),"Yes","No")</f>
        <v>Yes</v>
      </c>
      <c r="I10" s="63">
        <f t="shared" si="8"/>
        <v>10</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0</v>
      </c>
      <c r="O10" s="6">
        <f t="shared" si="2"/>
        <v>20</v>
      </c>
      <c r="P10" s="312">
        <f t="shared" si="3"/>
        <v>10.416666666666668</v>
      </c>
      <c r="Q10" s="312">
        <f t="shared" si="4"/>
        <v>30</v>
      </c>
      <c r="R10" s="312">
        <f t="shared" si="9"/>
        <v>10.416666666666668</v>
      </c>
      <c r="S10" s="160">
        <f>IF(AND('Total income package'!$A$8=TRUE,OR(F10="Yes",G10="Yes",H10="Yes")),SUM(J10:N10)-R10,0)</f>
        <v>2049.5833333333335</v>
      </c>
    </row>
    <row r="11" spans="1:19" s="5" customFormat="1" x14ac:dyDescent="0.25">
      <c r="A11" s="6">
        <v>3000</v>
      </c>
      <c r="B11" s="7">
        <f t="shared" si="5"/>
        <v>250</v>
      </c>
      <c r="C11" s="7">
        <f>'Total income package'!$D$80</f>
        <v>0</v>
      </c>
      <c r="D11" s="7">
        <f t="shared" si="6"/>
        <v>250</v>
      </c>
      <c r="E11" s="65">
        <f t="shared" si="7"/>
        <v>7.7559462254395029E-2</v>
      </c>
      <c r="F11" s="65" t="str">
        <f t="shared" si="0"/>
        <v>Yes</v>
      </c>
      <c r="G11" s="65" t="str">
        <f t="shared" si="1"/>
        <v>Yes</v>
      </c>
      <c r="H11" s="301" t="str">
        <f>IF(OR('TANF-VIEW'!L15&gt;0,'TANF-VIEW'!T15&gt;0),"Yes","No")</f>
        <v>Yes</v>
      </c>
      <c r="I11" s="63">
        <f t="shared" si="8"/>
        <v>10</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0</v>
      </c>
      <c r="O11" s="6">
        <f t="shared" si="2"/>
        <v>20</v>
      </c>
      <c r="P11" s="312">
        <f t="shared" si="3"/>
        <v>12.5</v>
      </c>
      <c r="Q11" s="312">
        <f t="shared" si="4"/>
        <v>30</v>
      </c>
      <c r="R11" s="312">
        <f t="shared" si="9"/>
        <v>12.5</v>
      </c>
      <c r="S11" s="160">
        <f>IF(AND('Total income package'!$A$8=TRUE,OR(F11="Yes",G11="Yes",H11="Yes")),SUM(J11:N11)-R11,0)</f>
        <v>2047.5</v>
      </c>
    </row>
    <row r="12" spans="1:19" s="5" customFormat="1" x14ac:dyDescent="0.25">
      <c r="A12" s="6">
        <v>3500</v>
      </c>
      <c r="B12" s="7">
        <f t="shared" si="5"/>
        <v>291.66666666666669</v>
      </c>
      <c r="C12" s="7">
        <f>'Total income package'!$D$80</f>
        <v>0</v>
      </c>
      <c r="D12" s="7">
        <f t="shared" si="6"/>
        <v>291.66666666666669</v>
      </c>
      <c r="E12" s="65">
        <f t="shared" si="7"/>
        <v>9.0486039296794205E-2</v>
      </c>
      <c r="F12" s="65" t="str">
        <f t="shared" si="0"/>
        <v>Yes</v>
      </c>
      <c r="G12" s="65" t="str">
        <f t="shared" si="1"/>
        <v>Yes</v>
      </c>
      <c r="H12" s="301" t="str">
        <f>IF(OR('TANF-VIEW'!L16&gt;0,'TANF-VIEW'!T16&gt;0),"Yes","No")</f>
        <v>Yes</v>
      </c>
      <c r="I12" s="63">
        <f t="shared" si="8"/>
        <v>10</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0</v>
      </c>
      <c r="O12" s="6">
        <f t="shared" si="2"/>
        <v>20</v>
      </c>
      <c r="P12" s="312">
        <f t="shared" si="3"/>
        <v>14.583333333333336</v>
      </c>
      <c r="Q12" s="312">
        <f t="shared" si="4"/>
        <v>30</v>
      </c>
      <c r="R12" s="312">
        <f t="shared" si="9"/>
        <v>14.583333333333336</v>
      </c>
      <c r="S12" s="160">
        <f>IF(AND('Total income package'!$A$8=TRUE,OR(F12="Yes",G12="Yes",H12="Yes")),SUM(J12:N12)-R12,0)</f>
        <v>2045.4166666666667</v>
      </c>
    </row>
    <row r="13" spans="1:19" s="5" customFormat="1" x14ac:dyDescent="0.25">
      <c r="A13" s="6">
        <v>4000</v>
      </c>
      <c r="B13" s="7">
        <f t="shared" si="5"/>
        <v>333.33333333333331</v>
      </c>
      <c r="C13" s="7">
        <f>'Total income package'!$D$80</f>
        <v>0</v>
      </c>
      <c r="D13" s="7">
        <f t="shared" si="6"/>
        <v>333.33333333333331</v>
      </c>
      <c r="E13" s="65">
        <f t="shared" si="7"/>
        <v>0.10341261633919337</v>
      </c>
      <c r="F13" s="65" t="str">
        <f t="shared" si="0"/>
        <v>Yes</v>
      </c>
      <c r="G13" s="65" t="str">
        <f t="shared" si="1"/>
        <v>Yes</v>
      </c>
      <c r="H13" s="301" t="str">
        <f>IF(OR('TANF-VIEW'!L17&gt;0,'TANF-VIEW'!T17&gt;0),"Yes","No")</f>
        <v>Yes</v>
      </c>
      <c r="I13" s="63">
        <f t="shared" si="8"/>
        <v>10</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0</v>
      </c>
      <c r="O13" s="6">
        <f t="shared" si="2"/>
        <v>20</v>
      </c>
      <c r="P13" s="312">
        <f t="shared" si="3"/>
        <v>16.666666666666668</v>
      </c>
      <c r="Q13" s="312">
        <f t="shared" si="4"/>
        <v>30</v>
      </c>
      <c r="R13" s="312">
        <f t="shared" si="9"/>
        <v>16.666666666666668</v>
      </c>
      <c r="S13" s="160">
        <f>IF(AND('Total income package'!$A$8=TRUE,OR(F13="Yes",G13="Yes",H13="Yes")),SUM(J13:N13)-R13,0)</f>
        <v>2043.3333333333333</v>
      </c>
    </row>
    <row r="14" spans="1:19" s="5" customFormat="1" x14ac:dyDescent="0.25">
      <c r="A14" s="6">
        <v>4500</v>
      </c>
      <c r="B14" s="7">
        <f t="shared" si="5"/>
        <v>375</v>
      </c>
      <c r="C14" s="7">
        <f>'Total income package'!$D$80</f>
        <v>0</v>
      </c>
      <c r="D14" s="7">
        <f t="shared" si="6"/>
        <v>375</v>
      </c>
      <c r="E14" s="65">
        <f t="shared" si="7"/>
        <v>0.11633919338159254</v>
      </c>
      <c r="F14" s="65" t="str">
        <f t="shared" si="0"/>
        <v>Yes</v>
      </c>
      <c r="G14" s="65" t="str">
        <f t="shared" si="1"/>
        <v>Yes</v>
      </c>
      <c r="H14" s="301" t="str">
        <f>IF(OR('TANF-VIEW'!L18&gt;0,'TANF-VIEW'!T18&gt;0),"Yes","No")</f>
        <v>Yes</v>
      </c>
      <c r="I14" s="63">
        <f t="shared" si="8"/>
        <v>10</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0</v>
      </c>
      <c r="O14" s="6">
        <f t="shared" si="2"/>
        <v>20</v>
      </c>
      <c r="P14" s="312">
        <f t="shared" si="3"/>
        <v>18.75</v>
      </c>
      <c r="Q14" s="312">
        <f t="shared" si="4"/>
        <v>30</v>
      </c>
      <c r="R14" s="312">
        <f t="shared" si="9"/>
        <v>18.75</v>
      </c>
      <c r="S14" s="160">
        <f>IF(AND('Total income package'!$A$8=TRUE,OR(F14="Yes",G14="Yes",H14="Yes")),SUM(J14:N14)-R14,0)</f>
        <v>2041.25</v>
      </c>
    </row>
    <row r="15" spans="1:19" s="5" customFormat="1" x14ac:dyDescent="0.25">
      <c r="A15" s="6">
        <v>5000</v>
      </c>
      <c r="B15" s="7">
        <f t="shared" si="5"/>
        <v>416.66666666666669</v>
      </c>
      <c r="C15" s="7">
        <f>'Total income package'!$D$80</f>
        <v>0</v>
      </c>
      <c r="D15" s="7">
        <f t="shared" si="6"/>
        <v>416.66666666666669</v>
      </c>
      <c r="E15" s="65">
        <f t="shared" si="7"/>
        <v>0.12926577042399173</v>
      </c>
      <c r="F15" s="65" t="str">
        <f t="shared" si="0"/>
        <v>Yes</v>
      </c>
      <c r="G15" s="65" t="str">
        <f t="shared" si="1"/>
        <v>Yes</v>
      </c>
      <c r="H15" s="301" t="str">
        <f>IF(OR('TANF-VIEW'!L19&gt;0,'TANF-VIEW'!T19&gt;0),"Yes","No")</f>
        <v>Yes</v>
      </c>
      <c r="I15" s="63">
        <f t="shared" si="8"/>
        <v>10</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0</v>
      </c>
      <c r="O15" s="6">
        <f t="shared" si="2"/>
        <v>20</v>
      </c>
      <c r="P15" s="312">
        <f t="shared" si="3"/>
        <v>20.833333333333336</v>
      </c>
      <c r="Q15" s="312">
        <f t="shared" si="4"/>
        <v>30</v>
      </c>
      <c r="R15" s="312">
        <f t="shared" si="9"/>
        <v>20</v>
      </c>
      <c r="S15" s="160">
        <f>IF(AND('Total income package'!$A$8=TRUE,OR(F15="Yes",G15="Yes",H15="Yes")),SUM(J15:N15)-R15,0)</f>
        <v>2040</v>
      </c>
    </row>
    <row r="16" spans="1:19" s="5" customFormat="1" x14ac:dyDescent="0.25">
      <c r="A16" s="6">
        <v>5500</v>
      </c>
      <c r="B16" s="7">
        <f t="shared" si="5"/>
        <v>458.33333333333331</v>
      </c>
      <c r="C16" s="7">
        <f>'Total income package'!$D$80</f>
        <v>0</v>
      </c>
      <c r="D16" s="7">
        <f t="shared" si="6"/>
        <v>458.33333333333331</v>
      </c>
      <c r="E16" s="65">
        <f t="shared" si="7"/>
        <v>0.14219234746639089</v>
      </c>
      <c r="F16" s="65" t="str">
        <f t="shared" si="0"/>
        <v>Yes</v>
      </c>
      <c r="G16" s="65" t="str">
        <f t="shared" si="1"/>
        <v>Yes</v>
      </c>
      <c r="H16" s="301" t="str">
        <f>IF(OR('TANF-VIEW'!L20&gt;0,'TANF-VIEW'!T20&gt;0),"Yes","No")</f>
        <v>Yes</v>
      </c>
      <c r="I16" s="63">
        <f t="shared" si="8"/>
        <v>10</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0</v>
      </c>
      <c r="O16" s="6">
        <f t="shared" si="2"/>
        <v>20</v>
      </c>
      <c r="P16" s="312">
        <f t="shared" si="3"/>
        <v>22.916666666666668</v>
      </c>
      <c r="Q16" s="312">
        <f t="shared" si="4"/>
        <v>30</v>
      </c>
      <c r="R16" s="312">
        <f t="shared" si="9"/>
        <v>20</v>
      </c>
      <c r="S16" s="160">
        <f>IF(AND('Total income package'!$A$8=TRUE,OR(F16="Yes",G16="Yes",H16="Yes")),SUM(J16:N16)-R16,0)</f>
        <v>2040</v>
      </c>
    </row>
    <row r="17" spans="1:19" s="5" customFormat="1" x14ac:dyDescent="0.25">
      <c r="A17" s="6">
        <v>6000</v>
      </c>
      <c r="B17" s="7">
        <f t="shared" si="5"/>
        <v>500</v>
      </c>
      <c r="C17" s="7">
        <f>'Total income package'!$D$80</f>
        <v>0</v>
      </c>
      <c r="D17" s="7">
        <f t="shared" si="6"/>
        <v>500</v>
      </c>
      <c r="E17" s="65">
        <f t="shared" si="7"/>
        <v>0.15511892450879006</v>
      </c>
      <c r="F17" s="65" t="str">
        <f t="shared" si="0"/>
        <v>Yes</v>
      </c>
      <c r="G17" s="65" t="str">
        <f t="shared" si="1"/>
        <v>Yes</v>
      </c>
      <c r="H17" s="301" t="str">
        <f>IF(OR('TANF-VIEW'!L21&gt;0,'TANF-VIEW'!T21&gt;0),"Yes","No")</f>
        <v>Yes</v>
      </c>
      <c r="I17" s="63">
        <f t="shared" si="8"/>
        <v>10</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0</v>
      </c>
      <c r="O17" s="6">
        <f t="shared" si="2"/>
        <v>20</v>
      </c>
      <c r="P17" s="312">
        <f t="shared" si="3"/>
        <v>25</v>
      </c>
      <c r="Q17" s="312">
        <f t="shared" si="4"/>
        <v>30</v>
      </c>
      <c r="R17" s="312">
        <f t="shared" si="9"/>
        <v>20</v>
      </c>
      <c r="S17" s="160">
        <f>IF(AND('Total income package'!$A$8=TRUE,OR(F17="Yes",G17="Yes",H17="Yes")),SUM(J17:N17)-R17,0)</f>
        <v>2040</v>
      </c>
    </row>
    <row r="18" spans="1:19" s="5" customFormat="1" x14ac:dyDescent="0.25">
      <c r="A18" s="6">
        <v>6500</v>
      </c>
      <c r="B18" s="7">
        <f t="shared" si="5"/>
        <v>541.66666666666663</v>
      </c>
      <c r="C18" s="7">
        <f>'Total income package'!$D$80</f>
        <v>0</v>
      </c>
      <c r="D18" s="7">
        <f t="shared" si="6"/>
        <v>541.66666666666663</v>
      </c>
      <c r="E18" s="65">
        <f t="shared" si="7"/>
        <v>0.16804550155118922</v>
      </c>
      <c r="F18" s="65" t="str">
        <f t="shared" si="0"/>
        <v>Yes</v>
      </c>
      <c r="G18" s="65" t="str">
        <f t="shared" si="1"/>
        <v>Yes</v>
      </c>
      <c r="H18" s="301" t="str">
        <f>IF(OR('TANF-VIEW'!L22&gt;0,'TANF-VIEW'!T22&gt;0),"Yes","No")</f>
        <v>Yes</v>
      </c>
      <c r="I18" s="63">
        <f t="shared" si="8"/>
        <v>10</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0</v>
      </c>
      <c r="O18" s="6">
        <f t="shared" si="2"/>
        <v>20</v>
      </c>
      <c r="P18" s="312">
        <f t="shared" si="3"/>
        <v>27.083333333333332</v>
      </c>
      <c r="Q18" s="312">
        <f t="shared" si="4"/>
        <v>30</v>
      </c>
      <c r="R18" s="312">
        <f t="shared" si="9"/>
        <v>20</v>
      </c>
      <c r="S18" s="160">
        <f>IF(AND('Total income package'!$A$8=TRUE,OR(F18="Yes",G18="Yes",H18="Yes")),SUM(J18:N18)-R18,0)</f>
        <v>2040</v>
      </c>
    </row>
    <row r="19" spans="1:19" s="5" customFormat="1" x14ac:dyDescent="0.25">
      <c r="A19" s="6">
        <v>7000</v>
      </c>
      <c r="B19" s="7">
        <f t="shared" si="5"/>
        <v>583.33333333333337</v>
      </c>
      <c r="C19" s="7">
        <f>'Total income package'!$D$80</f>
        <v>0</v>
      </c>
      <c r="D19" s="7">
        <f t="shared" si="6"/>
        <v>583.33333333333337</v>
      </c>
      <c r="E19" s="65">
        <f t="shared" si="7"/>
        <v>0.18097207859358841</v>
      </c>
      <c r="F19" s="65" t="str">
        <f t="shared" si="0"/>
        <v>Yes</v>
      </c>
      <c r="G19" s="65" t="str">
        <f t="shared" si="1"/>
        <v>Yes</v>
      </c>
      <c r="H19" s="301" t="str">
        <f>IF(OR('TANF-VIEW'!L23&gt;0,'TANF-VIEW'!T23&gt;0),"Yes","No")</f>
        <v>Yes</v>
      </c>
      <c r="I19" s="63">
        <f t="shared" si="8"/>
        <v>10</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0</v>
      </c>
      <c r="O19" s="6">
        <f t="shared" si="2"/>
        <v>20</v>
      </c>
      <c r="P19" s="312">
        <f t="shared" si="3"/>
        <v>29.166666666666671</v>
      </c>
      <c r="Q19" s="312">
        <f t="shared" si="4"/>
        <v>30</v>
      </c>
      <c r="R19" s="312">
        <f t="shared" si="9"/>
        <v>20</v>
      </c>
      <c r="S19" s="160">
        <f>IF(AND('Total income package'!$A$8=TRUE,OR(F19="Yes",G19="Yes",H19="Yes")),SUM(J19:N19)-R19,0)</f>
        <v>2040</v>
      </c>
    </row>
    <row r="20" spans="1:19" s="5" customFormat="1" x14ac:dyDescent="0.25">
      <c r="A20" s="6">
        <v>7500</v>
      </c>
      <c r="B20" s="7">
        <f>A20/12</f>
        <v>625</v>
      </c>
      <c r="C20" s="7">
        <f>'Total income package'!$D$80</f>
        <v>0</v>
      </c>
      <c r="D20" s="7">
        <f t="shared" si="6"/>
        <v>625</v>
      </c>
      <c r="E20" s="65">
        <f t="shared" si="7"/>
        <v>0.19389865563598757</v>
      </c>
      <c r="F20" s="65" t="str">
        <f t="shared" si="0"/>
        <v>Yes</v>
      </c>
      <c r="G20" s="65" t="str">
        <f t="shared" si="1"/>
        <v>Yes</v>
      </c>
      <c r="H20" s="301" t="str">
        <f>IF(OR('TANF-VIEW'!L24&gt;0,'TANF-VIEW'!T24&gt;0),"Yes","No")</f>
        <v>Yes</v>
      </c>
      <c r="I20" s="63">
        <f t="shared" si="8"/>
        <v>10</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0</v>
      </c>
      <c r="O20" s="6">
        <f t="shared" si="2"/>
        <v>20</v>
      </c>
      <c r="P20" s="312">
        <f t="shared" si="3"/>
        <v>31.25</v>
      </c>
      <c r="Q20" s="312">
        <f t="shared" si="4"/>
        <v>30</v>
      </c>
      <c r="R20" s="312">
        <f t="shared" si="9"/>
        <v>20</v>
      </c>
      <c r="S20" s="160">
        <f>IF(AND('Total income package'!$A$8=TRUE,OR(F20="Yes",G20="Yes",H20="Yes")),SUM(J20:N20)-R20,0)</f>
        <v>2040</v>
      </c>
    </row>
    <row r="21" spans="1:19" s="5" customFormat="1" x14ac:dyDescent="0.25">
      <c r="A21" s="6">
        <v>8000</v>
      </c>
      <c r="B21" s="7">
        <f t="shared" si="5"/>
        <v>666.66666666666663</v>
      </c>
      <c r="C21" s="7">
        <f>'Total income package'!$D$80</f>
        <v>0</v>
      </c>
      <c r="D21" s="7">
        <f t="shared" si="6"/>
        <v>666.66666666666663</v>
      </c>
      <c r="E21" s="65">
        <f t="shared" si="7"/>
        <v>0.20682523267838673</v>
      </c>
      <c r="F21" s="65" t="str">
        <f t="shared" si="0"/>
        <v>Yes</v>
      </c>
      <c r="G21" s="65" t="str">
        <f t="shared" si="1"/>
        <v>Yes</v>
      </c>
      <c r="H21" s="301" t="str">
        <f>IF(OR('TANF-VIEW'!L25&gt;0,'TANF-VIEW'!T25&gt;0),"Yes","No")</f>
        <v>Yes</v>
      </c>
      <c r="I21" s="63">
        <f t="shared" si="8"/>
        <v>10</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0</v>
      </c>
      <c r="O21" s="6">
        <f t="shared" si="2"/>
        <v>20</v>
      </c>
      <c r="P21" s="312">
        <f t="shared" si="3"/>
        <v>33.333333333333336</v>
      </c>
      <c r="Q21" s="312">
        <f t="shared" si="4"/>
        <v>30</v>
      </c>
      <c r="R21" s="312">
        <f t="shared" si="9"/>
        <v>20</v>
      </c>
      <c r="S21" s="160">
        <f>IF(AND('Total income package'!$A$8=TRUE,OR(F21="Yes",G21="Yes",H21="Yes")),SUM(J21:N21)-R21,0)</f>
        <v>2040</v>
      </c>
    </row>
    <row r="22" spans="1:19" s="5" customFormat="1" x14ac:dyDescent="0.25">
      <c r="A22" s="6">
        <v>8500</v>
      </c>
      <c r="B22" s="7">
        <f t="shared" si="5"/>
        <v>708.33333333333337</v>
      </c>
      <c r="C22" s="7">
        <f>'Total income package'!$D$80</f>
        <v>0</v>
      </c>
      <c r="D22" s="7">
        <f t="shared" si="6"/>
        <v>708.33333333333337</v>
      </c>
      <c r="E22" s="65">
        <f t="shared" si="7"/>
        <v>0.21975180972078595</v>
      </c>
      <c r="F22" s="65" t="str">
        <f t="shared" si="0"/>
        <v>Yes</v>
      </c>
      <c r="G22" s="65" t="str">
        <f t="shared" si="1"/>
        <v>Yes</v>
      </c>
      <c r="H22" s="301" t="str">
        <f>IF(OR('TANF-VIEW'!L26&gt;0,'TANF-VIEW'!T26&gt;0),"Yes","No")</f>
        <v>Yes</v>
      </c>
      <c r="I22" s="63">
        <f t="shared" si="8"/>
        <v>10</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0</v>
      </c>
      <c r="O22" s="6">
        <f t="shared" si="2"/>
        <v>20</v>
      </c>
      <c r="P22" s="312">
        <f t="shared" si="3"/>
        <v>35.416666666666671</v>
      </c>
      <c r="Q22" s="312">
        <f t="shared" si="4"/>
        <v>30</v>
      </c>
      <c r="R22" s="312">
        <f t="shared" si="9"/>
        <v>20</v>
      </c>
      <c r="S22" s="160">
        <f>IF(AND('Total income package'!$A$8=TRUE,OR(F22="Yes",G22="Yes",H22="Yes")),SUM(J22:N22)-R22,0)</f>
        <v>2040</v>
      </c>
    </row>
    <row r="23" spans="1:19" s="5" customFormat="1" x14ac:dyDescent="0.25">
      <c r="A23" s="6">
        <v>9000</v>
      </c>
      <c r="B23" s="7">
        <f t="shared" si="5"/>
        <v>750</v>
      </c>
      <c r="C23" s="7">
        <f>'Total income package'!$D$80</f>
        <v>0</v>
      </c>
      <c r="D23" s="7">
        <f t="shared" si="6"/>
        <v>750</v>
      </c>
      <c r="E23" s="65">
        <f t="shared" si="7"/>
        <v>0.23267838676318509</v>
      </c>
      <c r="F23" s="65" t="str">
        <f t="shared" si="0"/>
        <v>Yes</v>
      </c>
      <c r="G23" s="65" t="str">
        <f t="shared" si="1"/>
        <v>Yes</v>
      </c>
      <c r="H23" s="301" t="str">
        <f>IF(OR('TANF-VIEW'!L27&gt;0,'TANF-VIEW'!T27&gt;0),"Yes","No")</f>
        <v>Yes</v>
      </c>
      <c r="I23" s="63">
        <f t="shared" si="8"/>
        <v>10</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0</v>
      </c>
      <c r="O23" s="6">
        <f t="shared" si="2"/>
        <v>20</v>
      </c>
      <c r="P23" s="312">
        <f t="shared" si="3"/>
        <v>37.5</v>
      </c>
      <c r="Q23" s="312">
        <f t="shared" si="4"/>
        <v>30</v>
      </c>
      <c r="R23" s="312">
        <f t="shared" si="9"/>
        <v>20</v>
      </c>
      <c r="S23" s="160">
        <f>IF(AND('Total income package'!$A$8=TRUE,OR(F23="Yes",G23="Yes",H23="Yes")),SUM(J23:N23)-R23,0)</f>
        <v>2040</v>
      </c>
    </row>
    <row r="24" spans="1:19" s="5" customFormat="1" x14ac:dyDescent="0.25">
      <c r="A24" s="6">
        <v>9500</v>
      </c>
      <c r="B24" s="7">
        <f t="shared" si="5"/>
        <v>791.66666666666663</v>
      </c>
      <c r="C24" s="7">
        <f>'Total income package'!$D$80</f>
        <v>0</v>
      </c>
      <c r="D24" s="7">
        <f t="shared" si="6"/>
        <v>791.66666666666663</v>
      </c>
      <c r="E24" s="65">
        <f t="shared" si="7"/>
        <v>0.24560496380558425</v>
      </c>
      <c r="F24" s="65" t="str">
        <f t="shared" si="0"/>
        <v>Yes</v>
      </c>
      <c r="G24" s="65" t="str">
        <f t="shared" si="1"/>
        <v>Yes</v>
      </c>
      <c r="H24" s="301" t="str">
        <f>IF(OR('TANF-VIEW'!L28&gt;0,'TANF-VIEW'!T28&gt;0),"Yes","No")</f>
        <v>Yes</v>
      </c>
      <c r="I24" s="63">
        <f t="shared" si="8"/>
        <v>10</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0</v>
      </c>
      <c r="O24" s="6">
        <f t="shared" si="2"/>
        <v>20</v>
      </c>
      <c r="P24" s="312">
        <f t="shared" si="3"/>
        <v>39.583333333333336</v>
      </c>
      <c r="Q24" s="312">
        <f t="shared" si="4"/>
        <v>30</v>
      </c>
      <c r="R24" s="312">
        <f t="shared" si="9"/>
        <v>20</v>
      </c>
      <c r="S24" s="160">
        <f>IF(AND('Total income package'!$A$8=TRUE,OR(F24="Yes",G24="Yes",H24="Yes")),SUM(J24:N24)-R24,0)</f>
        <v>2040</v>
      </c>
    </row>
    <row r="25" spans="1:19" s="5" customFormat="1" x14ac:dyDescent="0.25">
      <c r="A25" s="6">
        <v>10000</v>
      </c>
      <c r="B25" s="7">
        <f t="shared" si="5"/>
        <v>833.33333333333337</v>
      </c>
      <c r="C25" s="7">
        <f>'Total income package'!$D$80</f>
        <v>0</v>
      </c>
      <c r="D25" s="7">
        <f t="shared" si="6"/>
        <v>833.33333333333337</v>
      </c>
      <c r="E25" s="65">
        <f t="shared" si="7"/>
        <v>0.25853154084798347</v>
      </c>
      <c r="F25" s="65" t="str">
        <f t="shared" si="0"/>
        <v>Yes</v>
      </c>
      <c r="G25" s="65" t="str">
        <f t="shared" si="1"/>
        <v>Yes</v>
      </c>
      <c r="H25" s="301" t="str">
        <f>IF(OR('TANF-VIEW'!L29&gt;0,'TANF-VIEW'!T29&gt;0),"Yes","No")</f>
        <v>No</v>
      </c>
      <c r="I25" s="63">
        <f t="shared" si="8"/>
        <v>10</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0</v>
      </c>
      <c r="O25" s="6">
        <f t="shared" si="2"/>
        <v>20</v>
      </c>
      <c r="P25" s="312">
        <f t="shared" si="3"/>
        <v>41.666666666666671</v>
      </c>
      <c r="Q25" s="312">
        <f t="shared" si="4"/>
        <v>30</v>
      </c>
      <c r="R25" s="312">
        <f t="shared" si="9"/>
        <v>20</v>
      </c>
      <c r="S25" s="160">
        <f>IF(AND('Total income package'!$A$8=TRUE,OR(F25="Yes",G25="Yes",H25="Yes")),SUM(J25:N25)-R25,0)</f>
        <v>2040</v>
      </c>
    </row>
    <row r="26" spans="1:19" s="5" customFormat="1" x14ac:dyDescent="0.25">
      <c r="A26" s="6">
        <v>10500</v>
      </c>
      <c r="B26" s="7">
        <f t="shared" si="5"/>
        <v>875</v>
      </c>
      <c r="C26" s="7">
        <f>'Total income package'!$D$80</f>
        <v>0</v>
      </c>
      <c r="D26" s="7">
        <f t="shared" si="6"/>
        <v>875</v>
      </c>
      <c r="E26" s="65">
        <f t="shared" si="7"/>
        <v>0.2714581178903826</v>
      </c>
      <c r="F26" s="65" t="str">
        <f t="shared" si="0"/>
        <v>Yes</v>
      </c>
      <c r="G26" s="65" t="str">
        <f t="shared" si="1"/>
        <v>Yes</v>
      </c>
      <c r="H26" s="301" t="str">
        <f>IF(OR('TANF-VIEW'!L30&gt;0,'TANF-VIEW'!T30&gt;0),"Yes","No")</f>
        <v>No</v>
      </c>
      <c r="I26" s="63">
        <f t="shared" si="8"/>
        <v>10</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0</v>
      </c>
      <c r="O26" s="6">
        <f t="shared" si="2"/>
        <v>20</v>
      </c>
      <c r="P26" s="312">
        <f t="shared" si="3"/>
        <v>43.75</v>
      </c>
      <c r="Q26" s="312">
        <f t="shared" si="4"/>
        <v>30</v>
      </c>
      <c r="R26" s="312">
        <f t="shared" si="9"/>
        <v>20</v>
      </c>
      <c r="S26" s="160">
        <f>IF(AND('Total income package'!$A$8=TRUE,OR(F26="Yes",G26="Yes",H26="Yes")),SUM(J26:N26)-R26,0)</f>
        <v>2040</v>
      </c>
    </row>
    <row r="27" spans="1:19" s="5" customFormat="1" x14ac:dyDescent="0.25">
      <c r="A27" s="6">
        <v>11000</v>
      </c>
      <c r="B27" s="7">
        <f t="shared" si="5"/>
        <v>916.66666666666663</v>
      </c>
      <c r="C27" s="7">
        <f>'Total income package'!$D$80</f>
        <v>0</v>
      </c>
      <c r="D27" s="7">
        <f t="shared" si="6"/>
        <v>916.66666666666663</v>
      </c>
      <c r="E27" s="65">
        <f t="shared" si="7"/>
        <v>0.28438469493278179</v>
      </c>
      <c r="F27" s="65" t="str">
        <f t="shared" si="0"/>
        <v>Yes</v>
      </c>
      <c r="G27" s="65" t="str">
        <f t="shared" si="1"/>
        <v>Yes</v>
      </c>
      <c r="H27" s="301" t="str">
        <f>IF(OR('TANF-VIEW'!L31&gt;0,'TANF-VIEW'!T31&gt;0),"Yes","No")</f>
        <v>No</v>
      </c>
      <c r="I27" s="63">
        <f t="shared" si="8"/>
        <v>10</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0</v>
      </c>
      <c r="O27" s="6">
        <f t="shared" si="2"/>
        <v>20</v>
      </c>
      <c r="P27" s="312">
        <f t="shared" si="3"/>
        <v>45.833333333333336</v>
      </c>
      <c r="Q27" s="312">
        <f t="shared" si="4"/>
        <v>30</v>
      </c>
      <c r="R27" s="312">
        <f t="shared" si="9"/>
        <v>20</v>
      </c>
      <c r="S27" s="160">
        <f>IF(AND('Total income package'!$A$8=TRUE,OR(F27="Yes",G27="Yes",H27="Yes")),SUM(J27:N27)-R27,0)</f>
        <v>2040</v>
      </c>
    </row>
    <row r="28" spans="1:19" s="5" customFormat="1" x14ac:dyDescent="0.25">
      <c r="A28" s="6">
        <v>11500</v>
      </c>
      <c r="B28" s="7">
        <f t="shared" si="5"/>
        <v>958.33333333333337</v>
      </c>
      <c r="C28" s="7">
        <f>'Total income package'!$D$80</f>
        <v>0</v>
      </c>
      <c r="D28" s="7">
        <f t="shared" si="6"/>
        <v>958.33333333333337</v>
      </c>
      <c r="E28" s="65">
        <f t="shared" si="7"/>
        <v>0.29731127197518098</v>
      </c>
      <c r="F28" s="65" t="str">
        <f t="shared" si="0"/>
        <v>Yes</v>
      </c>
      <c r="G28" s="65" t="str">
        <f t="shared" si="1"/>
        <v>Yes</v>
      </c>
      <c r="H28" s="301" t="str">
        <f>IF(OR('TANF-VIEW'!L32&gt;0,'TANF-VIEW'!T32&gt;0),"Yes","No")</f>
        <v>No</v>
      </c>
      <c r="I28" s="63">
        <f t="shared" si="8"/>
        <v>10</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0</v>
      </c>
      <c r="O28" s="6">
        <f t="shared" si="2"/>
        <v>20</v>
      </c>
      <c r="P28" s="312">
        <f t="shared" si="3"/>
        <v>47.916666666666671</v>
      </c>
      <c r="Q28" s="312">
        <f t="shared" si="4"/>
        <v>30</v>
      </c>
      <c r="R28" s="312">
        <f t="shared" si="9"/>
        <v>20</v>
      </c>
      <c r="S28" s="160">
        <f>IF(AND('Total income package'!$A$8=TRUE,OR(F28="Yes",G28="Yes",H28="Yes")),SUM(J28:N28)-R28,0)</f>
        <v>2040</v>
      </c>
    </row>
    <row r="29" spans="1:19" s="5" customFormat="1" x14ac:dyDescent="0.25">
      <c r="A29" s="6">
        <v>12000</v>
      </c>
      <c r="B29" s="7">
        <f t="shared" si="5"/>
        <v>1000</v>
      </c>
      <c r="C29" s="7">
        <f>'Total income package'!$D$80</f>
        <v>0</v>
      </c>
      <c r="D29" s="7">
        <f t="shared" si="6"/>
        <v>1000</v>
      </c>
      <c r="E29" s="65">
        <f>D29/$K$2</f>
        <v>0.31023784901758011</v>
      </c>
      <c r="F29" s="65" t="str">
        <f t="shared" si="0"/>
        <v>Yes</v>
      </c>
      <c r="G29" s="65" t="str">
        <f t="shared" si="1"/>
        <v>Yes</v>
      </c>
      <c r="H29" s="301" t="str">
        <f>IF(OR('TANF-VIEW'!L33&gt;0,'TANF-VIEW'!T33&gt;0),"Yes","No")</f>
        <v>No</v>
      </c>
      <c r="I29" s="63">
        <f t="shared" si="8"/>
        <v>10</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0</v>
      </c>
      <c r="O29" s="6">
        <f t="shared" si="2"/>
        <v>20</v>
      </c>
      <c r="P29" s="312">
        <f t="shared" si="3"/>
        <v>50</v>
      </c>
      <c r="Q29" s="312">
        <f t="shared" si="4"/>
        <v>30</v>
      </c>
      <c r="R29" s="312">
        <f t="shared" si="9"/>
        <v>20</v>
      </c>
      <c r="S29" s="160">
        <f>IF(AND('Total income package'!$A$8=TRUE,OR(F29="Yes",G29="Yes",H29="Yes")),SUM(J29:N29)-R29,0)</f>
        <v>2040</v>
      </c>
    </row>
    <row r="30" spans="1:19" s="5" customFormat="1" x14ac:dyDescent="0.25">
      <c r="A30" s="6">
        <v>12500</v>
      </c>
      <c r="B30" s="7">
        <f t="shared" si="5"/>
        <v>1041.6666666666667</v>
      </c>
      <c r="C30" s="7">
        <f>'Total income package'!$D$80</f>
        <v>0</v>
      </c>
      <c r="D30" s="7">
        <f t="shared" si="6"/>
        <v>1041.6666666666667</v>
      </c>
      <c r="E30" s="65">
        <f t="shared" si="7"/>
        <v>0.3231644260599793</v>
      </c>
      <c r="F30" s="65" t="str">
        <f t="shared" si="0"/>
        <v>Yes</v>
      </c>
      <c r="G30" s="65" t="str">
        <f t="shared" si="1"/>
        <v>Yes</v>
      </c>
      <c r="H30" s="301" t="str">
        <f>IF(OR('TANF-VIEW'!L34&gt;0,'TANF-VIEW'!T34&gt;0),"Yes","No")</f>
        <v>No</v>
      </c>
      <c r="I30" s="63">
        <f t="shared" si="8"/>
        <v>10</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0</v>
      </c>
      <c r="O30" s="6">
        <f t="shared" si="2"/>
        <v>20</v>
      </c>
      <c r="P30" s="312">
        <f t="shared" si="3"/>
        <v>52.083333333333343</v>
      </c>
      <c r="Q30" s="312">
        <f t="shared" si="4"/>
        <v>30</v>
      </c>
      <c r="R30" s="312">
        <f t="shared" si="9"/>
        <v>20</v>
      </c>
      <c r="S30" s="160">
        <f>IF(AND('Total income package'!$A$8=TRUE,OR(F30="Yes",G30="Yes",H30="Yes")),SUM(J30:N30)-R30,0)</f>
        <v>2040</v>
      </c>
    </row>
    <row r="31" spans="1:19" s="5" customFormat="1" x14ac:dyDescent="0.25">
      <c r="A31" s="6">
        <v>13000</v>
      </c>
      <c r="B31" s="7">
        <f t="shared" si="5"/>
        <v>1083.3333333333333</v>
      </c>
      <c r="C31" s="7">
        <f>'Total income package'!$D$80</f>
        <v>0</v>
      </c>
      <c r="D31" s="7">
        <f t="shared" si="6"/>
        <v>1083.3333333333333</v>
      </c>
      <c r="E31" s="65">
        <f t="shared" si="7"/>
        <v>0.33609100310237844</v>
      </c>
      <c r="F31" s="65" t="str">
        <f t="shared" si="0"/>
        <v>Yes</v>
      </c>
      <c r="G31" s="65" t="str">
        <f t="shared" si="1"/>
        <v>Yes</v>
      </c>
      <c r="H31" s="301" t="str">
        <f>IF(OR('TANF-VIEW'!L35&gt;0,'TANF-VIEW'!T35&gt;0),"Yes","No")</f>
        <v>No</v>
      </c>
      <c r="I31" s="63">
        <f t="shared" si="8"/>
        <v>10</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0</v>
      </c>
      <c r="O31" s="6">
        <f t="shared" si="2"/>
        <v>20</v>
      </c>
      <c r="P31" s="312">
        <f t="shared" si="3"/>
        <v>54.166666666666664</v>
      </c>
      <c r="Q31" s="312">
        <f t="shared" si="4"/>
        <v>30</v>
      </c>
      <c r="R31" s="312">
        <f t="shared" si="9"/>
        <v>20</v>
      </c>
      <c r="S31" s="160">
        <f>IF(AND('Total income package'!$A$8=TRUE,OR(F31="Yes",G31="Yes",H31="Yes")),SUM(J31:N31)-R31,0)</f>
        <v>2040</v>
      </c>
    </row>
    <row r="32" spans="1:19" s="5" customFormat="1" x14ac:dyDescent="0.25">
      <c r="A32" s="6">
        <v>13500</v>
      </c>
      <c r="B32" s="7">
        <f t="shared" si="5"/>
        <v>1125</v>
      </c>
      <c r="C32" s="7">
        <f>'Total income package'!$D$80</f>
        <v>0</v>
      </c>
      <c r="D32" s="7">
        <f t="shared" si="6"/>
        <v>1125</v>
      </c>
      <c r="E32" s="65">
        <f t="shared" si="7"/>
        <v>0.34901758014477763</v>
      </c>
      <c r="F32" s="65" t="str">
        <f t="shared" si="0"/>
        <v>Yes</v>
      </c>
      <c r="G32" s="65" t="str">
        <f t="shared" si="1"/>
        <v>Yes</v>
      </c>
      <c r="H32" s="301" t="str">
        <f>IF(OR('TANF-VIEW'!L36&gt;0,'TANF-VIEW'!T36&gt;0),"Yes","No")</f>
        <v>No</v>
      </c>
      <c r="I32" s="63">
        <f t="shared" si="8"/>
        <v>10</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0</v>
      </c>
      <c r="O32" s="6">
        <f t="shared" si="2"/>
        <v>20</v>
      </c>
      <c r="P32" s="312">
        <f t="shared" si="3"/>
        <v>56.25</v>
      </c>
      <c r="Q32" s="312">
        <f t="shared" si="4"/>
        <v>30</v>
      </c>
      <c r="R32" s="312">
        <f t="shared" si="9"/>
        <v>20</v>
      </c>
      <c r="S32" s="160">
        <f>IF(AND('Total income package'!$A$8=TRUE,OR(F32="Yes",G32="Yes",H32="Yes")),SUM(J32:N32)-R32,0)</f>
        <v>2040</v>
      </c>
    </row>
    <row r="33" spans="1:19" s="5" customFormat="1" x14ac:dyDescent="0.25">
      <c r="A33" s="6">
        <v>14000</v>
      </c>
      <c r="B33" s="7">
        <f t="shared" si="5"/>
        <v>1166.6666666666667</v>
      </c>
      <c r="C33" s="7">
        <f>'Total income package'!$D$80</f>
        <v>0</v>
      </c>
      <c r="D33" s="7">
        <f t="shared" si="6"/>
        <v>1166.6666666666667</v>
      </c>
      <c r="E33" s="65">
        <f t="shared" si="7"/>
        <v>0.36194415718717682</v>
      </c>
      <c r="F33" s="65" t="str">
        <f t="shared" si="0"/>
        <v>Yes</v>
      </c>
      <c r="G33" s="65" t="str">
        <f t="shared" si="1"/>
        <v>Yes</v>
      </c>
      <c r="H33" s="301" t="str">
        <f>IF(OR('TANF-VIEW'!L37&gt;0,'TANF-VIEW'!T37&gt;0),"Yes","No")</f>
        <v>No</v>
      </c>
      <c r="I33" s="63">
        <f t="shared" si="8"/>
        <v>10</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0</v>
      </c>
      <c r="O33" s="6">
        <f t="shared" si="2"/>
        <v>20</v>
      </c>
      <c r="P33" s="312">
        <f t="shared" si="3"/>
        <v>58.333333333333343</v>
      </c>
      <c r="Q33" s="312">
        <f t="shared" si="4"/>
        <v>30</v>
      </c>
      <c r="R33" s="312">
        <f t="shared" si="9"/>
        <v>20</v>
      </c>
      <c r="S33" s="160">
        <f>IF(AND('Total income package'!$A$8=TRUE,OR(F33="Yes",G33="Yes",H33="Yes")),SUM(J33:N33)-R33,0)</f>
        <v>2040</v>
      </c>
    </row>
    <row r="34" spans="1:19" s="5" customFormat="1" x14ac:dyDescent="0.25">
      <c r="A34" s="6">
        <v>14500</v>
      </c>
      <c r="B34" s="7">
        <f t="shared" si="5"/>
        <v>1208.3333333333333</v>
      </c>
      <c r="C34" s="7">
        <f>'Total income package'!$D$80</f>
        <v>0</v>
      </c>
      <c r="D34" s="7">
        <f t="shared" si="6"/>
        <v>1208.3333333333333</v>
      </c>
      <c r="E34" s="65">
        <f t="shared" si="7"/>
        <v>0.37487073422957595</v>
      </c>
      <c r="F34" s="65" t="str">
        <f t="shared" si="0"/>
        <v>Yes</v>
      </c>
      <c r="G34" s="65" t="str">
        <f t="shared" si="1"/>
        <v>Yes</v>
      </c>
      <c r="H34" s="301" t="str">
        <f>IF(OR('TANF-VIEW'!L38&gt;0,'TANF-VIEW'!T38&gt;0),"Yes","No")</f>
        <v>No</v>
      </c>
      <c r="I34" s="63">
        <f t="shared" si="8"/>
        <v>10</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0</v>
      </c>
      <c r="O34" s="6">
        <f t="shared" si="2"/>
        <v>20</v>
      </c>
      <c r="P34" s="312">
        <f t="shared" si="3"/>
        <v>60.416666666666664</v>
      </c>
      <c r="Q34" s="312">
        <f t="shared" si="4"/>
        <v>30</v>
      </c>
      <c r="R34" s="312">
        <f t="shared" si="9"/>
        <v>20</v>
      </c>
      <c r="S34" s="160">
        <f>IF(AND('Total income package'!$A$8=TRUE,OR(F34="Yes",G34="Yes",H34="Yes")),SUM(J34:N34)-R34,0)</f>
        <v>2040</v>
      </c>
    </row>
    <row r="35" spans="1:19" s="5" customFormat="1" x14ac:dyDescent="0.25">
      <c r="A35" s="6">
        <v>15000</v>
      </c>
      <c r="B35" s="7">
        <f t="shared" si="5"/>
        <v>1250</v>
      </c>
      <c r="C35" s="7">
        <f>'Total income package'!$D$80</f>
        <v>0</v>
      </c>
      <c r="D35" s="7">
        <f t="shared" si="6"/>
        <v>1250</v>
      </c>
      <c r="E35" s="65">
        <f t="shared" si="7"/>
        <v>0.38779731127197514</v>
      </c>
      <c r="F35" s="65" t="str">
        <f t="shared" si="0"/>
        <v>Yes</v>
      </c>
      <c r="G35" s="65" t="str">
        <f t="shared" si="1"/>
        <v>Yes</v>
      </c>
      <c r="H35" s="301" t="str">
        <f>IF(OR('TANF-VIEW'!L39&gt;0,'TANF-VIEW'!T39&gt;0),"Yes","No")</f>
        <v>No</v>
      </c>
      <c r="I35" s="63">
        <f t="shared" si="8"/>
        <v>10</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0</v>
      </c>
      <c r="O35" s="6">
        <f t="shared" si="2"/>
        <v>20</v>
      </c>
      <c r="P35" s="312">
        <f t="shared" si="3"/>
        <v>62.5</v>
      </c>
      <c r="Q35" s="312">
        <f t="shared" si="4"/>
        <v>30</v>
      </c>
      <c r="R35" s="312">
        <f t="shared" si="9"/>
        <v>20</v>
      </c>
      <c r="S35" s="160">
        <f>IF(AND('Total income package'!$A$8=TRUE,OR(F35="Yes",G35="Yes",H35="Yes")),SUM(J35:N35)-R35,0)</f>
        <v>2040</v>
      </c>
    </row>
    <row r="36" spans="1:19" s="5" customFormat="1" x14ac:dyDescent="0.25">
      <c r="A36" s="6">
        <v>15500</v>
      </c>
      <c r="B36" s="7">
        <f t="shared" si="5"/>
        <v>1291.6666666666667</v>
      </c>
      <c r="C36" s="7">
        <f>'Total income package'!$D$80</f>
        <v>0</v>
      </c>
      <c r="D36" s="7">
        <f t="shared" si="6"/>
        <v>1291.6666666666667</v>
      </c>
      <c r="E36" s="65">
        <f t="shared" si="7"/>
        <v>0.40072388831437433</v>
      </c>
      <c r="F36" s="65" t="str">
        <f t="shared" si="0"/>
        <v>Yes</v>
      </c>
      <c r="G36" s="65" t="str">
        <f t="shared" si="1"/>
        <v>Yes</v>
      </c>
      <c r="H36" s="301" t="str">
        <f>IF(OR('TANF-VIEW'!L40&gt;0,'TANF-VIEW'!T40&gt;0),"Yes","No")</f>
        <v>No</v>
      </c>
      <c r="I36" s="63">
        <f t="shared" si="8"/>
        <v>10</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0</v>
      </c>
      <c r="O36" s="6">
        <f t="shared" si="2"/>
        <v>20</v>
      </c>
      <c r="P36" s="312">
        <f t="shared" si="3"/>
        <v>64.583333333333343</v>
      </c>
      <c r="Q36" s="312">
        <f t="shared" si="4"/>
        <v>30</v>
      </c>
      <c r="R36" s="312">
        <f t="shared" si="9"/>
        <v>20</v>
      </c>
      <c r="S36" s="160">
        <f>IF(AND('Total income package'!$A$8=TRUE,OR(F36="Yes",G36="Yes",H36="Yes")),SUM(J36:N36)-R36,0)</f>
        <v>2040</v>
      </c>
    </row>
    <row r="37" spans="1:19" s="5" customFormat="1" x14ac:dyDescent="0.25">
      <c r="A37" s="6">
        <v>16000</v>
      </c>
      <c r="B37" s="7">
        <f t="shared" si="5"/>
        <v>1333.3333333333333</v>
      </c>
      <c r="C37" s="7">
        <f>'Total income package'!$D$80</f>
        <v>0</v>
      </c>
      <c r="D37" s="7">
        <f t="shared" si="6"/>
        <v>1333.3333333333333</v>
      </c>
      <c r="E37" s="65">
        <f t="shared" si="7"/>
        <v>0.41365046535677347</v>
      </c>
      <c r="F37" s="65" t="str">
        <f t="shared" si="0"/>
        <v>Yes</v>
      </c>
      <c r="G37" s="65" t="str">
        <f t="shared" si="1"/>
        <v>Yes</v>
      </c>
      <c r="H37" s="301" t="str">
        <f>IF(OR('TANF-VIEW'!L41&gt;0,'TANF-VIEW'!T41&gt;0),"Yes","No")</f>
        <v>No</v>
      </c>
      <c r="I37" s="63">
        <f t="shared" si="8"/>
        <v>10</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0</v>
      </c>
      <c r="O37" s="6">
        <f t="shared" si="2"/>
        <v>20</v>
      </c>
      <c r="P37" s="312">
        <f t="shared" ref="P37:P68" si="10">B37*0.05</f>
        <v>66.666666666666671</v>
      </c>
      <c r="Q37" s="312">
        <f t="shared" si="4"/>
        <v>30</v>
      </c>
      <c r="R37" s="312">
        <f t="shared" si="9"/>
        <v>20</v>
      </c>
      <c r="S37" s="160">
        <f>IF(AND('Total income package'!$A$8=TRUE,OR(F37="Yes",G37="Yes",H37="Yes")),SUM(J37:N37)-R37,0)</f>
        <v>2040</v>
      </c>
    </row>
    <row r="38" spans="1:19" s="5" customFormat="1" x14ac:dyDescent="0.25">
      <c r="A38" s="6">
        <v>16500</v>
      </c>
      <c r="B38" s="7">
        <f t="shared" si="5"/>
        <v>1375</v>
      </c>
      <c r="C38" s="7">
        <f>'Total income package'!$D$80</f>
        <v>0</v>
      </c>
      <c r="D38" s="7">
        <f t="shared" si="6"/>
        <v>1375</v>
      </c>
      <c r="E38" s="65">
        <f t="shared" si="7"/>
        <v>0.42657704239917266</v>
      </c>
      <c r="F38" s="65" t="str">
        <f t="shared" si="0"/>
        <v>Yes</v>
      </c>
      <c r="G38" s="65" t="str">
        <f t="shared" si="1"/>
        <v>Yes</v>
      </c>
      <c r="H38" s="301" t="str">
        <f>IF(OR('TANF-VIEW'!L42&gt;0,'TANF-VIEW'!T42&gt;0),"Yes","No")</f>
        <v>No</v>
      </c>
      <c r="I38" s="63">
        <f t="shared" si="8"/>
        <v>10</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0</v>
      </c>
      <c r="O38" s="6">
        <f t="shared" si="2"/>
        <v>20</v>
      </c>
      <c r="P38" s="312">
        <f t="shared" si="10"/>
        <v>68.75</v>
      </c>
      <c r="Q38" s="312">
        <f t="shared" si="4"/>
        <v>30</v>
      </c>
      <c r="R38" s="312">
        <f t="shared" si="9"/>
        <v>20</v>
      </c>
      <c r="S38" s="160">
        <f>IF(AND('Total income package'!$A$8=TRUE,OR(F38="Yes",G38="Yes",H38="Yes")),SUM(J38:N38)-R38,0)</f>
        <v>2040</v>
      </c>
    </row>
    <row r="39" spans="1:19" s="5" customFormat="1" x14ac:dyDescent="0.25">
      <c r="A39" s="6">
        <v>17000</v>
      </c>
      <c r="B39" s="7">
        <f t="shared" si="5"/>
        <v>1416.6666666666667</v>
      </c>
      <c r="C39" s="7">
        <f>'Total income package'!$D$80</f>
        <v>0</v>
      </c>
      <c r="D39" s="7">
        <f t="shared" si="6"/>
        <v>1416.6666666666667</v>
      </c>
      <c r="E39" s="65">
        <f t="shared" si="7"/>
        <v>0.4395036194415719</v>
      </c>
      <c r="F39" s="65" t="str">
        <f t="shared" si="0"/>
        <v>Yes</v>
      </c>
      <c r="G39" s="65" t="str">
        <f t="shared" si="1"/>
        <v>Yes</v>
      </c>
      <c r="H39" s="301" t="str">
        <f>IF(OR('TANF-VIEW'!L43&gt;0,'TANF-VIEW'!T43&gt;0),"Yes","No")</f>
        <v>No</v>
      </c>
      <c r="I39" s="63">
        <f t="shared" si="8"/>
        <v>10</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0</v>
      </c>
      <c r="O39" s="6">
        <f t="shared" si="2"/>
        <v>20</v>
      </c>
      <c r="P39" s="312">
        <f t="shared" si="10"/>
        <v>70.833333333333343</v>
      </c>
      <c r="Q39" s="312">
        <f t="shared" si="4"/>
        <v>30</v>
      </c>
      <c r="R39" s="312">
        <f t="shared" si="9"/>
        <v>20</v>
      </c>
      <c r="S39" s="160">
        <f>IF(AND('Total income package'!$A$8=TRUE,OR(F39="Yes",G39="Yes",H39="Yes")),SUM(J39:N39)-R39,0)</f>
        <v>2040</v>
      </c>
    </row>
    <row r="40" spans="1:19" s="5" customFormat="1" x14ac:dyDescent="0.25">
      <c r="A40" s="6">
        <v>17500</v>
      </c>
      <c r="B40" s="7">
        <f t="shared" si="5"/>
        <v>1458.3333333333333</v>
      </c>
      <c r="C40" s="7">
        <f>'Total income package'!$D$80</f>
        <v>0</v>
      </c>
      <c r="D40" s="7">
        <f t="shared" si="6"/>
        <v>1458.3333333333333</v>
      </c>
      <c r="E40" s="65">
        <f t="shared" si="7"/>
        <v>0.45243019648397098</v>
      </c>
      <c r="F40" s="65" t="str">
        <f t="shared" si="0"/>
        <v>Yes</v>
      </c>
      <c r="G40" s="65" t="str">
        <f t="shared" si="1"/>
        <v>Yes</v>
      </c>
      <c r="H40" s="301" t="str">
        <f>IF(OR('TANF-VIEW'!L44&gt;0,'TANF-VIEW'!T44&gt;0),"Yes","No")</f>
        <v>No</v>
      </c>
      <c r="I40" s="63">
        <f t="shared" si="8"/>
        <v>10</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0</v>
      </c>
      <c r="O40" s="6">
        <f t="shared" si="2"/>
        <v>20</v>
      </c>
      <c r="P40" s="312">
        <f t="shared" si="10"/>
        <v>72.916666666666671</v>
      </c>
      <c r="Q40" s="312">
        <f t="shared" si="4"/>
        <v>30</v>
      </c>
      <c r="R40" s="312">
        <f t="shared" si="9"/>
        <v>20</v>
      </c>
      <c r="S40" s="160">
        <f>IF(AND('Total income package'!$A$8=TRUE,OR(F40="Yes",G40="Yes",H40="Yes")),SUM(J40:N40)-R40,0)</f>
        <v>2040</v>
      </c>
    </row>
    <row r="41" spans="1:19" s="5" customFormat="1" x14ac:dyDescent="0.25">
      <c r="A41" s="6">
        <v>18000</v>
      </c>
      <c r="B41" s="7">
        <f t="shared" si="5"/>
        <v>1500</v>
      </c>
      <c r="C41" s="7">
        <f>'Total income package'!$D$80</f>
        <v>0</v>
      </c>
      <c r="D41" s="7">
        <f t="shared" si="6"/>
        <v>1500</v>
      </c>
      <c r="E41" s="65">
        <f t="shared" si="7"/>
        <v>0.46535677352637017</v>
      </c>
      <c r="F41" s="65" t="str">
        <f t="shared" si="0"/>
        <v>Yes</v>
      </c>
      <c r="G41" s="65" t="str">
        <f t="shared" si="1"/>
        <v>Yes</v>
      </c>
      <c r="H41" s="301" t="str">
        <f>IF(OR('TANF-VIEW'!L45&gt;0,'TANF-VIEW'!T45&gt;0),"Yes","No")</f>
        <v>No</v>
      </c>
      <c r="I41" s="63">
        <f t="shared" si="8"/>
        <v>10</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0</v>
      </c>
      <c r="O41" s="6">
        <f t="shared" si="2"/>
        <v>20</v>
      </c>
      <c r="P41" s="312">
        <f t="shared" si="10"/>
        <v>75</v>
      </c>
      <c r="Q41" s="312">
        <f t="shared" si="4"/>
        <v>30</v>
      </c>
      <c r="R41" s="312">
        <f t="shared" si="9"/>
        <v>20</v>
      </c>
      <c r="S41" s="160">
        <f>IF(AND('Total income package'!$A$8=TRUE,OR(F41="Yes",G41="Yes",H41="Yes")),SUM(J41:N41)-R41,0)</f>
        <v>2040</v>
      </c>
    </row>
    <row r="42" spans="1:19" s="5" customFormat="1" x14ac:dyDescent="0.25">
      <c r="A42" s="6">
        <v>18500</v>
      </c>
      <c r="B42" s="7">
        <f t="shared" si="5"/>
        <v>1541.6666666666667</v>
      </c>
      <c r="C42" s="7">
        <f>'Total income package'!$D$80</f>
        <v>0</v>
      </c>
      <c r="D42" s="7">
        <f t="shared" si="6"/>
        <v>1541.6666666666667</v>
      </c>
      <c r="E42" s="65">
        <f t="shared" si="7"/>
        <v>0.47828335056876942</v>
      </c>
      <c r="F42" s="65" t="str">
        <f t="shared" si="0"/>
        <v>Yes</v>
      </c>
      <c r="G42" s="65" t="str">
        <f t="shared" si="1"/>
        <v>Yes</v>
      </c>
      <c r="H42" s="301" t="str">
        <f>IF(OR('TANF-VIEW'!L46&gt;0,'TANF-VIEW'!T46&gt;0),"Yes","No")</f>
        <v>No</v>
      </c>
      <c r="I42" s="63">
        <f t="shared" si="8"/>
        <v>10</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0</v>
      </c>
      <c r="O42" s="6">
        <f t="shared" si="2"/>
        <v>20</v>
      </c>
      <c r="P42" s="312">
        <f t="shared" si="10"/>
        <v>77.083333333333343</v>
      </c>
      <c r="Q42" s="312">
        <f t="shared" si="4"/>
        <v>30</v>
      </c>
      <c r="R42" s="312">
        <f t="shared" si="9"/>
        <v>20</v>
      </c>
      <c r="S42" s="160">
        <f>IF(AND('Total income package'!$A$8=TRUE,OR(F42="Yes",G42="Yes",H42="Yes")),SUM(J42:N42)-R42,0)</f>
        <v>2040</v>
      </c>
    </row>
    <row r="43" spans="1:19" s="5" customFormat="1" x14ac:dyDescent="0.25">
      <c r="A43" s="6">
        <v>19000</v>
      </c>
      <c r="B43" s="7">
        <f t="shared" si="5"/>
        <v>1583.3333333333333</v>
      </c>
      <c r="C43" s="7">
        <f>'Total income package'!$D$80</f>
        <v>0</v>
      </c>
      <c r="D43" s="7">
        <f t="shared" si="6"/>
        <v>1583.3333333333333</v>
      </c>
      <c r="E43" s="65">
        <f t="shared" si="7"/>
        <v>0.4912099276111685</v>
      </c>
      <c r="F43" s="65" t="str">
        <f t="shared" si="0"/>
        <v>Yes</v>
      </c>
      <c r="G43" s="65" t="str">
        <f t="shared" si="1"/>
        <v>Yes</v>
      </c>
      <c r="H43" s="301" t="str">
        <f>IF(OR('TANF-VIEW'!L47&gt;0,'TANF-VIEW'!T47&gt;0),"Yes","No")</f>
        <v>No</v>
      </c>
      <c r="I43" s="63">
        <f t="shared" si="8"/>
        <v>10</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0</v>
      </c>
      <c r="O43" s="6">
        <f t="shared" si="2"/>
        <v>20</v>
      </c>
      <c r="P43" s="312">
        <f t="shared" si="10"/>
        <v>79.166666666666671</v>
      </c>
      <c r="Q43" s="312">
        <f t="shared" si="4"/>
        <v>30</v>
      </c>
      <c r="R43" s="312">
        <f t="shared" si="9"/>
        <v>20</v>
      </c>
      <c r="S43" s="160">
        <f>IF(AND('Total income package'!$A$8=TRUE,OR(F43="Yes",G43="Yes",H43="Yes")),SUM(J43:N43)-R43,0)</f>
        <v>2040</v>
      </c>
    </row>
    <row r="44" spans="1:19" s="5" customFormat="1" x14ac:dyDescent="0.25">
      <c r="A44" s="6">
        <v>19500</v>
      </c>
      <c r="B44" s="7">
        <f t="shared" si="5"/>
        <v>1625</v>
      </c>
      <c r="C44" s="7">
        <f>'Total income package'!$D$80</f>
        <v>0</v>
      </c>
      <c r="D44" s="7">
        <f t="shared" si="6"/>
        <v>1625</v>
      </c>
      <c r="E44" s="65">
        <f t="shared" si="7"/>
        <v>0.50413650465356774</v>
      </c>
      <c r="F44" s="65" t="str">
        <f t="shared" si="0"/>
        <v>Yes</v>
      </c>
      <c r="G44" s="65" t="str">
        <f t="shared" si="1"/>
        <v>Yes</v>
      </c>
      <c r="H44" s="301" t="str">
        <f>IF(OR('TANF-VIEW'!L48&gt;0,'TANF-VIEW'!T48&gt;0),"Yes","No")</f>
        <v>No</v>
      </c>
      <c r="I44" s="63">
        <f t="shared" si="8"/>
        <v>10</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0</v>
      </c>
      <c r="O44" s="6">
        <f t="shared" si="2"/>
        <v>20</v>
      </c>
      <c r="P44" s="312">
        <f t="shared" si="10"/>
        <v>81.25</v>
      </c>
      <c r="Q44" s="312">
        <f t="shared" si="4"/>
        <v>30</v>
      </c>
      <c r="R44" s="312">
        <f t="shared" si="9"/>
        <v>20</v>
      </c>
      <c r="S44" s="160">
        <f>IF(AND('Total income package'!$A$8=TRUE,OR(F44="Yes",G44="Yes",H44="Yes")),SUM(J44:N44)-R44,0)</f>
        <v>2040</v>
      </c>
    </row>
    <row r="45" spans="1:19" s="5" customFormat="1" x14ac:dyDescent="0.25">
      <c r="A45" s="6">
        <v>20000</v>
      </c>
      <c r="B45" s="7">
        <f t="shared" si="5"/>
        <v>1666.6666666666667</v>
      </c>
      <c r="C45" s="7">
        <f>'Total income package'!$D$80</f>
        <v>0</v>
      </c>
      <c r="D45" s="7">
        <f t="shared" si="6"/>
        <v>1666.6666666666667</v>
      </c>
      <c r="E45" s="65">
        <f t="shared" si="7"/>
        <v>0.51706308169596693</v>
      </c>
      <c r="F45" s="65" t="str">
        <f t="shared" si="0"/>
        <v>Yes</v>
      </c>
      <c r="G45" s="65" t="str">
        <f t="shared" si="1"/>
        <v>Yes</v>
      </c>
      <c r="H45" s="301" t="str">
        <f>IF(OR('TANF-VIEW'!L49&gt;0,'TANF-VIEW'!T49&gt;0),"Yes","No")</f>
        <v>No</v>
      </c>
      <c r="I45" s="63">
        <f t="shared" si="8"/>
        <v>10</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0</v>
      </c>
      <c r="O45" s="6">
        <f t="shared" si="2"/>
        <v>20</v>
      </c>
      <c r="P45" s="312">
        <f t="shared" si="10"/>
        <v>83.333333333333343</v>
      </c>
      <c r="Q45" s="312">
        <f t="shared" si="4"/>
        <v>30</v>
      </c>
      <c r="R45" s="312">
        <f t="shared" si="9"/>
        <v>20</v>
      </c>
      <c r="S45" s="160">
        <f>IF(AND('Total income package'!$A$8=TRUE,OR(F45="Yes",G45="Yes",H45="Yes")),SUM(J45:N45)-R45,0)</f>
        <v>2040</v>
      </c>
    </row>
    <row r="46" spans="1:19" s="5" customFormat="1" x14ac:dyDescent="0.25">
      <c r="A46" s="6">
        <v>20500</v>
      </c>
      <c r="B46" s="7">
        <f t="shared" si="5"/>
        <v>1708.3333333333333</v>
      </c>
      <c r="C46" s="7">
        <f>'Total income package'!$D$80</f>
        <v>0</v>
      </c>
      <c r="D46" s="7">
        <f t="shared" si="6"/>
        <v>1708.3333333333333</v>
      </c>
      <c r="E46" s="65">
        <f t="shared" si="7"/>
        <v>0.52998965873836601</v>
      </c>
      <c r="F46" s="65" t="str">
        <f t="shared" si="0"/>
        <v>Yes</v>
      </c>
      <c r="G46" s="65" t="str">
        <f t="shared" si="1"/>
        <v>Yes</v>
      </c>
      <c r="H46" s="301" t="str">
        <f>IF(OR('TANF-VIEW'!L50&gt;0,'TANF-VIEW'!T50&gt;0),"Yes","No")</f>
        <v>No</v>
      </c>
      <c r="I46" s="63">
        <f t="shared" si="8"/>
        <v>10</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0</v>
      </c>
      <c r="O46" s="6">
        <f t="shared" si="2"/>
        <v>20</v>
      </c>
      <c r="P46" s="312">
        <f t="shared" si="10"/>
        <v>85.416666666666671</v>
      </c>
      <c r="Q46" s="312">
        <f t="shared" si="4"/>
        <v>30</v>
      </c>
      <c r="R46" s="312">
        <f t="shared" si="9"/>
        <v>20</v>
      </c>
      <c r="S46" s="160">
        <f>IF(AND('Total income package'!$A$8=TRUE,OR(F46="Yes",G46="Yes",H46="Yes")),SUM(J46:N46)-R46,0)</f>
        <v>2040</v>
      </c>
    </row>
    <row r="47" spans="1:19" s="5" customFormat="1" x14ac:dyDescent="0.25">
      <c r="A47" s="6">
        <v>21000</v>
      </c>
      <c r="B47" s="7">
        <f t="shared" si="5"/>
        <v>1750</v>
      </c>
      <c r="C47" s="7">
        <f>'Total income package'!$D$80</f>
        <v>0</v>
      </c>
      <c r="D47" s="7">
        <f t="shared" si="6"/>
        <v>1750</v>
      </c>
      <c r="E47" s="65">
        <f t="shared" si="7"/>
        <v>0.5429162357807652</v>
      </c>
      <c r="F47" s="65" t="str">
        <f t="shared" si="0"/>
        <v>Yes</v>
      </c>
      <c r="G47" s="65" t="str">
        <f t="shared" si="1"/>
        <v>Yes</v>
      </c>
      <c r="H47" s="301" t="str">
        <f>IF(OR('TANF-VIEW'!L51&gt;0,'TANF-VIEW'!T51&gt;0),"Yes","No")</f>
        <v>No</v>
      </c>
      <c r="I47" s="63">
        <f t="shared" si="8"/>
        <v>10</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0</v>
      </c>
      <c r="O47" s="6">
        <f t="shared" si="2"/>
        <v>20</v>
      </c>
      <c r="P47" s="312">
        <f t="shared" si="10"/>
        <v>87.5</v>
      </c>
      <c r="Q47" s="312">
        <f t="shared" si="4"/>
        <v>30</v>
      </c>
      <c r="R47" s="312">
        <f t="shared" si="9"/>
        <v>20</v>
      </c>
      <c r="S47" s="160">
        <f>IF(AND('Total income package'!$A$8=TRUE,OR(F47="Yes",G47="Yes",H47="Yes")),SUM(J47:N47)-R47,0)</f>
        <v>2040</v>
      </c>
    </row>
    <row r="48" spans="1:19" s="5" customFormat="1" x14ac:dyDescent="0.25">
      <c r="A48" s="6">
        <v>21500</v>
      </c>
      <c r="B48" s="7">
        <f t="shared" si="5"/>
        <v>1791.6666666666667</v>
      </c>
      <c r="C48" s="7">
        <f>'Total income package'!$D$80</f>
        <v>0</v>
      </c>
      <c r="D48" s="7">
        <f t="shared" si="6"/>
        <v>1791.6666666666667</v>
      </c>
      <c r="E48" s="65">
        <f t="shared" si="7"/>
        <v>0.55584281282316439</v>
      </c>
      <c r="F48" s="65" t="str">
        <f t="shared" si="0"/>
        <v>Yes</v>
      </c>
      <c r="G48" s="65" t="str">
        <f t="shared" si="1"/>
        <v>Yes</v>
      </c>
      <c r="H48" s="301" t="str">
        <f>IF(OR('TANF-VIEW'!L52&gt;0,'TANF-VIEW'!T52&gt;0),"Yes","No")</f>
        <v>No</v>
      </c>
      <c r="I48" s="63">
        <f t="shared" si="8"/>
        <v>10</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0</v>
      </c>
      <c r="O48" s="6">
        <f t="shared" si="2"/>
        <v>20</v>
      </c>
      <c r="P48" s="312">
        <f t="shared" si="10"/>
        <v>89.583333333333343</v>
      </c>
      <c r="Q48" s="312">
        <f t="shared" si="4"/>
        <v>30</v>
      </c>
      <c r="R48" s="312">
        <f t="shared" si="9"/>
        <v>20</v>
      </c>
      <c r="S48" s="160">
        <f>IF(AND('Total income package'!$A$8=TRUE,OR(F48="Yes",G48="Yes",H48="Yes")),SUM(J48:N48)-R48,0)</f>
        <v>2040</v>
      </c>
    </row>
    <row r="49" spans="1:19" s="5" customFormat="1" x14ac:dyDescent="0.25">
      <c r="A49" s="6">
        <v>22000</v>
      </c>
      <c r="B49" s="7">
        <f t="shared" si="5"/>
        <v>1833.3333333333333</v>
      </c>
      <c r="C49" s="7">
        <f>'Total income package'!$D$80</f>
        <v>0</v>
      </c>
      <c r="D49" s="7">
        <f t="shared" si="6"/>
        <v>1833.3333333333333</v>
      </c>
      <c r="E49" s="65">
        <f t="shared" si="7"/>
        <v>0.56876938986556358</v>
      </c>
      <c r="F49" s="65" t="str">
        <f t="shared" si="0"/>
        <v>Yes</v>
      </c>
      <c r="G49" s="65" t="str">
        <f t="shared" si="1"/>
        <v>Yes</v>
      </c>
      <c r="H49" s="301" t="str">
        <f>IF(OR('TANF-VIEW'!L53&gt;0,'TANF-VIEW'!T53&gt;0),"Yes","No")</f>
        <v>No</v>
      </c>
      <c r="I49" s="63">
        <f t="shared" si="8"/>
        <v>10</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0</v>
      </c>
      <c r="O49" s="6">
        <f t="shared" si="2"/>
        <v>20</v>
      </c>
      <c r="P49" s="312">
        <f t="shared" si="10"/>
        <v>91.666666666666671</v>
      </c>
      <c r="Q49" s="312">
        <f t="shared" si="4"/>
        <v>30</v>
      </c>
      <c r="R49" s="312">
        <f t="shared" si="9"/>
        <v>20</v>
      </c>
      <c r="S49" s="160">
        <f>IF(AND('Total income package'!$A$8=TRUE,OR(F49="Yes",G49="Yes",H49="Yes")),SUM(J49:N49)-R49,0)</f>
        <v>2040</v>
      </c>
    </row>
    <row r="50" spans="1:19" s="5" customFormat="1" x14ac:dyDescent="0.25">
      <c r="A50" s="6">
        <v>22500</v>
      </c>
      <c r="B50" s="7">
        <f t="shared" si="5"/>
        <v>1875</v>
      </c>
      <c r="C50" s="7">
        <f>'Total income package'!$D$80</f>
        <v>0</v>
      </c>
      <c r="D50" s="7">
        <f t="shared" si="6"/>
        <v>1875</v>
      </c>
      <c r="E50" s="65">
        <f t="shared" si="7"/>
        <v>0.58169596690796277</v>
      </c>
      <c r="F50" s="65" t="str">
        <f t="shared" si="0"/>
        <v>Yes</v>
      </c>
      <c r="G50" s="65" t="str">
        <f t="shared" si="1"/>
        <v>Yes</v>
      </c>
      <c r="H50" s="301" t="str">
        <f>IF(OR('TANF-VIEW'!L54&gt;0,'TANF-VIEW'!T54&gt;0),"Yes","No")</f>
        <v>No</v>
      </c>
      <c r="I50" s="63">
        <f t="shared" si="8"/>
        <v>10</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0</v>
      </c>
      <c r="O50" s="6">
        <f t="shared" si="2"/>
        <v>20</v>
      </c>
      <c r="P50" s="312">
        <f t="shared" si="10"/>
        <v>93.75</v>
      </c>
      <c r="Q50" s="312">
        <f t="shared" si="4"/>
        <v>30</v>
      </c>
      <c r="R50" s="312">
        <f t="shared" si="9"/>
        <v>20</v>
      </c>
      <c r="S50" s="160">
        <f>IF(AND('Total income package'!$A$8=TRUE,OR(F50="Yes",G50="Yes",H50="Yes")),SUM(J50:N50)-R50,0)</f>
        <v>2040</v>
      </c>
    </row>
    <row r="51" spans="1:19" s="5" customFormat="1" x14ac:dyDescent="0.25">
      <c r="A51" s="6">
        <v>23000</v>
      </c>
      <c r="B51" s="7">
        <f t="shared" si="5"/>
        <v>1916.6666666666667</v>
      </c>
      <c r="C51" s="7">
        <f>'Total income package'!$D$80</f>
        <v>0</v>
      </c>
      <c r="D51" s="7">
        <f t="shared" si="6"/>
        <v>1916.6666666666667</v>
      </c>
      <c r="E51" s="65">
        <f t="shared" si="7"/>
        <v>0.59462254395036196</v>
      </c>
      <c r="F51" s="65" t="str">
        <f t="shared" si="0"/>
        <v>Yes</v>
      </c>
      <c r="G51" s="65" t="str">
        <f t="shared" si="1"/>
        <v>Yes</v>
      </c>
      <c r="H51" s="301" t="str">
        <f>IF(OR('TANF-VIEW'!L55&gt;0,'TANF-VIEW'!T55&gt;0),"Yes","No")</f>
        <v>No</v>
      </c>
      <c r="I51" s="63">
        <f t="shared" si="8"/>
        <v>10</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0</v>
      </c>
      <c r="O51" s="6">
        <f t="shared" si="2"/>
        <v>20</v>
      </c>
      <c r="P51" s="312">
        <f t="shared" si="10"/>
        <v>95.833333333333343</v>
      </c>
      <c r="Q51" s="312">
        <f t="shared" si="4"/>
        <v>30</v>
      </c>
      <c r="R51" s="312">
        <f t="shared" si="9"/>
        <v>20</v>
      </c>
      <c r="S51" s="160">
        <f>IF(AND('Total income package'!$A$8=TRUE,OR(F51="Yes",G51="Yes",H51="Yes")),SUM(J51:N51)-R51,0)</f>
        <v>2040</v>
      </c>
    </row>
    <row r="52" spans="1:19" s="5" customFormat="1" x14ac:dyDescent="0.25">
      <c r="A52" s="6">
        <v>23500</v>
      </c>
      <c r="B52" s="7">
        <f t="shared" si="5"/>
        <v>1958.3333333333333</v>
      </c>
      <c r="C52" s="7">
        <f>'Total income package'!$D$80</f>
        <v>0</v>
      </c>
      <c r="D52" s="7">
        <f t="shared" si="6"/>
        <v>1958.3333333333333</v>
      </c>
      <c r="E52" s="65">
        <f t="shared" si="7"/>
        <v>0.60754912099276104</v>
      </c>
      <c r="F52" s="65" t="str">
        <f t="shared" si="0"/>
        <v>Yes</v>
      </c>
      <c r="G52" s="65" t="str">
        <f t="shared" si="1"/>
        <v>Yes</v>
      </c>
      <c r="H52" s="301" t="str">
        <f>IF(OR('TANF-VIEW'!L56&gt;0,'TANF-VIEW'!T56&gt;0),"Yes","No")</f>
        <v>No</v>
      </c>
      <c r="I52" s="63">
        <f t="shared" si="8"/>
        <v>10</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0</v>
      </c>
      <c r="O52" s="6">
        <f t="shared" si="2"/>
        <v>20</v>
      </c>
      <c r="P52" s="312">
        <f t="shared" si="10"/>
        <v>97.916666666666671</v>
      </c>
      <c r="Q52" s="312">
        <f t="shared" si="4"/>
        <v>30</v>
      </c>
      <c r="R52" s="312">
        <f t="shared" si="9"/>
        <v>20</v>
      </c>
      <c r="S52" s="160">
        <f>IF(AND('Total income package'!$A$8=TRUE,OR(F52="Yes",G52="Yes",H52="Yes")),SUM(J52:N52)-R52,0)</f>
        <v>2040</v>
      </c>
    </row>
    <row r="53" spans="1:19" s="5" customFormat="1" x14ac:dyDescent="0.25">
      <c r="A53" s="6">
        <v>24000</v>
      </c>
      <c r="B53" s="7">
        <f t="shared" si="5"/>
        <v>2000</v>
      </c>
      <c r="C53" s="7">
        <f>'Total income package'!$D$80</f>
        <v>0</v>
      </c>
      <c r="D53" s="7">
        <f t="shared" si="6"/>
        <v>2000</v>
      </c>
      <c r="E53" s="65">
        <f t="shared" si="7"/>
        <v>0.62047569803516023</v>
      </c>
      <c r="F53" s="65" t="str">
        <f t="shared" si="0"/>
        <v>Yes</v>
      </c>
      <c r="G53" s="65" t="str">
        <f t="shared" si="1"/>
        <v>Yes</v>
      </c>
      <c r="H53" s="301" t="str">
        <f>IF(OR('TANF-VIEW'!L57&gt;0,'TANF-VIEW'!T57&gt;0),"Yes","No")</f>
        <v>No</v>
      </c>
      <c r="I53" s="63">
        <f t="shared" si="8"/>
        <v>10</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0</v>
      </c>
      <c r="O53" s="6">
        <f t="shared" si="2"/>
        <v>20</v>
      </c>
      <c r="P53" s="312">
        <f t="shared" si="10"/>
        <v>100</v>
      </c>
      <c r="Q53" s="312">
        <f t="shared" si="4"/>
        <v>30</v>
      </c>
      <c r="R53" s="312">
        <f t="shared" si="9"/>
        <v>20</v>
      </c>
      <c r="S53" s="160">
        <f>IF(AND('Total income package'!$A$8=TRUE,OR(F53="Yes",G53="Yes",H53="Yes")),SUM(J53:N53)-R53,0)</f>
        <v>2040</v>
      </c>
    </row>
    <row r="54" spans="1:19" s="5" customFormat="1" x14ac:dyDescent="0.25">
      <c r="A54" s="6">
        <v>24500</v>
      </c>
      <c r="B54" s="7">
        <f t="shared" si="5"/>
        <v>2041.6666666666667</v>
      </c>
      <c r="C54" s="7">
        <f>'Total income package'!$D$80</f>
        <v>0</v>
      </c>
      <c r="D54" s="7">
        <f t="shared" si="6"/>
        <v>2041.6666666666667</v>
      </c>
      <c r="E54" s="65">
        <f t="shared" si="7"/>
        <v>0.63340227507755942</v>
      </c>
      <c r="F54" s="65" t="str">
        <f t="shared" si="0"/>
        <v>Yes</v>
      </c>
      <c r="G54" s="65" t="str">
        <f t="shared" si="1"/>
        <v>Yes</v>
      </c>
      <c r="H54" s="301" t="str">
        <f>IF(OR('TANF-VIEW'!L58&gt;0,'TANF-VIEW'!T58&gt;0),"Yes","No")</f>
        <v>No</v>
      </c>
      <c r="I54" s="63">
        <f t="shared" si="8"/>
        <v>10</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0</v>
      </c>
      <c r="O54" s="6">
        <f t="shared" si="2"/>
        <v>20</v>
      </c>
      <c r="P54" s="312">
        <f t="shared" si="10"/>
        <v>102.08333333333334</v>
      </c>
      <c r="Q54" s="312">
        <f t="shared" si="4"/>
        <v>30</v>
      </c>
      <c r="R54" s="312">
        <f t="shared" si="9"/>
        <v>20</v>
      </c>
      <c r="S54" s="160">
        <f>IF(AND('Total income package'!$A$8=TRUE,OR(F54="Yes",G54="Yes",H54="Yes")),SUM(J54:N54)-R54,0)</f>
        <v>2040</v>
      </c>
    </row>
    <row r="55" spans="1:19" s="5" customFormat="1" x14ac:dyDescent="0.25">
      <c r="A55" s="6">
        <v>25000</v>
      </c>
      <c r="B55" s="7">
        <f t="shared" si="5"/>
        <v>2083.3333333333335</v>
      </c>
      <c r="C55" s="7">
        <f>'Total income package'!$D$80</f>
        <v>0</v>
      </c>
      <c r="D55" s="7">
        <f t="shared" si="6"/>
        <v>2083.3333333333335</v>
      </c>
      <c r="E55" s="65">
        <f t="shared" si="7"/>
        <v>0.64632885211995861</v>
      </c>
      <c r="F55" s="65" t="str">
        <f t="shared" si="0"/>
        <v>Yes</v>
      </c>
      <c r="G55" s="65" t="str">
        <f t="shared" si="1"/>
        <v>Yes</v>
      </c>
      <c r="H55" s="301" t="str">
        <f>IF(OR('TANF-VIEW'!L59&gt;0,'TANF-VIEW'!T59&gt;0),"Yes","No")</f>
        <v>No</v>
      </c>
      <c r="I55" s="63">
        <f t="shared" si="8"/>
        <v>10</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0</v>
      </c>
      <c r="O55" s="6">
        <f t="shared" si="2"/>
        <v>20</v>
      </c>
      <c r="P55" s="312">
        <f t="shared" si="10"/>
        <v>104.16666666666669</v>
      </c>
      <c r="Q55" s="312">
        <f t="shared" si="4"/>
        <v>30</v>
      </c>
      <c r="R55" s="312">
        <f t="shared" si="9"/>
        <v>20</v>
      </c>
      <c r="S55" s="160">
        <f>IF(AND('Total income package'!$A$8=TRUE,OR(F55="Yes",G55="Yes",H55="Yes")),SUM(J55:N55)-R55,0)</f>
        <v>2040</v>
      </c>
    </row>
    <row r="56" spans="1:19" s="5" customFormat="1" x14ac:dyDescent="0.25">
      <c r="A56" s="6">
        <v>25500</v>
      </c>
      <c r="B56" s="7">
        <f t="shared" si="5"/>
        <v>2125</v>
      </c>
      <c r="C56" s="7">
        <f>'Total income package'!$D$80</f>
        <v>0</v>
      </c>
      <c r="D56" s="7">
        <f t="shared" si="6"/>
        <v>2125</v>
      </c>
      <c r="E56" s="65">
        <f t="shared" si="7"/>
        <v>0.6592554291623578</v>
      </c>
      <c r="F56" s="65" t="str">
        <f t="shared" si="0"/>
        <v>Yes</v>
      </c>
      <c r="G56" s="65" t="str">
        <f t="shared" si="1"/>
        <v>Yes</v>
      </c>
      <c r="H56" s="301" t="str">
        <f>IF(OR('TANF-VIEW'!L60&gt;0,'TANF-VIEW'!T60&gt;0),"Yes","No")</f>
        <v>No</v>
      </c>
      <c r="I56" s="63">
        <f t="shared" si="8"/>
        <v>10</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0</v>
      </c>
      <c r="O56" s="6">
        <f t="shared" si="2"/>
        <v>20</v>
      </c>
      <c r="P56" s="312">
        <f t="shared" si="10"/>
        <v>106.25</v>
      </c>
      <c r="Q56" s="312">
        <f t="shared" si="4"/>
        <v>30</v>
      </c>
      <c r="R56" s="312">
        <f t="shared" si="9"/>
        <v>20</v>
      </c>
      <c r="S56" s="160">
        <f>IF(AND('Total income package'!$A$8=TRUE,OR(F56="Yes",G56="Yes",H56="Yes")),SUM(J56:N56)-R56,0)</f>
        <v>2040</v>
      </c>
    </row>
    <row r="57" spans="1:19" s="5" customFormat="1" x14ac:dyDescent="0.25">
      <c r="A57" s="6">
        <v>26000</v>
      </c>
      <c r="B57" s="7">
        <f t="shared" si="5"/>
        <v>2166.6666666666665</v>
      </c>
      <c r="C57" s="7">
        <f>'Total income package'!$D$80</f>
        <v>0</v>
      </c>
      <c r="D57" s="7">
        <f t="shared" si="6"/>
        <v>2166.6666666666665</v>
      </c>
      <c r="E57" s="65">
        <f t="shared" si="7"/>
        <v>0.67218200620475688</v>
      </c>
      <c r="F57" s="65" t="str">
        <f t="shared" si="0"/>
        <v>Yes</v>
      </c>
      <c r="G57" s="65" t="str">
        <f t="shared" si="1"/>
        <v>Yes</v>
      </c>
      <c r="H57" s="301" t="str">
        <f>IF(OR('TANF-VIEW'!L61&gt;0,'TANF-VIEW'!T61&gt;0),"Yes","No")</f>
        <v>No</v>
      </c>
      <c r="I57" s="63">
        <f t="shared" si="8"/>
        <v>10</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0</v>
      </c>
      <c r="O57" s="6">
        <f t="shared" si="2"/>
        <v>20</v>
      </c>
      <c r="P57" s="312">
        <f t="shared" si="10"/>
        <v>108.33333333333333</v>
      </c>
      <c r="Q57" s="312">
        <f t="shared" si="4"/>
        <v>30</v>
      </c>
      <c r="R57" s="312">
        <f t="shared" si="9"/>
        <v>20</v>
      </c>
      <c r="S57" s="160">
        <f>IF(AND('Total income package'!$A$8=TRUE,OR(F57="Yes",G57="Yes",H57="Yes")),SUM(J57:N57)-R57,0)</f>
        <v>2040</v>
      </c>
    </row>
    <row r="58" spans="1:19" s="5" customFormat="1" x14ac:dyDescent="0.25">
      <c r="A58" s="6">
        <v>26500</v>
      </c>
      <c r="B58" s="7">
        <f t="shared" si="5"/>
        <v>2208.3333333333335</v>
      </c>
      <c r="C58" s="7">
        <f>'Total income package'!$D$80</f>
        <v>0</v>
      </c>
      <c r="D58" s="7">
        <f t="shared" si="6"/>
        <v>2208.3333333333335</v>
      </c>
      <c r="E58" s="65">
        <f t="shared" si="7"/>
        <v>0.68510858324715618</v>
      </c>
      <c r="F58" s="65" t="str">
        <f t="shared" si="0"/>
        <v>Yes</v>
      </c>
      <c r="G58" s="65" t="str">
        <f t="shared" si="1"/>
        <v>Yes</v>
      </c>
      <c r="H58" s="301" t="str">
        <f>IF(OR('TANF-VIEW'!L62&gt;0,'TANF-VIEW'!T62&gt;0),"Yes","No")</f>
        <v>No</v>
      </c>
      <c r="I58" s="63">
        <f t="shared" si="8"/>
        <v>10</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0</v>
      </c>
      <c r="O58" s="6">
        <f t="shared" si="2"/>
        <v>20</v>
      </c>
      <c r="P58" s="312">
        <f t="shared" si="10"/>
        <v>110.41666666666669</v>
      </c>
      <c r="Q58" s="312">
        <f t="shared" si="4"/>
        <v>30</v>
      </c>
      <c r="R58" s="312">
        <f t="shared" si="9"/>
        <v>20</v>
      </c>
      <c r="S58" s="160">
        <f>IF(AND('Total income package'!$A$8=TRUE,OR(F58="Yes",G58="Yes",H58="Yes")),SUM(J58:N58)-R58,0)</f>
        <v>2040</v>
      </c>
    </row>
    <row r="59" spans="1:19" s="5" customFormat="1" x14ac:dyDescent="0.25">
      <c r="A59" s="6">
        <v>27000</v>
      </c>
      <c r="B59" s="7">
        <f t="shared" si="5"/>
        <v>2250</v>
      </c>
      <c r="C59" s="7">
        <f>'Total income package'!$D$80</f>
        <v>0</v>
      </c>
      <c r="D59" s="7">
        <f t="shared" si="6"/>
        <v>2250</v>
      </c>
      <c r="E59" s="65">
        <f t="shared" si="7"/>
        <v>0.69803516028955526</v>
      </c>
      <c r="F59" s="65" t="str">
        <f t="shared" si="0"/>
        <v>Yes</v>
      </c>
      <c r="G59" s="65" t="str">
        <f t="shared" si="1"/>
        <v>Yes</v>
      </c>
      <c r="H59" s="301" t="str">
        <f>IF(OR('TANF-VIEW'!L63&gt;0,'TANF-VIEW'!T63&gt;0),"Yes","No")</f>
        <v>No</v>
      </c>
      <c r="I59" s="63">
        <f t="shared" si="8"/>
        <v>10</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0</v>
      </c>
      <c r="O59" s="6">
        <f t="shared" si="2"/>
        <v>20</v>
      </c>
      <c r="P59" s="312">
        <f t="shared" si="10"/>
        <v>112.5</v>
      </c>
      <c r="Q59" s="312">
        <f t="shared" si="4"/>
        <v>30</v>
      </c>
      <c r="R59" s="312">
        <f t="shared" si="9"/>
        <v>20</v>
      </c>
      <c r="S59" s="160">
        <f>IF(AND('Total income package'!$A$8=TRUE,OR(F59="Yes",G59="Yes",H59="Yes")),SUM(J59:N59)-R59,0)</f>
        <v>2040</v>
      </c>
    </row>
    <row r="60" spans="1:19" s="5" customFormat="1" x14ac:dyDescent="0.25">
      <c r="A60" s="6">
        <v>27500</v>
      </c>
      <c r="B60" s="7">
        <f t="shared" si="5"/>
        <v>2291.6666666666665</v>
      </c>
      <c r="C60" s="7">
        <f>'Total income package'!$D$80</f>
        <v>0</v>
      </c>
      <c r="D60" s="7">
        <f t="shared" si="6"/>
        <v>2291.6666666666665</v>
      </c>
      <c r="E60" s="65">
        <f t="shared" si="7"/>
        <v>0.71096173733195445</v>
      </c>
      <c r="F60" s="65" t="str">
        <f t="shared" si="0"/>
        <v>Yes</v>
      </c>
      <c r="G60" s="65" t="str">
        <f t="shared" si="1"/>
        <v>Yes</v>
      </c>
      <c r="H60" s="301" t="str">
        <f>IF(OR('TANF-VIEW'!L64&gt;0,'TANF-VIEW'!T64&gt;0),"Yes","No")</f>
        <v>No</v>
      </c>
      <c r="I60" s="63">
        <f t="shared" si="8"/>
        <v>10</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0</v>
      </c>
      <c r="O60" s="6">
        <f t="shared" si="2"/>
        <v>20</v>
      </c>
      <c r="P60" s="312">
        <f t="shared" si="10"/>
        <v>114.58333333333333</v>
      </c>
      <c r="Q60" s="312">
        <f t="shared" si="4"/>
        <v>30</v>
      </c>
      <c r="R60" s="312">
        <f t="shared" si="9"/>
        <v>20</v>
      </c>
      <c r="S60" s="160">
        <f>IF(AND('Total income package'!$A$8=TRUE,OR(F60="Yes",G60="Yes",H60="Yes")),SUM(J60:N60)-R60,0)</f>
        <v>2040</v>
      </c>
    </row>
    <row r="61" spans="1:19" s="5" customFormat="1" x14ac:dyDescent="0.25">
      <c r="A61" s="6">
        <v>28000</v>
      </c>
      <c r="B61" s="7">
        <f t="shared" si="5"/>
        <v>2333.3333333333335</v>
      </c>
      <c r="C61" s="7">
        <f>'Total income package'!$D$80</f>
        <v>0</v>
      </c>
      <c r="D61" s="7">
        <f t="shared" si="6"/>
        <v>2333.3333333333335</v>
      </c>
      <c r="E61" s="65">
        <f t="shared" si="7"/>
        <v>0.72388831437435364</v>
      </c>
      <c r="F61" s="65" t="str">
        <f t="shared" si="0"/>
        <v>Yes</v>
      </c>
      <c r="G61" s="65" t="str">
        <f t="shared" si="1"/>
        <v>Yes</v>
      </c>
      <c r="H61" s="301" t="str">
        <f>IF(OR('TANF-VIEW'!L65&gt;0,'TANF-VIEW'!T65&gt;0),"Yes","No")</f>
        <v>No</v>
      </c>
      <c r="I61" s="63">
        <f t="shared" si="8"/>
        <v>10</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0</v>
      </c>
      <c r="O61" s="6">
        <f t="shared" si="2"/>
        <v>20</v>
      </c>
      <c r="P61" s="312">
        <f t="shared" si="10"/>
        <v>116.66666666666669</v>
      </c>
      <c r="Q61" s="312">
        <f t="shared" si="4"/>
        <v>30</v>
      </c>
      <c r="R61" s="312">
        <f t="shared" si="9"/>
        <v>20</v>
      </c>
      <c r="S61" s="160">
        <f>IF(AND('Total income package'!$A$8=TRUE,OR(F61="Yes",G61="Yes",H61="Yes")),SUM(J61:N61)-R61,0)</f>
        <v>2040</v>
      </c>
    </row>
    <row r="62" spans="1:19" s="5" customFormat="1" x14ac:dyDescent="0.25">
      <c r="A62" s="6">
        <v>28500</v>
      </c>
      <c r="B62" s="7">
        <f t="shared" si="5"/>
        <v>2375</v>
      </c>
      <c r="C62" s="7">
        <f>'Total income package'!$D$80</f>
        <v>0</v>
      </c>
      <c r="D62" s="7">
        <f t="shared" si="6"/>
        <v>2375</v>
      </c>
      <c r="E62" s="65">
        <f t="shared" si="7"/>
        <v>0.73681489141675283</v>
      </c>
      <c r="F62" s="65" t="str">
        <f t="shared" si="0"/>
        <v>Yes</v>
      </c>
      <c r="G62" s="65" t="str">
        <f t="shared" si="1"/>
        <v>Yes</v>
      </c>
      <c r="H62" s="301" t="str">
        <f>IF(OR('TANF-VIEW'!L66&gt;0,'TANF-VIEW'!T66&gt;0),"Yes","No")</f>
        <v>No</v>
      </c>
      <c r="I62" s="63">
        <f t="shared" si="8"/>
        <v>10</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0</v>
      </c>
      <c r="O62" s="6">
        <f t="shared" si="2"/>
        <v>20</v>
      </c>
      <c r="P62" s="312">
        <f t="shared" si="10"/>
        <v>118.75</v>
      </c>
      <c r="Q62" s="312">
        <f t="shared" si="4"/>
        <v>30</v>
      </c>
      <c r="R62" s="312">
        <f t="shared" si="9"/>
        <v>20</v>
      </c>
      <c r="S62" s="160">
        <f>IF(AND('Total income package'!$A$8=TRUE,OR(F62="Yes",G62="Yes",H62="Yes")),SUM(J62:N62)-R62,0)</f>
        <v>2040</v>
      </c>
    </row>
    <row r="63" spans="1:19" s="5" customFormat="1" x14ac:dyDescent="0.25">
      <c r="A63" s="6">
        <v>29000</v>
      </c>
      <c r="B63" s="7">
        <f t="shared" si="5"/>
        <v>2416.6666666666665</v>
      </c>
      <c r="C63" s="7">
        <f>'Total income package'!$D$80</f>
        <v>0</v>
      </c>
      <c r="D63" s="7">
        <f t="shared" si="6"/>
        <v>2416.6666666666665</v>
      </c>
      <c r="E63" s="65">
        <f t="shared" si="7"/>
        <v>0.74974146845915191</v>
      </c>
      <c r="F63" s="65" t="str">
        <f t="shared" si="0"/>
        <v>Yes</v>
      </c>
      <c r="G63" s="65" t="str">
        <f t="shared" si="1"/>
        <v>Yes</v>
      </c>
      <c r="H63" s="301" t="str">
        <f>IF(OR('TANF-VIEW'!L67&gt;0,'TANF-VIEW'!T67&gt;0),"Yes","No")</f>
        <v>No</v>
      </c>
      <c r="I63" s="63">
        <f t="shared" si="8"/>
        <v>10</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0</v>
      </c>
      <c r="O63" s="6">
        <f t="shared" si="2"/>
        <v>20</v>
      </c>
      <c r="P63" s="312">
        <f t="shared" si="10"/>
        <v>120.83333333333333</v>
      </c>
      <c r="Q63" s="312">
        <f t="shared" si="4"/>
        <v>30</v>
      </c>
      <c r="R63" s="312">
        <f t="shared" si="9"/>
        <v>20</v>
      </c>
      <c r="S63" s="160">
        <f>IF(AND('Total income package'!$A$8=TRUE,OR(F63="Yes",G63="Yes",H63="Yes")),SUM(J63:N63)-R63,0)</f>
        <v>2040</v>
      </c>
    </row>
    <row r="64" spans="1:19" s="5" customFormat="1" x14ac:dyDescent="0.25">
      <c r="A64" s="6">
        <v>29500</v>
      </c>
      <c r="B64" s="7">
        <f t="shared" si="5"/>
        <v>2458.3333333333335</v>
      </c>
      <c r="C64" s="7">
        <f>'Total income package'!$D$80</f>
        <v>0</v>
      </c>
      <c r="D64" s="7">
        <f t="shared" si="6"/>
        <v>2458.3333333333335</v>
      </c>
      <c r="E64" s="65">
        <f t="shared" si="7"/>
        <v>0.76266804550155121</v>
      </c>
      <c r="F64" s="65" t="str">
        <f t="shared" si="0"/>
        <v>Yes</v>
      </c>
      <c r="G64" s="65" t="str">
        <f t="shared" si="1"/>
        <v>Yes</v>
      </c>
      <c r="H64" s="301" t="str">
        <f>IF(OR('TANF-VIEW'!L68&gt;0,'TANF-VIEW'!T68&gt;0),"Yes","No")</f>
        <v>No</v>
      </c>
      <c r="I64" s="63">
        <f t="shared" si="8"/>
        <v>10</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0</v>
      </c>
      <c r="O64" s="6">
        <f t="shared" si="2"/>
        <v>20</v>
      </c>
      <c r="P64" s="312">
        <f t="shared" si="10"/>
        <v>122.91666666666669</v>
      </c>
      <c r="Q64" s="312">
        <f t="shared" si="4"/>
        <v>30</v>
      </c>
      <c r="R64" s="312">
        <f t="shared" si="9"/>
        <v>20</v>
      </c>
      <c r="S64" s="160">
        <f>IF(AND('Total income package'!$A$8=TRUE,OR(F64="Yes",G64="Yes",H64="Yes")),SUM(J64:N64)-R64,0)</f>
        <v>2040</v>
      </c>
    </row>
    <row r="65" spans="1:19" s="5" customFormat="1" x14ac:dyDescent="0.25">
      <c r="A65" s="6">
        <v>30000</v>
      </c>
      <c r="B65" s="7">
        <f t="shared" si="5"/>
        <v>2500</v>
      </c>
      <c r="C65" s="7">
        <f>'Total income package'!$D$80</f>
        <v>0</v>
      </c>
      <c r="D65" s="7">
        <f t="shared" si="6"/>
        <v>2500</v>
      </c>
      <c r="E65" s="65">
        <f t="shared" si="7"/>
        <v>0.77559462254395029</v>
      </c>
      <c r="F65" s="65" t="str">
        <f t="shared" si="0"/>
        <v>Yes</v>
      </c>
      <c r="G65" s="65" t="str">
        <f t="shared" si="1"/>
        <v>Yes</v>
      </c>
      <c r="H65" s="301" t="str">
        <f>IF(OR('TANF-VIEW'!L69&gt;0,'TANF-VIEW'!T69&gt;0),"Yes","No")</f>
        <v>No</v>
      </c>
      <c r="I65" s="63">
        <f t="shared" si="8"/>
        <v>10</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0</v>
      </c>
      <c r="O65" s="6">
        <f t="shared" si="2"/>
        <v>20</v>
      </c>
      <c r="P65" s="312">
        <f t="shared" si="10"/>
        <v>125</v>
      </c>
      <c r="Q65" s="312">
        <f t="shared" si="4"/>
        <v>30</v>
      </c>
      <c r="R65" s="312">
        <f t="shared" si="9"/>
        <v>20</v>
      </c>
      <c r="S65" s="160">
        <f>IF(AND('Total income package'!$A$8=TRUE,OR(F65="Yes",G65="Yes",H65="Yes")),SUM(J65:N65)-R65,0)</f>
        <v>2040</v>
      </c>
    </row>
    <row r="66" spans="1:19" s="5" customFormat="1" x14ac:dyDescent="0.25">
      <c r="A66" s="6">
        <v>30500</v>
      </c>
      <c r="B66" s="7">
        <f t="shared" si="5"/>
        <v>2541.6666666666665</v>
      </c>
      <c r="C66" s="7">
        <f>'Total income package'!$D$80</f>
        <v>0</v>
      </c>
      <c r="D66" s="7">
        <f t="shared" si="6"/>
        <v>2541.6666666666665</v>
      </c>
      <c r="E66" s="65">
        <f t="shared" si="7"/>
        <v>0.78852119958634947</v>
      </c>
      <c r="F66" s="65" t="str">
        <f t="shared" si="0"/>
        <v>Yes</v>
      </c>
      <c r="G66" s="65" t="str">
        <f t="shared" si="1"/>
        <v>Yes</v>
      </c>
      <c r="H66" s="301" t="str">
        <f>IF(OR('TANF-VIEW'!L70&gt;0,'TANF-VIEW'!T70&gt;0),"Yes","No")</f>
        <v>No</v>
      </c>
      <c r="I66" s="63">
        <f t="shared" si="8"/>
        <v>10</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0</v>
      </c>
      <c r="O66" s="6">
        <f t="shared" si="2"/>
        <v>20</v>
      </c>
      <c r="P66" s="312">
        <f t="shared" si="10"/>
        <v>127.08333333333333</v>
      </c>
      <c r="Q66" s="312">
        <f t="shared" si="4"/>
        <v>30</v>
      </c>
      <c r="R66" s="312">
        <f t="shared" si="9"/>
        <v>20</v>
      </c>
      <c r="S66" s="160">
        <f>IF(AND('Total income package'!$A$8=TRUE,OR(F66="Yes",G66="Yes",H66="Yes")),SUM(J66:N66)-R66,0)</f>
        <v>2040</v>
      </c>
    </row>
    <row r="67" spans="1:19" s="5" customFormat="1" x14ac:dyDescent="0.25">
      <c r="A67" s="6">
        <v>31000</v>
      </c>
      <c r="B67" s="7">
        <f t="shared" si="5"/>
        <v>2583.3333333333335</v>
      </c>
      <c r="C67" s="7">
        <f>'Total income package'!$D$80</f>
        <v>0</v>
      </c>
      <c r="D67" s="7">
        <f t="shared" si="6"/>
        <v>2583.3333333333335</v>
      </c>
      <c r="E67" s="65">
        <f t="shared" si="7"/>
        <v>0.80144777662874866</v>
      </c>
      <c r="F67" s="65" t="str">
        <f t="shared" si="0"/>
        <v>Yes</v>
      </c>
      <c r="G67" s="65" t="str">
        <f t="shared" si="1"/>
        <v>Yes</v>
      </c>
      <c r="H67" s="301" t="str">
        <f>IF(OR('TANF-VIEW'!L71&gt;0,'TANF-VIEW'!T71&gt;0),"Yes","No")</f>
        <v>No</v>
      </c>
      <c r="I67" s="63">
        <f t="shared" si="8"/>
        <v>10</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0</v>
      </c>
      <c r="O67" s="6">
        <f t="shared" si="2"/>
        <v>20</v>
      </c>
      <c r="P67" s="312">
        <f t="shared" si="10"/>
        <v>129.16666666666669</v>
      </c>
      <c r="Q67" s="312">
        <f t="shared" si="4"/>
        <v>30</v>
      </c>
      <c r="R67" s="312">
        <f t="shared" si="9"/>
        <v>20</v>
      </c>
      <c r="S67" s="160">
        <f>IF(AND('Total income package'!$A$8=TRUE,OR(F67="Yes",G67="Yes",H67="Yes")),SUM(J67:N67)-R67,0)</f>
        <v>2040</v>
      </c>
    </row>
    <row r="68" spans="1:19" s="5" customFormat="1" x14ac:dyDescent="0.25">
      <c r="A68" s="6">
        <v>31500</v>
      </c>
      <c r="B68" s="7">
        <f t="shared" si="5"/>
        <v>2625</v>
      </c>
      <c r="C68" s="7">
        <f>'Total income package'!$D$80</f>
        <v>0</v>
      </c>
      <c r="D68" s="7">
        <f t="shared" si="6"/>
        <v>2625</v>
      </c>
      <c r="E68" s="65">
        <f t="shared" si="7"/>
        <v>0.81437435367114785</v>
      </c>
      <c r="F68" s="65" t="str">
        <f t="shared" si="0"/>
        <v>Yes</v>
      </c>
      <c r="G68" s="65" t="str">
        <f t="shared" si="1"/>
        <v>Yes</v>
      </c>
      <c r="H68" s="301" t="str">
        <f>IF(OR('TANF-VIEW'!L72&gt;0,'TANF-VIEW'!T72&gt;0),"Yes","No")</f>
        <v>No</v>
      </c>
      <c r="I68" s="63">
        <f t="shared" si="8"/>
        <v>10</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0</v>
      </c>
      <c r="O68" s="6">
        <f t="shared" si="2"/>
        <v>20</v>
      </c>
      <c r="P68" s="312">
        <f t="shared" si="10"/>
        <v>131.25</v>
      </c>
      <c r="Q68" s="312">
        <f t="shared" si="4"/>
        <v>30</v>
      </c>
      <c r="R68" s="312">
        <f t="shared" si="9"/>
        <v>20</v>
      </c>
      <c r="S68" s="160">
        <f>IF(AND('Total income package'!$A$8=TRUE,OR(F68="Yes",G68="Yes",H68="Yes")),SUM(J68:N68)-R68,0)</f>
        <v>2040</v>
      </c>
    </row>
    <row r="69" spans="1:19" s="5" customFormat="1" x14ac:dyDescent="0.25">
      <c r="A69" s="6">
        <v>32000</v>
      </c>
      <c r="B69" s="7">
        <f t="shared" si="5"/>
        <v>2666.6666666666665</v>
      </c>
      <c r="C69" s="7">
        <f>'Total income package'!$D$80</f>
        <v>0</v>
      </c>
      <c r="D69" s="7">
        <f t="shared" si="6"/>
        <v>2666.6666666666665</v>
      </c>
      <c r="E69" s="65">
        <f t="shared" si="7"/>
        <v>0.82730093071354693</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2040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0.84022750775594623</v>
      </c>
      <c r="F70" s="65" t="str">
        <f t="shared" si="11"/>
        <v>Yes</v>
      </c>
      <c r="G70" s="65" t="str">
        <f t="shared" si="12"/>
        <v>Yes</v>
      </c>
      <c r="H70" s="301" t="str">
        <f>IF(OR('TANF-VIEW'!L74&gt;0,'TANF-VIEW'!T74&gt;0),"Yes","No")</f>
        <v>No</v>
      </c>
      <c r="I70" s="63">
        <f t="shared" si="13"/>
        <v>10</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0</v>
      </c>
      <c r="O70" s="6">
        <f t="shared" si="14"/>
        <v>20</v>
      </c>
      <c r="P70" s="312">
        <f t="shared" si="15"/>
        <v>135.41666666666669</v>
      </c>
      <c r="Q70" s="312">
        <f t="shared" si="16"/>
        <v>30</v>
      </c>
      <c r="R70" s="312">
        <f t="shared" ref="R70:R133" si="20">IF(MIN(O70,P70)&lt;Q70,MIN(O70,P70),Q70)</f>
        <v>20</v>
      </c>
      <c r="S70" s="160">
        <f>IF(AND('Total income package'!$A$8=TRUE,OR(F70="Yes",G70="Yes",H70="Yes")),SUM(J70:N70)-R70,0)</f>
        <v>2040</v>
      </c>
    </row>
    <row r="71" spans="1:19" s="5" customFormat="1" x14ac:dyDescent="0.25">
      <c r="A71" s="6">
        <v>33000</v>
      </c>
      <c r="B71" s="7">
        <f t="shared" si="17"/>
        <v>2750</v>
      </c>
      <c r="C71" s="7">
        <f>'Total income package'!$D$80</f>
        <v>0</v>
      </c>
      <c r="D71" s="7">
        <f t="shared" si="18"/>
        <v>2750</v>
      </c>
      <c r="E71" s="65">
        <f t="shared" si="19"/>
        <v>0.85315408479834531</v>
      </c>
      <c r="F71" s="65" t="str">
        <f t="shared" si="11"/>
        <v>Yes</v>
      </c>
      <c r="G71" s="65" t="str">
        <f t="shared" si="12"/>
        <v>Yes</v>
      </c>
      <c r="H71" s="301" t="str">
        <f>IF(OR('TANF-VIEW'!L75&gt;0,'TANF-VIEW'!T75&gt;0),"Yes","No")</f>
        <v>No</v>
      </c>
      <c r="I71" s="63">
        <f t="shared" si="13"/>
        <v>10</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0</v>
      </c>
      <c r="O71" s="6">
        <f t="shared" si="14"/>
        <v>20</v>
      </c>
      <c r="P71" s="312">
        <f t="shared" si="15"/>
        <v>137.5</v>
      </c>
      <c r="Q71" s="312">
        <f t="shared" si="16"/>
        <v>30</v>
      </c>
      <c r="R71" s="312">
        <f t="shared" si="20"/>
        <v>20</v>
      </c>
      <c r="S71" s="160">
        <f>IF(AND('Total income package'!$A$8=TRUE,OR(F71="Yes",G71="Yes",H71="Yes")),SUM(J71:N71)-R71,0)</f>
        <v>2040</v>
      </c>
    </row>
    <row r="72" spans="1:19" s="5" customFormat="1" x14ac:dyDescent="0.25">
      <c r="A72" s="6">
        <v>33500</v>
      </c>
      <c r="B72" s="7">
        <f t="shared" si="17"/>
        <v>2791.6666666666665</v>
      </c>
      <c r="C72" s="7">
        <f>'Total income package'!$D$80</f>
        <v>0</v>
      </c>
      <c r="D72" s="7">
        <f t="shared" si="18"/>
        <v>2791.6666666666665</v>
      </c>
      <c r="E72" s="65">
        <f t="shared" si="19"/>
        <v>0.8660806618407445</v>
      </c>
      <c r="F72" s="65" t="str">
        <f t="shared" si="11"/>
        <v>Yes</v>
      </c>
      <c r="G72" s="65" t="str">
        <f t="shared" si="12"/>
        <v>Yes</v>
      </c>
      <c r="H72" s="301" t="str">
        <f>IF(OR('TANF-VIEW'!L76&gt;0,'TANF-VIEW'!T76&gt;0),"Yes","No")</f>
        <v>No</v>
      </c>
      <c r="I72" s="63">
        <f t="shared" si="13"/>
        <v>10</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0</v>
      </c>
      <c r="O72" s="6">
        <f t="shared" si="14"/>
        <v>20</v>
      </c>
      <c r="P72" s="312">
        <f t="shared" si="15"/>
        <v>139.58333333333334</v>
      </c>
      <c r="Q72" s="312">
        <f t="shared" si="16"/>
        <v>30</v>
      </c>
      <c r="R72" s="312">
        <f t="shared" si="20"/>
        <v>20</v>
      </c>
      <c r="S72" s="160">
        <f>IF(AND('Total income package'!$A$8=TRUE,OR(F72="Yes",G72="Yes",H72="Yes")),SUM(J72:N72)-R72,0)</f>
        <v>2040</v>
      </c>
    </row>
    <row r="73" spans="1:19" s="5" customFormat="1" x14ac:dyDescent="0.25">
      <c r="A73" s="6">
        <v>34000</v>
      </c>
      <c r="B73" s="7">
        <f t="shared" si="17"/>
        <v>2833.3333333333335</v>
      </c>
      <c r="C73" s="7">
        <f>'Total income package'!$D$80</f>
        <v>0</v>
      </c>
      <c r="D73" s="7">
        <f t="shared" si="18"/>
        <v>2833.3333333333335</v>
      </c>
      <c r="E73" s="65">
        <f t="shared" si="19"/>
        <v>0.8790072388831438</v>
      </c>
      <c r="F73" s="65" t="str">
        <f t="shared" si="11"/>
        <v>Yes</v>
      </c>
      <c r="G73" s="65" t="str">
        <f t="shared" si="12"/>
        <v>Yes</v>
      </c>
      <c r="H73" s="301" t="str">
        <f>IF(OR('TANF-VIEW'!L77&gt;0,'TANF-VIEW'!T77&gt;0),"Yes","No")</f>
        <v>No</v>
      </c>
      <c r="I73" s="63">
        <f t="shared" si="13"/>
        <v>10</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0</v>
      </c>
      <c r="O73" s="6">
        <f t="shared" si="14"/>
        <v>20</v>
      </c>
      <c r="P73" s="312">
        <f t="shared" si="15"/>
        <v>141.66666666666669</v>
      </c>
      <c r="Q73" s="312">
        <f t="shared" si="16"/>
        <v>30</v>
      </c>
      <c r="R73" s="312">
        <f t="shared" si="20"/>
        <v>20</v>
      </c>
      <c r="S73" s="160">
        <f>IF(AND('Total income package'!$A$8=TRUE,OR(F73="Yes",G73="Yes",H73="Yes")),SUM(J73:N73)-R73,0)</f>
        <v>2040</v>
      </c>
    </row>
    <row r="74" spans="1:19" s="5" customFormat="1" x14ac:dyDescent="0.25">
      <c r="A74" s="6">
        <v>34500</v>
      </c>
      <c r="B74" s="7">
        <f t="shared" si="17"/>
        <v>2875</v>
      </c>
      <c r="C74" s="7">
        <f>'Total income package'!$D$80</f>
        <v>0</v>
      </c>
      <c r="D74" s="7">
        <f t="shared" si="18"/>
        <v>2875</v>
      </c>
      <c r="E74" s="65">
        <f t="shared" si="19"/>
        <v>0.89193381592554288</v>
      </c>
      <c r="F74" s="65" t="str">
        <f t="shared" si="11"/>
        <v>Yes</v>
      </c>
      <c r="G74" s="65" t="str">
        <f t="shared" si="12"/>
        <v>Yes</v>
      </c>
      <c r="H74" s="301" t="str">
        <f>IF(OR('TANF-VIEW'!L78&gt;0,'TANF-VIEW'!T78&gt;0),"Yes","No")</f>
        <v>No</v>
      </c>
      <c r="I74" s="63">
        <f t="shared" si="13"/>
        <v>10</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0</v>
      </c>
      <c r="O74" s="6">
        <f t="shared" si="14"/>
        <v>20</v>
      </c>
      <c r="P74" s="312">
        <f t="shared" si="15"/>
        <v>143.75</v>
      </c>
      <c r="Q74" s="312">
        <f t="shared" si="16"/>
        <v>30</v>
      </c>
      <c r="R74" s="312">
        <f t="shared" si="20"/>
        <v>20</v>
      </c>
      <c r="S74" s="160">
        <f>IF(AND('Total income package'!$A$8=TRUE,OR(F74="Yes",G74="Yes",H74="Yes")),SUM(J74:N74)-R74,0)</f>
        <v>2040</v>
      </c>
    </row>
    <row r="75" spans="1:19" s="5" customFormat="1" x14ac:dyDescent="0.25">
      <c r="A75" s="6">
        <v>35000</v>
      </c>
      <c r="B75" s="7">
        <f t="shared" si="17"/>
        <v>2916.6666666666665</v>
      </c>
      <c r="C75" s="7">
        <f>'Total income package'!$D$80</f>
        <v>0</v>
      </c>
      <c r="D75" s="7">
        <f t="shared" si="18"/>
        <v>2916.6666666666665</v>
      </c>
      <c r="E75" s="65">
        <f t="shared" si="19"/>
        <v>0.90486039296794196</v>
      </c>
      <c r="F75" s="65" t="str">
        <f t="shared" si="11"/>
        <v>Yes</v>
      </c>
      <c r="G75" s="65" t="str">
        <f t="shared" si="12"/>
        <v>Yes</v>
      </c>
      <c r="H75" s="301" t="str">
        <f>IF(OR('TANF-VIEW'!L79&gt;0,'TANF-VIEW'!T79&gt;0),"Yes","No")</f>
        <v>No</v>
      </c>
      <c r="I75" s="63">
        <f t="shared" si="13"/>
        <v>10</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0</v>
      </c>
      <c r="O75" s="6">
        <f t="shared" si="14"/>
        <v>20</v>
      </c>
      <c r="P75" s="312">
        <f t="shared" si="15"/>
        <v>145.83333333333334</v>
      </c>
      <c r="Q75" s="312">
        <f t="shared" si="16"/>
        <v>30</v>
      </c>
      <c r="R75" s="312">
        <f t="shared" si="20"/>
        <v>20</v>
      </c>
      <c r="S75" s="160">
        <f>IF(AND('Total income package'!$A$8=TRUE,OR(F75="Yes",G75="Yes",H75="Yes")),SUM(J75:N75)-R75,0)</f>
        <v>2040</v>
      </c>
    </row>
    <row r="76" spans="1:19" s="5" customFormat="1" x14ac:dyDescent="0.25">
      <c r="A76" s="6">
        <v>35500</v>
      </c>
      <c r="B76" s="7">
        <f t="shared" si="17"/>
        <v>2958.3333333333335</v>
      </c>
      <c r="C76" s="7">
        <f>'Total income package'!$D$80</f>
        <v>0</v>
      </c>
      <c r="D76" s="7">
        <f t="shared" si="18"/>
        <v>2958.3333333333335</v>
      </c>
      <c r="E76" s="65">
        <f t="shared" si="19"/>
        <v>0.91778697001034126</v>
      </c>
      <c r="F76" s="65" t="str">
        <f t="shared" si="11"/>
        <v>Yes</v>
      </c>
      <c r="G76" s="65" t="str">
        <f t="shared" si="12"/>
        <v>Yes</v>
      </c>
      <c r="H76" s="301" t="str">
        <f>IF(OR('TANF-VIEW'!L80&gt;0,'TANF-VIEW'!T80&gt;0),"Yes","No")</f>
        <v>No</v>
      </c>
      <c r="I76" s="63">
        <f t="shared" si="13"/>
        <v>10</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0</v>
      </c>
      <c r="O76" s="6">
        <f t="shared" si="14"/>
        <v>20</v>
      </c>
      <c r="P76" s="312">
        <f t="shared" si="15"/>
        <v>147.91666666666669</v>
      </c>
      <c r="Q76" s="312">
        <f t="shared" si="16"/>
        <v>30</v>
      </c>
      <c r="R76" s="312">
        <f t="shared" si="20"/>
        <v>20</v>
      </c>
      <c r="S76" s="160">
        <f>IF(AND('Total income package'!$A$8=TRUE,OR(F76="Yes",G76="Yes",H76="Yes")),SUM(J76:N76)-R76,0)</f>
        <v>2040</v>
      </c>
    </row>
    <row r="77" spans="1:19" s="5" customFormat="1" x14ac:dyDescent="0.25">
      <c r="A77" s="6">
        <v>36000</v>
      </c>
      <c r="B77" s="7">
        <f t="shared" si="17"/>
        <v>3000</v>
      </c>
      <c r="C77" s="7">
        <f>'Total income package'!$D$80</f>
        <v>0</v>
      </c>
      <c r="D77" s="7">
        <f t="shared" si="18"/>
        <v>3000</v>
      </c>
      <c r="E77" s="65">
        <f t="shared" si="19"/>
        <v>0.93071354705274034</v>
      </c>
      <c r="F77" s="65" t="str">
        <f t="shared" si="11"/>
        <v>Yes</v>
      </c>
      <c r="G77" s="65" t="str">
        <f t="shared" si="12"/>
        <v>Yes</v>
      </c>
      <c r="H77" s="301" t="str">
        <f>IF(OR('TANF-VIEW'!L81&gt;0,'TANF-VIEW'!T81&gt;0),"Yes","No")</f>
        <v>No</v>
      </c>
      <c r="I77" s="63">
        <f t="shared" si="13"/>
        <v>10</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0</v>
      </c>
      <c r="O77" s="6">
        <f t="shared" si="14"/>
        <v>20</v>
      </c>
      <c r="P77" s="312">
        <f t="shared" si="15"/>
        <v>150</v>
      </c>
      <c r="Q77" s="312">
        <f t="shared" si="16"/>
        <v>30</v>
      </c>
      <c r="R77" s="312">
        <f t="shared" si="20"/>
        <v>20</v>
      </c>
      <c r="S77" s="160">
        <f>IF(AND('Total income package'!$A$8=TRUE,OR(F77="Yes",G77="Yes",H77="Yes")),SUM(J77:N77)-R77,0)</f>
        <v>2040</v>
      </c>
    </row>
    <row r="78" spans="1:19" s="5" customFormat="1" x14ac:dyDescent="0.25">
      <c r="A78" s="6">
        <v>36500</v>
      </c>
      <c r="B78" s="7">
        <f t="shared" si="17"/>
        <v>3041.6666666666665</v>
      </c>
      <c r="C78" s="7">
        <f>'Total income package'!$D$80</f>
        <v>0</v>
      </c>
      <c r="D78" s="7">
        <f t="shared" si="18"/>
        <v>3041.6666666666665</v>
      </c>
      <c r="E78" s="65">
        <f t="shared" si="19"/>
        <v>0.94364012409513953</v>
      </c>
      <c r="F78" s="65" t="str">
        <f t="shared" si="11"/>
        <v>Yes</v>
      </c>
      <c r="G78" s="65" t="str">
        <f t="shared" si="12"/>
        <v>Yes</v>
      </c>
      <c r="H78" s="301" t="str">
        <f>IF(OR('TANF-VIEW'!L82&gt;0,'TANF-VIEW'!T82&gt;0),"Yes","No")</f>
        <v>No</v>
      </c>
      <c r="I78" s="63">
        <f t="shared" si="13"/>
        <v>10</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0</v>
      </c>
      <c r="O78" s="6">
        <f t="shared" si="14"/>
        <v>20</v>
      </c>
      <c r="P78" s="312">
        <f t="shared" si="15"/>
        <v>152.08333333333334</v>
      </c>
      <c r="Q78" s="312">
        <f t="shared" si="16"/>
        <v>30</v>
      </c>
      <c r="R78" s="312">
        <f t="shared" si="20"/>
        <v>20</v>
      </c>
      <c r="S78" s="160">
        <f>IF(AND('Total income package'!$A$8=TRUE,OR(F78="Yes",G78="Yes",H78="Yes")),SUM(J78:N78)-R78,0)</f>
        <v>2040</v>
      </c>
    </row>
    <row r="79" spans="1:19" s="5" customFormat="1" x14ac:dyDescent="0.25">
      <c r="A79" s="6">
        <v>37000</v>
      </c>
      <c r="B79" s="7">
        <f t="shared" si="17"/>
        <v>3083.3333333333335</v>
      </c>
      <c r="C79" s="7">
        <f>'Total income package'!$D$80</f>
        <v>0</v>
      </c>
      <c r="D79" s="7">
        <f t="shared" si="18"/>
        <v>3083.3333333333335</v>
      </c>
      <c r="E79" s="65">
        <f t="shared" si="19"/>
        <v>0.95656670113753883</v>
      </c>
      <c r="F79" s="65" t="str">
        <f t="shared" si="11"/>
        <v>Yes</v>
      </c>
      <c r="G79" s="65" t="str">
        <f t="shared" si="12"/>
        <v>Yes</v>
      </c>
      <c r="H79" s="301" t="str">
        <f>IF(OR('TANF-VIEW'!L83&gt;0,'TANF-VIEW'!T83&gt;0),"Yes","No")</f>
        <v>No</v>
      </c>
      <c r="I79" s="63">
        <f t="shared" si="13"/>
        <v>10</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0</v>
      </c>
      <c r="O79" s="6">
        <f t="shared" si="14"/>
        <v>20</v>
      </c>
      <c r="P79" s="312">
        <f t="shared" si="15"/>
        <v>154.16666666666669</v>
      </c>
      <c r="Q79" s="312">
        <f t="shared" si="16"/>
        <v>30</v>
      </c>
      <c r="R79" s="312">
        <f t="shared" si="20"/>
        <v>20</v>
      </c>
      <c r="S79" s="160">
        <f>IF(AND('Total income package'!$A$8=TRUE,OR(F79="Yes",G79="Yes",H79="Yes")),SUM(J79:N79)-R79,0)</f>
        <v>2040</v>
      </c>
    </row>
    <row r="80" spans="1:19" s="5" customFormat="1" x14ac:dyDescent="0.25">
      <c r="A80" s="6">
        <v>37500</v>
      </c>
      <c r="B80" s="7">
        <f t="shared" si="17"/>
        <v>3125</v>
      </c>
      <c r="C80" s="7">
        <f>'Total income package'!$D$80</f>
        <v>0</v>
      </c>
      <c r="D80" s="7">
        <f t="shared" si="18"/>
        <v>3125</v>
      </c>
      <c r="E80" s="65">
        <f t="shared" si="19"/>
        <v>0.96949327817993791</v>
      </c>
      <c r="F80" s="65" t="str">
        <f t="shared" si="11"/>
        <v>Yes</v>
      </c>
      <c r="G80" s="65" t="str">
        <f t="shared" si="12"/>
        <v>Yes</v>
      </c>
      <c r="H80" s="301" t="str">
        <f>IF(OR('TANF-VIEW'!L84&gt;0,'TANF-VIEW'!T84&gt;0),"Yes","No")</f>
        <v>No</v>
      </c>
      <c r="I80" s="63">
        <f t="shared" si="13"/>
        <v>10</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0</v>
      </c>
      <c r="O80" s="6">
        <f t="shared" si="14"/>
        <v>20</v>
      </c>
      <c r="P80" s="312">
        <f t="shared" si="15"/>
        <v>156.25</v>
      </c>
      <c r="Q80" s="312">
        <f t="shared" si="16"/>
        <v>30</v>
      </c>
      <c r="R80" s="312">
        <f t="shared" si="20"/>
        <v>20</v>
      </c>
      <c r="S80" s="160">
        <f>IF(AND('Total income package'!$A$8=TRUE,OR(F80="Yes",G80="Yes",H80="Yes")),SUM(J80:N80)-R80,0)</f>
        <v>2040</v>
      </c>
    </row>
    <row r="81" spans="1:19" s="5" customFormat="1" x14ac:dyDescent="0.25">
      <c r="A81" s="6">
        <v>38000</v>
      </c>
      <c r="B81" s="7">
        <f t="shared" si="17"/>
        <v>3166.6666666666665</v>
      </c>
      <c r="C81" s="7">
        <f>'Total income package'!$D$80</f>
        <v>0</v>
      </c>
      <c r="D81" s="7">
        <f t="shared" si="18"/>
        <v>3166.6666666666665</v>
      </c>
      <c r="E81" s="65">
        <f t="shared" si="19"/>
        <v>0.98241985522233699</v>
      </c>
      <c r="F81" s="65" t="str">
        <f t="shared" si="11"/>
        <v>Yes</v>
      </c>
      <c r="G81" s="65" t="str">
        <f t="shared" si="12"/>
        <v>Yes</v>
      </c>
      <c r="H81" s="301" t="str">
        <f>IF(OR('TANF-VIEW'!L85&gt;0,'TANF-VIEW'!T85&gt;0),"Yes","No")</f>
        <v>No</v>
      </c>
      <c r="I81" s="63">
        <f t="shared" si="13"/>
        <v>10</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0</v>
      </c>
      <c r="O81" s="6">
        <f t="shared" si="14"/>
        <v>20</v>
      </c>
      <c r="P81" s="312">
        <f t="shared" si="15"/>
        <v>158.33333333333334</v>
      </c>
      <c r="Q81" s="312">
        <f t="shared" si="16"/>
        <v>30</v>
      </c>
      <c r="R81" s="312">
        <f t="shared" si="20"/>
        <v>20</v>
      </c>
      <c r="S81" s="160">
        <f>IF(AND('Total income package'!$A$8=TRUE,OR(F81="Yes",G81="Yes",H81="Yes")),SUM(J81:N81)-R81,0)</f>
        <v>2040</v>
      </c>
    </row>
    <row r="82" spans="1:19" s="5" customFormat="1" x14ac:dyDescent="0.25">
      <c r="A82" s="6">
        <v>38500</v>
      </c>
      <c r="B82" s="7">
        <f t="shared" si="17"/>
        <v>3208.3333333333335</v>
      </c>
      <c r="C82" s="7">
        <f>'Total income package'!$D$80</f>
        <v>0</v>
      </c>
      <c r="D82" s="7">
        <f t="shared" si="18"/>
        <v>3208.3333333333335</v>
      </c>
      <c r="E82" s="65">
        <f t="shared" si="19"/>
        <v>0.99534643226473629</v>
      </c>
      <c r="F82" s="65" t="str">
        <f t="shared" si="11"/>
        <v>Yes</v>
      </c>
      <c r="G82" s="65" t="str">
        <f t="shared" si="12"/>
        <v>Yes</v>
      </c>
      <c r="H82" s="301" t="str">
        <f>IF(OR('TANF-VIEW'!L86&gt;0,'TANF-VIEW'!T86&gt;0),"Yes","No")</f>
        <v>No</v>
      </c>
      <c r="I82" s="63">
        <f t="shared" si="13"/>
        <v>10</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0</v>
      </c>
      <c r="O82" s="6">
        <f t="shared" si="14"/>
        <v>20</v>
      </c>
      <c r="P82" s="312">
        <f t="shared" si="15"/>
        <v>160.41666666666669</v>
      </c>
      <c r="Q82" s="312">
        <f t="shared" si="16"/>
        <v>30</v>
      </c>
      <c r="R82" s="312">
        <f t="shared" si="20"/>
        <v>20</v>
      </c>
      <c r="S82" s="160">
        <f>IF(AND('Total income package'!$A$8=TRUE,OR(F82="Yes",G82="Yes",H82="Yes")),SUM(J82:N82)-R82,0)</f>
        <v>2040</v>
      </c>
    </row>
    <row r="83" spans="1:19" s="5" customFormat="1" x14ac:dyDescent="0.25">
      <c r="A83" s="6">
        <v>39000</v>
      </c>
      <c r="B83" s="7">
        <f t="shared" si="17"/>
        <v>3250</v>
      </c>
      <c r="C83" s="7">
        <f>'Total income package'!$D$80</f>
        <v>0</v>
      </c>
      <c r="D83" s="7">
        <f t="shared" si="18"/>
        <v>3250</v>
      </c>
      <c r="E83" s="65">
        <f t="shared" si="19"/>
        <v>1.0082730093071355</v>
      </c>
      <c r="F83" s="65" t="str">
        <f t="shared" si="11"/>
        <v>Yes</v>
      </c>
      <c r="G83" s="65" t="str">
        <f t="shared" si="12"/>
        <v>Yes</v>
      </c>
      <c r="H83" s="301" t="str">
        <f>IF(OR('TANF-VIEW'!L87&gt;0,'TANF-VIEW'!T87&gt;0),"Yes","No")</f>
        <v>No</v>
      </c>
      <c r="I83" s="63">
        <f t="shared" si="13"/>
        <v>250</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0</v>
      </c>
      <c r="O83" s="6">
        <f t="shared" si="14"/>
        <v>500</v>
      </c>
      <c r="P83" s="312">
        <f t="shared" si="15"/>
        <v>162.5</v>
      </c>
      <c r="Q83" s="312">
        <f t="shared" si="16"/>
        <v>750</v>
      </c>
      <c r="R83" s="312">
        <f t="shared" si="20"/>
        <v>162.5</v>
      </c>
      <c r="S83" s="160">
        <f>IF(AND('Total income package'!$A$8=TRUE,OR(F83="Yes",G83="Yes",H83="Yes")),SUM(J83:N83)-R83,0)</f>
        <v>1897.5</v>
      </c>
    </row>
    <row r="84" spans="1:19" s="5" customFormat="1" x14ac:dyDescent="0.25">
      <c r="A84" s="6">
        <v>39500</v>
      </c>
      <c r="B84" s="7">
        <f t="shared" si="17"/>
        <v>3291.6666666666665</v>
      </c>
      <c r="C84" s="7">
        <f>'Total income package'!$D$80</f>
        <v>0</v>
      </c>
      <c r="D84" s="7">
        <f t="shared" si="18"/>
        <v>3291.6666666666665</v>
      </c>
      <c r="E84" s="65">
        <f t="shared" si="19"/>
        <v>1.0211995863495344</v>
      </c>
      <c r="F84" s="65" t="str">
        <f t="shared" si="11"/>
        <v>Yes</v>
      </c>
      <c r="G84" s="65" t="str">
        <f t="shared" si="12"/>
        <v>Yes</v>
      </c>
      <c r="H84" s="301" t="str">
        <f>IF(OR('TANF-VIEW'!L88&gt;0,'TANF-VIEW'!T88&gt;0),"Yes","No")</f>
        <v>No</v>
      </c>
      <c r="I84" s="63">
        <f t="shared" si="13"/>
        <v>250</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0</v>
      </c>
      <c r="O84" s="6">
        <f t="shared" si="14"/>
        <v>500</v>
      </c>
      <c r="P84" s="312">
        <f t="shared" si="15"/>
        <v>164.58333333333334</v>
      </c>
      <c r="Q84" s="312">
        <f t="shared" si="16"/>
        <v>750</v>
      </c>
      <c r="R84" s="312">
        <f t="shared" si="20"/>
        <v>164.58333333333334</v>
      </c>
      <c r="S84" s="160">
        <f>IF(AND('Total income package'!$A$8=TRUE,OR(F84="Yes",G84="Yes",H84="Yes")),SUM(J84:N84)-R84,0)</f>
        <v>1895.4166666666667</v>
      </c>
    </row>
    <row r="85" spans="1:19" s="5" customFormat="1" x14ac:dyDescent="0.25">
      <c r="A85" s="6">
        <v>40000</v>
      </c>
      <c r="B85" s="7">
        <f>A85/12</f>
        <v>3333.3333333333335</v>
      </c>
      <c r="C85" s="7">
        <f>'Total income package'!$D$80</f>
        <v>0</v>
      </c>
      <c r="D85" s="7">
        <f t="shared" si="18"/>
        <v>3333.3333333333335</v>
      </c>
      <c r="E85" s="65">
        <f t="shared" si="19"/>
        <v>1.0341261633919339</v>
      </c>
      <c r="F85" s="65" t="str">
        <f t="shared" si="11"/>
        <v>Yes</v>
      </c>
      <c r="G85" s="65" t="str">
        <f t="shared" si="12"/>
        <v>Yes</v>
      </c>
      <c r="H85" s="301" t="str">
        <f>IF(OR('TANF-VIEW'!L89&gt;0,'TANF-VIEW'!T89&gt;0),"Yes","No")</f>
        <v>No</v>
      </c>
      <c r="I85" s="63">
        <f t="shared" si="13"/>
        <v>250</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0</v>
      </c>
      <c r="O85" s="6">
        <f t="shared" si="14"/>
        <v>500</v>
      </c>
      <c r="P85" s="312">
        <f t="shared" si="15"/>
        <v>166.66666666666669</v>
      </c>
      <c r="Q85" s="312">
        <f t="shared" si="16"/>
        <v>750</v>
      </c>
      <c r="R85" s="312">
        <f t="shared" si="20"/>
        <v>166.66666666666669</v>
      </c>
      <c r="S85" s="160">
        <f>IF(AND('Total income package'!$A$8=TRUE,OR(F85="Yes",G85="Yes",H85="Yes")),SUM(J85:N85)-R85,0)</f>
        <v>1893.3333333333333</v>
      </c>
    </row>
    <row r="86" spans="1:19" s="5" customFormat="1" x14ac:dyDescent="0.25">
      <c r="A86" s="6">
        <v>40500</v>
      </c>
      <c r="B86" s="7">
        <f t="shared" si="17"/>
        <v>3375</v>
      </c>
      <c r="C86" s="7">
        <f>'Total income package'!$D$80</f>
        <v>0</v>
      </c>
      <c r="D86" s="7">
        <f t="shared" si="18"/>
        <v>3375</v>
      </c>
      <c r="E86" s="65">
        <f t="shared" si="19"/>
        <v>1.0470527404343328</v>
      </c>
      <c r="F86" s="65" t="str">
        <f t="shared" si="11"/>
        <v>Yes</v>
      </c>
      <c r="G86" s="65" t="str">
        <f t="shared" si="12"/>
        <v>Yes</v>
      </c>
      <c r="H86" s="301" t="str">
        <f>IF(OR('TANF-VIEW'!L90&gt;0,'TANF-VIEW'!T90&gt;0),"Yes","No")</f>
        <v>No</v>
      </c>
      <c r="I86" s="63">
        <f t="shared" si="13"/>
        <v>250</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0</v>
      </c>
      <c r="O86" s="6">
        <f t="shared" si="14"/>
        <v>500</v>
      </c>
      <c r="P86" s="312">
        <f t="shared" si="15"/>
        <v>168.75</v>
      </c>
      <c r="Q86" s="312">
        <f t="shared" si="16"/>
        <v>750</v>
      </c>
      <c r="R86" s="312">
        <f t="shared" si="20"/>
        <v>168.75</v>
      </c>
      <c r="S86" s="160">
        <f>IF(AND('Total income package'!$A$8=TRUE,OR(F86="Yes",G86="Yes",H86="Yes")),SUM(J86:N86)-R86,0)</f>
        <v>1891.25</v>
      </c>
    </row>
    <row r="87" spans="1:19" s="5" customFormat="1" x14ac:dyDescent="0.25">
      <c r="A87" s="6">
        <v>41000</v>
      </c>
      <c r="B87" s="7">
        <f t="shared" si="17"/>
        <v>3416.6666666666665</v>
      </c>
      <c r="C87" s="7">
        <f>'Total income package'!$D$80</f>
        <v>0</v>
      </c>
      <c r="D87" s="7">
        <f t="shared" si="18"/>
        <v>3416.6666666666665</v>
      </c>
      <c r="E87" s="65">
        <f t="shared" si="19"/>
        <v>1.059979317476732</v>
      </c>
      <c r="F87" s="65" t="str">
        <f t="shared" si="11"/>
        <v>Yes</v>
      </c>
      <c r="G87" s="65" t="str">
        <f t="shared" si="12"/>
        <v>Yes</v>
      </c>
      <c r="H87" s="301" t="str">
        <f>IF(OR('TANF-VIEW'!L91&gt;0,'TANF-VIEW'!T91&gt;0),"Yes","No")</f>
        <v>No</v>
      </c>
      <c r="I87" s="63">
        <f t="shared" si="13"/>
        <v>250</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0</v>
      </c>
      <c r="O87" s="6">
        <f t="shared" si="14"/>
        <v>500</v>
      </c>
      <c r="P87" s="312">
        <f t="shared" si="15"/>
        <v>170.83333333333334</v>
      </c>
      <c r="Q87" s="312">
        <f t="shared" si="16"/>
        <v>750</v>
      </c>
      <c r="R87" s="312">
        <f t="shared" si="20"/>
        <v>170.83333333333334</v>
      </c>
      <c r="S87" s="160">
        <f>IF(AND('Total income package'!$A$8=TRUE,OR(F87="Yes",G87="Yes",H87="Yes")),SUM(J87:N87)-R87,0)</f>
        <v>1889.1666666666667</v>
      </c>
    </row>
    <row r="88" spans="1:19" s="5" customFormat="1" x14ac:dyDescent="0.25">
      <c r="A88" s="6">
        <v>41500</v>
      </c>
      <c r="B88" s="7">
        <f t="shared" si="17"/>
        <v>3458.3333333333335</v>
      </c>
      <c r="C88" s="7">
        <f>'Total income package'!$D$80</f>
        <v>0</v>
      </c>
      <c r="D88" s="7">
        <f t="shared" si="18"/>
        <v>3458.3333333333335</v>
      </c>
      <c r="E88" s="65">
        <f t="shared" si="19"/>
        <v>1.0729058945191314</v>
      </c>
      <c r="F88" s="65" t="str">
        <f t="shared" si="11"/>
        <v>Yes</v>
      </c>
      <c r="G88" s="65" t="str">
        <f t="shared" si="12"/>
        <v>Yes</v>
      </c>
      <c r="H88" s="301" t="str">
        <f>IF(OR('TANF-VIEW'!L92&gt;0,'TANF-VIEW'!T92&gt;0),"Yes","No")</f>
        <v>No</v>
      </c>
      <c r="I88" s="63">
        <f t="shared" si="13"/>
        <v>250</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0</v>
      </c>
      <c r="O88" s="6">
        <f t="shared" si="14"/>
        <v>500</v>
      </c>
      <c r="P88" s="312">
        <f t="shared" si="15"/>
        <v>172.91666666666669</v>
      </c>
      <c r="Q88" s="312">
        <f t="shared" si="16"/>
        <v>750</v>
      </c>
      <c r="R88" s="312">
        <f t="shared" si="20"/>
        <v>172.91666666666669</v>
      </c>
      <c r="S88" s="160">
        <f>IF(AND('Total income package'!$A$8=TRUE,OR(F88="Yes",G88="Yes",H88="Yes")),SUM(J88:N88)-R88,0)</f>
        <v>1887.0833333333333</v>
      </c>
    </row>
    <row r="89" spans="1:19" s="5" customFormat="1" x14ac:dyDescent="0.25">
      <c r="A89" s="6">
        <v>42000</v>
      </c>
      <c r="B89" s="7">
        <f t="shared" si="17"/>
        <v>3500</v>
      </c>
      <c r="C89" s="7">
        <f>'Total income package'!$D$80</f>
        <v>0</v>
      </c>
      <c r="D89" s="7">
        <f t="shared" si="18"/>
        <v>3500</v>
      </c>
      <c r="E89" s="65">
        <f t="shared" si="19"/>
        <v>1.0858324715615304</v>
      </c>
      <c r="F89" s="65" t="str">
        <f t="shared" si="11"/>
        <v>Yes</v>
      </c>
      <c r="G89" s="65" t="str">
        <f t="shared" si="12"/>
        <v>Yes</v>
      </c>
      <c r="H89" s="301" t="str">
        <f>IF(OR('TANF-VIEW'!L93&gt;0,'TANF-VIEW'!T93&gt;0),"Yes","No")</f>
        <v>No</v>
      </c>
      <c r="I89" s="63">
        <f t="shared" si="13"/>
        <v>250</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0</v>
      </c>
      <c r="O89" s="6">
        <f t="shared" si="14"/>
        <v>500</v>
      </c>
      <c r="P89" s="312">
        <f t="shared" si="15"/>
        <v>175</v>
      </c>
      <c r="Q89" s="312">
        <f t="shared" si="16"/>
        <v>750</v>
      </c>
      <c r="R89" s="312">
        <f t="shared" si="20"/>
        <v>175</v>
      </c>
      <c r="S89" s="160">
        <f>IF(AND('Total income package'!$A$8=TRUE,OR(F89="Yes",G89="Yes",H89="Yes")),SUM(J89:N89)-R89,0)</f>
        <v>1885</v>
      </c>
    </row>
    <row r="90" spans="1:19" s="5" customFormat="1" x14ac:dyDescent="0.25">
      <c r="A90" s="6">
        <v>42500</v>
      </c>
      <c r="B90" s="7">
        <f t="shared" si="17"/>
        <v>3541.6666666666665</v>
      </c>
      <c r="C90" s="7">
        <f>'Total income package'!$D$80</f>
        <v>0</v>
      </c>
      <c r="D90" s="7">
        <f t="shared" si="18"/>
        <v>3541.6666666666665</v>
      </c>
      <c r="E90" s="65">
        <f t="shared" si="19"/>
        <v>1.0987590486039296</v>
      </c>
      <c r="F90" s="65" t="str">
        <f t="shared" si="11"/>
        <v>Yes</v>
      </c>
      <c r="G90" s="65" t="str">
        <f t="shared" si="12"/>
        <v>Yes</v>
      </c>
      <c r="H90" s="301" t="str">
        <f>IF(OR('TANF-VIEW'!L94&gt;0,'TANF-VIEW'!T94&gt;0),"Yes","No")</f>
        <v>No</v>
      </c>
      <c r="I90" s="63">
        <f t="shared" si="13"/>
        <v>250</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0</v>
      </c>
      <c r="O90" s="6">
        <f t="shared" si="14"/>
        <v>500</v>
      </c>
      <c r="P90" s="312">
        <f t="shared" si="15"/>
        <v>177.08333333333334</v>
      </c>
      <c r="Q90" s="312">
        <f t="shared" si="16"/>
        <v>750</v>
      </c>
      <c r="R90" s="312">
        <f t="shared" si="20"/>
        <v>177.08333333333334</v>
      </c>
      <c r="S90" s="160">
        <f>IF(AND('Total income package'!$A$8=TRUE,OR(F90="Yes",G90="Yes",H90="Yes")),SUM(J90:N90)-R90,0)</f>
        <v>1882.9166666666667</v>
      </c>
    </row>
    <row r="91" spans="1:19" s="5" customFormat="1" x14ac:dyDescent="0.25">
      <c r="A91" s="6">
        <v>43000</v>
      </c>
      <c r="B91" s="7">
        <f t="shared" si="17"/>
        <v>3583.3333333333335</v>
      </c>
      <c r="C91" s="7">
        <f>'Total income package'!$D$80</f>
        <v>0</v>
      </c>
      <c r="D91" s="7">
        <f t="shared" si="18"/>
        <v>3583.3333333333335</v>
      </c>
      <c r="E91" s="65">
        <f t="shared" si="19"/>
        <v>1.1116856256463288</v>
      </c>
      <c r="F91" s="65" t="str">
        <f t="shared" si="11"/>
        <v>Yes</v>
      </c>
      <c r="G91" s="65" t="str">
        <f t="shared" si="12"/>
        <v>Yes</v>
      </c>
      <c r="H91" s="301" t="str">
        <f>IF(OR('TANF-VIEW'!L95&gt;0,'TANF-VIEW'!T95&gt;0),"Yes","No")</f>
        <v>No</v>
      </c>
      <c r="I91" s="63">
        <f t="shared" si="13"/>
        <v>250</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0</v>
      </c>
      <c r="O91" s="6">
        <f t="shared" si="14"/>
        <v>500</v>
      </c>
      <c r="P91" s="312">
        <f t="shared" si="15"/>
        <v>179.16666666666669</v>
      </c>
      <c r="Q91" s="312">
        <f t="shared" si="16"/>
        <v>750</v>
      </c>
      <c r="R91" s="312">
        <f t="shared" si="20"/>
        <v>179.16666666666669</v>
      </c>
      <c r="S91" s="160">
        <f>IF(AND('Total income package'!$A$8=TRUE,OR(F91="Yes",G91="Yes",H91="Yes")),SUM(J91:N91)-R91,0)</f>
        <v>1880.8333333333333</v>
      </c>
    </row>
    <row r="92" spans="1:19" s="5" customFormat="1" x14ac:dyDescent="0.25">
      <c r="A92" s="6">
        <v>43500</v>
      </c>
      <c r="B92" s="7">
        <f t="shared" si="17"/>
        <v>3625</v>
      </c>
      <c r="C92" s="7">
        <f>'Total income package'!$D$80</f>
        <v>0</v>
      </c>
      <c r="D92" s="7">
        <f t="shared" si="18"/>
        <v>3625</v>
      </c>
      <c r="E92" s="65">
        <f t="shared" si="19"/>
        <v>1.124612202688728</v>
      </c>
      <c r="F92" s="65" t="str">
        <f t="shared" si="11"/>
        <v>Yes</v>
      </c>
      <c r="G92" s="65" t="str">
        <f t="shared" si="12"/>
        <v>Yes</v>
      </c>
      <c r="H92" s="301" t="str">
        <f>IF(OR('TANF-VIEW'!L96&gt;0,'TANF-VIEW'!T96&gt;0),"Yes","No")</f>
        <v>No</v>
      </c>
      <c r="I92" s="63">
        <f t="shared" si="13"/>
        <v>250</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0</v>
      </c>
      <c r="O92" s="6">
        <f t="shared" si="14"/>
        <v>500</v>
      </c>
      <c r="P92" s="312">
        <f t="shared" si="15"/>
        <v>181.25</v>
      </c>
      <c r="Q92" s="312">
        <f t="shared" si="16"/>
        <v>750</v>
      </c>
      <c r="R92" s="312">
        <f t="shared" si="20"/>
        <v>181.25</v>
      </c>
      <c r="S92" s="160">
        <f>IF(AND('Total income package'!$A$8=TRUE,OR(F92="Yes",G92="Yes",H92="Yes")),SUM(J92:N92)-R92,0)</f>
        <v>1878.75</v>
      </c>
    </row>
    <row r="93" spans="1:19" s="5" customFormat="1" x14ac:dyDescent="0.25">
      <c r="A93" s="6">
        <v>44000</v>
      </c>
      <c r="B93" s="7">
        <f t="shared" si="17"/>
        <v>3666.6666666666665</v>
      </c>
      <c r="C93" s="7">
        <f>'Total income package'!$D$80</f>
        <v>0</v>
      </c>
      <c r="D93" s="7">
        <f t="shared" si="18"/>
        <v>3666.6666666666665</v>
      </c>
      <c r="E93" s="65">
        <f t="shared" si="19"/>
        <v>1.1375387797311272</v>
      </c>
      <c r="F93" s="65" t="str">
        <f t="shared" si="11"/>
        <v>Yes</v>
      </c>
      <c r="G93" s="65" t="str">
        <f t="shared" si="12"/>
        <v>Yes</v>
      </c>
      <c r="H93" s="301" t="str">
        <f>IF(OR('TANF-VIEW'!L97&gt;0,'TANF-VIEW'!T97&gt;0),"Yes","No")</f>
        <v>No</v>
      </c>
      <c r="I93" s="63">
        <f t="shared" si="13"/>
        <v>250</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0</v>
      </c>
      <c r="O93" s="6">
        <f t="shared" si="14"/>
        <v>500</v>
      </c>
      <c r="P93" s="312">
        <f t="shared" si="15"/>
        <v>183.33333333333334</v>
      </c>
      <c r="Q93" s="312">
        <f t="shared" si="16"/>
        <v>750</v>
      </c>
      <c r="R93" s="312">
        <f t="shared" si="20"/>
        <v>183.33333333333334</v>
      </c>
      <c r="S93" s="160">
        <f>IF(AND('Total income package'!$A$8=TRUE,OR(F93="Yes",G93="Yes",H93="Yes")),SUM(J93:N93)-R93,0)</f>
        <v>1876.6666666666667</v>
      </c>
    </row>
    <row r="94" spans="1:19" s="5" customFormat="1" x14ac:dyDescent="0.25">
      <c r="A94" s="6">
        <v>44500</v>
      </c>
      <c r="B94" s="7">
        <f t="shared" si="17"/>
        <v>3708.3333333333335</v>
      </c>
      <c r="C94" s="7">
        <f>'Total income package'!$D$80</f>
        <v>0</v>
      </c>
      <c r="D94" s="7">
        <f t="shared" si="18"/>
        <v>3708.3333333333335</v>
      </c>
      <c r="E94" s="65">
        <f t="shared" si="19"/>
        <v>1.1504653567735263</v>
      </c>
      <c r="F94" s="65" t="str">
        <f t="shared" si="11"/>
        <v>Yes</v>
      </c>
      <c r="G94" s="65" t="str">
        <f t="shared" si="12"/>
        <v>Yes</v>
      </c>
      <c r="H94" s="301" t="str">
        <f>IF(OR('TANF-VIEW'!L98&gt;0,'TANF-VIEW'!T98&gt;0),"Yes","No")</f>
        <v>No</v>
      </c>
      <c r="I94" s="63">
        <f t="shared" si="13"/>
        <v>250</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0</v>
      </c>
      <c r="O94" s="6">
        <f t="shared" si="14"/>
        <v>500</v>
      </c>
      <c r="P94" s="312">
        <f t="shared" si="15"/>
        <v>185.41666666666669</v>
      </c>
      <c r="Q94" s="312">
        <f t="shared" si="16"/>
        <v>750</v>
      </c>
      <c r="R94" s="312">
        <f t="shared" si="20"/>
        <v>185.41666666666669</v>
      </c>
      <c r="S94" s="160">
        <f>IF(AND('Total income package'!$A$8=TRUE,OR(F94="Yes",G94="Yes",H94="Yes")),SUM(J94:N94)-R94,0)</f>
        <v>1874.5833333333333</v>
      </c>
    </row>
    <row r="95" spans="1:19" s="5" customFormat="1" x14ac:dyDescent="0.25">
      <c r="A95" s="6">
        <v>45000</v>
      </c>
      <c r="B95" s="7">
        <f t="shared" si="17"/>
        <v>3750</v>
      </c>
      <c r="C95" s="7">
        <f>'Total income package'!$D$80</f>
        <v>0</v>
      </c>
      <c r="D95" s="7">
        <f t="shared" si="18"/>
        <v>3750</v>
      </c>
      <c r="E95" s="65">
        <f t="shared" si="19"/>
        <v>1.1633919338159255</v>
      </c>
      <c r="F95" s="65" t="str">
        <f t="shared" si="11"/>
        <v>Yes</v>
      </c>
      <c r="G95" s="65" t="str">
        <f t="shared" si="12"/>
        <v>Yes</v>
      </c>
      <c r="H95" s="301" t="str">
        <f>IF(OR('TANF-VIEW'!L99&gt;0,'TANF-VIEW'!T99&gt;0),"Yes","No")</f>
        <v>No</v>
      </c>
      <c r="I95" s="63">
        <f t="shared" si="13"/>
        <v>250</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0</v>
      </c>
      <c r="O95" s="6">
        <f t="shared" si="14"/>
        <v>500</v>
      </c>
      <c r="P95" s="312">
        <f t="shared" si="15"/>
        <v>187.5</v>
      </c>
      <c r="Q95" s="312">
        <f t="shared" si="16"/>
        <v>750</v>
      </c>
      <c r="R95" s="312">
        <f t="shared" si="20"/>
        <v>187.5</v>
      </c>
      <c r="S95" s="160">
        <f>IF(AND('Total income package'!$A$8=TRUE,OR(F95="Yes",G95="Yes",H95="Yes")),SUM(J95:N95)-R95,0)</f>
        <v>1872.5</v>
      </c>
    </row>
    <row r="96" spans="1:19" s="5" customFormat="1" x14ac:dyDescent="0.25">
      <c r="A96" s="6">
        <v>45500</v>
      </c>
      <c r="B96" s="7">
        <f t="shared" si="17"/>
        <v>3791.6666666666665</v>
      </c>
      <c r="C96" s="7">
        <f>'Total income package'!$D$80</f>
        <v>0</v>
      </c>
      <c r="D96" s="7">
        <f t="shared" si="18"/>
        <v>3791.6666666666665</v>
      </c>
      <c r="E96" s="65">
        <f t="shared" si="19"/>
        <v>1.1763185108583245</v>
      </c>
      <c r="F96" s="65" t="str">
        <f t="shared" si="11"/>
        <v>Yes</v>
      </c>
      <c r="G96" s="65" t="str">
        <f t="shared" si="12"/>
        <v>Yes</v>
      </c>
      <c r="H96" s="301" t="str">
        <f>IF(OR('TANF-VIEW'!L100&gt;0,'TANF-VIEW'!T100&gt;0),"Yes","No")</f>
        <v>No</v>
      </c>
      <c r="I96" s="63">
        <f t="shared" si="13"/>
        <v>250</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0</v>
      </c>
      <c r="O96" s="6">
        <f t="shared" si="14"/>
        <v>500</v>
      </c>
      <c r="P96" s="312">
        <f t="shared" si="15"/>
        <v>189.58333333333334</v>
      </c>
      <c r="Q96" s="312">
        <f t="shared" si="16"/>
        <v>750</v>
      </c>
      <c r="R96" s="312">
        <f t="shared" si="20"/>
        <v>189.58333333333334</v>
      </c>
      <c r="S96" s="160">
        <f>IF(AND('Total income package'!$A$8=TRUE,OR(F96="Yes",G96="Yes",H96="Yes")),SUM(J96:N96)-R96,0)</f>
        <v>1870.4166666666667</v>
      </c>
    </row>
    <row r="97" spans="1:19" s="5" customFormat="1" x14ac:dyDescent="0.25">
      <c r="A97" s="6">
        <v>46000</v>
      </c>
      <c r="B97" s="7">
        <f t="shared" si="17"/>
        <v>3833.3333333333335</v>
      </c>
      <c r="C97" s="7">
        <f>'Total income package'!$D$80</f>
        <v>0</v>
      </c>
      <c r="D97" s="7">
        <f t="shared" si="18"/>
        <v>3833.3333333333335</v>
      </c>
      <c r="E97" s="65">
        <f t="shared" si="19"/>
        <v>1.1892450879007239</v>
      </c>
      <c r="F97" s="65" t="str">
        <f t="shared" si="11"/>
        <v>Yes</v>
      </c>
      <c r="G97" s="65" t="str">
        <f t="shared" si="12"/>
        <v>Yes</v>
      </c>
      <c r="H97" s="301" t="str">
        <f>IF(OR('TANF-VIEW'!L101&gt;0,'TANF-VIEW'!T101&gt;0),"Yes","No")</f>
        <v>No</v>
      </c>
      <c r="I97" s="63">
        <f t="shared" si="13"/>
        <v>250</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0</v>
      </c>
      <c r="O97" s="6">
        <f t="shared" si="14"/>
        <v>500</v>
      </c>
      <c r="P97" s="312">
        <f t="shared" si="15"/>
        <v>191.66666666666669</v>
      </c>
      <c r="Q97" s="312">
        <f t="shared" si="16"/>
        <v>750</v>
      </c>
      <c r="R97" s="312">
        <f t="shared" si="20"/>
        <v>191.66666666666669</v>
      </c>
      <c r="S97" s="160">
        <f>IF(AND('Total income package'!$A$8=TRUE,OR(F97="Yes",G97="Yes",H97="Yes")),SUM(J97:N97)-R97,0)</f>
        <v>1868.3333333333333</v>
      </c>
    </row>
    <row r="98" spans="1:19" s="5" customFormat="1" x14ac:dyDescent="0.25">
      <c r="A98" s="6">
        <v>46500</v>
      </c>
      <c r="B98" s="7">
        <f t="shared" si="17"/>
        <v>3875</v>
      </c>
      <c r="C98" s="7">
        <f>'Total income package'!$D$80</f>
        <v>0</v>
      </c>
      <c r="D98" s="7">
        <f t="shared" si="18"/>
        <v>3875</v>
      </c>
      <c r="E98" s="65">
        <f t="shared" si="19"/>
        <v>1.2021716649431231</v>
      </c>
      <c r="F98" s="65" t="str">
        <f t="shared" si="11"/>
        <v>Yes</v>
      </c>
      <c r="G98" s="65" t="str">
        <f t="shared" si="12"/>
        <v>Yes</v>
      </c>
      <c r="H98" s="301" t="str">
        <f>IF(OR('TANF-VIEW'!L102&gt;0,'TANF-VIEW'!T102&gt;0),"Yes","No")</f>
        <v>No</v>
      </c>
      <c r="I98" s="63">
        <f t="shared" si="13"/>
        <v>250</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0</v>
      </c>
      <c r="O98" s="6">
        <f t="shared" si="14"/>
        <v>500</v>
      </c>
      <c r="P98" s="312">
        <f t="shared" si="15"/>
        <v>193.75</v>
      </c>
      <c r="Q98" s="312">
        <f t="shared" si="16"/>
        <v>750</v>
      </c>
      <c r="R98" s="312">
        <f t="shared" si="20"/>
        <v>193.75</v>
      </c>
      <c r="S98" s="160">
        <f>IF(AND('Total income package'!$A$8=TRUE,OR(F98="Yes",G98="Yes",H98="Yes")),SUM(J98:N98)-R98,0)</f>
        <v>1866.25</v>
      </c>
    </row>
    <row r="99" spans="1:19" s="5" customFormat="1" x14ac:dyDescent="0.25">
      <c r="A99" s="6">
        <v>47000</v>
      </c>
      <c r="B99" s="7">
        <f t="shared" si="17"/>
        <v>3916.6666666666665</v>
      </c>
      <c r="C99" s="7">
        <f>'Total income package'!$D$80</f>
        <v>0</v>
      </c>
      <c r="D99" s="7">
        <f t="shared" si="18"/>
        <v>3916.6666666666665</v>
      </c>
      <c r="E99" s="65">
        <f t="shared" si="19"/>
        <v>1.2150982419855221</v>
      </c>
      <c r="F99" s="65" t="str">
        <f t="shared" si="11"/>
        <v>Yes</v>
      </c>
      <c r="G99" s="65" t="str">
        <f t="shared" si="12"/>
        <v>Yes</v>
      </c>
      <c r="H99" s="301" t="str">
        <f>IF(OR('TANF-VIEW'!L103&gt;0,'TANF-VIEW'!T103&gt;0),"Yes","No")</f>
        <v>No</v>
      </c>
      <c r="I99" s="63">
        <f t="shared" si="13"/>
        <v>250</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0</v>
      </c>
      <c r="O99" s="6">
        <f t="shared" si="14"/>
        <v>500</v>
      </c>
      <c r="P99" s="312">
        <f t="shared" si="15"/>
        <v>195.83333333333334</v>
      </c>
      <c r="Q99" s="312">
        <f t="shared" si="16"/>
        <v>750</v>
      </c>
      <c r="R99" s="312">
        <f t="shared" si="20"/>
        <v>195.83333333333334</v>
      </c>
      <c r="S99" s="160">
        <f>IF(AND('Total income package'!$A$8=TRUE,OR(F99="Yes",G99="Yes",H99="Yes")),SUM(J99:N99)-R99,0)</f>
        <v>1864.1666666666667</v>
      </c>
    </row>
    <row r="100" spans="1:19" s="5" customFormat="1" x14ac:dyDescent="0.25">
      <c r="A100" s="6">
        <v>47500</v>
      </c>
      <c r="B100" s="7">
        <f t="shared" si="17"/>
        <v>3958.3333333333335</v>
      </c>
      <c r="C100" s="7">
        <f>'Total income package'!$D$80</f>
        <v>0</v>
      </c>
      <c r="D100" s="7">
        <f t="shared" si="18"/>
        <v>3958.3333333333335</v>
      </c>
      <c r="E100" s="65">
        <f t="shared" si="19"/>
        <v>1.2280248190279215</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0</v>
      </c>
      <c r="O100" s="6">
        <f t="shared" si="14"/>
        <v>500</v>
      </c>
      <c r="P100" s="312">
        <f t="shared" si="15"/>
        <v>197.91666666666669</v>
      </c>
      <c r="Q100" s="312">
        <f t="shared" si="16"/>
        <v>750</v>
      </c>
      <c r="R100" s="312">
        <f t="shared" si="20"/>
        <v>197.91666666666669</v>
      </c>
      <c r="S100" s="160">
        <f>IF(AND('Total income package'!$A$8=TRUE,OR(F100="Yes",G100="Yes",H100="Yes")),SUM(J100:N100)-R100,0)</f>
        <v>1862.0833333333333</v>
      </c>
    </row>
    <row r="101" spans="1:19" s="5" customFormat="1" x14ac:dyDescent="0.25">
      <c r="A101" s="6">
        <v>48000</v>
      </c>
      <c r="B101" s="7">
        <f t="shared" si="17"/>
        <v>4000</v>
      </c>
      <c r="C101" s="7">
        <f>'Total income package'!$D$80</f>
        <v>0</v>
      </c>
      <c r="D101" s="7">
        <f t="shared" si="18"/>
        <v>4000</v>
      </c>
      <c r="E101" s="65">
        <f t="shared" si="19"/>
        <v>1.2409513960703205</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0</v>
      </c>
      <c r="O101" s="6">
        <f t="shared" si="14"/>
        <v>500</v>
      </c>
      <c r="P101" s="312">
        <f t="shared" ref="P101:P132" si="21">B101*0.05</f>
        <v>200</v>
      </c>
      <c r="Q101" s="312">
        <f t="shared" si="16"/>
        <v>750</v>
      </c>
      <c r="R101" s="312">
        <f t="shared" si="20"/>
        <v>200</v>
      </c>
      <c r="S101" s="160">
        <f>IF(AND('Total income package'!$A$8=TRUE,OR(F101="Yes",G101="Yes",H101="Yes")),SUM(J101:N101)-R101,0)</f>
        <v>1860</v>
      </c>
    </row>
    <row r="102" spans="1:19" s="5" customFormat="1" x14ac:dyDescent="0.25">
      <c r="A102" s="6">
        <v>48500</v>
      </c>
      <c r="B102" s="7">
        <f t="shared" si="17"/>
        <v>4041.6666666666665</v>
      </c>
      <c r="C102" s="7">
        <f>'Total income package'!$D$80</f>
        <v>0</v>
      </c>
      <c r="D102" s="7">
        <f t="shared" si="18"/>
        <v>4041.6666666666665</v>
      </c>
      <c r="E102" s="65">
        <f t="shared" si="19"/>
        <v>1.2538779731127196</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0</v>
      </c>
      <c r="O102" s="6">
        <f t="shared" si="14"/>
        <v>500</v>
      </c>
      <c r="P102" s="312">
        <f t="shared" si="21"/>
        <v>202.08333333333334</v>
      </c>
      <c r="Q102" s="312">
        <f t="shared" si="16"/>
        <v>750</v>
      </c>
      <c r="R102" s="312">
        <f t="shared" si="20"/>
        <v>202.08333333333334</v>
      </c>
      <c r="S102" s="160">
        <f>IF(AND('Total income package'!$A$8=TRUE,OR(F102="Yes",G102="Yes",H102="Yes")),SUM(J102:N102)-R102,0)</f>
        <v>1857.9166666666667</v>
      </c>
    </row>
    <row r="103" spans="1:19" s="5" customFormat="1" x14ac:dyDescent="0.25">
      <c r="A103" s="6">
        <v>49000</v>
      </c>
      <c r="B103" s="7">
        <f t="shared" si="17"/>
        <v>4083.3333333333335</v>
      </c>
      <c r="C103" s="7">
        <f>'Total income package'!$D$80</f>
        <v>0</v>
      </c>
      <c r="D103" s="7">
        <f t="shared" si="18"/>
        <v>4083.3333333333335</v>
      </c>
      <c r="E103" s="65">
        <f t="shared" si="19"/>
        <v>1.2668045501551188</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0</v>
      </c>
      <c r="O103" s="6">
        <f t="shared" si="14"/>
        <v>500</v>
      </c>
      <c r="P103" s="312">
        <f t="shared" si="21"/>
        <v>204.16666666666669</v>
      </c>
      <c r="Q103" s="312">
        <f t="shared" si="16"/>
        <v>750</v>
      </c>
      <c r="R103" s="312">
        <f t="shared" si="20"/>
        <v>204.16666666666669</v>
      </c>
      <c r="S103" s="160">
        <f>IF(AND('Total income package'!$A$8=TRUE,OR(F103="Yes",G103="Yes",H103="Yes")),SUM(J103:N103)-R103,0)</f>
        <v>1855.8333333333333</v>
      </c>
    </row>
    <row r="104" spans="1:19" s="5" customFormat="1" x14ac:dyDescent="0.25">
      <c r="A104" s="6">
        <v>49500</v>
      </c>
      <c r="B104" s="7">
        <f t="shared" si="17"/>
        <v>4125</v>
      </c>
      <c r="C104" s="7">
        <f>'Total income package'!$D$80</f>
        <v>0</v>
      </c>
      <c r="D104" s="7">
        <f t="shared" si="18"/>
        <v>4125</v>
      </c>
      <c r="E104" s="65">
        <f t="shared" si="19"/>
        <v>1.279731127197518</v>
      </c>
      <c r="F104" s="65" t="str">
        <f t="shared" si="11"/>
        <v>Yes</v>
      </c>
      <c r="G104" s="65" t="str">
        <f t="shared" si="12"/>
        <v>Yes</v>
      </c>
      <c r="H104" s="301" t="str">
        <f>IF(OR('TANF-VIEW'!L108&gt;0,'TANF-VIEW'!T108&gt;0),"Yes","No")</f>
        <v>No</v>
      </c>
      <c r="I104" s="63">
        <f t="shared" si="13"/>
        <v>250</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0</v>
      </c>
      <c r="O104" s="6">
        <f t="shared" si="14"/>
        <v>500</v>
      </c>
      <c r="P104" s="312">
        <f t="shared" si="21"/>
        <v>206.25</v>
      </c>
      <c r="Q104" s="312">
        <f t="shared" si="16"/>
        <v>750</v>
      </c>
      <c r="R104" s="312">
        <f t="shared" si="20"/>
        <v>206.25</v>
      </c>
      <c r="S104" s="160">
        <f>IF(AND('Total income package'!$A$8=TRUE,OR(F104="Yes",G104="Yes",H104="Yes")),SUM(J104:N104)-R104,0)</f>
        <v>1853.75</v>
      </c>
    </row>
    <row r="105" spans="1:19" s="5" customFormat="1" x14ac:dyDescent="0.25">
      <c r="A105" s="6">
        <v>50000</v>
      </c>
      <c r="B105" s="7">
        <f t="shared" si="17"/>
        <v>4166.666666666667</v>
      </c>
      <c r="C105" s="7">
        <f>'Total income package'!$D$80</f>
        <v>0</v>
      </c>
      <c r="D105" s="7">
        <f t="shared" si="18"/>
        <v>4166.666666666667</v>
      </c>
      <c r="E105" s="65">
        <f t="shared" si="19"/>
        <v>1.2926577042399172</v>
      </c>
      <c r="F105" s="65" t="str">
        <f t="shared" si="11"/>
        <v>Yes</v>
      </c>
      <c r="G105" s="65" t="str">
        <f t="shared" si="12"/>
        <v>Yes</v>
      </c>
      <c r="H105" s="301" t="str">
        <f>IF(OR('TANF-VIEW'!L109&gt;0,'TANF-VIEW'!T109&gt;0),"Yes","No")</f>
        <v>No</v>
      </c>
      <c r="I105" s="63">
        <f t="shared" si="13"/>
        <v>250</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0</v>
      </c>
      <c r="O105" s="6">
        <f t="shared" si="14"/>
        <v>500</v>
      </c>
      <c r="P105" s="312">
        <f t="shared" si="21"/>
        <v>208.33333333333337</v>
      </c>
      <c r="Q105" s="312">
        <f t="shared" si="16"/>
        <v>750</v>
      </c>
      <c r="R105" s="312">
        <f t="shared" si="20"/>
        <v>208.33333333333337</v>
      </c>
      <c r="S105" s="160">
        <f>IF(AND('Total income package'!$A$8=TRUE,OR(F105="Yes",G105="Yes",H105="Yes")),SUM(J105:N105)-R105,0)</f>
        <v>1851.6666666666665</v>
      </c>
    </row>
    <row r="106" spans="1:19" s="5" customFormat="1" x14ac:dyDescent="0.25">
      <c r="A106" s="6">
        <v>50500</v>
      </c>
      <c r="B106" s="7">
        <f t="shared" si="17"/>
        <v>4208.333333333333</v>
      </c>
      <c r="C106" s="7">
        <f>'Total income package'!$D$80</f>
        <v>0</v>
      </c>
      <c r="D106" s="7">
        <f t="shared" si="18"/>
        <v>4208.333333333333</v>
      </c>
      <c r="E106" s="65">
        <f t="shared" si="19"/>
        <v>1.3055842812823162</v>
      </c>
      <c r="F106" s="65" t="str">
        <f t="shared" si="11"/>
        <v>Yes</v>
      </c>
      <c r="G106" s="65" t="str">
        <f t="shared" si="12"/>
        <v>Yes</v>
      </c>
      <c r="H106" s="301" t="str">
        <f>IF(OR('TANF-VIEW'!L110&gt;0,'TANF-VIEW'!T110&gt;0),"Yes","No")</f>
        <v>No</v>
      </c>
      <c r="I106" s="63">
        <f t="shared" si="13"/>
        <v>250</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0</v>
      </c>
      <c r="O106" s="6">
        <f t="shared" si="14"/>
        <v>500</v>
      </c>
      <c r="P106" s="312">
        <f t="shared" si="21"/>
        <v>210.41666666666666</v>
      </c>
      <c r="Q106" s="312">
        <f t="shared" si="16"/>
        <v>750</v>
      </c>
      <c r="R106" s="312">
        <f t="shared" si="20"/>
        <v>210.41666666666666</v>
      </c>
      <c r="S106" s="160">
        <f>IF(AND('Total income package'!$A$8=TRUE,OR(F106="Yes",G106="Yes",H106="Yes")),SUM(J106:N106)-R106,0)</f>
        <v>1849.5833333333333</v>
      </c>
    </row>
    <row r="107" spans="1:19" s="5" customFormat="1" x14ac:dyDescent="0.25">
      <c r="A107" s="6">
        <v>51000</v>
      </c>
      <c r="B107" s="7">
        <f t="shared" si="17"/>
        <v>4250</v>
      </c>
      <c r="C107" s="7">
        <f>'Total income package'!$D$80</f>
        <v>0</v>
      </c>
      <c r="D107" s="7">
        <f t="shared" si="18"/>
        <v>4250</v>
      </c>
      <c r="E107" s="65">
        <f t="shared" si="19"/>
        <v>1.3185108583247156</v>
      </c>
      <c r="F107" s="65" t="str">
        <f t="shared" si="11"/>
        <v>Yes</v>
      </c>
      <c r="G107" s="65" t="str">
        <f t="shared" si="12"/>
        <v>Yes</v>
      </c>
      <c r="H107" s="301" t="str">
        <f>IF(OR('TANF-VIEW'!L111&gt;0,'TANF-VIEW'!T111&gt;0),"Yes","No")</f>
        <v>No</v>
      </c>
      <c r="I107" s="63">
        <f t="shared" si="13"/>
        <v>250</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0</v>
      </c>
      <c r="O107" s="6">
        <f t="shared" si="14"/>
        <v>500</v>
      </c>
      <c r="P107" s="312">
        <f t="shared" si="21"/>
        <v>212.5</v>
      </c>
      <c r="Q107" s="312">
        <f t="shared" si="16"/>
        <v>750</v>
      </c>
      <c r="R107" s="312">
        <f t="shared" si="20"/>
        <v>212.5</v>
      </c>
      <c r="S107" s="160">
        <f>IF(AND('Total income package'!$A$8=TRUE,OR(F107="Yes",G107="Yes",H107="Yes")),SUM(J107:N107)-R107,0)</f>
        <v>1847.5</v>
      </c>
    </row>
    <row r="108" spans="1:19" s="5" customFormat="1" x14ac:dyDescent="0.25">
      <c r="A108" s="6">
        <v>51500</v>
      </c>
      <c r="B108" s="7">
        <f>A108/12</f>
        <v>4291.666666666667</v>
      </c>
      <c r="C108" s="7">
        <f>'Total income package'!$D$80</f>
        <v>0</v>
      </c>
      <c r="D108" s="7">
        <f t="shared" si="18"/>
        <v>4291.666666666667</v>
      </c>
      <c r="E108" s="65">
        <f t="shared" si="19"/>
        <v>1.3314374353671148</v>
      </c>
      <c r="F108" s="65" t="str">
        <f t="shared" si="11"/>
        <v>Yes</v>
      </c>
      <c r="G108" s="65" t="str">
        <f t="shared" si="12"/>
        <v>Yes</v>
      </c>
      <c r="H108" s="301" t="str">
        <f>IF(OR('TANF-VIEW'!L112&gt;0,'TANF-VIEW'!T112&gt;0),"Yes","No")</f>
        <v>No</v>
      </c>
      <c r="I108" s="63">
        <f t="shared" si="13"/>
        <v>250</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0</v>
      </c>
      <c r="O108" s="6">
        <f t="shared" si="14"/>
        <v>500</v>
      </c>
      <c r="P108" s="312">
        <f t="shared" si="21"/>
        <v>214.58333333333337</v>
      </c>
      <c r="Q108" s="312">
        <f t="shared" si="16"/>
        <v>750</v>
      </c>
      <c r="R108" s="312">
        <f t="shared" si="20"/>
        <v>214.58333333333337</v>
      </c>
      <c r="S108" s="160">
        <f>IF(AND('Total income package'!$A$8=TRUE,OR(F108="Yes",G108="Yes",H108="Yes")),SUM(J108:N108)-R108,0)</f>
        <v>1845.4166666666665</v>
      </c>
    </row>
    <row r="109" spans="1:19" x14ac:dyDescent="0.25">
      <c r="A109" s="6">
        <v>52000</v>
      </c>
      <c r="B109" s="7">
        <f t="shared" ref="B109:B172" si="22">A109/12</f>
        <v>4333.333333333333</v>
      </c>
      <c r="C109" s="7">
        <f>'Total income package'!$D$80</f>
        <v>0</v>
      </c>
      <c r="D109" s="7">
        <f t="shared" si="18"/>
        <v>4333.333333333333</v>
      </c>
      <c r="E109" s="65">
        <f t="shared" si="19"/>
        <v>1.3443640124095138</v>
      </c>
      <c r="F109" s="65" t="str">
        <f t="shared" si="11"/>
        <v>Yes</v>
      </c>
      <c r="G109" s="65" t="str">
        <f t="shared" si="12"/>
        <v>Yes</v>
      </c>
      <c r="H109" s="301" t="str">
        <f>IF(OR('TANF-VIEW'!L113&gt;0,'TANF-VIEW'!T113&gt;0),"Yes","No")</f>
        <v>No</v>
      </c>
      <c r="I109" s="63">
        <f t="shared" si="13"/>
        <v>250</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0</v>
      </c>
      <c r="O109" s="6">
        <f t="shared" si="14"/>
        <v>500</v>
      </c>
      <c r="P109" s="312">
        <f t="shared" si="21"/>
        <v>216.66666666666666</v>
      </c>
      <c r="Q109" s="312">
        <f t="shared" si="16"/>
        <v>750</v>
      </c>
      <c r="R109" s="312">
        <f t="shared" si="20"/>
        <v>216.66666666666666</v>
      </c>
      <c r="S109" s="160">
        <f>IF(AND('Total income package'!$A$8=TRUE,OR(F109="Yes",G109="Yes",H109="Yes")),SUM(J109:N109)-R109,0)</f>
        <v>1843.3333333333333</v>
      </c>
    </row>
    <row r="110" spans="1:19" x14ac:dyDescent="0.25">
      <c r="A110" s="6">
        <v>52500</v>
      </c>
      <c r="B110" s="7">
        <f t="shared" si="22"/>
        <v>4375</v>
      </c>
      <c r="C110" s="7">
        <f>'Total income package'!$D$80</f>
        <v>0</v>
      </c>
      <c r="D110" s="7">
        <f t="shared" si="18"/>
        <v>4375</v>
      </c>
      <c r="E110" s="65">
        <f t="shared" si="19"/>
        <v>1.3572905894519132</v>
      </c>
      <c r="F110" s="65" t="str">
        <f t="shared" si="11"/>
        <v>Yes</v>
      </c>
      <c r="G110" s="65" t="str">
        <f t="shared" si="12"/>
        <v>Yes</v>
      </c>
      <c r="H110" s="301" t="str">
        <f>IF(OR('TANF-VIEW'!L114&gt;0,'TANF-VIEW'!T114&gt;0),"Yes","No")</f>
        <v>No</v>
      </c>
      <c r="I110" s="63">
        <f t="shared" si="13"/>
        <v>250</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0</v>
      </c>
      <c r="O110" s="6">
        <f t="shared" si="14"/>
        <v>500</v>
      </c>
      <c r="P110" s="312">
        <f t="shared" si="21"/>
        <v>218.75</v>
      </c>
      <c r="Q110" s="312">
        <f t="shared" si="16"/>
        <v>750</v>
      </c>
      <c r="R110" s="312">
        <f t="shared" si="20"/>
        <v>218.75</v>
      </c>
      <c r="S110" s="160">
        <f>IF(AND('Total income package'!$A$8=TRUE,OR(F110="Yes",G110="Yes",H110="Yes")),SUM(J110:N110)-R110,0)</f>
        <v>1841.25</v>
      </c>
    </row>
    <row r="111" spans="1:19" x14ac:dyDescent="0.25">
      <c r="A111" s="6">
        <v>53000</v>
      </c>
      <c r="B111" s="7">
        <f t="shared" si="22"/>
        <v>4416.666666666667</v>
      </c>
      <c r="C111" s="7">
        <f>'Total income package'!$D$80</f>
        <v>0</v>
      </c>
      <c r="D111" s="7">
        <f t="shared" si="18"/>
        <v>4416.666666666667</v>
      </c>
      <c r="E111" s="65">
        <f t="shared" si="19"/>
        <v>1.3702171664943124</v>
      </c>
      <c r="F111" s="65" t="str">
        <f t="shared" si="11"/>
        <v>Yes</v>
      </c>
      <c r="G111" s="65" t="str">
        <f t="shared" si="12"/>
        <v>Yes</v>
      </c>
      <c r="H111" s="301" t="str">
        <f>IF(OR('TANF-VIEW'!L115&gt;0,'TANF-VIEW'!T115&gt;0),"Yes","No")</f>
        <v>No</v>
      </c>
      <c r="I111" s="63">
        <f t="shared" si="13"/>
        <v>250</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0</v>
      </c>
      <c r="O111" s="6">
        <f t="shared" si="14"/>
        <v>500</v>
      </c>
      <c r="P111" s="312">
        <f t="shared" si="21"/>
        <v>220.83333333333337</v>
      </c>
      <c r="Q111" s="312">
        <f t="shared" si="16"/>
        <v>750</v>
      </c>
      <c r="R111" s="312">
        <f t="shared" si="20"/>
        <v>220.83333333333337</v>
      </c>
      <c r="S111" s="160">
        <f>IF(AND('Total income package'!$A$8=TRUE,OR(F111="Yes",G111="Yes",H111="Yes")),SUM(J111:N111)-R111,0)</f>
        <v>1839.1666666666665</v>
      </c>
    </row>
    <row r="112" spans="1:19" x14ac:dyDescent="0.25">
      <c r="A112" s="6">
        <v>53500</v>
      </c>
      <c r="B112" s="7">
        <f t="shared" si="22"/>
        <v>4458.333333333333</v>
      </c>
      <c r="C112" s="7">
        <f>'Total income package'!$D$80</f>
        <v>0</v>
      </c>
      <c r="D112" s="7">
        <f t="shared" si="18"/>
        <v>4458.333333333333</v>
      </c>
      <c r="E112" s="65">
        <f t="shared" si="19"/>
        <v>1.3831437435367113</v>
      </c>
      <c r="F112" s="65" t="str">
        <f t="shared" si="11"/>
        <v>Yes</v>
      </c>
      <c r="G112" s="65" t="str">
        <f t="shared" si="12"/>
        <v>Yes</v>
      </c>
      <c r="H112" s="301" t="str">
        <f>IF(OR('TANF-VIEW'!L116&gt;0,'TANF-VIEW'!T116&gt;0),"Yes","No")</f>
        <v>No</v>
      </c>
      <c r="I112" s="63">
        <f t="shared" si="13"/>
        <v>250</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0</v>
      </c>
      <c r="O112" s="6">
        <f t="shared" si="14"/>
        <v>500</v>
      </c>
      <c r="P112" s="312">
        <f t="shared" si="21"/>
        <v>222.91666666666666</v>
      </c>
      <c r="Q112" s="312">
        <f t="shared" si="16"/>
        <v>750</v>
      </c>
      <c r="R112" s="312">
        <f t="shared" si="20"/>
        <v>222.91666666666666</v>
      </c>
      <c r="S112" s="160">
        <f>IF(AND('Total income package'!$A$8=TRUE,OR(F112="Yes",G112="Yes",H112="Yes")),SUM(J112:N112)-R112,0)</f>
        <v>1837.0833333333333</v>
      </c>
    </row>
    <row r="113" spans="1:19" x14ac:dyDescent="0.25">
      <c r="A113" s="6">
        <v>54000</v>
      </c>
      <c r="B113" s="7">
        <f t="shared" si="22"/>
        <v>4500</v>
      </c>
      <c r="C113" s="7">
        <f>'Total income package'!$D$80</f>
        <v>0</v>
      </c>
      <c r="D113" s="7">
        <f t="shared" si="18"/>
        <v>4500</v>
      </c>
      <c r="E113" s="65">
        <f t="shared" si="19"/>
        <v>1.3960703205791105</v>
      </c>
      <c r="F113" s="65" t="str">
        <f t="shared" si="11"/>
        <v>Yes</v>
      </c>
      <c r="G113" s="65" t="str">
        <f t="shared" si="12"/>
        <v>Yes</v>
      </c>
      <c r="H113" s="301" t="str">
        <f>IF(OR('TANF-VIEW'!L117&gt;0,'TANF-VIEW'!T117&gt;0),"Yes","No")</f>
        <v>No</v>
      </c>
      <c r="I113" s="63">
        <f t="shared" si="13"/>
        <v>250</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0</v>
      </c>
      <c r="O113" s="6">
        <f t="shared" si="14"/>
        <v>500</v>
      </c>
      <c r="P113" s="312">
        <f t="shared" si="21"/>
        <v>225</v>
      </c>
      <c r="Q113" s="312">
        <f t="shared" si="16"/>
        <v>750</v>
      </c>
      <c r="R113" s="312">
        <f t="shared" si="20"/>
        <v>225</v>
      </c>
      <c r="S113" s="160">
        <f>IF(AND('Total income package'!$A$8=TRUE,OR(F113="Yes",G113="Yes",H113="Yes")),SUM(J113:N113)-R113,0)</f>
        <v>1835</v>
      </c>
    </row>
    <row r="114" spans="1:19" x14ac:dyDescent="0.25">
      <c r="A114" s="6">
        <v>54500</v>
      </c>
      <c r="B114" s="7">
        <f t="shared" si="22"/>
        <v>4541.666666666667</v>
      </c>
      <c r="C114" s="7">
        <f>'Total income package'!$D$80</f>
        <v>0</v>
      </c>
      <c r="D114" s="7">
        <f t="shared" si="18"/>
        <v>4541.666666666667</v>
      </c>
      <c r="E114" s="65">
        <f t="shared" si="19"/>
        <v>1.4089968976215099</v>
      </c>
      <c r="F114" s="65" t="str">
        <f t="shared" si="11"/>
        <v>Yes</v>
      </c>
      <c r="G114" s="65" t="str">
        <f t="shared" si="12"/>
        <v>Yes</v>
      </c>
      <c r="H114" s="301" t="str">
        <f>IF(OR('TANF-VIEW'!L118&gt;0,'TANF-VIEW'!T118&gt;0),"Yes","No")</f>
        <v>No</v>
      </c>
      <c r="I114" s="63">
        <f t="shared" si="13"/>
        <v>250</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0</v>
      </c>
      <c r="O114" s="6">
        <f t="shared" si="14"/>
        <v>500</v>
      </c>
      <c r="P114" s="312">
        <f t="shared" si="21"/>
        <v>227.08333333333337</v>
      </c>
      <c r="Q114" s="312">
        <f t="shared" si="16"/>
        <v>750</v>
      </c>
      <c r="R114" s="312">
        <f t="shared" si="20"/>
        <v>227.08333333333337</v>
      </c>
      <c r="S114" s="160">
        <f>IF(AND('Total income package'!$A$8=TRUE,OR(F114="Yes",G114="Yes",H114="Yes")),SUM(J114:N114)-R114,0)</f>
        <v>1832.9166666666665</v>
      </c>
    </row>
    <row r="115" spans="1:19" x14ac:dyDescent="0.25">
      <c r="A115" s="6">
        <v>55000</v>
      </c>
      <c r="B115" s="7">
        <f t="shared" si="22"/>
        <v>4583.333333333333</v>
      </c>
      <c r="C115" s="7">
        <f>'Total income package'!$D$80</f>
        <v>0</v>
      </c>
      <c r="D115" s="7">
        <f t="shared" si="18"/>
        <v>4583.333333333333</v>
      </c>
      <c r="E115" s="65">
        <f t="shared" si="19"/>
        <v>1.4219234746639089</v>
      </c>
      <c r="F115" s="65" t="str">
        <f t="shared" si="11"/>
        <v>Yes</v>
      </c>
      <c r="G115" s="65" t="str">
        <f t="shared" si="12"/>
        <v>Yes</v>
      </c>
      <c r="H115" s="301" t="str">
        <f>IF(OR('TANF-VIEW'!L119&gt;0,'TANF-VIEW'!T119&gt;0),"Yes","No")</f>
        <v>No</v>
      </c>
      <c r="I115" s="63">
        <f t="shared" si="13"/>
        <v>250</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0</v>
      </c>
      <c r="O115" s="6">
        <f t="shared" si="14"/>
        <v>500</v>
      </c>
      <c r="P115" s="312">
        <f t="shared" si="21"/>
        <v>229.16666666666666</v>
      </c>
      <c r="Q115" s="312">
        <f t="shared" si="16"/>
        <v>750</v>
      </c>
      <c r="R115" s="312">
        <f t="shared" si="20"/>
        <v>229.16666666666666</v>
      </c>
      <c r="S115" s="160">
        <f>IF(AND('Total income package'!$A$8=TRUE,OR(F115="Yes",G115="Yes",H115="Yes")),SUM(J115:N115)-R115,0)</f>
        <v>1830.8333333333333</v>
      </c>
    </row>
    <row r="116" spans="1:19" x14ac:dyDescent="0.25">
      <c r="A116" s="6">
        <v>55500</v>
      </c>
      <c r="B116" s="7">
        <f t="shared" si="22"/>
        <v>4625</v>
      </c>
      <c r="C116" s="7">
        <f>'Total income package'!$D$80</f>
        <v>0</v>
      </c>
      <c r="D116" s="7">
        <f t="shared" si="18"/>
        <v>4625</v>
      </c>
      <c r="E116" s="65">
        <f t="shared" si="19"/>
        <v>1.4348500517063081</v>
      </c>
      <c r="F116" s="65" t="str">
        <f t="shared" si="11"/>
        <v>Yes</v>
      </c>
      <c r="G116" s="65" t="str">
        <f t="shared" si="12"/>
        <v>Yes</v>
      </c>
      <c r="H116" s="301" t="str">
        <f>IF(OR('TANF-VIEW'!L120&gt;0,'TANF-VIEW'!T120&gt;0),"Yes","No")</f>
        <v>No</v>
      </c>
      <c r="I116" s="63">
        <f t="shared" si="13"/>
        <v>250</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0</v>
      </c>
      <c r="O116" s="6">
        <f t="shared" si="14"/>
        <v>500</v>
      </c>
      <c r="P116" s="312">
        <f t="shared" si="21"/>
        <v>231.25</v>
      </c>
      <c r="Q116" s="312">
        <f t="shared" si="16"/>
        <v>750</v>
      </c>
      <c r="R116" s="312">
        <f t="shared" si="20"/>
        <v>231.25</v>
      </c>
      <c r="S116" s="160">
        <f>IF(AND('Total income package'!$A$8=TRUE,OR(F116="Yes",G116="Yes",H116="Yes")),SUM(J116:N116)-R116,0)</f>
        <v>1828.75</v>
      </c>
    </row>
    <row r="117" spans="1:19" x14ac:dyDescent="0.25">
      <c r="A117" s="6">
        <v>56000</v>
      </c>
      <c r="B117" s="7">
        <f t="shared" si="22"/>
        <v>4666.666666666667</v>
      </c>
      <c r="C117" s="7">
        <f>'Total income package'!$D$80</f>
        <v>0</v>
      </c>
      <c r="D117" s="7">
        <f t="shared" si="18"/>
        <v>4666.666666666667</v>
      </c>
      <c r="E117" s="65">
        <f t="shared" si="19"/>
        <v>1.4477766287487073</v>
      </c>
      <c r="F117" s="65" t="str">
        <f t="shared" si="11"/>
        <v>Yes</v>
      </c>
      <c r="G117" s="65" t="str">
        <f t="shared" si="12"/>
        <v>Yes</v>
      </c>
      <c r="H117" s="301" t="str">
        <f>IF(OR('TANF-VIEW'!L121&gt;0,'TANF-VIEW'!T121&gt;0),"Yes","No")</f>
        <v>No</v>
      </c>
      <c r="I117" s="63">
        <f t="shared" si="13"/>
        <v>250</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0</v>
      </c>
      <c r="O117" s="6">
        <f t="shared" si="14"/>
        <v>500</v>
      </c>
      <c r="P117" s="312">
        <f t="shared" si="21"/>
        <v>233.33333333333337</v>
      </c>
      <c r="Q117" s="312">
        <f t="shared" si="16"/>
        <v>750</v>
      </c>
      <c r="R117" s="312">
        <f t="shared" si="20"/>
        <v>233.33333333333337</v>
      </c>
      <c r="S117" s="160">
        <f>IF(AND('Total income package'!$A$8=TRUE,OR(F117="Yes",G117="Yes",H117="Yes")),SUM(J117:N117)-R117,0)</f>
        <v>1826.6666666666665</v>
      </c>
    </row>
    <row r="118" spans="1:19" x14ac:dyDescent="0.25">
      <c r="A118" s="6">
        <v>56500</v>
      </c>
      <c r="B118" s="7">
        <f t="shared" si="22"/>
        <v>4708.333333333333</v>
      </c>
      <c r="C118" s="7">
        <f>'Total income package'!$D$80</f>
        <v>0</v>
      </c>
      <c r="D118" s="7">
        <f t="shared" si="18"/>
        <v>4708.333333333333</v>
      </c>
      <c r="E118" s="65">
        <f t="shared" si="19"/>
        <v>1.4607032057911065</v>
      </c>
      <c r="F118" s="65" t="str">
        <f t="shared" si="11"/>
        <v>Yes</v>
      </c>
      <c r="G118" s="65" t="str">
        <f t="shared" si="12"/>
        <v>Yes</v>
      </c>
      <c r="H118" s="301" t="str">
        <f>IF(OR('TANF-VIEW'!L122&gt;0,'TANF-VIEW'!T122&gt;0),"Yes","No")</f>
        <v>No</v>
      </c>
      <c r="I118" s="63">
        <f t="shared" si="13"/>
        <v>250</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0</v>
      </c>
      <c r="O118" s="6">
        <f t="shared" si="14"/>
        <v>500</v>
      </c>
      <c r="P118" s="312">
        <f t="shared" si="21"/>
        <v>235.41666666666666</v>
      </c>
      <c r="Q118" s="312">
        <f t="shared" si="16"/>
        <v>750</v>
      </c>
      <c r="R118" s="312">
        <f t="shared" si="20"/>
        <v>235.41666666666666</v>
      </c>
      <c r="S118" s="160">
        <f>IF(AND('Total income package'!$A$8=TRUE,OR(F118="Yes",G118="Yes",H118="Yes")),SUM(J118:N118)-R118,0)</f>
        <v>1824.5833333333333</v>
      </c>
    </row>
    <row r="119" spans="1:19" x14ac:dyDescent="0.25">
      <c r="A119" s="6">
        <v>57000</v>
      </c>
      <c r="B119" s="7">
        <f t="shared" si="22"/>
        <v>4750</v>
      </c>
      <c r="C119" s="7">
        <f>'Total income package'!$D$80</f>
        <v>0</v>
      </c>
      <c r="D119" s="7">
        <f t="shared" si="18"/>
        <v>4750</v>
      </c>
      <c r="E119" s="65">
        <f t="shared" si="19"/>
        <v>1.4736297828335057</v>
      </c>
      <c r="F119" s="65" t="str">
        <f t="shared" si="11"/>
        <v>Yes</v>
      </c>
      <c r="G119" s="65" t="str">
        <f t="shared" si="12"/>
        <v>Yes</v>
      </c>
      <c r="H119" s="301" t="str">
        <f>IF(OR('TANF-VIEW'!L123&gt;0,'TANF-VIEW'!T123&gt;0),"Yes","No")</f>
        <v>No</v>
      </c>
      <c r="I119" s="63">
        <f t="shared" si="13"/>
        <v>250</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0</v>
      </c>
      <c r="O119" s="6">
        <f t="shared" si="14"/>
        <v>500</v>
      </c>
      <c r="P119" s="312">
        <f t="shared" si="21"/>
        <v>237.5</v>
      </c>
      <c r="Q119" s="312">
        <f t="shared" si="16"/>
        <v>750</v>
      </c>
      <c r="R119" s="312">
        <f t="shared" si="20"/>
        <v>237.5</v>
      </c>
      <c r="S119" s="160">
        <f>IF(AND('Total income package'!$A$8=TRUE,OR(F119="Yes",G119="Yes",H119="Yes")),SUM(J119:N119)-R119,0)</f>
        <v>1822.5</v>
      </c>
    </row>
    <row r="120" spans="1:19" x14ac:dyDescent="0.25">
      <c r="A120" s="6">
        <v>57500</v>
      </c>
      <c r="B120" s="7">
        <f t="shared" si="22"/>
        <v>4791.666666666667</v>
      </c>
      <c r="C120" s="7">
        <f>'Total income package'!$D$80</f>
        <v>0</v>
      </c>
      <c r="D120" s="7">
        <f t="shared" si="18"/>
        <v>4791.666666666667</v>
      </c>
      <c r="E120" s="65">
        <f t="shared" si="19"/>
        <v>1.4865563598759048</v>
      </c>
      <c r="F120" s="65" t="str">
        <f t="shared" si="11"/>
        <v>Yes</v>
      </c>
      <c r="G120" s="65" t="str">
        <f t="shared" si="12"/>
        <v>Yes</v>
      </c>
      <c r="H120" s="301" t="str">
        <f>IF(OR('TANF-VIEW'!L124&gt;0,'TANF-VIEW'!T124&gt;0),"Yes","No")</f>
        <v>No</v>
      </c>
      <c r="I120" s="63">
        <f t="shared" si="13"/>
        <v>250</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0</v>
      </c>
      <c r="O120" s="6">
        <f t="shared" si="14"/>
        <v>500</v>
      </c>
      <c r="P120" s="312">
        <f t="shared" si="21"/>
        <v>239.58333333333337</v>
      </c>
      <c r="Q120" s="312">
        <f t="shared" si="16"/>
        <v>750</v>
      </c>
      <c r="R120" s="312">
        <f t="shared" si="20"/>
        <v>239.58333333333337</v>
      </c>
      <c r="S120" s="160">
        <f>IF(AND('Total income package'!$A$8=TRUE,OR(F120="Yes",G120="Yes",H120="Yes")),SUM(J120:N120)-R120,0)</f>
        <v>1820.4166666666665</v>
      </c>
    </row>
    <row r="121" spans="1:19" x14ac:dyDescent="0.25">
      <c r="A121" s="6">
        <v>58000</v>
      </c>
      <c r="B121" s="7">
        <f t="shared" si="22"/>
        <v>4833.333333333333</v>
      </c>
      <c r="C121" s="7">
        <f>'Total income package'!$D$80</f>
        <v>0</v>
      </c>
      <c r="D121" s="7">
        <f t="shared" si="18"/>
        <v>4833.333333333333</v>
      </c>
      <c r="E121" s="65">
        <f t="shared" si="19"/>
        <v>1.4994829369183038</v>
      </c>
      <c r="F121" s="65" t="str">
        <f t="shared" si="11"/>
        <v>Yes</v>
      </c>
      <c r="G121" s="65" t="str">
        <f t="shared" si="12"/>
        <v>Yes</v>
      </c>
      <c r="H121" s="301" t="str">
        <f>IF(OR('TANF-VIEW'!L125&gt;0,'TANF-VIEW'!T125&gt;0),"Yes","No")</f>
        <v>No</v>
      </c>
      <c r="I121" s="63">
        <f t="shared" si="13"/>
        <v>250</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0</v>
      </c>
      <c r="O121" s="6">
        <f t="shared" si="14"/>
        <v>500</v>
      </c>
      <c r="P121" s="312">
        <f t="shared" si="21"/>
        <v>241.66666666666666</v>
      </c>
      <c r="Q121" s="312">
        <f t="shared" si="16"/>
        <v>750</v>
      </c>
      <c r="R121" s="312">
        <f t="shared" si="20"/>
        <v>241.66666666666666</v>
      </c>
      <c r="S121" s="160">
        <f>IF(AND('Total income package'!$A$8=TRUE,OR(F121="Yes",G121="Yes",H121="Yes")),SUM(J121:N121)-R121,0)</f>
        <v>1818.3333333333333</v>
      </c>
    </row>
    <row r="122" spans="1:19" x14ac:dyDescent="0.25">
      <c r="A122" s="6">
        <v>58500</v>
      </c>
      <c r="B122" s="7">
        <f t="shared" si="22"/>
        <v>4875</v>
      </c>
      <c r="C122" s="7">
        <f>'Total income package'!$D$80</f>
        <v>0</v>
      </c>
      <c r="D122" s="7">
        <f t="shared" si="18"/>
        <v>4875</v>
      </c>
      <c r="E122" s="65">
        <f t="shared" si="19"/>
        <v>1.5124095139607032</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0</v>
      </c>
      <c r="O122" s="6">
        <f t="shared" si="14"/>
        <v>700</v>
      </c>
      <c r="P122" s="312">
        <f t="shared" si="21"/>
        <v>243.75</v>
      </c>
      <c r="Q122" s="312">
        <f t="shared" si="16"/>
        <v>1050</v>
      </c>
      <c r="R122" s="312">
        <f t="shared" si="20"/>
        <v>243.75</v>
      </c>
      <c r="S122" s="160">
        <f>IF(AND('Total income package'!$A$8=TRUE,OR(F122="Yes",G122="Yes",H122="Yes")),SUM(J122:N122)-R122,0)</f>
        <v>1816.25</v>
      </c>
    </row>
    <row r="123" spans="1:19" x14ac:dyDescent="0.25">
      <c r="A123" s="6">
        <v>59000</v>
      </c>
      <c r="B123" s="7">
        <f t="shared" si="22"/>
        <v>4916.666666666667</v>
      </c>
      <c r="C123" s="7">
        <f>'Total income package'!$D$80</f>
        <v>0</v>
      </c>
      <c r="D123" s="7">
        <f t="shared" si="18"/>
        <v>4916.666666666667</v>
      </c>
      <c r="E123" s="65">
        <f t="shared" si="19"/>
        <v>1.5253360910031024</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0</v>
      </c>
      <c r="O123" s="6">
        <f t="shared" si="14"/>
        <v>700</v>
      </c>
      <c r="P123" s="312">
        <f t="shared" si="21"/>
        <v>245.83333333333337</v>
      </c>
      <c r="Q123" s="312">
        <f t="shared" si="16"/>
        <v>1050</v>
      </c>
      <c r="R123" s="312">
        <f t="shared" si="20"/>
        <v>245.83333333333337</v>
      </c>
      <c r="S123" s="160">
        <f>IF(AND('Total income package'!$A$8=TRUE,OR(F123="Yes",G123="Yes",H123="Yes")),SUM(J123:N123)-R123,0)</f>
        <v>1814.1666666666665</v>
      </c>
    </row>
    <row r="124" spans="1:19" x14ac:dyDescent="0.25">
      <c r="A124" s="6">
        <v>59500</v>
      </c>
      <c r="B124" s="7">
        <f t="shared" si="22"/>
        <v>4958.333333333333</v>
      </c>
      <c r="C124" s="7">
        <f>'Total income package'!$D$80</f>
        <v>0</v>
      </c>
      <c r="D124" s="7">
        <f t="shared" si="18"/>
        <v>4958.333333333333</v>
      </c>
      <c r="E124" s="65">
        <f t="shared" si="19"/>
        <v>1.5382626680455014</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0</v>
      </c>
      <c r="O124" s="6">
        <f t="shared" si="14"/>
        <v>700</v>
      </c>
      <c r="P124" s="312">
        <f t="shared" si="21"/>
        <v>247.91666666666666</v>
      </c>
      <c r="Q124" s="312">
        <f t="shared" si="16"/>
        <v>1050</v>
      </c>
      <c r="R124" s="312">
        <f t="shared" si="20"/>
        <v>247.91666666666666</v>
      </c>
      <c r="S124" s="160">
        <f>IF(AND('Total income package'!$A$8=TRUE,OR(F124="Yes",G124="Yes",H124="Yes")),SUM(J124:N124)-R124,0)</f>
        <v>1812.0833333333333</v>
      </c>
    </row>
    <row r="125" spans="1:19" x14ac:dyDescent="0.25">
      <c r="A125" s="6">
        <v>60000</v>
      </c>
      <c r="B125" s="7">
        <f t="shared" si="22"/>
        <v>5000</v>
      </c>
      <c r="C125" s="7">
        <f>'Total income package'!$D$80</f>
        <v>0</v>
      </c>
      <c r="D125" s="7">
        <f t="shared" si="18"/>
        <v>5000</v>
      </c>
      <c r="E125" s="65">
        <f t="shared" si="19"/>
        <v>1.5511892450879006</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0</v>
      </c>
      <c r="O125" s="6">
        <f t="shared" si="14"/>
        <v>700</v>
      </c>
      <c r="P125" s="312">
        <f t="shared" si="21"/>
        <v>250</v>
      </c>
      <c r="Q125" s="312">
        <f t="shared" si="16"/>
        <v>1050</v>
      </c>
      <c r="R125" s="312">
        <f t="shared" si="20"/>
        <v>250</v>
      </c>
      <c r="S125" s="160">
        <f>IF(AND('Total income package'!$A$8=TRUE,OR(F125="Yes",G125="Yes",H125="Yes")),SUM(J125:N125)-R125,0)</f>
        <v>1810</v>
      </c>
    </row>
    <row r="126" spans="1:19" x14ac:dyDescent="0.25">
      <c r="A126" s="6">
        <v>60500</v>
      </c>
      <c r="B126" s="7">
        <f t="shared" si="22"/>
        <v>5041.666666666667</v>
      </c>
      <c r="C126" s="7">
        <f>'Total income package'!$D$80</f>
        <v>0</v>
      </c>
      <c r="D126" s="7">
        <f t="shared" si="18"/>
        <v>5041.666666666667</v>
      </c>
      <c r="E126" s="65">
        <f t="shared" si="19"/>
        <v>1.5641158221303</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0</v>
      </c>
      <c r="O126" s="6">
        <f t="shared" si="14"/>
        <v>700</v>
      </c>
      <c r="P126" s="312">
        <f t="shared" si="21"/>
        <v>252.08333333333337</v>
      </c>
      <c r="Q126" s="312">
        <f t="shared" si="16"/>
        <v>1050</v>
      </c>
      <c r="R126" s="312">
        <f t="shared" si="20"/>
        <v>252.08333333333337</v>
      </c>
      <c r="S126" s="160">
        <f>IF(AND('Total income package'!$A$8=TRUE,OR(F126="Yes",G126="Yes",H126="Yes")),SUM(J126:N126)-R126,0)</f>
        <v>1807.9166666666665</v>
      </c>
    </row>
    <row r="127" spans="1:19" x14ac:dyDescent="0.25">
      <c r="A127" s="6">
        <v>61000</v>
      </c>
      <c r="B127" s="7">
        <f t="shared" si="22"/>
        <v>5083.333333333333</v>
      </c>
      <c r="C127" s="7">
        <f>'Total income package'!$D$80</f>
        <v>0</v>
      </c>
      <c r="D127" s="7">
        <f t="shared" si="18"/>
        <v>5083.333333333333</v>
      </c>
      <c r="E127" s="65">
        <f t="shared" si="19"/>
        <v>1.5770423991726989</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0</v>
      </c>
      <c r="O127" s="6">
        <f t="shared" si="14"/>
        <v>700</v>
      </c>
      <c r="P127" s="312">
        <f t="shared" si="21"/>
        <v>254.16666666666666</v>
      </c>
      <c r="Q127" s="312">
        <f t="shared" si="16"/>
        <v>1050</v>
      </c>
      <c r="R127" s="312">
        <f t="shared" si="20"/>
        <v>254.16666666666666</v>
      </c>
      <c r="S127" s="160">
        <f>IF(AND('Total income package'!$A$8=TRUE,OR(F127="Yes",G127="Yes",H127="Yes")),SUM(J127:N127)-R127,0)</f>
        <v>1805.8333333333333</v>
      </c>
    </row>
    <row r="128" spans="1:19" x14ac:dyDescent="0.25">
      <c r="A128" s="6">
        <v>61500</v>
      </c>
      <c r="B128" s="7">
        <f t="shared" si="22"/>
        <v>5125</v>
      </c>
      <c r="C128" s="7">
        <f>'Total income package'!$D$80</f>
        <v>0</v>
      </c>
      <c r="D128" s="7">
        <f t="shared" si="18"/>
        <v>5125</v>
      </c>
      <c r="E128" s="65">
        <f t="shared" si="19"/>
        <v>1.5899689762150981</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0</v>
      </c>
      <c r="O128" s="6">
        <f t="shared" si="14"/>
        <v>700</v>
      </c>
      <c r="P128" s="312">
        <f t="shared" si="21"/>
        <v>256.25</v>
      </c>
      <c r="Q128" s="312">
        <f t="shared" si="16"/>
        <v>1050</v>
      </c>
      <c r="R128" s="312">
        <f t="shared" si="20"/>
        <v>256.25</v>
      </c>
      <c r="S128" s="160">
        <f>IF(AND('Total income package'!$A$8=TRUE,OR(F128="Yes",G128="Yes",H128="Yes")),SUM(J128:N128)-R128,0)</f>
        <v>1803.75</v>
      </c>
    </row>
    <row r="129" spans="1:19" x14ac:dyDescent="0.25">
      <c r="A129" s="6">
        <v>62000</v>
      </c>
      <c r="B129" s="7">
        <f t="shared" si="22"/>
        <v>5166.666666666667</v>
      </c>
      <c r="C129" s="7">
        <f>'Total income package'!$D$80</f>
        <v>0</v>
      </c>
      <c r="D129" s="7">
        <f t="shared" si="18"/>
        <v>5166.666666666667</v>
      </c>
      <c r="E129" s="65">
        <f t="shared" si="19"/>
        <v>1.6028955532574973</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0</v>
      </c>
      <c r="O129" s="6">
        <f t="shared" si="14"/>
        <v>700</v>
      </c>
      <c r="P129" s="312">
        <f t="shared" si="21"/>
        <v>258.33333333333337</v>
      </c>
      <c r="Q129" s="312">
        <f t="shared" si="16"/>
        <v>1050</v>
      </c>
      <c r="R129" s="312">
        <f t="shared" si="20"/>
        <v>258.33333333333337</v>
      </c>
      <c r="S129" s="160">
        <f>IF(AND('Total income package'!$A$8=TRUE,OR(F129="Yes",G129="Yes",H129="Yes")),SUM(J129:N129)-R129,0)</f>
        <v>1801.6666666666665</v>
      </c>
    </row>
    <row r="130" spans="1:19" x14ac:dyDescent="0.25">
      <c r="A130" s="6">
        <v>62500</v>
      </c>
      <c r="B130" s="7">
        <f t="shared" si="22"/>
        <v>5208.333333333333</v>
      </c>
      <c r="C130" s="7">
        <f>'Total income package'!$D$80</f>
        <v>0</v>
      </c>
      <c r="D130" s="7">
        <f t="shared" si="18"/>
        <v>5208.333333333333</v>
      </c>
      <c r="E130" s="65">
        <f t="shared" si="19"/>
        <v>1.6158221302998965</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0</v>
      </c>
      <c r="O130" s="6">
        <f t="shared" si="14"/>
        <v>700</v>
      </c>
      <c r="P130" s="312">
        <f t="shared" si="21"/>
        <v>260.41666666666669</v>
      </c>
      <c r="Q130" s="312">
        <f t="shared" si="16"/>
        <v>1050</v>
      </c>
      <c r="R130" s="312">
        <f t="shared" si="20"/>
        <v>260.41666666666669</v>
      </c>
      <c r="S130" s="160">
        <f>IF(AND('Total income package'!$A$8=TRUE,OR(F130="Yes",G130="Yes",H130="Yes")),SUM(J130:N130)-R130,0)</f>
        <v>1799.5833333333333</v>
      </c>
    </row>
    <row r="131" spans="1:19" x14ac:dyDescent="0.25">
      <c r="A131" s="6">
        <v>63000</v>
      </c>
      <c r="B131" s="7">
        <f t="shared" si="22"/>
        <v>5250</v>
      </c>
      <c r="C131" s="7">
        <f>'Total income package'!$D$80</f>
        <v>0</v>
      </c>
      <c r="D131" s="7">
        <f t="shared" si="18"/>
        <v>5250</v>
      </c>
      <c r="E131" s="65">
        <f t="shared" si="19"/>
        <v>1.6287487073422957</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0</v>
      </c>
      <c r="O131" s="6">
        <f t="shared" si="14"/>
        <v>700</v>
      </c>
      <c r="P131" s="312">
        <f t="shared" si="21"/>
        <v>262.5</v>
      </c>
      <c r="Q131" s="312">
        <f t="shared" si="16"/>
        <v>1050</v>
      </c>
      <c r="R131" s="312">
        <f t="shared" si="20"/>
        <v>262.5</v>
      </c>
      <c r="S131" s="160">
        <f>IF(AND('Total income package'!$A$8=TRUE,OR(F131="Yes",G131="Yes",H131="Yes")),SUM(J131:N131)-R131,0)</f>
        <v>1797.5</v>
      </c>
    </row>
    <row r="132" spans="1:19" x14ac:dyDescent="0.25">
      <c r="A132" s="6">
        <v>63500</v>
      </c>
      <c r="B132" s="7">
        <f t="shared" si="22"/>
        <v>5291.666666666667</v>
      </c>
      <c r="C132" s="7">
        <f>'Total income package'!$D$80</f>
        <v>0</v>
      </c>
      <c r="D132" s="7">
        <f t="shared" si="18"/>
        <v>5291.666666666667</v>
      </c>
      <c r="E132" s="65">
        <f t="shared" si="19"/>
        <v>1.6416752843846949</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0</v>
      </c>
      <c r="O132" s="6">
        <f t="shared" si="14"/>
        <v>700</v>
      </c>
      <c r="P132" s="312">
        <f t="shared" si="21"/>
        <v>264.58333333333337</v>
      </c>
      <c r="Q132" s="312">
        <f t="shared" si="16"/>
        <v>1050</v>
      </c>
      <c r="R132" s="312">
        <f t="shared" si="20"/>
        <v>264.58333333333337</v>
      </c>
      <c r="S132" s="160">
        <f>IF(AND('Total income package'!$A$8=TRUE,OR(F132="Yes",G132="Yes",H132="Yes")),SUM(J132:N132)-R132,0)</f>
        <v>1795.4166666666665</v>
      </c>
    </row>
    <row r="133" spans="1:19" x14ac:dyDescent="0.25">
      <c r="A133" s="6">
        <v>64000</v>
      </c>
      <c r="B133" s="7">
        <f t="shared" si="22"/>
        <v>5333.333333333333</v>
      </c>
      <c r="C133" s="7">
        <f>'Total income package'!$D$80</f>
        <v>0</v>
      </c>
      <c r="D133" s="7">
        <f t="shared" si="18"/>
        <v>5333.333333333333</v>
      </c>
      <c r="E133" s="65">
        <f t="shared" si="19"/>
        <v>1.6546018614270939</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1793.3333333333333</v>
      </c>
    </row>
    <row r="134" spans="1:19" x14ac:dyDescent="0.25">
      <c r="A134" s="6">
        <v>64500</v>
      </c>
      <c r="B134" s="7">
        <f t="shared" si="22"/>
        <v>5375</v>
      </c>
      <c r="C134" s="7">
        <f>'Total income package'!$D$80</f>
        <v>0</v>
      </c>
      <c r="D134" s="7">
        <f t="shared" ref="D134:D197" si="29">B134+C134</f>
        <v>5375</v>
      </c>
      <c r="E134" s="65">
        <f t="shared" ref="E134:E197" si="30">D134/$K$2</f>
        <v>1.6675284384694933</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1791.25</v>
      </c>
    </row>
    <row r="135" spans="1:19" x14ac:dyDescent="0.25">
      <c r="A135" s="6">
        <v>65000</v>
      </c>
      <c r="B135" s="7">
        <f t="shared" si="22"/>
        <v>5416.666666666667</v>
      </c>
      <c r="C135" s="7">
        <f>'Total income package'!$D$80</f>
        <v>0</v>
      </c>
      <c r="D135" s="7">
        <f t="shared" si="29"/>
        <v>5416.666666666667</v>
      </c>
      <c r="E135" s="65">
        <f t="shared" si="30"/>
        <v>1.6804550155118925</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0</v>
      </c>
      <c r="O135" s="6">
        <f t="shared" si="26"/>
        <v>700</v>
      </c>
      <c r="P135" s="312">
        <f t="shared" si="27"/>
        <v>270.83333333333337</v>
      </c>
      <c r="Q135" s="312">
        <f t="shared" si="28"/>
        <v>1050</v>
      </c>
      <c r="R135" s="312">
        <f t="shared" si="31"/>
        <v>270.83333333333337</v>
      </c>
      <c r="S135" s="160">
        <f>IF(AND('Total income package'!$A$8=TRUE,OR(F135="Yes",G135="Yes",H135="Yes")),SUM(J135:N135)-R135,0)</f>
        <v>1789.1666666666665</v>
      </c>
    </row>
    <row r="136" spans="1:19" x14ac:dyDescent="0.25">
      <c r="A136" s="6">
        <v>65500</v>
      </c>
      <c r="B136" s="7">
        <f t="shared" si="22"/>
        <v>5458.333333333333</v>
      </c>
      <c r="C136" s="7">
        <f>'Total income package'!$D$80</f>
        <v>0</v>
      </c>
      <c r="D136" s="7">
        <f t="shared" si="29"/>
        <v>5458.333333333333</v>
      </c>
      <c r="E136" s="65">
        <f t="shared" si="30"/>
        <v>1.6933815925542914</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0</v>
      </c>
      <c r="O136" s="6">
        <f t="shared" si="26"/>
        <v>700</v>
      </c>
      <c r="P136" s="312">
        <f t="shared" si="27"/>
        <v>272.91666666666669</v>
      </c>
      <c r="Q136" s="312">
        <f t="shared" si="28"/>
        <v>1050</v>
      </c>
      <c r="R136" s="312">
        <f t="shared" si="31"/>
        <v>272.91666666666669</v>
      </c>
      <c r="S136" s="160">
        <f>IF(AND('Total income package'!$A$8=TRUE,OR(F136="Yes",G136="Yes",H136="Yes")),SUM(J136:N136)-R136,0)</f>
        <v>1787.0833333333333</v>
      </c>
    </row>
    <row r="137" spans="1:19" x14ac:dyDescent="0.25">
      <c r="A137" s="6">
        <v>66000</v>
      </c>
      <c r="B137" s="7">
        <f t="shared" si="22"/>
        <v>5500</v>
      </c>
      <c r="C137" s="7">
        <f>'Total income package'!$D$80</f>
        <v>0</v>
      </c>
      <c r="D137" s="7">
        <f t="shared" si="29"/>
        <v>5500</v>
      </c>
      <c r="E137" s="65">
        <f t="shared" si="30"/>
        <v>1.7063081695966906</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0</v>
      </c>
      <c r="O137" s="6">
        <f t="shared" si="26"/>
        <v>700</v>
      </c>
      <c r="P137" s="312">
        <f t="shared" si="27"/>
        <v>275</v>
      </c>
      <c r="Q137" s="312">
        <f t="shared" si="28"/>
        <v>1050</v>
      </c>
      <c r="R137" s="312">
        <f t="shared" si="31"/>
        <v>275</v>
      </c>
      <c r="S137" s="160">
        <f>IF(AND('Total income package'!$A$8=TRUE,OR(F137="Yes",G137="Yes",H137="Yes")),SUM(J137:N137)-R137,0)</f>
        <v>1785</v>
      </c>
    </row>
    <row r="138" spans="1:19" x14ac:dyDescent="0.25">
      <c r="A138" s="6">
        <v>66500</v>
      </c>
      <c r="B138" s="7">
        <f t="shared" si="22"/>
        <v>5541.666666666667</v>
      </c>
      <c r="C138" s="7">
        <f>'Total income package'!$D$80</f>
        <v>0</v>
      </c>
      <c r="D138" s="7">
        <f t="shared" si="29"/>
        <v>5541.666666666667</v>
      </c>
      <c r="E138" s="65">
        <f t="shared" si="30"/>
        <v>1.71923474663909</v>
      </c>
      <c r="F138" s="65" t="str">
        <f t="shared" si="23"/>
        <v>Yes</v>
      </c>
      <c r="G138" s="65" t="str">
        <f t="shared" si="24"/>
        <v>No</v>
      </c>
      <c r="H138" s="301" t="str">
        <f>IF(OR('TANF-VIEW'!L142&gt;0,'TANF-VIEW'!T142&gt;0),"Yes","No")</f>
        <v>No</v>
      </c>
      <c r="I138" s="63">
        <f t="shared" si="25"/>
        <v>350</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0</v>
      </c>
      <c r="O138" s="6">
        <f t="shared" si="26"/>
        <v>700</v>
      </c>
      <c r="P138" s="312">
        <f t="shared" si="27"/>
        <v>277.08333333333337</v>
      </c>
      <c r="Q138" s="312">
        <f t="shared" si="28"/>
        <v>1050</v>
      </c>
      <c r="R138" s="312">
        <f t="shared" si="31"/>
        <v>277.08333333333337</v>
      </c>
      <c r="S138" s="160">
        <f>IF(AND('Total income package'!$A$8=TRUE,OR(F138="Yes",G138="Yes",H138="Yes")),SUM(J138:N138)-R138,0)</f>
        <v>1782.9166666666665</v>
      </c>
    </row>
    <row r="139" spans="1:19" x14ac:dyDescent="0.25">
      <c r="A139" s="6">
        <v>67000</v>
      </c>
      <c r="B139" s="7">
        <f t="shared" si="22"/>
        <v>5583.333333333333</v>
      </c>
      <c r="C139" s="7">
        <f>'Total income package'!$D$80</f>
        <v>0</v>
      </c>
      <c r="D139" s="7">
        <f t="shared" si="29"/>
        <v>5583.333333333333</v>
      </c>
      <c r="E139" s="65">
        <f t="shared" si="30"/>
        <v>1.732161323681489</v>
      </c>
      <c r="F139" s="65" t="str">
        <f t="shared" si="23"/>
        <v>Yes</v>
      </c>
      <c r="G139" s="65" t="str">
        <f t="shared" si="24"/>
        <v>No</v>
      </c>
      <c r="H139" s="301" t="str">
        <f>IF(OR('TANF-VIEW'!L143&gt;0,'TANF-VIEW'!T143&gt;0),"Yes","No")</f>
        <v>No</v>
      </c>
      <c r="I139" s="63">
        <f t="shared" si="25"/>
        <v>350</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0</v>
      </c>
      <c r="O139" s="6">
        <f t="shared" si="26"/>
        <v>700</v>
      </c>
      <c r="P139" s="312">
        <f t="shared" si="27"/>
        <v>279.16666666666669</v>
      </c>
      <c r="Q139" s="312">
        <f t="shared" si="28"/>
        <v>1050</v>
      </c>
      <c r="R139" s="312">
        <f t="shared" si="31"/>
        <v>279.16666666666669</v>
      </c>
      <c r="S139" s="160">
        <f>IF(AND('Total income package'!$A$8=TRUE,OR(F139="Yes",G139="Yes",H139="Yes")),SUM(J139:N139)-R139,0)</f>
        <v>1780.8333333333333</v>
      </c>
    </row>
    <row r="140" spans="1:19" x14ac:dyDescent="0.25">
      <c r="A140" s="6">
        <v>67500</v>
      </c>
      <c r="B140" s="7">
        <f t="shared" si="22"/>
        <v>5625</v>
      </c>
      <c r="C140" s="7">
        <f>'Total income package'!$D$80</f>
        <v>0</v>
      </c>
      <c r="D140" s="7">
        <f t="shared" si="29"/>
        <v>5625</v>
      </c>
      <c r="E140" s="65">
        <f t="shared" si="30"/>
        <v>1.7450879007238882</v>
      </c>
      <c r="F140" s="65" t="str">
        <f t="shared" si="23"/>
        <v>Yes</v>
      </c>
      <c r="G140" s="65" t="str">
        <f t="shared" si="24"/>
        <v>No</v>
      </c>
      <c r="H140" s="301" t="str">
        <f>IF(OR('TANF-VIEW'!L144&gt;0,'TANF-VIEW'!T144&gt;0),"Yes","No")</f>
        <v>No</v>
      </c>
      <c r="I140" s="63">
        <f t="shared" si="25"/>
        <v>350</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0</v>
      </c>
      <c r="O140" s="6">
        <f t="shared" si="26"/>
        <v>700</v>
      </c>
      <c r="P140" s="312">
        <f t="shared" si="27"/>
        <v>281.25</v>
      </c>
      <c r="Q140" s="312">
        <f t="shared" si="28"/>
        <v>1050</v>
      </c>
      <c r="R140" s="312">
        <f t="shared" si="31"/>
        <v>281.25</v>
      </c>
      <c r="S140" s="160">
        <f>IF(AND('Total income package'!$A$8=TRUE,OR(F140="Yes",G140="Yes",H140="Yes")),SUM(J140:N140)-R140,0)</f>
        <v>1778.75</v>
      </c>
    </row>
    <row r="141" spans="1:19" x14ac:dyDescent="0.25">
      <c r="A141" s="6">
        <v>68000</v>
      </c>
      <c r="B141" s="7">
        <f t="shared" si="22"/>
        <v>5666.666666666667</v>
      </c>
      <c r="C141" s="7">
        <f>'Total income package'!$D$80</f>
        <v>0</v>
      </c>
      <c r="D141" s="7">
        <f t="shared" si="29"/>
        <v>5666.666666666667</v>
      </c>
      <c r="E141" s="65">
        <f t="shared" si="30"/>
        <v>1.7580144777662876</v>
      </c>
      <c r="F141" s="65" t="str">
        <f t="shared" si="23"/>
        <v>Yes</v>
      </c>
      <c r="G141" s="65" t="str">
        <f t="shared" si="24"/>
        <v>No</v>
      </c>
      <c r="H141" s="301" t="str">
        <f>IF(OR('TANF-VIEW'!L145&gt;0,'TANF-VIEW'!T145&gt;0),"Yes","No")</f>
        <v>No</v>
      </c>
      <c r="I141" s="63">
        <f t="shared" si="25"/>
        <v>350</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0</v>
      </c>
      <c r="O141" s="6">
        <f t="shared" si="26"/>
        <v>700</v>
      </c>
      <c r="P141" s="312">
        <f t="shared" si="27"/>
        <v>283.33333333333337</v>
      </c>
      <c r="Q141" s="312">
        <f t="shared" si="28"/>
        <v>1050</v>
      </c>
      <c r="R141" s="312">
        <f t="shared" si="31"/>
        <v>283.33333333333337</v>
      </c>
      <c r="S141" s="160">
        <f>IF(AND('Total income package'!$A$8=TRUE,OR(F141="Yes",G141="Yes",H141="Yes")),SUM(J141:N141)-R141,0)</f>
        <v>1776.6666666666665</v>
      </c>
    </row>
    <row r="142" spans="1:19" x14ac:dyDescent="0.25">
      <c r="A142" s="6">
        <v>68500</v>
      </c>
      <c r="B142" s="7">
        <f t="shared" si="22"/>
        <v>5708.333333333333</v>
      </c>
      <c r="C142" s="7">
        <f>'Total income package'!$D$80</f>
        <v>0</v>
      </c>
      <c r="D142" s="7">
        <f t="shared" si="29"/>
        <v>5708.333333333333</v>
      </c>
      <c r="E142" s="65">
        <f t="shared" si="30"/>
        <v>1.7709410548086866</v>
      </c>
      <c r="F142" s="65" t="str">
        <f t="shared" si="23"/>
        <v>Yes</v>
      </c>
      <c r="G142" s="65" t="str">
        <f t="shared" si="24"/>
        <v>No</v>
      </c>
      <c r="H142" s="301" t="str">
        <f>IF(OR('TANF-VIEW'!L146&gt;0,'TANF-VIEW'!T146&gt;0),"Yes","No")</f>
        <v>No</v>
      </c>
      <c r="I142" s="63">
        <f t="shared" si="25"/>
        <v>350</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0</v>
      </c>
      <c r="O142" s="6">
        <f t="shared" si="26"/>
        <v>700</v>
      </c>
      <c r="P142" s="312">
        <f t="shared" si="27"/>
        <v>285.41666666666669</v>
      </c>
      <c r="Q142" s="312">
        <f t="shared" si="28"/>
        <v>1050</v>
      </c>
      <c r="R142" s="312">
        <f t="shared" si="31"/>
        <v>285.41666666666669</v>
      </c>
      <c r="S142" s="160">
        <f>IF(AND('Total income package'!$A$8=TRUE,OR(F142="Yes",G142="Yes",H142="Yes")),SUM(J142:N142)-R142,0)</f>
        <v>1774.5833333333333</v>
      </c>
    </row>
    <row r="143" spans="1:19" x14ac:dyDescent="0.25">
      <c r="A143" s="6">
        <v>69000</v>
      </c>
      <c r="B143" s="7">
        <f t="shared" si="22"/>
        <v>5750</v>
      </c>
      <c r="C143" s="7">
        <f>'Total income package'!$D$80</f>
        <v>0</v>
      </c>
      <c r="D143" s="7">
        <f t="shared" si="29"/>
        <v>5750</v>
      </c>
      <c r="E143" s="65">
        <f t="shared" si="30"/>
        <v>1.7838676318510858</v>
      </c>
      <c r="F143" s="65" t="str">
        <f t="shared" si="23"/>
        <v>Yes</v>
      </c>
      <c r="G143" s="65" t="str">
        <f t="shared" si="24"/>
        <v>No</v>
      </c>
      <c r="H143" s="301" t="str">
        <f>IF(OR('TANF-VIEW'!L147&gt;0,'TANF-VIEW'!T147&gt;0),"Yes","No")</f>
        <v>No</v>
      </c>
      <c r="I143" s="63">
        <f t="shared" si="25"/>
        <v>350</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0</v>
      </c>
      <c r="O143" s="6">
        <f t="shared" si="26"/>
        <v>700</v>
      </c>
      <c r="P143" s="312">
        <f t="shared" si="27"/>
        <v>287.5</v>
      </c>
      <c r="Q143" s="312">
        <f t="shared" si="28"/>
        <v>1050</v>
      </c>
      <c r="R143" s="312">
        <f t="shared" si="31"/>
        <v>287.5</v>
      </c>
      <c r="S143" s="160">
        <f>IF(AND('Total income package'!$A$8=TRUE,OR(F143="Yes",G143="Yes",H143="Yes")),SUM(J143:N143)-R143,0)</f>
        <v>1772.5</v>
      </c>
    </row>
    <row r="144" spans="1:19" x14ac:dyDescent="0.25">
      <c r="A144" s="6">
        <v>69500</v>
      </c>
      <c r="B144" s="7">
        <f t="shared" si="22"/>
        <v>5791.666666666667</v>
      </c>
      <c r="C144" s="7">
        <f>'Total income package'!$D$80</f>
        <v>0</v>
      </c>
      <c r="D144" s="7">
        <f t="shared" si="29"/>
        <v>5791.666666666667</v>
      </c>
      <c r="E144" s="65">
        <f t="shared" si="30"/>
        <v>1.796794208893485</v>
      </c>
      <c r="F144" s="65" t="str">
        <f t="shared" si="23"/>
        <v>Yes</v>
      </c>
      <c r="G144" s="65" t="str">
        <f t="shared" si="24"/>
        <v>No</v>
      </c>
      <c r="H144" s="301" t="str">
        <f>IF(OR('TANF-VIEW'!L148&gt;0,'TANF-VIEW'!T148&gt;0),"Yes","No")</f>
        <v>No</v>
      </c>
      <c r="I144" s="63">
        <f t="shared" si="25"/>
        <v>350</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0</v>
      </c>
      <c r="O144" s="6">
        <f t="shared" si="26"/>
        <v>700</v>
      </c>
      <c r="P144" s="312">
        <f t="shared" si="27"/>
        <v>289.58333333333337</v>
      </c>
      <c r="Q144" s="312">
        <f t="shared" si="28"/>
        <v>1050</v>
      </c>
      <c r="R144" s="312">
        <f t="shared" si="31"/>
        <v>289.58333333333337</v>
      </c>
      <c r="S144" s="160">
        <f>IF(AND('Total income package'!$A$8=TRUE,OR(F144="Yes",G144="Yes",H144="Yes")),SUM(J144:N144)-R144,0)</f>
        <v>1770.4166666666665</v>
      </c>
    </row>
    <row r="145" spans="1:19" x14ac:dyDescent="0.25">
      <c r="A145" s="6">
        <v>70000</v>
      </c>
      <c r="B145" s="7">
        <f t="shared" si="22"/>
        <v>5833.333333333333</v>
      </c>
      <c r="C145" s="7">
        <f>'Total income package'!$D$80</f>
        <v>0</v>
      </c>
      <c r="D145" s="7">
        <f t="shared" si="29"/>
        <v>5833.333333333333</v>
      </c>
      <c r="E145" s="65">
        <f t="shared" si="30"/>
        <v>1.8097207859358839</v>
      </c>
      <c r="F145" s="65" t="str">
        <f t="shared" si="23"/>
        <v>Yes</v>
      </c>
      <c r="G145" s="65" t="str">
        <f t="shared" si="24"/>
        <v>No</v>
      </c>
      <c r="H145" s="301" t="str">
        <f>IF(OR('TANF-VIEW'!L149&gt;0,'TANF-VIEW'!T149&gt;0),"Yes","No")</f>
        <v>No</v>
      </c>
      <c r="I145" s="63">
        <f t="shared" si="25"/>
        <v>350</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0</v>
      </c>
      <c r="O145" s="6">
        <f t="shared" si="26"/>
        <v>700</v>
      </c>
      <c r="P145" s="312">
        <f t="shared" si="27"/>
        <v>291.66666666666669</v>
      </c>
      <c r="Q145" s="312">
        <f t="shared" si="28"/>
        <v>1050</v>
      </c>
      <c r="R145" s="312">
        <f t="shared" si="31"/>
        <v>291.66666666666669</v>
      </c>
      <c r="S145" s="160">
        <f>IF(AND('Total income package'!$A$8=TRUE,OR(F145="Yes",G145="Yes",H145="Yes")),SUM(J145:N145)-R145,0)</f>
        <v>1768.3333333333333</v>
      </c>
    </row>
    <row r="146" spans="1:19" x14ac:dyDescent="0.25">
      <c r="A146" s="6">
        <v>70500</v>
      </c>
      <c r="B146" s="7">
        <f t="shared" si="22"/>
        <v>5875</v>
      </c>
      <c r="C146" s="7">
        <f>'Total income package'!$D$80</f>
        <v>0</v>
      </c>
      <c r="D146" s="7">
        <f t="shared" si="29"/>
        <v>5875</v>
      </c>
      <c r="E146" s="65">
        <f t="shared" si="30"/>
        <v>1.8226473629782833</v>
      </c>
      <c r="F146" s="65" t="str">
        <f t="shared" si="23"/>
        <v>Yes</v>
      </c>
      <c r="G146" s="65" t="str">
        <f t="shared" si="24"/>
        <v>No</v>
      </c>
      <c r="H146" s="301" t="str">
        <f>IF(OR('TANF-VIEW'!L150&gt;0,'TANF-VIEW'!T150&gt;0),"Yes","No")</f>
        <v>No</v>
      </c>
      <c r="I146" s="63">
        <f t="shared" si="25"/>
        <v>350</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0</v>
      </c>
      <c r="O146" s="6">
        <f t="shared" si="26"/>
        <v>700</v>
      </c>
      <c r="P146" s="312">
        <f t="shared" si="27"/>
        <v>293.75</v>
      </c>
      <c r="Q146" s="312">
        <f t="shared" si="28"/>
        <v>1050</v>
      </c>
      <c r="R146" s="312">
        <f t="shared" si="31"/>
        <v>293.75</v>
      </c>
      <c r="S146" s="160">
        <f>IF(AND('Total income package'!$A$8=TRUE,OR(F146="Yes",G146="Yes",H146="Yes")),SUM(J146:N146)-R146,0)</f>
        <v>1766.25</v>
      </c>
    </row>
    <row r="147" spans="1:19" x14ac:dyDescent="0.25">
      <c r="A147" s="6">
        <v>71000</v>
      </c>
      <c r="B147" s="7">
        <f t="shared" si="22"/>
        <v>5916.666666666667</v>
      </c>
      <c r="C147" s="7">
        <f>'Total income package'!$D$80</f>
        <v>0</v>
      </c>
      <c r="D147" s="7">
        <f t="shared" si="29"/>
        <v>5916.666666666667</v>
      </c>
      <c r="E147" s="65">
        <f t="shared" si="30"/>
        <v>1.8355739400206825</v>
      </c>
      <c r="F147" s="65" t="str">
        <f t="shared" si="23"/>
        <v>Yes</v>
      </c>
      <c r="G147" s="65" t="str">
        <f t="shared" si="24"/>
        <v>No</v>
      </c>
      <c r="H147" s="301" t="str">
        <f>IF(OR('TANF-VIEW'!L151&gt;0,'TANF-VIEW'!T151&gt;0),"Yes","No")</f>
        <v>No</v>
      </c>
      <c r="I147" s="63">
        <f t="shared" si="25"/>
        <v>350</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0</v>
      </c>
      <c r="O147" s="6">
        <f t="shared" si="26"/>
        <v>700</v>
      </c>
      <c r="P147" s="312">
        <f t="shared" si="27"/>
        <v>295.83333333333337</v>
      </c>
      <c r="Q147" s="312">
        <f t="shared" si="28"/>
        <v>1050</v>
      </c>
      <c r="R147" s="312">
        <f t="shared" si="31"/>
        <v>295.83333333333337</v>
      </c>
      <c r="S147" s="160">
        <f>IF(AND('Total income package'!$A$8=TRUE,OR(F147="Yes",G147="Yes",H147="Yes")),SUM(J147:N147)-R147,0)</f>
        <v>1764.1666666666665</v>
      </c>
    </row>
    <row r="148" spans="1:19" x14ac:dyDescent="0.25">
      <c r="A148" s="6">
        <v>71500</v>
      </c>
      <c r="B148" s="7">
        <f t="shared" si="22"/>
        <v>5958.333333333333</v>
      </c>
      <c r="C148" s="7">
        <f>'Total income package'!$D$80</f>
        <v>0</v>
      </c>
      <c r="D148" s="7">
        <f t="shared" si="29"/>
        <v>5958.333333333333</v>
      </c>
      <c r="E148" s="65">
        <f t="shared" si="30"/>
        <v>1.8485005170630815</v>
      </c>
      <c r="F148" s="65" t="str">
        <f t="shared" si="23"/>
        <v>Yes</v>
      </c>
      <c r="G148" s="65" t="str">
        <f t="shared" si="24"/>
        <v>No</v>
      </c>
      <c r="H148" s="301" t="str">
        <f>IF(OR('TANF-VIEW'!L152&gt;0,'TANF-VIEW'!T152&gt;0),"Yes","No")</f>
        <v>No</v>
      </c>
      <c r="I148" s="63">
        <f t="shared" si="25"/>
        <v>350</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0</v>
      </c>
      <c r="O148" s="6">
        <f t="shared" si="26"/>
        <v>700</v>
      </c>
      <c r="P148" s="312">
        <f t="shared" si="27"/>
        <v>297.91666666666669</v>
      </c>
      <c r="Q148" s="312">
        <f t="shared" si="28"/>
        <v>1050</v>
      </c>
      <c r="R148" s="312">
        <f t="shared" si="31"/>
        <v>297.91666666666669</v>
      </c>
      <c r="S148" s="160">
        <f>IF(AND('Total income package'!$A$8=TRUE,OR(F148="Yes",G148="Yes",H148="Yes")),SUM(J148:N148)-R148,0)</f>
        <v>1762.0833333333333</v>
      </c>
    </row>
    <row r="149" spans="1:19" x14ac:dyDescent="0.25">
      <c r="A149" s="6">
        <v>72000</v>
      </c>
      <c r="B149" s="7">
        <f t="shared" si="22"/>
        <v>6000</v>
      </c>
      <c r="C149" s="7">
        <f>'Total income package'!$D$80</f>
        <v>0</v>
      </c>
      <c r="D149" s="7">
        <f t="shared" si="29"/>
        <v>6000</v>
      </c>
      <c r="E149" s="65">
        <f t="shared" si="30"/>
        <v>1.8614270941054807</v>
      </c>
      <c r="F149" s="65" t="str">
        <f t="shared" si="23"/>
        <v>Yes</v>
      </c>
      <c r="G149" s="65" t="str">
        <f t="shared" si="24"/>
        <v>No</v>
      </c>
      <c r="H149" s="301" t="str">
        <f>IF(OR('TANF-VIEW'!L153&gt;0,'TANF-VIEW'!T153&gt;0),"Yes","No")</f>
        <v>No</v>
      </c>
      <c r="I149" s="63">
        <f t="shared" si="25"/>
        <v>350</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0</v>
      </c>
      <c r="O149" s="6">
        <f t="shared" si="26"/>
        <v>700</v>
      </c>
      <c r="P149" s="312">
        <f t="shared" si="27"/>
        <v>300</v>
      </c>
      <c r="Q149" s="312">
        <f t="shared" si="28"/>
        <v>1050</v>
      </c>
      <c r="R149" s="312">
        <f t="shared" si="31"/>
        <v>300</v>
      </c>
      <c r="S149" s="160">
        <f>IF(AND('Total income package'!$A$8=TRUE,OR(F149="Yes",G149="Yes",H149="Yes")),SUM(J149:N149)-R149,0)</f>
        <v>1760</v>
      </c>
    </row>
    <row r="150" spans="1:19" x14ac:dyDescent="0.25">
      <c r="A150" s="6">
        <v>72500</v>
      </c>
      <c r="B150" s="7">
        <f t="shared" si="22"/>
        <v>6041.666666666667</v>
      </c>
      <c r="C150" s="7">
        <f>'Total income package'!$D$80</f>
        <v>0</v>
      </c>
      <c r="D150" s="7">
        <f t="shared" si="29"/>
        <v>6041.666666666667</v>
      </c>
      <c r="E150" s="65">
        <f t="shared" si="30"/>
        <v>1.8743536711478801</v>
      </c>
      <c r="F150" s="65" t="str">
        <f t="shared" si="23"/>
        <v>Yes</v>
      </c>
      <c r="G150" s="65" t="str">
        <f t="shared" si="24"/>
        <v>No</v>
      </c>
      <c r="H150" s="301" t="str">
        <f>IF(OR('TANF-VIEW'!L154&gt;0,'TANF-VIEW'!T154&gt;0),"Yes","No")</f>
        <v>No</v>
      </c>
      <c r="I150" s="63">
        <f t="shared" si="25"/>
        <v>350</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0</v>
      </c>
      <c r="O150" s="6">
        <f t="shared" si="26"/>
        <v>700</v>
      </c>
      <c r="P150" s="312">
        <f t="shared" si="27"/>
        <v>302.08333333333337</v>
      </c>
      <c r="Q150" s="312">
        <f t="shared" si="28"/>
        <v>1050</v>
      </c>
      <c r="R150" s="312">
        <f t="shared" si="31"/>
        <v>302.08333333333337</v>
      </c>
      <c r="S150" s="160">
        <f>IF(AND('Total income package'!$A$8=TRUE,OR(F150="Yes",G150="Yes",H150="Yes")),SUM(J150:N150)-R150,0)</f>
        <v>1757.9166666666665</v>
      </c>
    </row>
    <row r="151" spans="1:19" x14ac:dyDescent="0.25">
      <c r="A151" s="6">
        <v>73000</v>
      </c>
      <c r="B151" s="7">
        <f t="shared" si="22"/>
        <v>6083.333333333333</v>
      </c>
      <c r="C151" s="7">
        <f>'Total income package'!$D$80</f>
        <v>0</v>
      </c>
      <c r="D151" s="7">
        <f t="shared" si="29"/>
        <v>6083.333333333333</v>
      </c>
      <c r="E151" s="65">
        <f t="shared" si="30"/>
        <v>1.8872802481902791</v>
      </c>
      <c r="F151" s="65" t="str">
        <f t="shared" si="23"/>
        <v>Yes</v>
      </c>
      <c r="G151" s="65" t="str">
        <f t="shared" si="24"/>
        <v>No</v>
      </c>
      <c r="H151" s="301" t="str">
        <f>IF(OR('TANF-VIEW'!L155&gt;0,'TANF-VIEW'!T155&gt;0),"Yes","No")</f>
        <v>No</v>
      </c>
      <c r="I151" s="63">
        <f t="shared" si="25"/>
        <v>350</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0</v>
      </c>
      <c r="O151" s="6">
        <f t="shared" si="26"/>
        <v>700</v>
      </c>
      <c r="P151" s="312">
        <f t="shared" si="27"/>
        <v>304.16666666666669</v>
      </c>
      <c r="Q151" s="312">
        <f t="shared" si="28"/>
        <v>1050</v>
      </c>
      <c r="R151" s="312">
        <f t="shared" si="31"/>
        <v>304.16666666666669</v>
      </c>
      <c r="S151" s="160">
        <f>IF(AND('Total income package'!$A$8=TRUE,OR(F151="Yes",G151="Yes",H151="Yes")),SUM(J151:N151)-R151,0)</f>
        <v>1755.8333333333333</v>
      </c>
    </row>
    <row r="152" spans="1:19" x14ac:dyDescent="0.25">
      <c r="A152" s="6">
        <v>73500</v>
      </c>
      <c r="B152" s="7">
        <f t="shared" si="22"/>
        <v>6125</v>
      </c>
      <c r="C152" s="7">
        <f>'Total income package'!$D$80</f>
        <v>0</v>
      </c>
      <c r="D152" s="7">
        <f t="shared" si="29"/>
        <v>6125</v>
      </c>
      <c r="E152" s="65">
        <f t="shared" si="30"/>
        <v>1.9002068252326783</v>
      </c>
      <c r="F152" s="65" t="str">
        <f t="shared" si="23"/>
        <v>Yes</v>
      </c>
      <c r="G152" s="65" t="str">
        <f t="shared" si="24"/>
        <v>No</v>
      </c>
      <c r="H152" s="301" t="str">
        <f>IF(OR('TANF-VIEW'!L156&gt;0,'TANF-VIEW'!T156&gt;0),"Yes","No")</f>
        <v>No</v>
      </c>
      <c r="I152" s="63">
        <f t="shared" si="25"/>
        <v>350</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0</v>
      </c>
      <c r="O152" s="6">
        <f t="shared" si="26"/>
        <v>700</v>
      </c>
      <c r="P152" s="312">
        <f t="shared" si="27"/>
        <v>306.25</v>
      </c>
      <c r="Q152" s="312">
        <f t="shared" si="28"/>
        <v>1050</v>
      </c>
      <c r="R152" s="312">
        <f t="shared" si="31"/>
        <v>306.25</v>
      </c>
      <c r="S152" s="160">
        <f>IF(AND('Total income package'!$A$8=TRUE,OR(F152="Yes",G152="Yes",H152="Yes")),SUM(J152:N152)-R152,0)</f>
        <v>1753.75</v>
      </c>
    </row>
    <row r="153" spans="1:19" x14ac:dyDescent="0.25">
      <c r="A153" s="6">
        <v>74000</v>
      </c>
      <c r="B153" s="7">
        <f t="shared" si="22"/>
        <v>6166.666666666667</v>
      </c>
      <c r="C153" s="7">
        <f>'Total income package'!$D$80</f>
        <v>0</v>
      </c>
      <c r="D153" s="7">
        <f t="shared" si="29"/>
        <v>6166.666666666667</v>
      </c>
      <c r="E153" s="65">
        <f t="shared" si="30"/>
        <v>1.9131334022750777</v>
      </c>
      <c r="F153" s="65" t="str">
        <f t="shared" si="23"/>
        <v>Yes</v>
      </c>
      <c r="G153" s="65" t="str">
        <f t="shared" si="24"/>
        <v>No</v>
      </c>
      <c r="H153" s="301" t="str">
        <f>IF(OR('TANF-VIEW'!L157&gt;0,'TANF-VIEW'!T157&gt;0),"Yes","No")</f>
        <v>No</v>
      </c>
      <c r="I153" s="63">
        <f t="shared" si="25"/>
        <v>350</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0</v>
      </c>
      <c r="O153" s="6">
        <f t="shared" si="26"/>
        <v>700</v>
      </c>
      <c r="P153" s="312">
        <f t="shared" si="27"/>
        <v>308.33333333333337</v>
      </c>
      <c r="Q153" s="312">
        <f t="shared" si="28"/>
        <v>1050</v>
      </c>
      <c r="R153" s="312">
        <f t="shared" si="31"/>
        <v>308.33333333333337</v>
      </c>
      <c r="S153" s="160">
        <f>IF(AND('Total income package'!$A$8=TRUE,OR(F153="Yes",G153="Yes",H153="Yes")),SUM(J153:N153)-R153,0)</f>
        <v>1751.6666666666665</v>
      </c>
    </row>
    <row r="154" spans="1:19" x14ac:dyDescent="0.25">
      <c r="A154" s="6">
        <v>74500</v>
      </c>
      <c r="B154" s="7">
        <f t="shared" si="22"/>
        <v>6208.333333333333</v>
      </c>
      <c r="C154" s="7">
        <f>'Total income package'!$D$80</f>
        <v>0</v>
      </c>
      <c r="D154" s="7">
        <f t="shared" si="29"/>
        <v>6208.333333333333</v>
      </c>
      <c r="E154" s="65">
        <f t="shared" si="30"/>
        <v>1.9260599793174766</v>
      </c>
      <c r="F154" s="65" t="str">
        <f t="shared" si="23"/>
        <v>Yes</v>
      </c>
      <c r="G154" s="65" t="str">
        <f t="shared" si="24"/>
        <v>No</v>
      </c>
      <c r="H154" s="301" t="str">
        <f>IF(OR('TANF-VIEW'!L158&gt;0,'TANF-VIEW'!T158&gt;0),"Yes","No")</f>
        <v>No</v>
      </c>
      <c r="I154" s="63">
        <f t="shared" si="25"/>
        <v>350</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0</v>
      </c>
      <c r="O154" s="6">
        <f t="shared" si="26"/>
        <v>700</v>
      </c>
      <c r="P154" s="312">
        <f t="shared" si="27"/>
        <v>310.41666666666669</v>
      </c>
      <c r="Q154" s="312">
        <f t="shared" si="28"/>
        <v>1050</v>
      </c>
      <c r="R154" s="312">
        <f t="shared" si="31"/>
        <v>310.41666666666669</v>
      </c>
      <c r="S154" s="160">
        <f>IF(AND('Total income package'!$A$8=TRUE,OR(F154="Yes",G154="Yes",H154="Yes")),SUM(J154:N154)-R154,0)</f>
        <v>1749.5833333333333</v>
      </c>
    </row>
    <row r="155" spans="1:19" x14ac:dyDescent="0.25">
      <c r="A155" s="6">
        <v>75000</v>
      </c>
      <c r="B155" s="7">
        <f t="shared" si="22"/>
        <v>6250</v>
      </c>
      <c r="C155" s="7">
        <f>'Total income package'!$D$80</f>
        <v>0</v>
      </c>
      <c r="D155" s="7">
        <f t="shared" si="29"/>
        <v>6250</v>
      </c>
      <c r="E155" s="65">
        <f t="shared" si="30"/>
        <v>1.9389865563598758</v>
      </c>
      <c r="F155" s="65" t="str">
        <f t="shared" si="23"/>
        <v>Yes</v>
      </c>
      <c r="G155" s="65" t="str">
        <f t="shared" si="24"/>
        <v>No</v>
      </c>
      <c r="H155" s="301" t="str">
        <f>IF(OR('TANF-VIEW'!L159&gt;0,'TANF-VIEW'!T159&gt;0),"Yes","No")</f>
        <v>No</v>
      </c>
      <c r="I155" s="63">
        <f t="shared" si="25"/>
        <v>350</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0</v>
      </c>
      <c r="O155" s="6">
        <f t="shared" si="26"/>
        <v>700</v>
      </c>
      <c r="P155" s="312">
        <f t="shared" si="27"/>
        <v>312.5</v>
      </c>
      <c r="Q155" s="312">
        <f t="shared" si="28"/>
        <v>1050</v>
      </c>
      <c r="R155" s="312">
        <f t="shared" si="31"/>
        <v>312.5</v>
      </c>
      <c r="S155" s="160">
        <f>IF(AND('Total income package'!$A$8=TRUE,OR(F155="Yes",G155="Yes",H155="Yes")),SUM(J155:N155)-R155,0)</f>
        <v>1747.5</v>
      </c>
    </row>
    <row r="156" spans="1:19" x14ac:dyDescent="0.25">
      <c r="A156" s="6">
        <v>75500</v>
      </c>
      <c r="B156" s="7">
        <f t="shared" si="22"/>
        <v>6291.666666666667</v>
      </c>
      <c r="C156" s="7">
        <f>'Total income package'!$D$80</f>
        <v>0</v>
      </c>
      <c r="D156" s="7">
        <f t="shared" si="29"/>
        <v>6291.666666666667</v>
      </c>
      <c r="E156" s="65">
        <f t="shared" si="30"/>
        <v>1.951913133402275</v>
      </c>
      <c r="F156" s="65" t="str">
        <f t="shared" si="23"/>
        <v>Yes</v>
      </c>
      <c r="G156" s="65" t="str">
        <f t="shared" si="24"/>
        <v>No</v>
      </c>
      <c r="H156" s="301" t="str">
        <f>IF(OR('TANF-VIEW'!L160&gt;0,'TANF-VIEW'!T160&gt;0),"Yes","No")</f>
        <v>No</v>
      </c>
      <c r="I156" s="63">
        <f t="shared" si="25"/>
        <v>350</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0</v>
      </c>
      <c r="O156" s="6">
        <f t="shared" si="26"/>
        <v>700</v>
      </c>
      <c r="P156" s="312">
        <f t="shared" si="27"/>
        <v>314.58333333333337</v>
      </c>
      <c r="Q156" s="312">
        <f t="shared" si="28"/>
        <v>1050</v>
      </c>
      <c r="R156" s="312">
        <f t="shared" si="31"/>
        <v>314.58333333333337</v>
      </c>
      <c r="S156" s="160">
        <f>IF(AND('Total income package'!$A$8=TRUE,OR(F156="Yes",G156="Yes",H156="Yes")),SUM(J156:N156)-R156,0)</f>
        <v>1745.4166666666665</v>
      </c>
    </row>
    <row r="157" spans="1:19" x14ac:dyDescent="0.25">
      <c r="A157" s="6">
        <v>76000</v>
      </c>
      <c r="B157" s="7">
        <f t="shared" si="22"/>
        <v>6333.333333333333</v>
      </c>
      <c r="C157" s="7">
        <f>'Total income package'!$D$80</f>
        <v>0</v>
      </c>
      <c r="D157" s="7">
        <f t="shared" si="29"/>
        <v>6333.333333333333</v>
      </c>
      <c r="E157" s="65">
        <f t="shared" si="30"/>
        <v>1.964839710444674</v>
      </c>
      <c r="F157" s="65" t="str">
        <f t="shared" si="23"/>
        <v>Yes</v>
      </c>
      <c r="G157" s="65" t="str">
        <f t="shared" si="24"/>
        <v>No</v>
      </c>
      <c r="H157" s="301" t="str">
        <f>IF(OR('TANF-VIEW'!L161&gt;0,'TANF-VIEW'!T161&gt;0),"Yes","No")</f>
        <v>No</v>
      </c>
      <c r="I157" s="63">
        <f t="shared" si="25"/>
        <v>350</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0</v>
      </c>
      <c r="O157" s="6">
        <f t="shared" si="26"/>
        <v>700</v>
      </c>
      <c r="P157" s="312">
        <f t="shared" si="27"/>
        <v>316.66666666666669</v>
      </c>
      <c r="Q157" s="312">
        <f t="shared" si="28"/>
        <v>1050</v>
      </c>
      <c r="R157" s="312">
        <f t="shared" si="31"/>
        <v>316.66666666666669</v>
      </c>
      <c r="S157" s="160">
        <f>IF(AND('Total income package'!$A$8=TRUE,OR(F157="Yes",G157="Yes",H157="Yes")),SUM(J157:N157)-R157,0)</f>
        <v>1743.3333333333333</v>
      </c>
    </row>
    <row r="158" spans="1:19" x14ac:dyDescent="0.25">
      <c r="A158" s="6">
        <v>76500</v>
      </c>
      <c r="B158" s="7">
        <f t="shared" si="22"/>
        <v>6375</v>
      </c>
      <c r="C158" s="7">
        <f>'Total income package'!$D$80</f>
        <v>0</v>
      </c>
      <c r="D158" s="7">
        <f t="shared" si="29"/>
        <v>6375</v>
      </c>
      <c r="E158" s="65">
        <f t="shared" si="30"/>
        <v>1.9777662874870734</v>
      </c>
      <c r="F158" s="65" t="str">
        <f t="shared" si="23"/>
        <v>Yes</v>
      </c>
      <c r="G158" s="65" t="str">
        <f t="shared" si="24"/>
        <v>No</v>
      </c>
      <c r="H158" s="301" t="str">
        <f>IF(OR('TANF-VIEW'!L162&gt;0,'TANF-VIEW'!T162&gt;0),"Yes","No")</f>
        <v>No</v>
      </c>
      <c r="I158" s="63">
        <f t="shared" si="25"/>
        <v>350</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0</v>
      </c>
      <c r="O158" s="6">
        <f t="shared" si="26"/>
        <v>700</v>
      </c>
      <c r="P158" s="312">
        <f t="shared" si="27"/>
        <v>318.75</v>
      </c>
      <c r="Q158" s="312">
        <f t="shared" si="28"/>
        <v>1050</v>
      </c>
      <c r="R158" s="312">
        <f t="shared" si="31"/>
        <v>318.75</v>
      </c>
      <c r="S158" s="160">
        <f>IF(AND('Total income package'!$A$8=TRUE,OR(F158="Yes",G158="Yes",H158="Yes")),SUM(J158:N158)-R158,0)</f>
        <v>1741.25</v>
      </c>
    </row>
    <row r="159" spans="1:19" x14ac:dyDescent="0.25">
      <c r="A159" s="6">
        <v>77000</v>
      </c>
      <c r="B159" s="7">
        <f t="shared" si="22"/>
        <v>6416.666666666667</v>
      </c>
      <c r="C159" s="7">
        <f>'Total income package'!$D$80</f>
        <v>0</v>
      </c>
      <c r="D159" s="7">
        <f t="shared" si="29"/>
        <v>6416.666666666667</v>
      </c>
      <c r="E159" s="65">
        <f t="shared" si="30"/>
        <v>1.9906928645294726</v>
      </c>
      <c r="F159" s="65" t="str">
        <f t="shared" si="23"/>
        <v>Yes</v>
      </c>
      <c r="G159" s="65" t="str">
        <f t="shared" si="24"/>
        <v>No</v>
      </c>
      <c r="H159" s="301" t="str">
        <f>IF(OR('TANF-VIEW'!L163&gt;0,'TANF-VIEW'!T163&gt;0),"Yes","No")</f>
        <v>No</v>
      </c>
      <c r="I159" s="63">
        <f t="shared" si="25"/>
        <v>350</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0</v>
      </c>
      <c r="O159" s="6">
        <f t="shared" si="26"/>
        <v>700</v>
      </c>
      <c r="P159" s="312">
        <f t="shared" si="27"/>
        <v>320.83333333333337</v>
      </c>
      <c r="Q159" s="312">
        <f t="shared" si="28"/>
        <v>1050</v>
      </c>
      <c r="R159" s="312">
        <f t="shared" si="31"/>
        <v>320.83333333333337</v>
      </c>
      <c r="S159" s="160">
        <f>IF(AND('Total income package'!$A$8=TRUE,OR(F159="Yes",G159="Yes",H159="Yes")),SUM(J159:N159)-R159,0)</f>
        <v>1739.1666666666665</v>
      </c>
    </row>
    <row r="160" spans="1:19" x14ac:dyDescent="0.25">
      <c r="A160" s="6">
        <v>77500</v>
      </c>
      <c r="B160" s="7">
        <f t="shared" si="22"/>
        <v>6458.333333333333</v>
      </c>
      <c r="C160" s="7">
        <f>'Total income package'!$D$80</f>
        <v>0</v>
      </c>
      <c r="D160" s="7">
        <f t="shared" si="29"/>
        <v>6458.333333333333</v>
      </c>
      <c r="E160" s="65">
        <f t="shared" si="30"/>
        <v>2.0036194415718716</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0</v>
      </c>
      <c r="O160" s="6">
        <f t="shared" si="26"/>
        <v>900</v>
      </c>
      <c r="P160" s="312">
        <f t="shared" si="27"/>
        <v>322.91666666666669</v>
      </c>
      <c r="Q160" s="312">
        <f t="shared" si="28"/>
        <v>1350</v>
      </c>
      <c r="R160" s="312">
        <f t="shared" si="31"/>
        <v>322.91666666666669</v>
      </c>
      <c r="S160" s="160">
        <f>IF(AND('Total income package'!$A$8=TRUE,OR(F160="Yes",G160="Yes",H160="Yes")),SUM(J160:N160)-R160,0)</f>
        <v>1737.0833333333333</v>
      </c>
    </row>
    <row r="161" spans="1:19" x14ac:dyDescent="0.25">
      <c r="A161" s="6">
        <v>78000</v>
      </c>
      <c r="B161" s="7">
        <f t="shared" si="22"/>
        <v>6500</v>
      </c>
      <c r="C161" s="7">
        <f>'Total income package'!$D$80</f>
        <v>0</v>
      </c>
      <c r="D161" s="7">
        <f t="shared" si="29"/>
        <v>6500</v>
      </c>
      <c r="E161" s="65">
        <f t="shared" si="30"/>
        <v>2.016546018614271</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0</v>
      </c>
      <c r="O161" s="6">
        <f t="shared" si="26"/>
        <v>900</v>
      </c>
      <c r="P161" s="312">
        <f t="shared" si="27"/>
        <v>325</v>
      </c>
      <c r="Q161" s="312">
        <f t="shared" si="28"/>
        <v>1350</v>
      </c>
      <c r="R161" s="312">
        <f t="shared" si="31"/>
        <v>325</v>
      </c>
      <c r="S161" s="160">
        <f>IF(AND('Total income package'!$A$8=TRUE,OR(F161="Yes",G161="Yes",H161="Yes")),SUM(J161:N161)-R161,0)</f>
        <v>1735</v>
      </c>
    </row>
    <row r="162" spans="1:19" x14ac:dyDescent="0.25">
      <c r="A162" s="6">
        <v>78500</v>
      </c>
      <c r="B162" s="7">
        <f t="shared" si="22"/>
        <v>6541.666666666667</v>
      </c>
      <c r="C162" s="7">
        <f>'Total income package'!$D$80</f>
        <v>0</v>
      </c>
      <c r="D162" s="7">
        <f t="shared" si="29"/>
        <v>6541.666666666667</v>
      </c>
      <c r="E162" s="65">
        <f t="shared" si="30"/>
        <v>2.0294725956566699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0</v>
      </c>
      <c r="O162" s="6">
        <f t="shared" si="26"/>
        <v>900</v>
      </c>
      <c r="P162" s="312">
        <f t="shared" si="27"/>
        <v>327.08333333333337</v>
      </c>
      <c r="Q162" s="312">
        <f t="shared" si="28"/>
        <v>1350</v>
      </c>
      <c r="R162" s="312">
        <f t="shared" si="31"/>
        <v>327.08333333333337</v>
      </c>
      <c r="S162" s="160">
        <f>IF(AND('Total income package'!$A$8=TRUE,OR(F162="Yes",G162="Yes",H162="Yes")),SUM(J162:N162)-R162,0)</f>
        <v>1732.9166666666665</v>
      </c>
    </row>
    <row r="163" spans="1:19" x14ac:dyDescent="0.25">
      <c r="A163" s="6">
        <v>79000</v>
      </c>
      <c r="B163" s="7">
        <f t="shared" si="22"/>
        <v>6583.333333333333</v>
      </c>
      <c r="C163" s="7">
        <f>'Total income package'!$D$80</f>
        <v>0</v>
      </c>
      <c r="D163" s="7">
        <f t="shared" si="29"/>
        <v>6583.333333333333</v>
      </c>
      <c r="E163" s="65">
        <f t="shared" si="30"/>
        <v>2.0423991726990689</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0</v>
      </c>
      <c r="O163" s="6">
        <f t="shared" si="26"/>
        <v>900</v>
      </c>
      <c r="P163" s="312">
        <f t="shared" si="27"/>
        <v>329.16666666666669</v>
      </c>
      <c r="Q163" s="312">
        <f t="shared" si="28"/>
        <v>1350</v>
      </c>
      <c r="R163" s="312">
        <f t="shared" si="31"/>
        <v>329.16666666666669</v>
      </c>
      <c r="S163" s="160">
        <f>IF(AND('Total income package'!$A$8=TRUE,OR(F163="Yes",G163="Yes",H163="Yes")),SUM(J163:N163)-R163,0)</f>
        <v>1730.8333333333333</v>
      </c>
    </row>
    <row r="164" spans="1:19" x14ac:dyDescent="0.25">
      <c r="A164" s="6">
        <v>79500</v>
      </c>
      <c r="B164" s="7">
        <f t="shared" si="22"/>
        <v>6625</v>
      </c>
      <c r="C164" s="7">
        <f>'Total income package'!$D$80</f>
        <v>0</v>
      </c>
      <c r="D164" s="7">
        <f t="shared" si="29"/>
        <v>6625</v>
      </c>
      <c r="E164" s="65">
        <f t="shared" si="30"/>
        <v>2.0553257497414683</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0</v>
      </c>
      <c r="O164" s="6">
        <f t="shared" si="26"/>
        <v>900</v>
      </c>
      <c r="P164" s="312">
        <f t="shared" si="27"/>
        <v>331.25</v>
      </c>
      <c r="Q164" s="312">
        <f t="shared" si="28"/>
        <v>1350</v>
      </c>
      <c r="R164" s="312">
        <f t="shared" si="31"/>
        <v>331.25</v>
      </c>
      <c r="S164" s="160">
        <f>IF(AND('Total income package'!$A$8=TRUE,OR(F164="Yes",G164="Yes",H164="Yes")),SUM(J164:N164)-R164,0)</f>
        <v>1728.75</v>
      </c>
    </row>
    <row r="165" spans="1:19" x14ac:dyDescent="0.25">
      <c r="A165" s="6">
        <v>80000</v>
      </c>
      <c r="B165" s="7">
        <f t="shared" si="22"/>
        <v>6666.666666666667</v>
      </c>
      <c r="C165" s="7">
        <f>'Total income package'!$D$80</f>
        <v>0</v>
      </c>
      <c r="D165" s="7">
        <f t="shared" si="29"/>
        <v>6666.666666666667</v>
      </c>
      <c r="E165" s="65">
        <f t="shared" si="30"/>
        <v>2.0682523267838677</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1726.6666666666665</v>
      </c>
    </row>
    <row r="166" spans="1:19" x14ac:dyDescent="0.25">
      <c r="A166" s="6">
        <v>80500</v>
      </c>
      <c r="B166" s="7">
        <f t="shared" si="22"/>
        <v>6708.333333333333</v>
      </c>
      <c r="C166" s="7">
        <f>'Total income package'!$D$80</f>
        <v>0</v>
      </c>
      <c r="D166" s="7">
        <f t="shared" si="29"/>
        <v>6708.333333333333</v>
      </c>
      <c r="E166" s="65">
        <f t="shared" si="30"/>
        <v>2.0811789038262667</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0</v>
      </c>
      <c r="O166" s="6">
        <f t="shared" si="26"/>
        <v>900</v>
      </c>
      <c r="P166" s="312">
        <f t="shared" si="32"/>
        <v>335.41666666666669</v>
      </c>
      <c r="Q166" s="312">
        <f t="shared" si="28"/>
        <v>1350</v>
      </c>
      <c r="R166" s="312">
        <f t="shared" si="31"/>
        <v>335.41666666666669</v>
      </c>
      <c r="S166" s="160">
        <f>IF(AND('Total income package'!$A$8=TRUE,OR(F166="Yes",G166="Yes",H166="Yes")),SUM(J166:N166)-R166,0)</f>
        <v>1724.5833333333333</v>
      </c>
    </row>
    <row r="167" spans="1:19" x14ac:dyDescent="0.25">
      <c r="A167" s="6">
        <v>81000</v>
      </c>
      <c r="B167" s="7">
        <f t="shared" si="22"/>
        <v>6750</v>
      </c>
      <c r="C167" s="7">
        <f>'Total income package'!$D$80</f>
        <v>0</v>
      </c>
      <c r="D167" s="7">
        <f t="shared" si="29"/>
        <v>6750</v>
      </c>
      <c r="E167" s="65">
        <f t="shared" si="30"/>
        <v>2.0941054808686657</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0</v>
      </c>
      <c r="O167" s="6">
        <f t="shared" si="26"/>
        <v>900</v>
      </c>
      <c r="P167" s="312">
        <f t="shared" si="32"/>
        <v>337.5</v>
      </c>
      <c r="Q167" s="312">
        <f t="shared" si="28"/>
        <v>1350</v>
      </c>
      <c r="R167" s="312">
        <f t="shared" si="31"/>
        <v>337.5</v>
      </c>
      <c r="S167" s="160">
        <f>IF(AND('Total income package'!$A$8=TRUE,OR(F167="Yes",G167="Yes",H167="Yes")),SUM(J167:N167)-R167,0)</f>
        <v>1722.5</v>
      </c>
    </row>
    <row r="168" spans="1:19" x14ac:dyDescent="0.25">
      <c r="A168" s="6">
        <v>81500</v>
      </c>
      <c r="B168" s="7">
        <f t="shared" si="22"/>
        <v>6791.666666666667</v>
      </c>
      <c r="C168" s="7">
        <f>'Total income package'!$D$80</f>
        <v>0</v>
      </c>
      <c r="D168" s="7">
        <f t="shared" si="29"/>
        <v>6791.666666666667</v>
      </c>
      <c r="E168" s="65">
        <f t="shared" si="30"/>
        <v>2.1070320579110651</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0</v>
      </c>
      <c r="O168" s="6">
        <f t="shared" si="26"/>
        <v>900</v>
      </c>
      <c r="P168" s="312">
        <f t="shared" si="32"/>
        <v>339.58333333333337</v>
      </c>
      <c r="Q168" s="312">
        <f t="shared" si="28"/>
        <v>1350</v>
      </c>
      <c r="R168" s="312">
        <f t="shared" si="31"/>
        <v>339.58333333333337</v>
      </c>
      <c r="S168" s="160">
        <f>IF(AND('Total income package'!$A$8=TRUE,OR(F168="Yes",G168="Yes",H168="Yes")),SUM(J168:N168)-R168,0)</f>
        <v>1720.4166666666665</v>
      </c>
    </row>
    <row r="169" spans="1:19" x14ac:dyDescent="0.25">
      <c r="A169" s="6">
        <v>82000</v>
      </c>
      <c r="B169" s="7">
        <f t="shared" si="22"/>
        <v>6833.333333333333</v>
      </c>
      <c r="C169" s="7">
        <f>'Total income package'!$D$80</f>
        <v>0</v>
      </c>
      <c r="D169" s="7">
        <f t="shared" si="29"/>
        <v>6833.333333333333</v>
      </c>
      <c r="E169" s="65">
        <f t="shared" si="30"/>
        <v>2.119958634953464</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0</v>
      </c>
      <c r="O169" s="6">
        <f t="shared" si="26"/>
        <v>900</v>
      </c>
      <c r="P169" s="312">
        <f t="shared" si="32"/>
        <v>341.66666666666669</v>
      </c>
      <c r="Q169" s="312">
        <f t="shared" si="28"/>
        <v>1350</v>
      </c>
      <c r="R169" s="312">
        <f t="shared" si="31"/>
        <v>341.66666666666669</v>
      </c>
      <c r="S169" s="160">
        <f>IF(AND('Total income package'!$A$8=TRUE,OR(F169="Yes",G169="Yes",H169="Yes")),SUM(J169:N169)-R169,0)</f>
        <v>1718.3333333333333</v>
      </c>
    </row>
    <row r="170" spans="1:19" x14ac:dyDescent="0.25">
      <c r="A170" s="6">
        <v>82500</v>
      </c>
      <c r="B170" s="7">
        <f t="shared" si="22"/>
        <v>6875</v>
      </c>
      <c r="C170" s="7">
        <f>'Total income package'!$D$80</f>
        <v>0</v>
      </c>
      <c r="D170" s="7">
        <f t="shared" si="29"/>
        <v>6875</v>
      </c>
      <c r="E170" s="65">
        <f t="shared" si="30"/>
        <v>2.1328852119958635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0</v>
      </c>
      <c r="O170" s="6">
        <f t="shared" si="26"/>
        <v>900</v>
      </c>
      <c r="P170" s="312">
        <f t="shared" si="32"/>
        <v>343.75</v>
      </c>
      <c r="Q170" s="312">
        <f t="shared" si="28"/>
        <v>1350</v>
      </c>
      <c r="R170" s="312">
        <f t="shared" si="31"/>
        <v>343.75</v>
      </c>
      <c r="S170" s="160">
        <f>IF(AND('Total income package'!$A$8=TRUE,OR(F170="Yes",G170="Yes",H170="Yes")),SUM(J170:N170)-R170,0)</f>
        <v>1716.25</v>
      </c>
    </row>
    <row r="171" spans="1:19" x14ac:dyDescent="0.25">
      <c r="A171" s="6">
        <v>83000</v>
      </c>
      <c r="B171" s="7">
        <f t="shared" si="22"/>
        <v>6916.666666666667</v>
      </c>
      <c r="C171" s="7">
        <f>'Total income package'!$D$80</f>
        <v>0</v>
      </c>
      <c r="D171" s="7">
        <f t="shared" si="29"/>
        <v>6916.666666666667</v>
      </c>
      <c r="E171" s="65">
        <f t="shared" si="30"/>
        <v>2.1458117890382629</v>
      </c>
      <c r="F171" s="65" t="str">
        <f t="shared" si="23"/>
        <v>Yes</v>
      </c>
      <c r="G171" s="65" t="str">
        <f t="shared" si="24"/>
        <v>No</v>
      </c>
      <c r="H171" s="301" t="str">
        <f>IF(OR('TANF-VIEW'!L175&gt;0,'TANF-VIEW'!T175&gt;0),"Yes","No")</f>
        <v>No</v>
      </c>
      <c r="I171" s="63">
        <f t="shared" si="25"/>
        <v>450</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0</v>
      </c>
      <c r="O171" s="6">
        <f t="shared" si="26"/>
        <v>900</v>
      </c>
      <c r="P171" s="312">
        <f t="shared" si="32"/>
        <v>345.83333333333337</v>
      </c>
      <c r="Q171" s="312">
        <f t="shared" si="28"/>
        <v>1350</v>
      </c>
      <c r="R171" s="312">
        <f t="shared" si="31"/>
        <v>345.83333333333337</v>
      </c>
      <c r="S171" s="160">
        <f>IF(AND('Total income package'!$A$8=TRUE,OR(F171="Yes",G171="Yes",H171="Yes")),SUM(J171:N171)-R171,0)</f>
        <v>1714.1666666666665</v>
      </c>
    </row>
    <row r="172" spans="1:19" x14ac:dyDescent="0.25">
      <c r="A172" s="6">
        <v>83500</v>
      </c>
      <c r="B172" s="7">
        <f t="shared" si="22"/>
        <v>6958.333333333333</v>
      </c>
      <c r="C172" s="7">
        <f>'Total income package'!$D$80</f>
        <v>0</v>
      </c>
      <c r="D172" s="7">
        <f t="shared" si="29"/>
        <v>6958.333333333333</v>
      </c>
      <c r="E172" s="65">
        <f t="shared" si="30"/>
        <v>2.1587383660806618</v>
      </c>
      <c r="F172" s="65" t="str">
        <f t="shared" si="23"/>
        <v>Yes</v>
      </c>
      <c r="G172" s="65" t="str">
        <f t="shared" si="24"/>
        <v>No</v>
      </c>
      <c r="H172" s="301" t="str">
        <f>IF(OR('TANF-VIEW'!L176&gt;0,'TANF-VIEW'!T176&gt;0),"Yes","No")</f>
        <v>No</v>
      </c>
      <c r="I172" s="63">
        <f t="shared" si="25"/>
        <v>450</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0</v>
      </c>
      <c r="O172" s="6">
        <f t="shared" si="26"/>
        <v>900</v>
      </c>
      <c r="P172" s="312">
        <f t="shared" si="32"/>
        <v>347.91666666666669</v>
      </c>
      <c r="Q172" s="312">
        <f t="shared" si="28"/>
        <v>1350</v>
      </c>
      <c r="R172" s="312">
        <f t="shared" si="31"/>
        <v>347.91666666666669</v>
      </c>
      <c r="S172" s="160">
        <f>IF(AND('Total income package'!$A$8=TRUE,OR(F172="Yes",G172="Yes",H172="Yes")),SUM(J172:N172)-R172,0)</f>
        <v>1712.0833333333333</v>
      </c>
    </row>
    <row r="173" spans="1:19" x14ac:dyDescent="0.25">
      <c r="A173" s="6">
        <v>84000</v>
      </c>
      <c r="B173" s="7">
        <f t="shared" ref="B173:B204" si="33">A173/12</f>
        <v>7000</v>
      </c>
      <c r="C173" s="7">
        <f>'Total income package'!$D$80</f>
        <v>0</v>
      </c>
      <c r="D173" s="7">
        <f t="shared" si="29"/>
        <v>7000</v>
      </c>
      <c r="E173" s="65">
        <f t="shared" si="30"/>
        <v>2.1716649431230608</v>
      </c>
      <c r="F173" s="65" t="str">
        <f t="shared" si="23"/>
        <v>Yes</v>
      </c>
      <c r="G173" s="65" t="str">
        <f t="shared" si="24"/>
        <v>No</v>
      </c>
      <c r="H173" s="301" t="str">
        <f>IF(OR('TANF-VIEW'!L177&gt;0,'TANF-VIEW'!T177&gt;0),"Yes","No")</f>
        <v>No</v>
      </c>
      <c r="I173" s="63">
        <f t="shared" si="25"/>
        <v>450</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0</v>
      </c>
      <c r="O173" s="6">
        <f t="shared" si="26"/>
        <v>900</v>
      </c>
      <c r="P173" s="312">
        <f t="shared" si="32"/>
        <v>350</v>
      </c>
      <c r="Q173" s="312">
        <f t="shared" si="28"/>
        <v>1350</v>
      </c>
      <c r="R173" s="312">
        <f t="shared" si="31"/>
        <v>350</v>
      </c>
      <c r="S173" s="160">
        <f>IF(AND('Total income package'!$A$8=TRUE,OR(F173="Yes",G173="Yes",H173="Yes")),SUM(J173:N173)-R173,0)</f>
        <v>1710</v>
      </c>
    </row>
    <row r="174" spans="1:19" x14ac:dyDescent="0.25">
      <c r="A174" s="6">
        <v>84500</v>
      </c>
      <c r="B174" s="7">
        <f t="shared" si="33"/>
        <v>7041.666666666667</v>
      </c>
      <c r="C174" s="7">
        <f>'Total income package'!$D$80</f>
        <v>0</v>
      </c>
      <c r="D174" s="7">
        <f t="shared" si="29"/>
        <v>7041.666666666667</v>
      </c>
      <c r="E174" s="65">
        <f t="shared" si="30"/>
        <v>2.1845915201654602</v>
      </c>
      <c r="F174" s="65" t="str">
        <f t="shared" si="23"/>
        <v>Yes</v>
      </c>
      <c r="G174" s="65" t="str">
        <f t="shared" si="24"/>
        <v>No</v>
      </c>
      <c r="H174" s="301" t="str">
        <f>IF(OR('TANF-VIEW'!L178&gt;0,'TANF-VIEW'!T178&gt;0),"Yes","No")</f>
        <v>No</v>
      </c>
      <c r="I174" s="63">
        <f t="shared" si="25"/>
        <v>450</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0</v>
      </c>
      <c r="O174" s="6">
        <f t="shared" si="26"/>
        <v>900</v>
      </c>
      <c r="P174" s="312">
        <f t="shared" si="32"/>
        <v>352.08333333333337</v>
      </c>
      <c r="Q174" s="312">
        <f t="shared" si="28"/>
        <v>1350</v>
      </c>
      <c r="R174" s="312">
        <f t="shared" si="31"/>
        <v>352.08333333333337</v>
      </c>
      <c r="S174" s="160">
        <f>IF(AND('Total income package'!$A$8=TRUE,OR(F174="Yes",G174="Yes",H174="Yes")),SUM(J174:N174)-R174,0)</f>
        <v>1707.9166666666665</v>
      </c>
    </row>
    <row r="175" spans="1:19" x14ac:dyDescent="0.25">
      <c r="A175" s="6">
        <v>85000</v>
      </c>
      <c r="B175" s="7">
        <f t="shared" si="33"/>
        <v>7083.333333333333</v>
      </c>
      <c r="C175" s="7">
        <f>'Total income package'!$D$80</f>
        <v>0</v>
      </c>
      <c r="D175" s="7">
        <f t="shared" si="29"/>
        <v>7083.333333333333</v>
      </c>
      <c r="E175" s="65">
        <f t="shared" si="30"/>
        <v>2.1975180972078592</v>
      </c>
      <c r="F175" s="65" t="str">
        <f t="shared" si="23"/>
        <v>Yes</v>
      </c>
      <c r="G175" s="65" t="str">
        <f t="shared" si="24"/>
        <v>No</v>
      </c>
      <c r="H175" s="301" t="str">
        <f>IF(OR('TANF-VIEW'!L179&gt;0,'TANF-VIEW'!T179&gt;0),"Yes","No")</f>
        <v>No</v>
      </c>
      <c r="I175" s="63">
        <f t="shared" si="25"/>
        <v>450</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0</v>
      </c>
      <c r="O175" s="6">
        <f t="shared" si="26"/>
        <v>900</v>
      </c>
      <c r="P175" s="312">
        <f t="shared" si="32"/>
        <v>354.16666666666669</v>
      </c>
      <c r="Q175" s="312">
        <f t="shared" si="28"/>
        <v>1350</v>
      </c>
      <c r="R175" s="312">
        <f t="shared" si="31"/>
        <v>354.16666666666669</v>
      </c>
      <c r="S175" s="160">
        <f>IF(AND('Total income package'!$A$8=TRUE,OR(F175="Yes",G175="Yes",H175="Yes")),SUM(J175:N175)-R175,0)</f>
        <v>1705.8333333333333</v>
      </c>
    </row>
    <row r="176" spans="1:19" x14ac:dyDescent="0.25">
      <c r="A176" s="6">
        <v>85500</v>
      </c>
      <c r="B176" s="7">
        <f t="shared" si="33"/>
        <v>7125</v>
      </c>
      <c r="C176" s="7">
        <f>'Total income package'!$D$80</f>
        <v>0</v>
      </c>
      <c r="D176" s="7">
        <f t="shared" si="29"/>
        <v>7125</v>
      </c>
      <c r="E176" s="65">
        <f t="shared" si="30"/>
        <v>2.2104446742502586</v>
      </c>
      <c r="F176" s="65" t="str">
        <f t="shared" si="23"/>
        <v>Yes</v>
      </c>
      <c r="G176" s="65" t="str">
        <f t="shared" si="24"/>
        <v>No</v>
      </c>
      <c r="H176" s="301" t="str">
        <f>IF(OR('TANF-VIEW'!L180&gt;0,'TANF-VIEW'!T180&gt;0),"Yes","No")</f>
        <v>No</v>
      </c>
      <c r="I176" s="63">
        <f t="shared" si="25"/>
        <v>450</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0</v>
      </c>
      <c r="O176" s="6">
        <f t="shared" si="26"/>
        <v>900</v>
      </c>
      <c r="P176" s="312">
        <f t="shared" si="32"/>
        <v>356.25</v>
      </c>
      <c r="Q176" s="312">
        <f t="shared" si="28"/>
        <v>1350</v>
      </c>
      <c r="R176" s="312">
        <f t="shared" si="31"/>
        <v>356.25</v>
      </c>
      <c r="S176" s="160">
        <f>IF(AND('Total income package'!$A$8=TRUE,OR(F176="Yes",G176="Yes",H176="Yes")),SUM(J176:N176)-R176,0)</f>
        <v>1703.75</v>
      </c>
    </row>
    <row r="177" spans="1:19" x14ac:dyDescent="0.25">
      <c r="A177" s="6">
        <v>86000</v>
      </c>
      <c r="B177" s="7">
        <f t="shared" si="33"/>
        <v>7166.666666666667</v>
      </c>
      <c r="C177" s="7">
        <f>'Total income package'!$D$80</f>
        <v>0</v>
      </c>
      <c r="D177" s="7">
        <f t="shared" si="29"/>
        <v>7166.666666666667</v>
      </c>
      <c r="E177" s="65">
        <f t="shared" si="30"/>
        <v>2.2233712512926576</v>
      </c>
      <c r="F177" s="65" t="str">
        <f t="shared" si="23"/>
        <v>Yes</v>
      </c>
      <c r="G177" s="65" t="str">
        <f t="shared" si="24"/>
        <v>No</v>
      </c>
      <c r="H177" s="301" t="str">
        <f>IF(OR('TANF-VIEW'!L181&gt;0,'TANF-VIEW'!T181&gt;0),"Yes","No")</f>
        <v>No</v>
      </c>
      <c r="I177" s="63">
        <f t="shared" si="25"/>
        <v>450</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0</v>
      </c>
      <c r="O177" s="6">
        <f t="shared" si="26"/>
        <v>900</v>
      </c>
      <c r="P177" s="312">
        <f t="shared" si="32"/>
        <v>358.33333333333337</v>
      </c>
      <c r="Q177" s="312">
        <f t="shared" si="28"/>
        <v>1350</v>
      </c>
      <c r="R177" s="312">
        <f t="shared" si="31"/>
        <v>358.33333333333337</v>
      </c>
      <c r="S177" s="160">
        <f>IF(AND('Total income package'!$A$8=TRUE,OR(F177="Yes",G177="Yes",H177="Yes")),SUM(J177:N177)-R177,0)</f>
        <v>1701.6666666666665</v>
      </c>
    </row>
    <row r="178" spans="1:19" x14ac:dyDescent="0.25">
      <c r="A178" s="6">
        <v>86500</v>
      </c>
      <c r="B178" s="7">
        <f t="shared" si="33"/>
        <v>7208.333333333333</v>
      </c>
      <c r="C178" s="7">
        <f>'Total income package'!$D$80</f>
        <v>0</v>
      </c>
      <c r="D178" s="7">
        <f t="shared" si="29"/>
        <v>7208.333333333333</v>
      </c>
      <c r="E178" s="65">
        <f t="shared" si="30"/>
        <v>2.2362978283350565</v>
      </c>
      <c r="F178" s="65" t="str">
        <f t="shared" si="23"/>
        <v>Yes</v>
      </c>
      <c r="G178" s="65" t="str">
        <f t="shared" si="24"/>
        <v>No</v>
      </c>
      <c r="H178" s="301" t="str">
        <f>IF(OR('TANF-VIEW'!L182&gt;0,'TANF-VIEW'!T182&gt;0),"Yes","No")</f>
        <v>No</v>
      </c>
      <c r="I178" s="63">
        <f t="shared" si="25"/>
        <v>450</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0</v>
      </c>
      <c r="O178" s="6">
        <f t="shared" si="26"/>
        <v>900</v>
      </c>
      <c r="P178" s="312">
        <f t="shared" si="32"/>
        <v>360.41666666666669</v>
      </c>
      <c r="Q178" s="312">
        <f t="shared" si="28"/>
        <v>1350</v>
      </c>
      <c r="R178" s="312">
        <f t="shared" si="31"/>
        <v>360.41666666666669</v>
      </c>
      <c r="S178" s="160">
        <f>IF(AND('Total income package'!$A$8=TRUE,OR(F178="Yes",G178="Yes",H178="Yes")),SUM(J178:N178)-R178,0)</f>
        <v>1699.5833333333333</v>
      </c>
    </row>
    <row r="179" spans="1:19" x14ac:dyDescent="0.25">
      <c r="A179" s="6">
        <v>87000</v>
      </c>
      <c r="B179" s="7">
        <f t="shared" si="33"/>
        <v>7250</v>
      </c>
      <c r="C179" s="7">
        <f>'Total income package'!$D$80</f>
        <v>0</v>
      </c>
      <c r="D179" s="7">
        <f t="shared" si="29"/>
        <v>7250</v>
      </c>
      <c r="E179" s="65">
        <f t="shared" si="30"/>
        <v>2.2492244053774559</v>
      </c>
      <c r="F179" s="65" t="str">
        <f t="shared" si="23"/>
        <v>Yes</v>
      </c>
      <c r="G179" s="65" t="str">
        <f t="shared" si="24"/>
        <v>No</v>
      </c>
      <c r="H179" s="301" t="str">
        <f>IF(OR('TANF-VIEW'!L183&gt;0,'TANF-VIEW'!T183&gt;0),"Yes","No")</f>
        <v>No</v>
      </c>
      <c r="I179" s="63">
        <f t="shared" si="25"/>
        <v>450</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0</v>
      </c>
      <c r="O179" s="6">
        <f t="shared" si="26"/>
        <v>900</v>
      </c>
      <c r="P179" s="312">
        <f t="shared" si="32"/>
        <v>362.5</v>
      </c>
      <c r="Q179" s="312">
        <f t="shared" si="28"/>
        <v>1350</v>
      </c>
      <c r="R179" s="312">
        <f t="shared" si="31"/>
        <v>362.5</v>
      </c>
      <c r="S179" s="160">
        <f>IF(AND('Total income package'!$A$8=TRUE,OR(F179="Yes",G179="Yes",H179="Yes")),SUM(J179:N179)-R179,0)</f>
        <v>1697.5</v>
      </c>
    </row>
    <row r="180" spans="1:19" x14ac:dyDescent="0.25">
      <c r="A180" s="6">
        <v>87500</v>
      </c>
      <c r="B180" s="7">
        <f t="shared" si="33"/>
        <v>7291.666666666667</v>
      </c>
      <c r="C180" s="7">
        <f>'Total income package'!$D$80</f>
        <v>0</v>
      </c>
      <c r="D180" s="7">
        <f t="shared" si="29"/>
        <v>7291.666666666667</v>
      </c>
      <c r="E180" s="65">
        <f t="shared" si="30"/>
        <v>2.2621509824198553</v>
      </c>
      <c r="F180" s="65" t="str">
        <f t="shared" si="23"/>
        <v>Yes</v>
      </c>
      <c r="G180" s="65" t="str">
        <f t="shared" si="24"/>
        <v>No</v>
      </c>
      <c r="H180" s="301" t="str">
        <f>IF(OR('TANF-VIEW'!L184&gt;0,'TANF-VIEW'!T184&gt;0),"Yes","No")</f>
        <v>No</v>
      </c>
      <c r="I180" s="63">
        <f t="shared" si="25"/>
        <v>450</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0</v>
      </c>
      <c r="O180" s="6">
        <f t="shared" si="26"/>
        <v>900</v>
      </c>
      <c r="P180" s="312">
        <f t="shared" si="32"/>
        <v>364.58333333333337</v>
      </c>
      <c r="Q180" s="312">
        <f t="shared" si="28"/>
        <v>1350</v>
      </c>
      <c r="R180" s="312">
        <f t="shared" si="31"/>
        <v>364.58333333333337</v>
      </c>
      <c r="S180" s="160">
        <f>IF(AND('Total income package'!$A$8=TRUE,OR(F180="Yes",G180="Yes",H180="Yes")),SUM(J180:N180)-R180,0)</f>
        <v>1695.4166666666665</v>
      </c>
    </row>
    <row r="181" spans="1:19" x14ac:dyDescent="0.25">
      <c r="A181" s="6">
        <v>88000</v>
      </c>
      <c r="B181" s="7">
        <f t="shared" si="33"/>
        <v>7333.333333333333</v>
      </c>
      <c r="C181" s="7">
        <f>'Total income package'!$D$80</f>
        <v>0</v>
      </c>
      <c r="D181" s="7">
        <f t="shared" si="29"/>
        <v>7333.333333333333</v>
      </c>
      <c r="E181" s="65">
        <f t="shared" si="30"/>
        <v>2.2750775594622543</v>
      </c>
      <c r="F181" s="65" t="str">
        <f t="shared" si="23"/>
        <v>Yes</v>
      </c>
      <c r="G181" s="65" t="str">
        <f t="shared" si="24"/>
        <v>No</v>
      </c>
      <c r="H181" s="301" t="str">
        <f>IF(OR('TANF-VIEW'!L185&gt;0,'TANF-VIEW'!T185&gt;0),"Yes","No")</f>
        <v>No</v>
      </c>
      <c r="I181" s="63">
        <f t="shared" si="25"/>
        <v>450</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0</v>
      </c>
      <c r="O181" s="6">
        <f t="shared" si="26"/>
        <v>900</v>
      </c>
      <c r="P181" s="312">
        <f t="shared" si="32"/>
        <v>366.66666666666669</v>
      </c>
      <c r="Q181" s="312">
        <f t="shared" si="28"/>
        <v>1350</v>
      </c>
      <c r="R181" s="312">
        <f t="shared" si="31"/>
        <v>366.66666666666669</v>
      </c>
      <c r="S181" s="160">
        <f>IF(AND('Total income package'!$A$8=TRUE,OR(F181="Yes",G181="Yes",H181="Yes")),SUM(J181:N181)-R181,0)</f>
        <v>1693.3333333333333</v>
      </c>
    </row>
    <row r="182" spans="1:19" x14ac:dyDescent="0.25">
      <c r="A182" s="6">
        <v>88500</v>
      </c>
      <c r="B182" s="7">
        <f t="shared" si="33"/>
        <v>7375</v>
      </c>
      <c r="C182" s="7">
        <f>'Total income package'!$D$80</f>
        <v>0</v>
      </c>
      <c r="D182" s="7">
        <f t="shared" si="29"/>
        <v>7375</v>
      </c>
      <c r="E182" s="65">
        <f t="shared" si="30"/>
        <v>2.2880041365046533</v>
      </c>
      <c r="F182" s="65" t="str">
        <f t="shared" si="23"/>
        <v>Yes</v>
      </c>
      <c r="G182" s="65" t="str">
        <f t="shared" si="24"/>
        <v>No</v>
      </c>
      <c r="H182" s="301" t="str">
        <f>IF(OR('TANF-VIEW'!L186&gt;0,'TANF-VIEW'!T186&gt;0),"Yes","No")</f>
        <v>No</v>
      </c>
      <c r="I182" s="63">
        <f t="shared" si="25"/>
        <v>450</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0</v>
      </c>
      <c r="O182" s="6">
        <f t="shared" si="26"/>
        <v>900</v>
      </c>
      <c r="P182" s="312">
        <f t="shared" si="32"/>
        <v>368.75</v>
      </c>
      <c r="Q182" s="312">
        <f t="shared" si="28"/>
        <v>1350</v>
      </c>
      <c r="R182" s="312">
        <f t="shared" si="31"/>
        <v>368.75</v>
      </c>
      <c r="S182" s="160">
        <f>IF(AND('Total income package'!$A$8=TRUE,OR(F182="Yes",G182="Yes",H182="Yes")),SUM(J182:N182)-R182,0)</f>
        <v>1691.25</v>
      </c>
    </row>
    <row r="183" spans="1:19" x14ac:dyDescent="0.25">
      <c r="A183" s="6">
        <v>89000</v>
      </c>
      <c r="B183" s="7">
        <f t="shared" si="33"/>
        <v>7416.666666666667</v>
      </c>
      <c r="C183" s="7">
        <f>'Total income package'!$D$80</f>
        <v>0</v>
      </c>
      <c r="D183" s="7">
        <f t="shared" si="29"/>
        <v>7416.666666666667</v>
      </c>
      <c r="E183" s="65">
        <f t="shared" si="30"/>
        <v>2.3009307135470527</v>
      </c>
      <c r="F183" s="65" t="str">
        <f t="shared" si="23"/>
        <v>Yes</v>
      </c>
      <c r="G183" s="65" t="str">
        <f t="shared" si="24"/>
        <v>No</v>
      </c>
      <c r="H183" s="301" t="str">
        <f>IF(OR('TANF-VIEW'!L187&gt;0,'TANF-VIEW'!T187&gt;0),"Yes","No")</f>
        <v>No</v>
      </c>
      <c r="I183" s="63">
        <f t="shared" si="25"/>
        <v>450</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0</v>
      </c>
      <c r="O183" s="6">
        <f t="shared" si="26"/>
        <v>900</v>
      </c>
      <c r="P183" s="312">
        <f t="shared" si="32"/>
        <v>370.83333333333337</v>
      </c>
      <c r="Q183" s="312">
        <f t="shared" si="28"/>
        <v>1350</v>
      </c>
      <c r="R183" s="312">
        <f t="shared" si="31"/>
        <v>370.83333333333337</v>
      </c>
      <c r="S183" s="160">
        <f>IF(AND('Total income package'!$A$8=TRUE,OR(F183="Yes",G183="Yes",H183="Yes")),SUM(J183:N183)-R183,0)</f>
        <v>1689.1666666666665</v>
      </c>
    </row>
    <row r="184" spans="1:19" x14ac:dyDescent="0.25">
      <c r="A184" s="6">
        <v>89500</v>
      </c>
      <c r="B184" s="7">
        <f t="shared" si="33"/>
        <v>7458.333333333333</v>
      </c>
      <c r="C184" s="7">
        <f>'Total income package'!$D$80</f>
        <v>0</v>
      </c>
      <c r="D184" s="7">
        <f t="shared" si="29"/>
        <v>7458.333333333333</v>
      </c>
      <c r="E184" s="65">
        <f t="shared" si="30"/>
        <v>2.3138572905894517</v>
      </c>
      <c r="F184" s="65" t="str">
        <f t="shared" si="23"/>
        <v>Yes</v>
      </c>
      <c r="G184" s="65" t="str">
        <f t="shared" si="24"/>
        <v>No</v>
      </c>
      <c r="H184" s="301" t="str">
        <f>IF(OR('TANF-VIEW'!L188&gt;0,'TANF-VIEW'!T188&gt;0),"Yes","No")</f>
        <v>No</v>
      </c>
      <c r="I184" s="63">
        <f t="shared" si="25"/>
        <v>450</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0</v>
      </c>
      <c r="O184" s="6">
        <f t="shared" si="26"/>
        <v>900</v>
      </c>
      <c r="P184" s="312">
        <f t="shared" si="32"/>
        <v>372.91666666666669</v>
      </c>
      <c r="Q184" s="312">
        <f t="shared" si="28"/>
        <v>1350</v>
      </c>
      <c r="R184" s="312">
        <f t="shared" si="31"/>
        <v>372.91666666666669</v>
      </c>
      <c r="S184" s="160">
        <f>IF(AND('Total income package'!$A$8=TRUE,OR(F184="Yes",G184="Yes",H184="Yes")),SUM(J184:N184)-R184,0)</f>
        <v>1687.0833333333333</v>
      </c>
    </row>
    <row r="185" spans="1:19" x14ac:dyDescent="0.25">
      <c r="A185" s="6">
        <v>90000</v>
      </c>
      <c r="B185" s="7">
        <f t="shared" si="33"/>
        <v>7500</v>
      </c>
      <c r="C185" s="7">
        <f>'Total income package'!$D$80</f>
        <v>0</v>
      </c>
      <c r="D185" s="7">
        <f t="shared" si="29"/>
        <v>7500</v>
      </c>
      <c r="E185" s="65">
        <f t="shared" si="30"/>
        <v>2.3267838676318511</v>
      </c>
      <c r="F185" s="65" t="str">
        <f t="shared" si="23"/>
        <v>Yes</v>
      </c>
      <c r="G185" s="65" t="str">
        <f t="shared" si="24"/>
        <v>No</v>
      </c>
      <c r="H185" s="301" t="str">
        <f>IF(OR('TANF-VIEW'!L189&gt;0,'TANF-VIEW'!T189&gt;0),"Yes","No")</f>
        <v>No</v>
      </c>
      <c r="I185" s="63">
        <f t="shared" si="25"/>
        <v>450</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0</v>
      </c>
      <c r="O185" s="6">
        <f t="shared" si="26"/>
        <v>900</v>
      </c>
      <c r="P185" s="312">
        <f t="shared" si="32"/>
        <v>375</v>
      </c>
      <c r="Q185" s="312">
        <f t="shared" si="28"/>
        <v>1350</v>
      </c>
      <c r="R185" s="312">
        <f t="shared" si="31"/>
        <v>375</v>
      </c>
      <c r="S185" s="160">
        <f>IF(AND('Total income package'!$A$8=TRUE,OR(F185="Yes",G185="Yes",H185="Yes")),SUM(J185:N185)-R185,0)</f>
        <v>1685</v>
      </c>
    </row>
    <row r="186" spans="1:19" x14ac:dyDescent="0.25">
      <c r="A186" s="6">
        <v>90500</v>
      </c>
      <c r="B186" s="7">
        <f t="shared" si="33"/>
        <v>7541.666666666667</v>
      </c>
      <c r="C186" s="7">
        <f>'Total income package'!$D$80</f>
        <v>0</v>
      </c>
      <c r="D186" s="7">
        <f t="shared" si="29"/>
        <v>7541.666666666667</v>
      </c>
      <c r="E186" s="65">
        <f t="shared" si="30"/>
        <v>2.33971044467425</v>
      </c>
      <c r="F186" s="65" t="str">
        <f t="shared" si="23"/>
        <v>Yes</v>
      </c>
      <c r="G186" s="65" t="str">
        <f t="shared" si="24"/>
        <v>No</v>
      </c>
      <c r="H186" s="301" t="str">
        <f>IF(OR('TANF-VIEW'!L190&gt;0,'TANF-VIEW'!T190&gt;0),"Yes","No")</f>
        <v>No</v>
      </c>
      <c r="I186" s="63">
        <f t="shared" si="25"/>
        <v>450</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0</v>
      </c>
      <c r="O186" s="6">
        <f t="shared" si="26"/>
        <v>900</v>
      </c>
      <c r="P186" s="312">
        <f t="shared" si="32"/>
        <v>377.08333333333337</v>
      </c>
      <c r="Q186" s="312">
        <f t="shared" si="28"/>
        <v>1350</v>
      </c>
      <c r="R186" s="312">
        <f t="shared" si="31"/>
        <v>377.08333333333337</v>
      </c>
      <c r="S186" s="160">
        <f>IF(AND('Total income package'!$A$8=TRUE,OR(F186="Yes",G186="Yes",H186="Yes")),SUM(J186:N186)-R186,0)</f>
        <v>1682.9166666666665</v>
      </c>
    </row>
    <row r="187" spans="1:19" x14ac:dyDescent="0.25">
      <c r="A187" s="6">
        <v>91000</v>
      </c>
      <c r="B187" s="7">
        <f t="shared" si="33"/>
        <v>7583.333333333333</v>
      </c>
      <c r="C187" s="7">
        <f>'Total income package'!$D$80</f>
        <v>0</v>
      </c>
      <c r="D187" s="7">
        <f t="shared" si="29"/>
        <v>7583.333333333333</v>
      </c>
      <c r="E187" s="65">
        <f t="shared" si="30"/>
        <v>2.352637021716649</v>
      </c>
      <c r="F187" s="65" t="str">
        <f t="shared" si="23"/>
        <v>Yes</v>
      </c>
      <c r="G187" s="65" t="str">
        <f t="shared" si="24"/>
        <v>No</v>
      </c>
      <c r="H187" s="301" t="str">
        <f>IF(OR('TANF-VIEW'!L191&gt;0,'TANF-VIEW'!T191&gt;0),"Yes","No")</f>
        <v>No</v>
      </c>
      <c r="I187" s="63">
        <f t="shared" si="25"/>
        <v>450</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0</v>
      </c>
      <c r="O187" s="6">
        <f t="shared" si="26"/>
        <v>900</v>
      </c>
      <c r="P187" s="312">
        <f t="shared" si="32"/>
        <v>379.16666666666669</v>
      </c>
      <c r="Q187" s="312">
        <f t="shared" si="28"/>
        <v>1350</v>
      </c>
      <c r="R187" s="312">
        <f t="shared" si="31"/>
        <v>379.16666666666669</v>
      </c>
      <c r="S187" s="160">
        <f>IF(AND('Total income package'!$A$8=TRUE,OR(F187="Yes",G187="Yes",H187="Yes")),SUM(J187:N187)-R187,0)</f>
        <v>1680.8333333333333</v>
      </c>
    </row>
    <row r="188" spans="1:19" x14ac:dyDescent="0.25">
      <c r="A188" s="6">
        <v>91500</v>
      </c>
      <c r="B188" s="7">
        <f t="shared" si="33"/>
        <v>7625</v>
      </c>
      <c r="C188" s="7">
        <f>'Total income package'!$D$80</f>
        <v>0</v>
      </c>
      <c r="D188" s="7">
        <f t="shared" si="29"/>
        <v>7625</v>
      </c>
      <c r="E188" s="65">
        <f t="shared" si="30"/>
        <v>2.3655635987590484</v>
      </c>
      <c r="F188" s="65" t="str">
        <f t="shared" si="23"/>
        <v>Yes</v>
      </c>
      <c r="G188" s="65" t="str">
        <f t="shared" si="24"/>
        <v>No</v>
      </c>
      <c r="H188" s="301" t="str">
        <f>IF(OR('TANF-VIEW'!L192&gt;0,'TANF-VIEW'!T192&gt;0),"Yes","No")</f>
        <v>No</v>
      </c>
      <c r="I188" s="63">
        <f t="shared" si="25"/>
        <v>450</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0</v>
      </c>
      <c r="O188" s="6">
        <f t="shared" si="26"/>
        <v>900</v>
      </c>
      <c r="P188" s="312">
        <f t="shared" si="32"/>
        <v>381.25</v>
      </c>
      <c r="Q188" s="312">
        <f t="shared" si="28"/>
        <v>1350</v>
      </c>
      <c r="R188" s="312">
        <f t="shared" si="31"/>
        <v>381.25</v>
      </c>
      <c r="S188" s="160">
        <f>IF(AND('Total income package'!$A$8=TRUE,OR(F188="Yes",G188="Yes",H188="Yes")),SUM(J188:N188)-R188,0)</f>
        <v>1678.75</v>
      </c>
    </row>
    <row r="189" spans="1:19" x14ac:dyDescent="0.25">
      <c r="A189" s="6">
        <v>92000</v>
      </c>
      <c r="B189" s="7">
        <f t="shared" si="33"/>
        <v>7666.666666666667</v>
      </c>
      <c r="C189" s="7">
        <f>'Total income package'!$D$80</f>
        <v>0</v>
      </c>
      <c r="D189" s="7">
        <f t="shared" si="29"/>
        <v>7666.666666666667</v>
      </c>
      <c r="E189" s="65">
        <f t="shared" si="30"/>
        <v>2.3784901758014478</v>
      </c>
      <c r="F189" s="65" t="str">
        <f t="shared" si="23"/>
        <v>Yes</v>
      </c>
      <c r="G189" s="65" t="str">
        <f t="shared" si="24"/>
        <v>No</v>
      </c>
      <c r="H189" s="301" t="str">
        <f>IF(OR('TANF-VIEW'!L193&gt;0,'TANF-VIEW'!T193&gt;0),"Yes","No")</f>
        <v>No</v>
      </c>
      <c r="I189" s="63">
        <f t="shared" si="25"/>
        <v>450</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0</v>
      </c>
      <c r="O189" s="6">
        <f t="shared" si="26"/>
        <v>900</v>
      </c>
      <c r="P189" s="312">
        <f t="shared" si="32"/>
        <v>383.33333333333337</v>
      </c>
      <c r="Q189" s="312">
        <f t="shared" si="28"/>
        <v>1350</v>
      </c>
      <c r="R189" s="312">
        <f t="shared" si="31"/>
        <v>383.33333333333337</v>
      </c>
      <c r="S189" s="160">
        <f>IF(AND('Total income package'!$A$8=TRUE,OR(F189="Yes",G189="Yes",H189="Yes")),SUM(J189:N189)-R189,0)</f>
        <v>1676.6666666666665</v>
      </c>
    </row>
    <row r="190" spans="1:19" x14ac:dyDescent="0.25">
      <c r="A190" s="6">
        <v>92500</v>
      </c>
      <c r="B190" s="7">
        <f t="shared" si="33"/>
        <v>7708.333333333333</v>
      </c>
      <c r="C190" s="7">
        <f>'Total income package'!$D$80</f>
        <v>0</v>
      </c>
      <c r="D190" s="7">
        <f t="shared" si="29"/>
        <v>7708.333333333333</v>
      </c>
      <c r="E190" s="65">
        <f t="shared" si="30"/>
        <v>2.3914167528438468</v>
      </c>
      <c r="F190" s="65" t="str">
        <f t="shared" si="23"/>
        <v>Yes</v>
      </c>
      <c r="G190" s="65" t="str">
        <f t="shared" si="24"/>
        <v>No</v>
      </c>
      <c r="H190" s="301" t="str">
        <f>IF(OR('TANF-VIEW'!L194&gt;0,'TANF-VIEW'!T194&gt;0),"Yes","No")</f>
        <v>No</v>
      </c>
      <c r="I190" s="63">
        <f t="shared" si="25"/>
        <v>450</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0</v>
      </c>
      <c r="O190" s="6">
        <f t="shared" si="26"/>
        <v>900</v>
      </c>
      <c r="P190" s="312">
        <f t="shared" si="32"/>
        <v>385.41666666666669</v>
      </c>
      <c r="Q190" s="312">
        <f t="shared" si="28"/>
        <v>1350</v>
      </c>
      <c r="R190" s="312">
        <f t="shared" si="31"/>
        <v>385.41666666666669</v>
      </c>
      <c r="S190" s="160">
        <f>IF(AND('Total income package'!$A$8=TRUE,OR(F190="Yes",G190="Yes",H190="Yes")),SUM(J190:N190)-R190,0)</f>
        <v>1674.5833333333333</v>
      </c>
    </row>
    <row r="191" spans="1:19" x14ac:dyDescent="0.25">
      <c r="A191" s="6">
        <v>93000</v>
      </c>
      <c r="B191" s="7">
        <f t="shared" si="33"/>
        <v>7750</v>
      </c>
      <c r="C191" s="7">
        <f>'Total income package'!$D$80</f>
        <v>0</v>
      </c>
      <c r="D191" s="7">
        <f t="shared" si="29"/>
        <v>7750</v>
      </c>
      <c r="E191" s="65">
        <f t="shared" si="30"/>
        <v>2.4043433298862462</v>
      </c>
      <c r="F191" s="65" t="str">
        <f t="shared" si="23"/>
        <v>Yes</v>
      </c>
      <c r="G191" s="65" t="str">
        <f t="shared" si="24"/>
        <v>No</v>
      </c>
      <c r="H191" s="301" t="str">
        <f>IF(OR('TANF-VIEW'!L195&gt;0,'TANF-VIEW'!T195&gt;0),"Yes","No")</f>
        <v>No</v>
      </c>
      <c r="I191" s="63">
        <f t="shared" si="25"/>
        <v>450</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0</v>
      </c>
      <c r="O191" s="6">
        <f t="shared" si="26"/>
        <v>900</v>
      </c>
      <c r="P191" s="312">
        <f t="shared" si="32"/>
        <v>387.5</v>
      </c>
      <c r="Q191" s="312">
        <f t="shared" si="28"/>
        <v>1350</v>
      </c>
      <c r="R191" s="312">
        <f t="shared" si="31"/>
        <v>387.5</v>
      </c>
      <c r="S191" s="160">
        <f>IF(AND('Total income package'!$A$8=TRUE,OR(F191="Yes",G191="Yes",H191="Yes")),SUM(J191:N191)-R191,0)</f>
        <v>1672.5</v>
      </c>
    </row>
    <row r="192" spans="1:19" x14ac:dyDescent="0.25">
      <c r="A192" s="6">
        <v>93500</v>
      </c>
      <c r="B192" s="7">
        <f t="shared" si="33"/>
        <v>7791.666666666667</v>
      </c>
      <c r="C192" s="7">
        <f>'Total income package'!$D$80</f>
        <v>0</v>
      </c>
      <c r="D192" s="7">
        <f t="shared" si="29"/>
        <v>7791.666666666667</v>
      </c>
      <c r="E192" s="65">
        <f t="shared" si="30"/>
        <v>2.4172699069286452</v>
      </c>
      <c r="F192" s="65" t="str">
        <f t="shared" si="23"/>
        <v>Yes</v>
      </c>
      <c r="G192" s="65" t="str">
        <f t="shared" si="24"/>
        <v>No</v>
      </c>
      <c r="H192" s="301" t="str">
        <f>IF(OR('TANF-VIEW'!L196&gt;0,'TANF-VIEW'!T196&gt;0),"Yes","No")</f>
        <v>No</v>
      </c>
      <c r="I192" s="63">
        <f t="shared" si="25"/>
        <v>450</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0</v>
      </c>
      <c r="O192" s="6">
        <f t="shared" si="26"/>
        <v>900</v>
      </c>
      <c r="P192" s="312">
        <f t="shared" si="32"/>
        <v>389.58333333333337</v>
      </c>
      <c r="Q192" s="312">
        <f t="shared" si="28"/>
        <v>1350</v>
      </c>
      <c r="R192" s="312">
        <f t="shared" si="31"/>
        <v>389.58333333333337</v>
      </c>
      <c r="S192" s="160">
        <f>IF(AND('Total income package'!$A$8=TRUE,OR(F192="Yes",G192="Yes",H192="Yes")),SUM(J192:N192)-R192,0)</f>
        <v>1670.4166666666665</v>
      </c>
    </row>
    <row r="193" spans="1:19" x14ac:dyDescent="0.25">
      <c r="A193" s="6">
        <v>94000</v>
      </c>
      <c r="B193" s="7">
        <f t="shared" si="33"/>
        <v>7833.333333333333</v>
      </c>
      <c r="C193" s="7">
        <f>'Total income package'!$D$80</f>
        <v>0</v>
      </c>
      <c r="D193" s="7">
        <f t="shared" si="29"/>
        <v>7833.333333333333</v>
      </c>
      <c r="E193" s="65">
        <f t="shared" si="30"/>
        <v>2.4301964839710442</v>
      </c>
      <c r="F193" s="65" t="str">
        <f t="shared" si="23"/>
        <v>Yes</v>
      </c>
      <c r="G193" s="65" t="str">
        <f t="shared" si="24"/>
        <v>No</v>
      </c>
      <c r="H193" s="301" t="str">
        <f>IF(OR('TANF-VIEW'!L197&gt;0,'TANF-VIEW'!T197&gt;0),"Yes","No")</f>
        <v>No</v>
      </c>
      <c r="I193" s="63">
        <f t="shared" si="25"/>
        <v>450</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0</v>
      </c>
      <c r="O193" s="6">
        <f t="shared" si="26"/>
        <v>900</v>
      </c>
      <c r="P193" s="312">
        <f t="shared" si="32"/>
        <v>391.66666666666669</v>
      </c>
      <c r="Q193" s="312">
        <f t="shared" si="28"/>
        <v>1350</v>
      </c>
      <c r="R193" s="312">
        <f t="shared" si="31"/>
        <v>391.66666666666669</v>
      </c>
      <c r="S193" s="160">
        <f>IF(AND('Total income package'!$A$8=TRUE,OR(F193="Yes",G193="Yes",H193="Yes")),SUM(J193:N193)-R193,0)</f>
        <v>1668.3333333333333</v>
      </c>
    </row>
    <row r="194" spans="1:19" x14ac:dyDescent="0.25">
      <c r="A194" s="6">
        <v>94500</v>
      </c>
      <c r="B194" s="7">
        <f t="shared" si="33"/>
        <v>7875</v>
      </c>
      <c r="C194" s="7">
        <f>'Total income package'!$D$80</f>
        <v>0</v>
      </c>
      <c r="D194" s="7">
        <f t="shared" si="29"/>
        <v>7875</v>
      </c>
      <c r="E194" s="65">
        <f t="shared" si="30"/>
        <v>2.4431230610134436</v>
      </c>
      <c r="F194" s="65" t="str">
        <f t="shared" si="23"/>
        <v>Yes</v>
      </c>
      <c r="G194" s="65" t="str">
        <f t="shared" si="24"/>
        <v>No</v>
      </c>
      <c r="H194" s="301" t="str">
        <f>IF(OR('TANF-VIEW'!L198&gt;0,'TANF-VIEW'!T198&gt;0),"Yes","No")</f>
        <v>No</v>
      </c>
      <c r="I194" s="63">
        <f t="shared" si="25"/>
        <v>450</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0</v>
      </c>
      <c r="O194" s="6">
        <f t="shared" si="26"/>
        <v>900</v>
      </c>
      <c r="P194" s="312">
        <f t="shared" si="32"/>
        <v>393.75</v>
      </c>
      <c r="Q194" s="312">
        <f t="shared" si="28"/>
        <v>1350</v>
      </c>
      <c r="R194" s="312">
        <f t="shared" si="31"/>
        <v>393.75</v>
      </c>
      <c r="S194" s="160">
        <f>IF(AND('Total income package'!$A$8=TRUE,OR(F194="Yes",G194="Yes",H194="Yes")),SUM(J194:N194)-R194,0)</f>
        <v>1666.25</v>
      </c>
    </row>
    <row r="195" spans="1:19" x14ac:dyDescent="0.25">
      <c r="A195" s="6">
        <v>95000</v>
      </c>
      <c r="B195" s="7">
        <f t="shared" si="33"/>
        <v>7916.666666666667</v>
      </c>
      <c r="C195" s="7">
        <f>'Total income package'!$D$80</f>
        <v>0</v>
      </c>
      <c r="D195" s="7">
        <f t="shared" si="29"/>
        <v>7916.666666666667</v>
      </c>
      <c r="E195" s="65">
        <f t="shared" si="30"/>
        <v>2.456049638055843</v>
      </c>
      <c r="F195" s="65" t="str">
        <f t="shared" si="23"/>
        <v>Yes</v>
      </c>
      <c r="G195" s="65" t="str">
        <f t="shared" si="24"/>
        <v>No</v>
      </c>
      <c r="H195" s="301" t="str">
        <f>IF(OR('TANF-VIEW'!L199&gt;0,'TANF-VIEW'!T199&gt;0),"Yes","No")</f>
        <v>No</v>
      </c>
      <c r="I195" s="63">
        <f t="shared" si="25"/>
        <v>450</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0</v>
      </c>
      <c r="O195" s="6">
        <f t="shared" si="26"/>
        <v>900</v>
      </c>
      <c r="P195" s="312">
        <f t="shared" si="32"/>
        <v>395.83333333333337</v>
      </c>
      <c r="Q195" s="312">
        <f t="shared" si="28"/>
        <v>1350</v>
      </c>
      <c r="R195" s="312">
        <f t="shared" si="31"/>
        <v>395.83333333333337</v>
      </c>
      <c r="S195" s="160">
        <f>IF(AND('Total income package'!$A$8=TRUE,OR(F195="Yes",G195="Yes",H195="Yes")),SUM(J195:N195)-R195,0)</f>
        <v>1664.1666666666665</v>
      </c>
    </row>
    <row r="196" spans="1:19" x14ac:dyDescent="0.25">
      <c r="A196" s="6">
        <v>95500</v>
      </c>
      <c r="B196" s="7">
        <f t="shared" si="33"/>
        <v>7958.333333333333</v>
      </c>
      <c r="C196" s="7">
        <f>'Total income package'!$D$80</f>
        <v>0</v>
      </c>
      <c r="D196" s="7">
        <f t="shared" si="29"/>
        <v>7958.333333333333</v>
      </c>
      <c r="E196" s="65">
        <f t="shared" si="30"/>
        <v>2.4689762150982419</v>
      </c>
      <c r="F196" s="65" t="str">
        <f t="shared" si="23"/>
        <v>Yes</v>
      </c>
      <c r="G196" s="65" t="str">
        <f t="shared" si="24"/>
        <v>No</v>
      </c>
      <c r="H196" s="301" t="str">
        <f>IF(OR('TANF-VIEW'!L200&gt;0,'TANF-VIEW'!T200&gt;0),"Yes","No")</f>
        <v>No</v>
      </c>
      <c r="I196" s="63">
        <f t="shared" si="25"/>
        <v>450</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0</v>
      </c>
      <c r="O196" s="6">
        <f t="shared" si="26"/>
        <v>900</v>
      </c>
      <c r="P196" s="312">
        <f t="shared" si="32"/>
        <v>397.91666666666669</v>
      </c>
      <c r="Q196" s="312">
        <f t="shared" si="28"/>
        <v>1350</v>
      </c>
      <c r="R196" s="312">
        <f t="shared" si="31"/>
        <v>397.91666666666669</v>
      </c>
      <c r="S196" s="160">
        <f>IF(AND('Total income package'!$A$8=TRUE,OR(F196="Yes",G196="Yes",H196="Yes")),SUM(J196:N196)-R196,0)</f>
        <v>1662.0833333333333</v>
      </c>
    </row>
    <row r="197" spans="1:19" x14ac:dyDescent="0.25">
      <c r="A197" s="6">
        <v>96000</v>
      </c>
      <c r="B197" s="7">
        <f t="shared" si="33"/>
        <v>8000</v>
      </c>
      <c r="C197" s="7">
        <f>'Total income package'!$D$80</f>
        <v>0</v>
      </c>
      <c r="D197" s="7">
        <f t="shared" si="29"/>
        <v>8000</v>
      </c>
      <c r="E197" s="65">
        <f t="shared" si="30"/>
        <v>2.4819027921406409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450</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0</v>
      </c>
      <c r="O197" s="6">
        <f t="shared" ref="O197:O205" si="37">I197*SUM($C$2:$H$2)</f>
        <v>900</v>
      </c>
      <c r="P197" s="312">
        <f t="shared" ref="P197:P204" si="38">B197*0.05</f>
        <v>400</v>
      </c>
      <c r="Q197" s="312">
        <f t="shared" ref="Q197:Q205" si="39">I197*3</f>
        <v>1350</v>
      </c>
      <c r="R197" s="312">
        <f t="shared" si="31"/>
        <v>400</v>
      </c>
      <c r="S197" s="160">
        <f>IF(AND('Total income package'!$A$8=TRUE,OR(F197="Yes",G197="Yes",H197="Yes")),SUM(J197:N197)-R197,0)</f>
        <v>1660</v>
      </c>
    </row>
    <row r="198" spans="1:19" x14ac:dyDescent="0.25">
      <c r="A198" s="6">
        <v>96500</v>
      </c>
      <c r="B198" s="7">
        <f t="shared" si="33"/>
        <v>8041.666666666667</v>
      </c>
      <c r="C198" s="7">
        <f>'Total income package'!$D$80</f>
        <v>0</v>
      </c>
      <c r="D198" s="7">
        <f t="shared" ref="D198:D204" si="40">B198+C198</f>
        <v>8041.666666666667</v>
      </c>
      <c r="E198" s="65">
        <f t="shared" ref="E198:E204" si="41">D198/$K$2</f>
        <v>2.4948293691830403</v>
      </c>
      <c r="F198" s="65" t="str">
        <f t="shared" si="34"/>
        <v>Yes</v>
      </c>
      <c r="G198" s="65" t="str">
        <f t="shared" si="35"/>
        <v>No</v>
      </c>
      <c r="H198" s="301" t="str">
        <f>IF(OR('TANF-VIEW'!L202&gt;0,'TANF-VIEW'!T202&gt;0),"Yes","No")</f>
        <v>No</v>
      </c>
      <c r="I198" s="63">
        <f t="shared" si="36"/>
        <v>450</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0</v>
      </c>
      <c r="O198" s="6">
        <f t="shared" si="37"/>
        <v>900</v>
      </c>
      <c r="P198" s="312">
        <f t="shared" si="38"/>
        <v>402.08333333333337</v>
      </c>
      <c r="Q198" s="312">
        <f t="shared" si="39"/>
        <v>1350</v>
      </c>
      <c r="R198" s="312">
        <f t="shared" ref="R198:R204" si="42">IF(MIN(O198,P198)&lt;Q198,MIN(O198,P198),Q198)</f>
        <v>402.08333333333337</v>
      </c>
      <c r="S198" s="160">
        <f>IF(AND('Total income package'!$A$8=TRUE,OR(F198="Yes",G198="Yes",H198="Yes")),SUM(J198:N198)-R198,0)</f>
        <v>1657.9166666666665</v>
      </c>
    </row>
    <row r="199" spans="1:19" x14ac:dyDescent="0.25">
      <c r="A199" s="6">
        <v>97000</v>
      </c>
      <c r="B199" s="7">
        <f t="shared" si="33"/>
        <v>8083.333333333333</v>
      </c>
      <c r="C199" s="7">
        <f>'Total income package'!$D$80</f>
        <v>0</v>
      </c>
      <c r="D199" s="7">
        <f t="shared" si="40"/>
        <v>8083.333333333333</v>
      </c>
      <c r="E199" s="65">
        <f t="shared" si="41"/>
        <v>2.5077559462254393</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0</v>
      </c>
      <c r="O199" s="6">
        <f t="shared" si="37"/>
        <v>1100</v>
      </c>
      <c r="P199" s="312">
        <f t="shared" si="38"/>
        <v>404.16666666666669</v>
      </c>
      <c r="Q199" s="312">
        <f t="shared" si="39"/>
        <v>1650</v>
      </c>
      <c r="R199" s="312">
        <f t="shared" si="42"/>
        <v>404.16666666666669</v>
      </c>
      <c r="S199" s="160">
        <f>IF(AND('Total income package'!$A$8=TRUE,OR(F199="Yes",G199="Yes",H199="Yes")),SUM(J199:N199)-R199,0)</f>
        <v>1655.8333333333333</v>
      </c>
    </row>
    <row r="200" spans="1:19" x14ac:dyDescent="0.25">
      <c r="A200" s="6">
        <v>97500</v>
      </c>
      <c r="B200" s="7">
        <f t="shared" si="33"/>
        <v>8125</v>
      </c>
      <c r="C200" s="7">
        <f>'Total income package'!$D$80</f>
        <v>0</v>
      </c>
      <c r="D200" s="7">
        <f t="shared" si="40"/>
        <v>8125</v>
      </c>
      <c r="E200" s="65">
        <f t="shared" si="41"/>
        <v>2.5206825232678387</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0</v>
      </c>
      <c r="O200" s="6">
        <f t="shared" si="37"/>
        <v>1100</v>
      </c>
      <c r="P200" s="312">
        <f t="shared" si="38"/>
        <v>406.25</v>
      </c>
      <c r="Q200" s="312">
        <f t="shared" si="39"/>
        <v>1650</v>
      </c>
      <c r="R200" s="312">
        <f t="shared" si="42"/>
        <v>406.25</v>
      </c>
      <c r="S200" s="160">
        <f>IF(AND('Total income package'!$A$8=TRUE,OR(F200="Yes",G200="Yes",H200="Yes")),SUM(J200:N200)-R200,0)</f>
        <v>1653.75</v>
      </c>
    </row>
    <row r="201" spans="1:19" x14ac:dyDescent="0.25">
      <c r="A201" s="6">
        <v>98000</v>
      </c>
      <c r="B201" s="7">
        <f t="shared" si="33"/>
        <v>8166.666666666667</v>
      </c>
      <c r="C201" s="7">
        <f>'Total income package'!$D$80</f>
        <v>0</v>
      </c>
      <c r="D201" s="7">
        <f t="shared" si="40"/>
        <v>8166.666666666667</v>
      </c>
      <c r="E201" s="65">
        <f t="shared" si="41"/>
        <v>2.5336091003102377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0</v>
      </c>
      <c r="O201" s="6">
        <f t="shared" si="37"/>
        <v>1100</v>
      </c>
      <c r="P201" s="312">
        <f t="shared" si="38"/>
        <v>408.33333333333337</v>
      </c>
      <c r="Q201" s="312">
        <f t="shared" si="39"/>
        <v>1650</v>
      </c>
      <c r="R201" s="312">
        <f t="shared" si="42"/>
        <v>408.33333333333337</v>
      </c>
      <c r="S201" s="160">
        <f>IF(AND('Total income package'!$A$8=TRUE,OR(F201="Yes",G201="Yes",H201="Yes")),SUM(J201:N201)-R201,0)</f>
        <v>1651.6666666666665</v>
      </c>
    </row>
    <row r="202" spans="1:19" x14ac:dyDescent="0.25">
      <c r="A202" s="6">
        <v>98500</v>
      </c>
      <c r="B202" s="7">
        <f t="shared" si="33"/>
        <v>8208.3333333333339</v>
      </c>
      <c r="C202" s="7">
        <f>'Total income package'!$D$80</f>
        <v>0</v>
      </c>
      <c r="D202" s="7">
        <f t="shared" si="40"/>
        <v>8208.3333333333339</v>
      </c>
      <c r="E202" s="65">
        <f t="shared" si="41"/>
        <v>2.5465356773526371</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0</v>
      </c>
      <c r="O202" s="6">
        <f t="shared" si="37"/>
        <v>1100</v>
      </c>
      <c r="P202" s="312">
        <f t="shared" si="38"/>
        <v>410.41666666666674</v>
      </c>
      <c r="Q202" s="312">
        <f t="shared" si="39"/>
        <v>1650</v>
      </c>
      <c r="R202" s="312">
        <f t="shared" si="42"/>
        <v>410.41666666666674</v>
      </c>
      <c r="S202" s="160">
        <f>IF(AND('Total income package'!$A$8=TRUE,OR(F202="Yes",G202="Yes",H202="Yes")),SUM(J202:N202)-R202,0)</f>
        <v>1649.5833333333333</v>
      </c>
    </row>
    <row r="203" spans="1:19" x14ac:dyDescent="0.25">
      <c r="A203" s="6">
        <v>99000</v>
      </c>
      <c r="B203" s="7">
        <f t="shared" si="33"/>
        <v>8250</v>
      </c>
      <c r="C203" s="7">
        <f>'Total income package'!$D$80</f>
        <v>0</v>
      </c>
      <c r="D203" s="7">
        <f t="shared" si="40"/>
        <v>8250</v>
      </c>
      <c r="E203" s="65">
        <f t="shared" si="41"/>
        <v>2.5594622543950361</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0</v>
      </c>
      <c r="O203" s="6">
        <f t="shared" si="37"/>
        <v>1100</v>
      </c>
      <c r="P203" s="312">
        <f t="shared" si="38"/>
        <v>412.5</v>
      </c>
      <c r="Q203" s="312">
        <f t="shared" si="39"/>
        <v>1650</v>
      </c>
      <c r="R203" s="312">
        <f t="shared" si="42"/>
        <v>412.5</v>
      </c>
      <c r="S203" s="160">
        <f>IF(AND('Total income package'!$A$8=TRUE,OR(F203="Yes",G203="Yes",H203="Yes")),SUM(J203:N203)-R203,0)</f>
        <v>1647.5</v>
      </c>
    </row>
    <row r="204" spans="1:19" x14ac:dyDescent="0.25">
      <c r="A204" s="6">
        <v>99500</v>
      </c>
      <c r="B204" s="7">
        <f t="shared" si="33"/>
        <v>8291.6666666666661</v>
      </c>
      <c r="C204" s="7">
        <f>'Total income package'!$D$80</f>
        <v>0</v>
      </c>
      <c r="D204" s="7">
        <f t="shared" si="40"/>
        <v>8291.6666666666661</v>
      </c>
      <c r="E204" s="65">
        <f t="shared" si="41"/>
        <v>2.572388831437435</v>
      </c>
      <c r="F204" s="65" t="str">
        <f t="shared" si="34"/>
        <v>Yes</v>
      </c>
      <c r="G204" s="65" t="str">
        <f t="shared" si="35"/>
        <v>No</v>
      </c>
      <c r="H204" s="301" t="str">
        <f>IF(OR('TANF-VIEW'!L208&gt;0,'TANF-VIEW'!T208&gt;0),"Yes","No")</f>
        <v>No</v>
      </c>
      <c r="I204" s="63">
        <f t="shared" si="36"/>
        <v>550</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0</v>
      </c>
      <c r="O204" s="6">
        <f t="shared" si="37"/>
        <v>1100</v>
      </c>
      <c r="P204" s="312">
        <f t="shared" si="38"/>
        <v>414.58333333333331</v>
      </c>
      <c r="Q204" s="312">
        <f t="shared" si="39"/>
        <v>1650</v>
      </c>
      <c r="R204" s="312">
        <f t="shared" si="42"/>
        <v>414.58333333333331</v>
      </c>
      <c r="S204" s="160">
        <f>IF(AND('Total income package'!$A$8=TRUE,OR(F204="Yes",G204="Yes",H204="Yes")),SUM(J204:N204)-R204,0)</f>
        <v>1645.4166666666667</v>
      </c>
    </row>
    <row r="205" spans="1:19" x14ac:dyDescent="0.25">
      <c r="A205" s="6">
        <v>100000</v>
      </c>
      <c r="B205" s="7">
        <f>A205/12</f>
        <v>8333.3333333333339</v>
      </c>
      <c r="C205" s="7">
        <f>'Total income package'!$D$80</f>
        <v>0</v>
      </c>
      <c r="D205" s="7">
        <f>B205+C205</f>
        <v>8333.3333333333339</v>
      </c>
      <c r="E205" s="65">
        <f>D205/$K$2</f>
        <v>2.5853154084798344</v>
      </c>
      <c r="F205" s="65" t="str">
        <f t="shared" si="34"/>
        <v>Yes</v>
      </c>
      <c r="G205" s="65" t="str">
        <f t="shared" si="35"/>
        <v>No</v>
      </c>
      <c r="H205" s="301" t="str">
        <f>IF(OR('TANF-VIEW'!L209&gt;0,'TANF-VIEW'!T209&gt;0),"Yes","No")</f>
        <v>No</v>
      </c>
      <c r="I205" s="63">
        <f t="shared" si="36"/>
        <v>550</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0</v>
      </c>
      <c r="O205" s="6">
        <f t="shared" si="37"/>
        <v>1100</v>
      </c>
      <c r="P205" s="312">
        <f>B205*0.07</f>
        <v>583.33333333333348</v>
      </c>
      <c r="Q205" s="312">
        <f t="shared" si="39"/>
        <v>1650</v>
      </c>
      <c r="R205" s="312">
        <f>IF(MIN(O205,P205)&lt;Q205,MIN(O205,P205),Q205)</f>
        <v>583.33333333333348</v>
      </c>
      <c r="S205" s="160">
        <f>IF(AND('Total income package'!$A$8=TRUE,OR(F205="Yes",G205="Yes",H205="Yes")),SUM(J205:N205)-R205,0)</f>
        <v>1476.6666666666665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1500</v>
      </c>
      <c r="C208" s="7">
        <f>'Total income package'!$D$80</f>
        <v>0</v>
      </c>
      <c r="D208" s="7">
        <f t="shared" ref="D208:D210" si="43">B208+C208</f>
        <v>1500</v>
      </c>
      <c r="E208" s="65">
        <f t="shared" ref="E208:E210" si="44">D208/$K$2</f>
        <v>0.46535677352637017</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0</v>
      </c>
      <c r="O208" s="6">
        <f>I208*SUM($C$2:$H$2)</f>
        <v>20</v>
      </c>
      <c r="P208" s="312">
        <f>B208*0.05</f>
        <v>75</v>
      </c>
      <c r="Q208" s="312">
        <f>I208*3</f>
        <v>30</v>
      </c>
      <c r="R208" s="312">
        <f>IF(MIN(O208,P208)&lt;Q208,MIN(O208,P208),Q208)</f>
        <v>20</v>
      </c>
      <c r="S208" s="160">
        <f>IF(AND('Total income package'!$A$8=TRUE,OR(F208="Yes",G208="Yes",H208="Yes")),SUM(J208:N208)-R208,0)</f>
        <v>2040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1500</v>
      </c>
      <c r="C210" s="7">
        <f>'Total income package'!$D$80</f>
        <v>0</v>
      </c>
      <c r="D210" s="7">
        <f t="shared" si="43"/>
        <v>1500</v>
      </c>
      <c r="E210" s="65">
        <f t="shared" si="44"/>
        <v>0.46535677352637017</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0</v>
      </c>
      <c r="O210" s="6">
        <f>I210*SUM($C$2:$H$2)</f>
        <v>20</v>
      </c>
      <c r="P210" s="312">
        <f>B210*0.05</f>
        <v>75</v>
      </c>
      <c r="Q210" s="312">
        <f>I210*3</f>
        <v>30</v>
      </c>
      <c r="R210" s="312">
        <f>IF(MIN(O210,P210)&lt;Q210,MIN(O210,P210),Q210)</f>
        <v>20</v>
      </c>
      <c r="S210" s="160">
        <f>IF(AND('Total income package'!$A$8=TRUE,OR(F210="Yes",G210="Yes",H210="Yes")),SUM(J210:N210)-R210,0)</f>
        <v>2040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5</v>
      </c>
      <c r="C2" s="148">
        <f>'Total income package'!B30</f>
        <v>3</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18000</v>
      </c>
      <c r="B208" s="29">
        <f>'Total income package'!$B$90</f>
        <v>1500</v>
      </c>
      <c r="C208" s="157">
        <f>MAX(0,IF(A208&gt;$F$2,0,IF(AND(A208&lt;$F$2,A208&gt;=$K$2),$G$2-((A208-$K$2-1)*$I$2),IF(AND(A208&lt;$K$2,A208&gt;=$J$2),$G$2,IF(A208&lt;$J$2,A208*$H$2,0)))))</f>
        <v>7200</v>
      </c>
      <c r="D208" s="158">
        <f>C208*0.15</f>
        <v>1080</v>
      </c>
      <c r="E208" s="161">
        <f>IF('Total income package'!$A$10=TRUE,C208+D208,0)</f>
        <v>8280</v>
      </c>
      <c r="G208" s="7">
        <f>C208/12</f>
        <v>600</v>
      </c>
      <c r="H208" s="7">
        <f>E208/12</f>
        <v>690</v>
      </c>
    </row>
    <row r="209" spans="1:5" x14ac:dyDescent="0.25">
      <c r="A209" s="159" t="s">
        <v>303</v>
      </c>
      <c r="B209" s="29"/>
    </row>
    <row r="210" spans="1:5" x14ac:dyDescent="0.25">
      <c r="A210" s="29">
        <f>B210*12</f>
        <v>18000</v>
      </c>
      <c r="B210" s="29">
        <f>'Total income package'!$B$91</f>
        <v>1500</v>
      </c>
      <c r="C210" s="157">
        <f>MAX(0,IF(A210&gt;$F$2,0,IF(AND(A210&lt;$F$2,A210&gt;=$K$2),$G$2-((A210-$K$2-1)*$I$2),IF(AND(A210&lt;$K$2,A210&gt;=$J$2),$G$2,IF(A210&lt;$J$2,A210*$H$2,0)))))</f>
        <v>7200</v>
      </c>
      <c r="D210" s="158">
        <f>C210*0.15</f>
        <v>1080</v>
      </c>
      <c r="E210" s="161">
        <f>IF('Total income package'!$A$10=TRUE,C210+D210,0)</f>
        <v>8280</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4448.2</v>
      </c>
      <c r="J1"/>
      <c r="K1"/>
      <c r="L1"/>
      <c r="M1" s="81" t="s">
        <v>306</v>
      </c>
      <c r="N1" s="81" t="s">
        <v>307</v>
      </c>
      <c r="O1" s="81" t="s">
        <v>308</v>
      </c>
      <c r="P1" s="81" t="s">
        <v>309</v>
      </c>
    </row>
    <row r="2" spans="1:27" ht="11.25" customHeight="1" x14ac:dyDescent="0.25">
      <c r="A2" s="78" t="str">
        <f>'Total income package'!B3</f>
        <v>Pittsylvania</v>
      </c>
      <c r="B2" s="77">
        <f>'Total income package'!B32</f>
        <v>5</v>
      </c>
      <c r="C2" s="77">
        <f>'Total income package'!B30</f>
        <v>3</v>
      </c>
      <c r="D2" s="77">
        <f>'Total income package'!B31</f>
        <v>2</v>
      </c>
      <c r="E2" s="39"/>
      <c r="F2" s="39"/>
      <c r="G2" s="40"/>
      <c r="H2" s="40"/>
      <c r="I2" s="40"/>
      <c r="J2" s="119" t="s">
        <v>310</v>
      </c>
      <c r="K2" s="137">
        <f>VLOOKUP(B2,'Program specific data'!A6:D13,3,FALSE)</f>
        <v>3223.3333333333335</v>
      </c>
      <c r="L2" s="27" t="s">
        <v>311</v>
      </c>
      <c r="M2" s="138">
        <v>0</v>
      </c>
      <c r="N2" s="139">
        <f>K2*1.49</f>
        <v>4802.7666666666664</v>
      </c>
      <c r="O2" s="145">
        <v>0</v>
      </c>
      <c r="P2" s="145">
        <v>0</v>
      </c>
    </row>
    <row r="3" spans="1:27" ht="11.25" customHeight="1" x14ac:dyDescent="0.25">
      <c r="A3" s="198" t="s">
        <v>661</v>
      </c>
      <c r="B3" s="62"/>
      <c r="C3" s="198" t="s">
        <v>662</v>
      </c>
      <c r="D3" s="67"/>
      <c r="E3" s="42" t="s">
        <v>312</v>
      </c>
      <c r="F3" s="42"/>
      <c r="G3" s="43"/>
      <c r="H3" s="43"/>
      <c r="I3" s="43"/>
      <c r="K3" s="11"/>
      <c r="L3" s="135" t="s">
        <v>313</v>
      </c>
      <c r="M3" s="140">
        <f>K2*1.5</f>
        <v>4835</v>
      </c>
      <c r="N3" s="141">
        <f>K2*1.99</f>
        <v>6414.4333333333334</v>
      </c>
      <c r="O3" s="145">
        <v>0</v>
      </c>
      <c r="P3" s="145">
        <v>0.02</v>
      </c>
    </row>
    <row r="4" spans="1:27" ht="11.25" customHeight="1" x14ac:dyDescent="0.25">
      <c r="A4" s="198" t="s">
        <v>40</v>
      </c>
      <c r="B4" s="198">
        <f>'Total income package'!B37</f>
        <v>35</v>
      </c>
      <c r="C4" s="350">
        <f>IFERROR(VLOOKUP($A$2,'SLCSP premiums'!$A$4:$AV$137,HLOOKUP(B4,'SLCSP premiums'!$B$2:$AV$3,2,FALSE),FALSE),0)</f>
        <v>472</v>
      </c>
      <c r="D4" s="67"/>
      <c r="E4" s="44" t="s">
        <v>314</v>
      </c>
      <c r="I4" s="45"/>
      <c r="J4" s="21"/>
      <c r="K4" s="21"/>
      <c r="L4" s="135" t="s">
        <v>315</v>
      </c>
      <c r="M4" s="136">
        <f>K2*2</f>
        <v>6446.666666666667</v>
      </c>
      <c r="N4" s="141">
        <f>K2*2.49</f>
        <v>8026.1000000000013</v>
      </c>
      <c r="O4" s="145">
        <v>0.02</v>
      </c>
      <c r="P4" s="145">
        <v>0.04</v>
      </c>
    </row>
    <row r="5" spans="1:27" ht="11.25" customHeight="1" x14ac:dyDescent="0.25">
      <c r="A5" s="198" t="s">
        <v>41</v>
      </c>
      <c r="B5" s="198">
        <f>'Total income package'!B38</f>
        <v>66</v>
      </c>
      <c r="C5" s="350">
        <f>IFERROR(VLOOKUP($A$2,'SLCSP premiums'!$A$4:$AV$137,HLOOKUP(B5,'SLCSP premiums'!$B$2:$AV$3,2,FALSE),FALSE),0)</f>
        <v>0</v>
      </c>
      <c r="E5" s="46" t="s">
        <v>316</v>
      </c>
      <c r="F5" s="42"/>
      <c r="G5" s="43"/>
      <c r="I5" s="45"/>
      <c r="J5" s="21"/>
      <c r="K5" s="21"/>
      <c r="L5" s="135" t="s">
        <v>317</v>
      </c>
      <c r="M5" s="140">
        <f>K2*2.5</f>
        <v>8058.3333333333339</v>
      </c>
      <c r="N5" s="142">
        <f>K2*2.99</f>
        <v>9637.7666666666682</v>
      </c>
      <c r="O5" s="145">
        <v>0.04</v>
      </c>
      <c r="P5" s="145">
        <v>0.06</v>
      </c>
    </row>
    <row r="6" spans="1:27" ht="11.25" customHeight="1" x14ac:dyDescent="0.25">
      <c r="A6" s="198" t="s">
        <v>42</v>
      </c>
      <c r="B6" s="198">
        <f>'Total income package'!B39</f>
        <v>66</v>
      </c>
      <c r="C6" s="350">
        <f>IFERROR(VLOOKUP($A$2,'SLCSP premiums'!$A$4:$AV$137,HLOOKUP(B6,'SLCSP premiums'!$B$2:$AV$3,2,FALSE),FALSE),0)</f>
        <v>0</v>
      </c>
      <c r="F6" s="42"/>
      <c r="G6" s="43"/>
      <c r="H6" s="45"/>
      <c r="I6" s="45"/>
      <c r="J6" s="21"/>
      <c r="K6" s="21"/>
      <c r="L6" s="135" t="s">
        <v>318</v>
      </c>
      <c r="M6" s="136">
        <f>K2*3</f>
        <v>9670</v>
      </c>
      <c r="N6" s="141">
        <f>K2*3.99</f>
        <v>12861.100000000002</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12893.333333333334</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472</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4802.7666666666664</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1.2926577042399171E-2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4802.7666666666664</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2.5853154084798342E-2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4802.7666666666664</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3.8779731127197514E-2</v>
      </c>
      <c r="E20" s="50">
        <f t="shared" si="4"/>
        <v>0</v>
      </c>
      <c r="F20" s="50">
        <f t="shared" si="5"/>
        <v>0</v>
      </c>
      <c r="G20" s="69">
        <f t="shared" si="6"/>
        <v>0</v>
      </c>
      <c r="H20" s="70">
        <f t="shared" si="7"/>
        <v>4802.7666666666664</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5.1706308169596683E-2</v>
      </c>
      <c r="E21" s="50">
        <f t="shared" si="4"/>
        <v>0</v>
      </c>
      <c r="F21" s="50">
        <f t="shared" si="5"/>
        <v>0</v>
      </c>
      <c r="G21" s="69">
        <f t="shared" si="6"/>
        <v>0</v>
      </c>
      <c r="H21" s="70">
        <f t="shared" si="7"/>
        <v>4802.7666666666664</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6.4632885211995866E-2</v>
      </c>
      <c r="E22" s="50">
        <f t="shared" si="4"/>
        <v>0</v>
      </c>
      <c r="F22" s="50">
        <f t="shared" si="5"/>
        <v>0</v>
      </c>
      <c r="G22" s="69">
        <f t="shared" si="6"/>
        <v>0</v>
      </c>
      <c r="H22" s="70">
        <f t="shared" si="7"/>
        <v>4802.7666666666664</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7.7559462254395029E-2</v>
      </c>
      <c r="E23" s="50">
        <f t="shared" si="4"/>
        <v>0</v>
      </c>
      <c r="F23" s="50">
        <f t="shared" si="5"/>
        <v>0</v>
      </c>
      <c r="G23" s="69">
        <f t="shared" si="6"/>
        <v>0</v>
      </c>
      <c r="H23" s="70">
        <f t="shared" si="7"/>
        <v>4802.7666666666664</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9.0486039296794205E-2</v>
      </c>
      <c r="E24" s="50">
        <f t="shared" si="4"/>
        <v>0</v>
      </c>
      <c r="F24" s="50">
        <f t="shared" si="5"/>
        <v>0</v>
      </c>
      <c r="G24" s="69">
        <f t="shared" si="6"/>
        <v>0</v>
      </c>
      <c r="H24" s="70">
        <f t="shared" si="7"/>
        <v>4802.7666666666664</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0.10341261633919337</v>
      </c>
      <c r="E25" s="50">
        <f t="shared" si="4"/>
        <v>0</v>
      </c>
      <c r="F25" s="50">
        <f t="shared" si="5"/>
        <v>0</v>
      </c>
      <c r="G25" s="69">
        <f t="shared" si="6"/>
        <v>0</v>
      </c>
      <c r="H25" s="70">
        <f t="shared" si="7"/>
        <v>4802.7666666666664</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0.11633919338159254</v>
      </c>
      <c r="E26" s="50">
        <f t="shared" si="4"/>
        <v>0</v>
      </c>
      <c r="F26" s="50">
        <f t="shared" si="5"/>
        <v>0</v>
      </c>
      <c r="G26" s="69">
        <f t="shared" si="6"/>
        <v>0</v>
      </c>
      <c r="H26" s="70">
        <f t="shared" si="7"/>
        <v>4802.7666666666664</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0.12926577042399173</v>
      </c>
      <c r="E27" s="50">
        <f t="shared" si="4"/>
        <v>0</v>
      </c>
      <c r="F27" s="50">
        <f t="shared" si="5"/>
        <v>0</v>
      </c>
      <c r="G27" s="69">
        <f t="shared" si="6"/>
        <v>0</v>
      </c>
      <c r="H27" s="70">
        <f t="shared" si="7"/>
        <v>4802.7666666666664</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0.14219234746639089</v>
      </c>
      <c r="E28" s="50">
        <f t="shared" si="4"/>
        <v>0</v>
      </c>
      <c r="F28" s="50">
        <f t="shared" si="5"/>
        <v>0</v>
      </c>
      <c r="G28" s="69">
        <f t="shared" si="6"/>
        <v>0</v>
      </c>
      <c r="H28" s="70">
        <f t="shared" si="7"/>
        <v>4802.7666666666664</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0.15511892450879006</v>
      </c>
      <c r="E29" s="50">
        <f t="shared" si="4"/>
        <v>0</v>
      </c>
      <c r="F29" s="50">
        <f t="shared" si="5"/>
        <v>0</v>
      </c>
      <c r="G29" s="69">
        <f t="shared" si="6"/>
        <v>0</v>
      </c>
      <c r="H29" s="70">
        <f t="shared" si="7"/>
        <v>4802.7666666666664</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0.16804550155118922</v>
      </c>
      <c r="E30" s="50">
        <f t="shared" si="4"/>
        <v>0</v>
      </c>
      <c r="F30" s="50">
        <f t="shared" si="5"/>
        <v>0</v>
      </c>
      <c r="G30" s="69">
        <f t="shared" si="6"/>
        <v>0</v>
      </c>
      <c r="H30" s="70">
        <f t="shared" si="7"/>
        <v>4802.7666666666664</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0.18097207859358841</v>
      </c>
      <c r="E31" s="50">
        <f t="shared" si="4"/>
        <v>0</v>
      </c>
      <c r="F31" s="50">
        <f t="shared" si="5"/>
        <v>0</v>
      </c>
      <c r="G31" s="69">
        <f t="shared" si="6"/>
        <v>0</v>
      </c>
      <c r="H31" s="70">
        <f t="shared" si="7"/>
        <v>4802.7666666666664</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0.19389865563598757</v>
      </c>
      <c r="E32" s="50">
        <f t="shared" si="4"/>
        <v>0</v>
      </c>
      <c r="F32" s="50">
        <f t="shared" si="5"/>
        <v>0</v>
      </c>
      <c r="G32" s="69">
        <f t="shared" si="6"/>
        <v>0</v>
      </c>
      <c r="H32" s="70">
        <f t="shared" si="7"/>
        <v>4802.7666666666664</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0.20682523267838673</v>
      </c>
      <c r="E33" s="50">
        <f t="shared" si="4"/>
        <v>0</v>
      </c>
      <c r="F33" s="50">
        <f t="shared" si="5"/>
        <v>0</v>
      </c>
      <c r="G33" s="69">
        <f t="shared" si="6"/>
        <v>0</v>
      </c>
      <c r="H33" s="70">
        <f t="shared" si="7"/>
        <v>4802.7666666666664</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0.21975180972078595</v>
      </c>
      <c r="E34" s="50">
        <f t="shared" si="4"/>
        <v>0</v>
      </c>
      <c r="F34" s="50">
        <f t="shared" si="5"/>
        <v>0</v>
      </c>
      <c r="G34" s="69">
        <f t="shared" si="6"/>
        <v>0</v>
      </c>
      <c r="H34" s="70">
        <f t="shared" si="7"/>
        <v>4802.7666666666664</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0.23267838676318509</v>
      </c>
      <c r="E35" s="50">
        <f t="shared" si="4"/>
        <v>0</v>
      </c>
      <c r="F35" s="50">
        <f t="shared" si="5"/>
        <v>0</v>
      </c>
      <c r="G35" s="69">
        <f t="shared" si="6"/>
        <v>0</v>
      </c>
      <c r="H35" s="70">
        <f t="shared" si="7"/>
        <v>4802.7666666666664</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0.24560496380558425</v>
      </c>
      <c r="E36" s="50">
        <f t="shared" si="4"/>
        <v>0</v>
      </c>
      <c r="F36" s="50">
        <f t="shared" si="5"/>
        <v>0</v>
      </c>
      <c r="G36" s="69">
        <f t="shared" si="6"/>
        <v>0</v>
      </c>
      <c r="H36" s="70">
        <f t="shared" si="7"/>
        <v>4802.7666666666664</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0.25853154084798347</v>
      </c>
      <c r="E37" s="50">
        <f t="shared" si="4"/>
        <v>0</v>
      </c>
      <c r="F37" s="50">
        <f t="shared" si="5"/>
        <v>0</v>
      </c>
      <c r="G37" s="69">
        <f t="shared" si="6"/>
        <v>0</v>
      </c>
      <c r="H37" s="70">
        <f t="shared" si="7"/>
        <v>4802.7666666666664</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0.2714581178903826</v>
      </c>
      <c r="E38" s="50">
        <f t="shared" si="4"/>
        <v>0</v>
      </c>
      <c r="F38" s="50">
        <f t="shared" si="5"/>
        <v>0</v>
      </c>
      <c r="G38" s="69">
        <f t="shared" si="6"/>
        <v>0</v>
      </c>
      <c r="H38" s="70">
        <f t="shared" si="7"/>
        <v>4802.7666666666664</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0.28438469493278179</v>
      </c>
      <c r="E39" s="50">
        <f t="shared" si="4"/>
        <v>0</v>
      </c>
      <c r="F39" s="50">
        <f t="shared" si="5"/>
        <v>0</v>
      </c>
      <c r="G39" s="69">
        <f t="shared" si="6"/>
        <v>0</v>
      </c>
      <c r="H39" s="70">
        <f t="shared" si="7"/>
        <v>4802.7666666666664</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0.29731127197518098</v>
      </c>
      <c r="E40" s="50">
        <f t="shared" si="4"/>
        <v>0</v>
      </c>
      <c r="F40" s="50">
        <f t="shared" si="5"/>
        <v>0</v>
      </c>
      <c r="G40" s="69">
        <f t="shared" si="6"/>
        <v>0</v>
      </c>
      <c r="H40" s="70">
        <f t="shared" si="7"/>
        <v>4802.7666666666664</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0.31023784901758011</v>
      </c>
      <c r="E41" s="50">
        <f t="shared" si="4"/>
        <v>0</v>
      </c>
      <c r="F41" s="50">
        <f t="shared" si="5"/>
        <v>0</v>
      </c>
      <c r="G41" s="69">
        <f t="shared" si="6"/>
        <v>0</v>
      </c>
      <c r="H41" s="70">
        <f t="shared" si="7"/>
        <v>4802.7666666666664</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0.3231644260599793</v>
      </c>
      <c r="E42" s="50">
        <f t="shared" si="4"/>
        <v>0</v>
      </c>
      <c r="F42" s="50">
        <f t="shared" si="5"/>
        <v>0</v>
      </c>
      <c r="G42" s="69">
        <f t="shared" si="6"/>
        <v>0</v>
      </c>
      <c r="H42" s="70">
        <f t="shared" si="7"/>
        <v>4802.7666666666664</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0.33609100310237844</v>
      </c>
      <c r="E43" s="50">
        <f t="shared" si="4"/>
        <v>0</v>
      </c>
      <c r="F43" s="50">
        <f t="shared" si="5"/>
        <v>0</v>
      </c>
      <c r="G43" s="69">
        <f t="shared" si="6"/>
        <v>0</v>
      </c>
      <c r="H43" s="70">
        <f t="shared" si="7"/>
        <v>4802.7666666666664</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0.34901758014477763</v>
      </c>
      <c r="E44" s="50">
        <f t="shared" si="4"/>
        <v>0</v>
      </c>
      <c r="F44" s="50">
        <f t="shared" si="5"/>
        <v>0</v>
      </c>
      <c r="G44" s="69">
        <f t="shared" si="6"/>
        <v>0</v>
      </c>
      <c r="H44" s="70">
        <f t="shared" si="7"/>
        <v>4802.7666666666664</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0.36194415718717682</v>
      </c>
      <c r="E45" s="50">
        <f t="shared" si="4"/>
        <v>0</v>
      </c>
      <c r="F45" s="50">
        <f t="shared" si="5"/>
        <v>0</v>
      </c>
      <c r="G45" s="69">
        <f t="shared" si="6"/>
        <v>0</v>
      </c>
      <c r="H45" s="70">
        <f t="shared" si="7"/>
        <v>4802.7666666666664</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0.37487073422957595</v>
      </c>
      <c r="E46" s="50">
        <f t="shared" si="4"/>
        <v>0</v>
      </c>
      <c r="F46" s="50">
        <f t="shared" si="5"/>
        <v>0</v>
      </c>
      <c r="G46" s="69">
        <f t="shared" si="6"/>
        <v>0</v>
      </c>
      <c r="H46" s="70">
        <f t="shared" si="7"/>
        <v>4802.7666666666664</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0.38779731127197514</v>
      </c>
      <c r="E47" s="50">
        <f t="shared" si="4"/>
        <v>0</v>
      </c>
      <c r="F47" s="50">
        <f t="shared" si="5"/>
        <v>0</v>
      </c>
      <c r="G47" s="69">
        <f t="shared" si="6"/>
        <v>0</v>
      </c>
      <c r="H47" s="70">
        <f t="shared" si="7"/>
        <v>4802.7666666666664</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0.40072388831437433</v>
      </c>
      <c r="E48" s="50">
        <f t="shared" si="4"/>
        <v>0</v>
      </c>
      <c r="F48" s="50">
        <f t="shared" si="5"/>
        <v>0</v>
      </c>
      <c r="G48" s="69">
        <f t="shared" si="6"/>
        <v>0</v>
      </c>
      <c r="H48" s="70">
        <f t="shared" si="7"/>
        <v>4802.7666666666664</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0.41365046535677347</v>
      </c>
      <c r="E49" s="50">
        <f t="shared" si="4"/>
        <v>0</v>
      </c>
      <c r="F49" s="50">
        <f t="shared" si="5"/>
        <v>0</v>
      </c>
      <c r="G49" s="69">
        <f t="shared" si="6"/>
        <v>0</v>
      </c>
      <c r="H49" s="70">
        <f t="shared" si="7"/>
        <v>4802.7666666666664</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0.42657704239917266</v>
      </c>
      <c r="E50" s="50">
        <f t="shared" si="4"/>
        <v>0</v>
      </c>
      <c r="F50" s="50">
        <f t="shared" si="5"/>
        <v>0</v>
      </c>
      <c r="G50" s="69">
        <f t="shared" si="6"/>
        <v>0</v>
      </c>
      <c r="H50" s="70">
        <f t="shared" si="7"/>
        <v>4802.7666666666664</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0.4395036194415719</v>
      </c>
      <c r="E51" s="50">
        <f t="shared" si="4"/>
        <v>0</v>
      </c>
      <c r="F51" s="50">
        <f t="shared" si="5"/>
        <v>0</v>
      </c>
      <c r="G51" s="69">
        <f t="shared" si="6"/>
        <v>0</v>
      </c>
      <c r="H51" s="70">
        <f t="shared" si="7"/>
        <v>4802.7666666666664</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0.45243019648397098</v>
      </c>
      <c r="E52" s="50">
        <f t="shared" si="4"/>
        <v>0</v>
      </c>
      <c r="F52" s="50">
        <f t="shared" si="5"/>
        <v>0</v>
      </c>
      <c r="G52" s="69">
        <f t="shared" si="6"/>
        <v>0</v>
      </c>
      <c r="H52" s="70">
        <f t="shared" si="7"/>
        <v>4802.7666666666664</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0.46535677352637017</v>
      </c>
      <c r="E53" s="50">
        <f t="shared" si="4"/>
        <v>0</v>
      </c>
      <c r="F53" s="50">
        <f t="shared" si="5"/>
        <v>0</v>
      </c>
      <c r="G53" s="69">
        <f t="shared" si="6"/>
        <v>0</v>
      </c>
      <c r="H53" s="70">
        <f t="shared" si="7"/>
        <v>4802.7666666666664</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0.47828335056876942</v>
      </c>
      <c r="E54" s="50">
        <f t="shared" si="4"/>
        <v>0</v>
      </c>
      <c r="F54" s="50">
        <f t="shared" si="5"/>
        <v>0</v>
      </c>
      <c r="G54" s="69">
        <f t="shared" si="6"/>
        <v>0</v>
      </c>
      <c r="H54" s="70">
        <f t="shared" si="7"/>
        <v>4802.7666666666664</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0.4912099276111685</v>
      </c>
      <c r="E55" s="50">
        <f t="shared" si="4"/>
        <v>0</v>
      </c>
      <c r="F55" s="50">
        <f t="shared" si="5"/>
        <v>0</v>
      </c>
      <c r="G55" s="69">
        <f t="shared" si="6"/>
        <v>0</v>
      </c>
      <c r="H55" s="70">
        <f t="shared" si="7"/>
        <v>4802.7666666666664</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0.50413650465356774</v>
      </c>
      <c r="E56" s="50">
        <f t="shared" si="4"/>
        <v>0</v>
      </c>
      <c r="F56" s="50">
        <f t="shared" si="5"/>
        <v>0</v>
      </c>
      <c r="G56" s="69">
        <f t="shared" si="6"/>
        <v>0</v>
      </c>
      <c r="H56" s="70">
        <f t="shared" si="7"/>
        <v>4802.7666666666664</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0.51706308169596693</v>
      </c>
      <c r="E57" s="50">
        <f t="shared" si="4"/>
        <v>0</v>
      </c>
      <c r="F57" s="50">
        <f t="shared" si="5"/>
        <v>0</v>
      </c>
      <c r="G57" s="69">
        <f t="shared" si="6"/>
        <v>0</v>
      </c>
      <c r="H57" s="70">
        <f t="shared" si="7"/>
        <v>4802.7666666666664</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0.52998965873836601</v>
      </c>
      <c r="E58" s="50">
        <f>IF(D58&gt;3.99,0.085,IF(D58&gt;2.99,0.06,IF(D58&gt;1.99,0.02,IF(D58&gt;1.49,0,0))))</f>
        <v>0</v>
      </c>
      <c r="F58" s="50">
        <f t="shared" si="5"/>
        <v>0</v>
      </c>
      <c r="G58" s="69">
        <f t="shared" si="6"/>
        <v>0</v>
      </c>
      <c r="H58" s="70">
        <f t="shared" si="7"/>
        <v>4802.7666666666664</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0.5429162357807652</v>
      </c>
      <c r="E59" s="50">
        <f t="shared" si="4"/>
        <v>0</v>
      </c>
      <c r="F59" s="50">
        <f>IF(D59&gt;3.99,0.085,IF(D59&gt;2.99,0.085,IF(D59&gt;2.49,0.06,IF(D59&gt;1.99,0.04,IF(D59&gt;1.49,0.02,0)))))</f>
        <v>0</v>
      </c>
      <c r="G59" s="69">
        <f t="shared" si="6"/>
        <v>0</v>
      </c>
      <c r="H59" s="70">
        <f t="shared" si="7"/>
        <v>4802.7666666666664</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0.55584281282316439</v>
      </c>
      <c r="E60" s="50">
        <f t="shared" si="4"/>
        <v>0</v>
      </c>
      <c r="F60" s="50">
        <f t="shared" si="5"/>
        <v>0</v>
      </c>
      <c r="G60" s="69">
        <f t="shared" si="6"/>
        <v>0</v>
      </c>
      <c r="H60" s="70">
        <f t="shared" si="7"/>
        <v>4802.7666666666664</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0.56876938986556358</v>
      </c>
      <c r="E61" s="50">
        <f t="shared" si="4"/>
        <v>0</v>
      </c>
      <c r="F61" s="50">
        <f t="shared" si="5"/>
        <v>0</v>
      </c>
      <c r="G61" s="69">
        <f t="shared" si="6"/>
        <v>0</v>
      </c>
      <c r="H61" s="70">
        <f t="shared" si="7"/>
        <v>4802.7666666666664</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0.58169596690796277</v>
      </c>
      <c r="E62" s="50">
        <f t="shared" si="4"/>
        <v>0</v>
      </c>
      <c r="F62" s="50">
        <f t="shared" si="5"/>
        <v>0</v>
      </c>
      <c r="G62" s="69">
        <f t="shared" si="6"/>
        <v>0</v>
      </c>
      <c r="H62" s="70">
        <f t="shared" si="7"/>
        <v>4802.7666666666664</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0.59462254395036196</v>
      </c>
      <c r="E63" s="50">
        <f t="shared" si="4"/>
        <v>0</v>
      </c>
      <c r="F63" s="50">
        <f t="shared" si="5"/>
        <v>0</v>
      </c>
      <c r="G63" s="69">
        <f t="shared" si="6"/>
        <v>0</v>
      </c>
      <c r="H63" s="70">
        <f t="shared" si="7"/>
        <v>4802.7666666666664</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0.60754912099276104</v>
      </c>
      <c r="E64" s="50">
        <f t="shared" si="4"/>
        <v>0</v>
      </c>
      <c r="F64" s="50">
        <f t="shared" si="5"/>
        <v>0</v>
      </c>
      <c r="G64" s="69">
        <f t="shared" si="6"/>
        <v>0</v>
      </c>
      <c r="H64" s="70">
        <f t="shared" si="7"/>
        <v>4802.7666666666664</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0.62047569803516023</v>
      </c>
      <c r="E65" s="50">
        <f t="shared" si="4"/>
        <v>0</v>
      </c>
      <c r="F65" s="50">
        <f t="shared" si="5"/>
        <v>0</v>
      </c>
      <c r="G65" s="69">
        <f t="shared" si="6"/>
        <v>0</v>
      </c>
      <c r="H65" s="70">
        <f t="shared" si="7"/>
        <v>4802.7666666666664</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0.63340227507755942</v>
      </c>
      <c r="E66" s="50">
        <f t="shared" si="4"/>
        <v>0</v>
      </c>
      <c r="F66" s="50">
        <f t="shared" si="5"/>
        <v>0</v>
      </c>
      <c r="G66" s="69">
        <f t="shared" si="6"/>
        <v>0</v>
      </c>
      <c r="H66" s="70">
        <f t="shared" si="7"/>
        <v>4802.7666666666664</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0.64632885211995861</v>
      </c>
      <c r="E67" s="50">
        <f t="shared" si="4"/>
        <v>0</v>
      </c>
      <c r="F67" s="50">
        <f t="shared" si="5"/>
        <v>0</v>
      </c>
      <c r="G67" s="69">
        <f t="shared" si="6"/>
        <v>0</v>
      </c>
      <c r="H67" s="70">
        <f t="shared" si="7"/>
        <v>4802.7666666666664</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0.6592554291623578</v>
      </c>
      <c r="E68" s="50">
        <f t="shared" si="4"/>
        <v>0</v>
      </c>
      <c r="F68" s="50">
        <f t="shared" si="5"/>
        <v>0</v>
      </c>
      <c r="G68" s="69">
        <f t="shared" si="6"/>
        <v>0</v>
      </c>
      <c r="H68" s="70">
        <f t="shared" si="7"/>
        <v>4802.7666666666664</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0.67218200620475688</v>
      </c>
      <c r="E69" s="50">
        <f t="shared" si="4"/>
        <v>0</v>
      </c>
      <c r="F69" s="50">
        <f t="shared" si="5"/>
        <v>0</v>
      </c>
      <c r="G69" s="69">
        <f t="shared" si="6"/>
        <v>0</v>
      </c>
      <c r="H69" s="70">
        <f t="shared" si="7"/>
        <v>4802.7666666666664</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0.68510858324715618</v>
      </c>
      <c r="E70" s="50">
        <f t="shared" si="4"/>
        <v>0</v>
      </c>
      <c r="F70" s="50">
        <f t="shared" si="5"/>
        <v>0</v>
      </c>
      <c r="G70" s="69">
        <f t="shared" si="6"/>
        <v>0</v>
      </c>
      <c r="H70" s="70">
        <f t="shared" si="7"/>
        <v>4802.7666666666664</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0.69803516028955526</v>
      </c>
      <c r="E71" s="50">
        <f>IF(D71&gt;3.99,0.085,IF(D71&gt;2.99,0.06,IF(D71&gt;1.99,0.02,IF(D71&gt;1.49,0,0))))</f>
        <v>0</v>
      </c>
      <c r="F71" s="50">
        <f t="shared" si="5"/>
        <v>0</v>
      </c>
      <c r="G71" s="69">
        <f t="shared" si="6"/>
        <v>0</v>
      </c>
      <c r="H71" s="70">
        <f t="shared" si="7"/>
        <v>4802.7666666666664</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0.71096173733195445</v>
      </c>
      <c r="E72" s="50">
        <f t="shared" si="4"/>
        <v>0</v>
      </c>
      <c r="F72" s="50">
        <f>IF(D72&gt;3.99,0.085,IF(D72&gt;2.99,0.085,IF(D72&gt;2.49,0.06,IF(D72&gt;1.99,0.04,IF(D72&gt;1.49,0.02,0)))))</f>
        <v>0</v>
      </c>
      <c r="G72" s="69">
        <f t="shared" si="6"/>
        <v>0</v>
      </c>
      <c r="H72" s="70">
        <f t="shared" si="7"/>
        <v>4802.7666666666664</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0.72388831437435364</v>
      </c>
      <c r="E73" s="50">
        <f t="shared" si="4"/>
        <v>0</v>
      </c>
      <c r="F73" s="50">
        <f t="shared" si="5"/>
        <v>0</v>
      </c>
      <c r="G73" s="69">
        <f t="shared" si="6"/>
        <v>0</v>
      </c>
      <c r="H73" s="70">
        <f t="shared" si="7"/>
        <v>4802.7666666666664</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0.73681489141675283</v>
      </c>
      <c r="E74" s="50">
        <f t="shared" si="4"/>
        <v>0</v>
      </c>
      <c r="F74" s="50">
        <f t="shared" si="5"/>
        <v>0</v>
      </c>
      <c r="G74" s="69">
        <f t="shared" si="6"/>
        <v>0</v>
      </c>
      <c r="H74" s="70">
        <f t="shared" si="7"/>
        <v>4802.7666666666664</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0.74974146845915191</v>
      </c>
      <c r="E75" s="50">
        <f t="shared" si="4"/>
        <v>0</v>
      </c>
      <c r="F75" s="50">
        <f t="shared" si="5"/>
        <v>0</v>
      </c>
      <c r="G75" s="69">
        <f t="shared" si="6"/>
        <v>0</v>
      </c>
      <c r="H75" s="70">
        <f t="shared" si="7"/>
        <v>4802.7666666666664</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0.76266804550155121</v>
      </c>
      <c r="E76" s="50">
        <f t="shared" si="4"/>
        <v>0</v>
      </c>
      <c r="F76" s="50">
        <f t="shared" si="5"/>
        <v>0</v>
      </c>
      <c r="G76" s="69">
        <f t="shared" si="6"/>
        <v>0</v>
      </c>
      <c r="H76" s="70">
        <f t="shared" si="7"/>
        <v>4802.7666666666664</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0.77559462254395029</v>
      </c>
      <c r="E77" s="50">
        <f t="shared" si="4"/>
        <v>0</v>
      </c>
      <c r="F77" s="50">
        <f t="shared" si="5"/>
        <v>0</v>
      </c>
      <c r="G77" s="69">
        <f t="shared" si="6"/>
        <v>0</v>
      </c>
      <c r="H77" s="70">
        <f t="shared" si="7"/>
        <v>4802.7666666666664</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0.78852119958634947</v>
      </c>
      <c r="E78" s="50">
        <f t="shared" si="4"/>
        <v>0</v>
      </c>
      <c r="F78" s="50">
        <f t="shared" si="5"/>
        <v>0</v>
      </c>
      <c r="G78" s="69">
        <f t="shared" si="6"/>
        <v>0</v>
      </c>
      <c r="H78" s="70">
        <f t="shared" si="7"/>
        <v>4802.7666666666664</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0.80144777662874866</v>
      </c>
      <c r="E79" s="50">
        <f t="shared" si="4"/>
        <v>0</v>
      </c>
      <c r="F79" s="50">
        <f t="shared" si="5"/>
        <v>0</v>
      </c>
      <c r="G79" s="69">
        <f t="shared" si="6"/>
        <v>0</v>
      </c>
      <c r="H79" s="70">
        <f t="shared" si="7"/>
        <v>4802.7666666666664</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0.81437435367114785</v>
      </c>
      <c r="E80" s="50">
        <f t="shared" si="4"/>
        <v>0</v>
      </c>
      <c r="F80" s="50">
        <f t="shared" si="5"/>
        <v>0</v>
      </c>
      <c r="G80" s="69">
        <f t="shared" si="6"/>
        <v>0</v>
      </c>
      <c r="H80" s="70">
        <f t="shared" si="7"/>
        <v>4802.7666666666664</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0.82730093071354693</v>
      </c>
      <c r="E81" s="50">
        <f t="shared" si="4"/>
        <v>0</v>
      </c>
      <c r="F81" s="50">
        <f t="shared" si="5"/>
        <v>0</v>
      </c>
      <c r="G81" s="69">
        <f t="shared" si="6"/>
        <v>0</v>
      </c>
      <c r="H81" s="70">
        <f t="shared" si="7"/>
        <v>4802.7666666666664</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0.84022750775594623</v>
      </c>
      <c r="E82" s="50">
        <f t="shared" si="4"/>
        <v>0</v>
      </c>
      <c r="F82" s="50">
        <f t="shared" si="5"/>
        <v>0</v>
      </c>
      <c r="G82" s="69">
        <f t="shared" si="6"/>
        <v>0</v>
      </c>
      <c r="H82" s="70">
        <f t="shared" si="7"/>
        <v>4802.7666666666664</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0.85315408479834531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4802.7666666666664</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0.8660806618407445</v>
      </c>
      <c r="E84" s="50">
        <f t="shared" si="18"/>
        <v>0</v>
      </c>
      <c r="F84" s="50">
        <f t="shared" si="19"/>
        <v>0</v>
      </c>
      <c r="G84" s="69">
        <f t="shared" si="20"/>
        <v>0</v>
      </c>
      <c r="H84" s="70">
        <f t="shared" si="21"/>
        <v>4802.7666666666664</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0.8790072388831438</v>
      </c>
      <c r="E85" s="50">
        <f t="shared" si="18"/>
        <v>0</v>
      </c>
      <c r="F85" s="50">
        <f t="shared" si="19"/>
        <v>0</v>
      </c>
      <c r="G85" s="69">
        <f t="shared" si="20"/>
        <v>0</v>
      </c>
      <c r="H85" s="70">
        <f t="shared" si="21"/>
        <v>4802.7666666666664</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0.89193381592554288</v>
      </c>
      <c r="E86" s="50">
        <f t="shared" si="18"/>
        <v>0</v>
      </c>
      <c r="F86" s="50">
        <f t="shared" si="19"/>
        <v>0</v>
      </c>
      <c r="G86" s="69">
        <f t="shared" si="20"/>
        <v>0</v>
      </c>
      <c r="H86" s="70">
        <f t="shared" si="21"/>
        <v>4802.7666666666664</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0.90486039296794196</v>
      </c>
      <c r="E87" s="50">
        <f t="shared" si="18"/>
        <v>0</v>
      </c>
      <c r="F87" s="50">
        <f t="shared" si="19"/>
        <v>0</v>
      </c>
      <c r="G87" s="69">
        <f t="shared" si="20"/>
        <v>0</v>
      </c>
      <c r="H87" s="70">
        <f t="shared" si="21"/>
        <v>4802.7666666666664</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0.91778697001034126</v>
      </c>
      <c r="E88" s="50">
        <f t="shared" si="18"/>
        <v>0</v>
      </c>
      <c r="F88" s="50">
        <f t="shared" si="19"/>
        <v>0</v>
      </c>
      <c r="G88" s="69">
        <f t="shared" si="20"/>
        <v>0</v>
      </c>
      <c r="H88" s="70">
        <f t="shared" si="21"/>
        <v>4802.7666666666664</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0.93071354705274034</v>
      </c>
      <c r="E89" s="50">
        <f t="shared" si="18"/>
        <v>0</v>
      </c>
      <c r="F89" s="50">
        <f t="shared" si="19"/>
        <v>0</v>
      </c>
      <c r="G89" s="69">
        <f t="shared" si="20"/>
        <v>0</v>
      </c>
      <c r="H89" s="70">
        <f t="shared" si="21"/>
        <v>4802.7666666666664</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0.94364012409513953</v>
      </c>
      <c r="E90" s="50">
        <f t="shared" si="18"/>
        <v>0</v>
      </c>
      <c r="F90" s="50">
        <f t="shared" si="19"/>
        <v>0</v>
      </c>
      <c r="G90" s="69">
        <f t="shared" si="20"/>
        <v>0</v>
      </c>
      <c r="H90" s="70">
        <f t="shared" si="21"/>
        <v>4802.7666666666664</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0.95656670113753883</v>
      </c>
      <c r="E91" s="50">
        <f t="shared" si="18"/>
        <v>0</v>
      </c>
      <c r="F91" s="50">
        <f t="shared" si="19"/>
        <v>0</v>
      </c>
      <c r="G91" s="69">
        <f t="shared" si="20"/>
        <v>0</v>
      </c>
      <c r="H91" s="70">
        <f t="shared" si="21"/>
        <v>4802.7666666666664</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0.96949327817993791</v>
      </c>
      <c r="E92" s="50">
        <f t="shared" si="18"/>
        <v>0</v>
      </c>
      <c r="F92" s="50">
        <f t="shared" si="19"/>
        <v>0</v>
      </c>
      <c r="G92" s="69">
        <f t="shared" si="20"/>
        <v>0</v>
      </c>
      <c r="H92" s="70">
        <f t="shared" si="21"/>
        <v>4802.7666666666664</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0.98241985522233699</v>
      </c>
      <c r="E93" s="50">
        <f t="shared" si="18"/>
        <v>0</v>
      </c>
      <c r="F93" s="50">
        <f t="shared" si="19"/>
        <v>0</v>
      </c>
      <c r="G93" s="69">
        <f t="shared" si="20"/>
        <v>0</v>
      </c>
      <c r="H93" s="70">
        <f t="shared" si="21"/>
        <v>4802.7666666666664</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0.99534643226473629</v>
      </c>
      <c r="E94" s="50">
        <f t="shared" si="18"/>
        <v>0</v>
      </c>
      <c r="F94" s="50">
        <f t="shared" si="19"/>
        <v>0</v>
      </c>
      <c r="G94" s="69">
        <f t="shared" si="20"/>
        <v>0</v>
      </c>
      <c r="H94" s="70">
        <f t="shared" si="21"/>
        <v>4802.7666666666664</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1.0082730093071355</v>
      </c>
      <c r="E95" s="50">
        <f t="shared" si="18"/>
        <v>0</v>
      </c>
      <c r="F95" s="50">
        <f t="shared" si="19"/>
        <v>0</v>
      </c>
      <c r="G95" s="69">
        <f t="shared" si="20"/>
        <v>0</v>
      </c>
      <c r="H95" s="70">
        <f t="shared" si="21"/>
        <v>4802.7666666666664</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1.0211995863495344</v>
      </c>
      <c r="E96" s="50">
        <f t="shared" si="18"/>
        <v>0</v>
      </c>
      <c r="F96" s="50">
        <f t="shared" si="19"/>
        <v>0</v>
      </c>
      <c r="G96" s="69">
        <f t="shared" si="20"/>
        <v>0</v>
      </c>
      <c r="H96" s="70">
        <f t="shared" si="21"/>
        <v>4802.7666666666664</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1.0341261633919339</v>
      </c>
      <c r="E97" s="50">
        <f>IF(D97&gt;3.99,0.085,IF(D97&gt;2.99,0.06,IF(D97&gt;1.99,0.02,IF(D97&gt;1.49,0,0))))</f>
        <v>0</v>
      </c>
      <c r="F97" s="50">
        <f t="shared" si="19"/>
        <v>0</v>
      </c>
      <c r="G97" s="69">
        <f t="shared" si="20"/>
        <v>0</v>
      </c>
      <c r="H97" s="70">
        <f t="shared" si="21"/>
        <v>4802.7666666666664</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1.0470527404343328</v>
      </c>
      <c r="E98" s="50">
        <f t="shared" ref="E98:E161" si="25">IF(D98&gt;3.99,0.085,IF(D98&gt;2.99,0.06,IF(D98&gt;1.99,0.02,IF(D98&gt;1.49,0,0))))</f>
        <v>0</v>
      </c>
      <c r="F98" s="50">
        <f t="shared" si="19"/>
        <v>0</v>
      </c>
      <c r="G98" s="69">
        <f t="shared" si="20"/>
        <v>0</v>
      </c>
      <c r="H98" s="70">
        <f t="shared" si="21"/>
        <v>4802.7666666666664</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1.059979317476732</v>
      </c>
      <c r="E99" s="50">
        <f t="shared" si="25"/>
        <v>0</v>
      </c>
      <c r="F99" s="50">
        <f t="shared" si="19"/>
        <v>0</v>
      </c>
      <c r="G99" s="69">
        <f t="shared" si="20"/>
        <v>0</v>
      </c>
      <c r="H99" s="70">
        <f t="shared" si="21"/>
        <v>4802.7666666666664</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1.0729058945191314</v>
      </c>
      <c r="E100" s="50">
        <f t="shared" si="25"/>
        <v>0</v>
      </c>
      <c r="F100" s="50">
        <f t="shared" si="19"/>
        <v>0</v>
      </c>
      <c r="G100" s="69">
        <f t="shared" si="20"/>
        <v>0</v>
      </c>
      <c r="H100" s="70">
        <f t="shared" si="21"/>
        <v>4802.7666666666664</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1.0858324715615304</v>
      </c>
      <c r="E101" s="50">
        <f t="shared" si="25"/>
        <v>0</v>
      </c>
      <c r="F101" s="50">
        <f t="shared" si="19"/>
        <v>0</v>
      </c>
      <c r="G101" s="69">
        <f t="shared" si="20"/>
        <v>0</v>
      </c>
      <c r="H101" s="70">
        <f t="shared" si="21"/>
        <v>4802.7666666666664</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1.0987590486039296</v>
      </c>
      <c r="E102" s="50">
        <f t="shared" si="25"/>
        <v>0</v>
      </c>
      <c r="F102" s="50">
        <f t="shared" si="19"/>
        <v>0</v>
      </c>
      <c r="G102" s="69">
        <f t="shared" si="20"/>
        <v>0</v>
      </c>
      <c r="H102" s="70">
        <f t="shared" si="21"/>
        <v>4802.7666666666664</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1.1116856256463288</v>
      </c>
      <c r="E103" s="50">
        <f t="shared" si="25"/>
        <v>0</v>
      </c>
      <c r="F103" s="50">
        <f t="shared" si="19"/>
        <v>0</v>
      </c>
      <c r="G103" s="69">
        <f t="shared" si="20"/>
        <v>0</v>
      </c>
      <c r="H103" s="70">
        <f t="shared" si="21"/>
        <v>4802.7666666666664</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1.124612202688728</v>
      </c>
      <c r="E104" s="50">
        <f t="shared" si="25"/>
        <v>0</v>
      </c>
      <c r="F104" s="50">
        <f t="shared" si="19"/>
        <v>0</v>
      </c>
      <c r="G104" s="69">
        <f t="shared" si="20"/>
        <v>0</v>
      </c>
      <c r="H104" s="70">
        <f t="shared" si="21"/>
        <v>4802.7666666666664</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1.1375387797311272</v>
      </c>
      <c r="E105" s="50">
        <f t="shared" si="25"/>
        <v>0</v>
      </c>
      <c r="F105" s="50">
        <f t="shared" si="19"/>
        <v>0</v>
      </c>
      <c r="G105" s="69">
        <f t="shared" si="20"/>
        <v>0</v>
      </c>
      <c r="H105" s="70">
        <f t="shared" si="21"/>
        <v>4802.7666666666664</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1.1504653567735263</v>
      </c>
      <c r="E106" s="50">
        <f t="shared" si="25"/>
        <v>0</v>
      </c>
      <c r="F106" s="50">
        <f t="shared" si="19"/>
        <v>0</v>
      </c>
      <c r="G106" s="69">
        <f t="shared" si="20"/>
        <v>0</v>
      </c>
      <c r="H106" s="70">
        <f t="shared" si="21"/>
        <v>4802.7666666666664</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1.1633919338159255</v>
      </c>
      <c r="E107" s="50">
        <f t="shared" si="25"/>
        <v>0</v>
      </c>
      <c r="F107" s="50">
        <f t="shared" si="19"/>
        <v>0</v>
      </c>
      <c r="G107" s="69">
        <f t="shared" si="20"/>
        <v>0</v>
      </c>
      <c r="H107" s="70">
        <f t="shared" si="21"/>
        <v>4802.7666666666664</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1.1763185108583245</v>
      </c>
      <c r="E108" s="50">
        <f t="shared" si="25"/>
        <v>0</v>
      </c>
      <c r="F108" s="50">
        <f t="shared" si="19"/>
        <v>0</v>
      </c>
      <c r="G108" s="69">
        <f t="shared" si="20"/>
        <v>0</v>
      </c>
      <c r="H108" s="70">
        <f t="shared" si="21"/>
        <v>4802.7666666666664</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1.1892450879007239</v>
      </c>
      <c r="E109" s="50">
        <f t="shared" si="25"/>
        <v>0</v>
      </c>
      <c r="F109" s="50">
        <f t="shared" si="19"/>
        <v>0</v>
      </c>
      <c r="G109" s="69">
        <f t="shared" si="20"/>
        <v>0</v>
      </c>
      <c r="H109" s="70">
        <f t="shared" si="21"/>
        <v>4802.7666666666664</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1.2021716649431231</v>
      </c>
      <c r="E110" s="50">
        <f t="shared" si="25"/>
        <v>0</v>
      </c>
      <c r="F110" s="50">
        <f t="shared" si="19"/>
        <v>0</v>
      </c>
      <c r="G110" s="69">
        <f t="shared" si="20"/>
        <v>0</v>
      </c>
      <c r="H110" s="70">
        <f t="shared" si="21"/>
        <v>4802.7666666666664</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1.2150982419855221</v>
      </c>
      <c r="E111" s="50">
        <f t="shared" si="25"/>
        <v>0</v>
      </c>
      <c r="F111" s="50">
        <f t="shared" si="19"/>
        <v>0</v>
      </c>
      <c r="G111" s="69">
        <f t="shared" si="20"/>
        <v>0</v>
      </c>
      <c r="H111" s="70">
        <f t="shared" si="21"/>
        <v>4802.7666666666664</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1.2280248190279215</v>
      </c>
      <c r="E112" s="50">
        <f t="shared" si="25"/>
        <v>0</v>
      </c>
      <c r="F112" s="50">
        <f t="shared" si="19"/>
        <v>0</v>
      </c>
      <c r="G112" s="69">
        <f t="shared" si="20"/>
        <v>0</v>
      </c>
      <c r="H112" s="70">
        <f t="shared" si="21"/>
        <v>4802.7666666666664</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1.2409513960703205</v>
      </c>
      <c r="E113" s="50">
        <f t="shared" si="25"/>
        <v>0</v>
      </c>
      <c r="F113" s="50">
        <f>IF(D113&gt;3.99,0.085,IF(D113&gt;2.99,0.085,IF(D113&gt;2.49,0.06,IF(D113&gt;1.99,0.04,IF(D113&gt;1.49,0.02,0)))))</f>
        <v>0</v>
      </c>
      <c r="G113" s="69">
        <f t="shared" si="20"/>
        <v>0</v>
      </c>
      <c r="H113" s="70">
        <f t="shared" si="21"/>
        <v>4802.7666666666664</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1.2538779731127196</v>
      </c>
      <c r="E114" s="50">
        <f t="shared" si="25"/>
        <v>0</v>
      </c>
      <c r="F114" s="50">
        <f t="shared" si="19"/>
        <v>0</v>
      </c>
      <c r="G114" s="69">
        <f t="shared" si="20"/>
        <v>0</v>
      </c>
      <c r="H114" s="70">
        <f t="shared" si="21"/>
        <v>4802.7666666666664</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1.2668045501551188</v>
      </c>
      <c r="E115" s="50">
        <f t="shared" si="25"/>
        <v>0</v>
      </c>
      <c r="F115" s="50">
        <f t="shared" si="19"/>
        <v>0</v>
      </c>
      <c r="G115" s="69">
        <f t="shared" si="20"/>
        <v>0</v>
      </c>
      <c r="H115" s="70">
        <f t="shared" si="21"/>
        <v>4802.7666666666664</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1.279731127197518</v>
      </c>
      <c r="E116" s="50">
        <f t="shared" si="25"/>
        <v>0</v>
      </c>
      <c r="F116" s="50">
        <f t="shared" si="19"/>
        <v>0</v>
      </c>
      <c r="G116" s="69">
        <f t="shared" si="20"/>
        <v>0</v>
      </c>
      <c r="H116" s="70">
        <f t="shared" si="21"/>
        <v>4802.7666666666664</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1.2926577042399172</v>
      </c>
      <c r="E117" s="50">
        <f t="shared" si="25"/>
        <v>0</v>
      </c>
      <c r="F117" s="50">
        <f t="shared" si="19"/>
        <v>0</v>
      </c>
      <c r="G117" s="69">
        <f t="shared" si="20"/>
        <v>0</v>
      </c>
      <c r="H117" s="70">
        <f t="shared" si="21"/>
        <v>4802.7666666666664</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1.3055842812823162</v>
      </c>
      <c r="E118" s="50">
        <f t="shared" si="25"/>
        <v>0</v>
      </c>
      <c r="F118" s="50">
        <f t="shared" si="19"/>
        <v>0</v>
      </c>
      <c r="G118" s="69">
        <f t="shared" si="20"/>
        <v>0</v>
      </c>
      <c r="H118" s="70">
        <f t="shared" si="21"/>
        <v>4802.7666666666664</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1.3185108583247156</v>
      </c>
      <c r="E119" s="50">
        <f t="shared" si="25"/>
        <v>0</v>
      </c>
      <c r="F119" s="50">
        <f t="shared" si="19"/>
        <v>0</v>
      </c>
      <c r="G119" s="69">
        <f t="shared" si="20"/>
        <v>0</v>
      </c>
      <c r="H119" s="70">
        <f t="shared" si="21"/>
        <v>4802.7666666666664</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1.3314374353671148</v>
      </c>
      <c r="E120" s="50">
        <f t="shared" si="25"/>
        <v>0</v>
      </c>
      <c r="F120" s="50">
        <f t="shared" si="19"/>
        <v>0</v>
      </c>
      <c r="G120" s="69">
        <f t="shared" si="20"/>
        <v>0</v>
      </c>
      <c r="H120" s="70">
        <f t="shared" si="21"/>
        <v>4802.7666666666664</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1.3443640124095138</v>
      </c>
      <c r="E121" s="50">
        <f t="shared" si="25"/>
        <v>0</v>
      </c>
      <c r="F121" s="50">
        <f t="shared" si="19"/>
        <v>0</v>
      </c>
      <c r="G121" s="69">
        <f t="shared" si="20"/>
        <v>0</v>
      </c>
      <c r="H121" s="70">
        <f t="shared" si="21"/>
        <v>4802.7666666666664</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1.3572905894519132</v>
      </c>
      <c r="E122" s="50">
        <f t="shared" si="25"/>
        <v>0</v>
      </c>
      <c r="F122" s="50">
        <f t="shared" si="19"/>
        <v>0</v>
      </c>
      <c r="G122" s="69">
        <f t="shared" si="20"/>
        <v>0</v>
      </c>
      <c r="H122" s="70">
        <f t="shared" si="21"/>
        <v>4802.7666666666664</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1.3702171664943124</v>
      </c>
      <c r="E123" s="50">
        <f t="shared" si="25"/>
        <v>0</v>
      </c>
      <c r="F123" s="50">
        <f t="shared" si="19"/>
        <v>0</v>
      </c>
      <c r="G123" s="69">
        <f t="shared" si="20"/>
        <v>0</v>
      </c>
      <c r="H123" s="70">
        <f t="shared" si="21"/>
        <v>4802.7666666666664</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1.3831437435367113</v>
      </c>
      <c r="E124" s="50">
        <f t="shared" si="25"/>
        <v>0</v>
      </c>
      <c r="F124" s="50">
        <f t="shared" si="19"/>
        <v>0</v>
      </c>
      <c r="G124" s="69">
        <f t="shared" si="20"/>
        <v>0</v>
      </c>
      <c r="H124" s="70">
        <f t="shared" si="21"/>
        <v>4802.7666666666664</v>
      </c>
      <c r="I124" s="70">
        <f t="shared" si="22"/>
        <v>0</v>
      </c>
      <c r="J124" s="53">
        <f t="shared" si="14"/>
        <v>0</v>
      </c>
      <c r="K124" s="53">
        <f t="shared" si="15"/>
        <v>472</v>
      </c>
      <c r="L124" s="289">
        <f t="shared" si="16"/>
        <v>472</v>
      </c>
      <c r="N124" s="7">
        <f t="shared" si="17"/>
        <v>5664</v>
      </c>
      <c r="O124" t="str">
        <f>Medicaid!G116</f>
        <v>No</v>
      </c>
      <c r="P124" t="str">
        <f>Medicaid!K116</f>
        <v>Yes</v>
      </c>
    </row>
    <row r="125" spans="1:16" ht="15" customHeight="1" x14ac:dyDescent="0.25">
      <c r="A125" s="3">
        <v>54000</v>
      </c>
      <c r="B125" s="3">
        <f t="shared" si="23"/>
        <v>4500</v>
      </c>
      <c r="C125" s="3">
        <f t="shared" si="24"/>
        <v>377.55</v>
      </c>
      <c r="D125" s="64">
        <f t="shared" si="26"/>
        <v>1.3960703205791105</v>
      </c>
      <c r="E125" s="50">
        <f t="shared" si="25"/>
        <v>0</v>
      </c>
      <c r="F125" s="50">
        <f t="shared" si="19"/>
        <v>0</v>
      </c>
      <c r="G125" s="69">
        <f t="shared" si="20"/>
        <v>0</v>
      </c>
      <c r="H125" s="70">
        <f t="shared" si="21"/>
        <v>4802.7666666666664</v>
      </c>
      <c r="I125" s="70">
        <f t="shared" si="22"/>
        <v>0</v>
      </c>
      <c r="J125" s="53">
        <f t="shared" si="14"/>
        <v>0</v>
      </c>
      <c r="K125" s="53">
        <f t="shared" si="15"/>
        <v>472</v>
      </c>
      <c r="L125" s="289">
        <f t="shared" si="16"/>
        <v>472</v>
      </c>
      <c r="N125" s="7">
        <f t="shared" si="17"/>
        <v>5664</v>
      </c>
      <c r="O125" t="str">
        <f>Medicaid!G117</f>
        <v>No</v>
      </c>
      <c r="P125" t="str">
        <f>Medicaid!K117</f>
        <v>Yes</v>
      </c>
    </row>
    <row r="126" spans="1:16" ht="15" customHeight="1" x14ac:dyDescent="0.25">
      <c r="A126" s="3">
        <v>54500</v>
      </c>
      <c r="B126" s="3">
        <f t="shared" si="23"/>
        <v>4541.666666666667</v>
      </c>
      <c r="C126" s="3">
        <f t="shared" si="24"/>
        <v>381.04583333333335</v>
      </c>
      <c r="D126" s="64">
        <f t="shared" si="26"/>
        <v>1.4089968976215099</v>
      </c>
      <c r="E126" s="50">
        <f t="shared" si="25"/>
        <v>0</v>
      </c>
      <c r="F126" s="50">
        <f t="shared" si="19"/>
        <v>0</v>
      </c>
      <c r="G126" s="69">
        <f t="shared" si="20"/>
        <v>0</v>
      </c>
      <c r="H126" s="70">
        <f t="shared" si="21"/>
        <v>4802.7666666666664</v>
      </c>
      <c r="I126" s="70">
        <f t="shared" si="22"/>
        <v>0</v>
      </c>
      <c r="J126" s="53">
        <f t="shared" si="14"/>
        <v>0</v>
      </c>
      <c r="K126" s="53">
        <f t="shared" si="15"/>
        <v>472</v>
      </c>
      <c r="L126" s="289">
        <f t="shared" si="16"/>
        <v>472</v>
      </c>
      <c r="N126" s="7">
        <f t="shared" si="17"/>
        <v>5664</v>
      </c>
      <c r="O126" t="str">
        <f>Medicaid!G118</f>
        <v>No</v>
      </c>
      <c r="P126" t="str">
        <f>Medicaid!K118</f>
        <v>Yes</v>
      </c>
    </row>
    <row r="127" spans="1:16" ht="15" customHeight="1" x14ac:dyDescent="0.25">
      <c r="A127" s="3">
        <v>55000</v>
      </c>
      <c r="B127" s="3">
        <f t="shared" si="23"/>
        <v>4583.333333333333</v>
      </c>
      <c r="C127" s="3">
        <f t="shared" si="24"/>
        <v>384.54166666666663</v>
      </c>
      <c r="D127" s="64">
        <f t="shared" si="26"/>
        <v>1.4219234746639089</v>
      </c>
      <c r="E127" s="50">
        <f t="shared" si="25"/>
        <v>0</v>
      </c>
      <c r="F127" s="50">
        <f t="shared" si="19"/>
        <v>0</v>
      </c>
      <c r="G127" s="69">
        <f t="shared" si="20"/>
        <v>0</v>
      </c>
      <c r="H127" s="70">
        <f t="shared" si="21"/>
        <v>4802.7666666666664</v>
      </c>
      <c r="I127" s="70">
        <f t="shared" si="22"/>
        <v>0</v>
      </c>
      <c r="J127" s="53">
        <f t="shared" si="14"/>
        <v>0</v>
      </c>
      <c r="K127" s="53">
        <f t="shared" si="15"/>
        <v>472</v>
      </c>
      <c r="L127" s="289">
        <f t="shared" si="16"/>
        <v>472</v>
      </c>
      <c r="N127" s="7">
        <f t="shared" si="17"/>
        <v>5664</v>
      </c>
      <c r="O127" t="str">
        <f>Medicaid!G119</f>
        <v>No</v>
      </c>
      <c r="P127" t="str">
        <f>Medicaid!K119</f>
        <v>Yes</v>
      </c>
    </row>
    <row r="128" spans="1:16" ht="15" customHeight="1" x14ac:dyDescent="0.25">
      <c r="A128" s="3">
        <v>55500</v>
      </c>
      <c r="B128" s="3">
        <f t="shared" si="23"/>
        <v>4625</v>
      </c>
      <c r="C128" s="3">
        <f t="shared" si="24"/>
        <v>388.03750000000002</v>
      </c>
      <c r="D128" s="64">
        <f t="shared" si="26"/>
        <v>1.4348500517063081</v>
      </c>
      <c r="E128" s="50">
        <f t="shared" si="25"/>
        <v>0</v>
      </c>
      <c r="F128" s="50">
        <f t="shared" si="19"/>
        <v>0</v>
      </c>
      <c r="G128" s="69">
        <f t="shared" si="20"/>
        <v>0</v>
      </c>
      <c r="H128" s="70">
        <f t="shared" si="21"/>
        <v>4802.7666666666664</v>
      </c>
      <c r="I128" s="70">
        <f t="shared" si="22"/>
        <v>0</v>
      </c>
      <c r="J128" s="53">
        <f t="shared" si="14"/>
        <v>0</v>
      </c>
      <c r="K128" s="53">
        <f t="shared" si="15"/>
        <v>472</v>
      </c>
      <c r="L128" s="289">
        <f t="shared" si="16"/>
        <v>472</v>
      </c>
      <c r="N128" s="7">
        <f t="shared" si="17"/>
        <v>5664</v>
      </c>
      <c r="O128" t="str">
        <f>Medicaid!G120</f>
        <v>No</v>
      </c>
      <c r="P128" t="str">
        <f>Medicaid!K120</f>
        <v>Yes</v>
      </c>
    </row>
    <row r="129" spans="1:16" ht="15" customHeight="1" x14ac:dyDescent="0.25">
      <c r="A129" s="3">
        <v>56000</v>
      </c>
      <c r="B129" s="3">
        <f t="shared" si="23"/>
        <v>4666.666666666667</v>
      </c>
      <c r="C129" s="3">
        <f t="shared" si="24"/>
        <v>391.53333333333336</v>
      </c>
      <c r="D129" s="64">
        <f t="shared" si="26"/>
        <v>1.4477766287487073</v>
      </c>
      <c r="E129" s="50">
        <f t="shared" si="25"/>
        <v>0</v>
      </c>
      <c r="F129" s="50">
        <f t="shared" si="19"/>
        <v>0</v>
      </c>
      <c r="G129" s="69">
        <f t="shared" si="20"/>
        <v>0</v>
      </c>
      <c r="H129" s="70">
        <f t="shared" si="21"/>
        <v>4802.7666666666664</v>
      </c>
      <c r="I129" s="70">
        <f t="shared" si="22"/>
        <v>0</v>
      </c>
      <c r="J129" s="53">
        <f t="shared" si="14"/>
        <v>0</v>
      </c>
      <c r="K129" s="53">
        <f t="shared" si="15"/>
        <v>472</v>
      </c>
      <c r="L129" s="289">
        <f t="shared" si="16"/>
        <v>472</v>
      </c>
      <c r="N129" s="7">
        <f t="shared" si="17"/>
        <v>5664</v>
      </c>
      <c r="O129" t="str">
        <f>Medicaid!G121</f>
        <v>No</v>
      </c>
      <c r="P129" t="str">
        <f>Medicaid!K121</f>
        <v>Yes</v>
      </c>
    </row>
    <row r="130" spans="1:16" ht="15" customHeight="1" x14ac:dyDescent="0.25">
      <c r="A130" s="3">
        <v>56500</v>
      </c>
      <c r="B130" s="3">
        <f t="shared" si="23"/>
        <v>4708.333333333333</v>
      </c>
      <c r="C130" s="3">
        <f t="shared" si="24"/>
        <v>395.02916666666664</v>
      </c>
      <c r="D130" s="64">
        <f t="shared" si="26"/>
        <v>1.4607032057911065</v>
      </c>
      <c r="E130" s="50">
        <f t="shared" si="25"/>
        <v>0</v>
      </c>
      <c r="F130" s="50">
        <f t="shared" si="19"/>
        <v>0</v>
      </c>
      <c r="G130" s="69">
        <f t="shared" si="20"/>
        <v>0</v>
      </c>
      <c r="H130" s="70">
        <f t="shared" si="21"/>
        <v>4802.7666666666664</v>
      </c>
      <c r="I130" s="70">
        <f t="shared" si="22"/>
        <v>0</v>
      </c>
      <c r="J130" s="53">
        <f t="shared" si="14"/>
        <v>0</v>
      </c>
      <c r="K130" s="53">
        <f t="shared" si="15"/>
        <v>472</v>
      </c>
      <c r="L130" s="289">
        <f t="shared" si="16"/>
        <v>472</v>
      </c>
      <c r="N130" s="7">
        <f t="shared" si="17"/>
        <v>5664</v>
      </c>
      <c r="O130" t="str">
        <f>Medicaid!G122</f>
        <v>No</v>
      </c>
      <c r="P130" t="str">
        <f>Medicaid!K122</f>
        <v>Yes</v>
      </c>
    </row>
    <row r="131" spans="1:16" ht="15" customHeight="1" x14ac:dyDescent="0.25">
      <c r="A131" s="3">
        <v>57000</v>
      </c>
      <c r="B131" s="3">
        <f t="shared" si="23"/>
        <v>4750</v>
      </c>
      <c r="C131" s="3">
        <f t="shared" si="24"/>
        <v>398.52500000000003</v>
      </c>
      <c r="D131" s="64">
        <f t="shared" si="26"/>
        <v>1.4736297828335057</v>
      </c>
      <c r="E131" s="50">
        <f t="shared" si="25"/>
        <v>0</v>
      </c>
      <c r="F131" s="50">
        <f t="shared" si="19"/>
        <v>0</v>
      </c>
      <c r="G131" s="69">
        <f t="shared" si="20"/>
        <v>0</v>
      </c>
      <c r="H131" s="70">
        <f t="shared" si="21"/>
        <v>4802.7666666666664</v>
      </c>
      <c r="I131" s="70">
        <f t="shared" si="22"/>
        <v>0</v>
      </c>
      <c r="J131" s="53">
        <f t="shared" si="14"/>
        <v>0</v>
      </c>
      <c r="K131" s="53">
        <f t="shared" si="15"/>
        <v>472</v>
      </c>
      <c r="L131" s="289">
        <f t="shared" si="16"/>
        <v>472</v>
      </c>
      <c r="N131" s="7">
        <f t="shared" si="17"/>
        <v>5664</v>
      </c>
      <c r="O131" t="str">
        <f>Medicaid!G123</f>
        <v>No</v>
      </c>
      <c r="P131" t="str">
        <f>Medicaid!K123</f>
        <v>Yes</v>
      </c>
    </row>
    <row r="132" spans="1:16" ht="15" customHeight="1" x14ac:dyDescent="0.25">
      <c r="A132" s="3">
        <v>57500</v>
      </c>
      <c r="B132" s="3">
        <f t="shared" si="23"/>
        <v>4791.666666666667</v>
      </c>
      <c r="C132" s="3">
        <f t="shared" si="24"/>
        <v>402.02083333333337</v>
      </c>
      <c r="D132" s="64">
        <f t="shared" si="26"/>
        <v>1.4865563598759048</v>
      </c>
      <c r="E132" s="50">
        <f t="shared" si="25"/>
        <v>0</v>
      </c>
      <c r="F132" s="50">
        <f t="shared" si="19"/>
        <v>0</v>
      </c>
      <c r="G132" s="69">
        <f t="shared" si="20"/>
        <v>0</v>
      </c>
      <c r="H132" s="70">
        <f t="shared" si="21"/>
        <v>4802.7666666666664</v>
      </c>
      <c r="I132" s="70">
        <f t="shared" si="22"/>
        <v>0</v>
      </c>
      <c r="J132" s="53">
        <f t="shared" si="14"/>
        <v>0</v>
      </c>
      <c r="K132" s="53">
        <f t="shared" si="15"/>
        <v>472</v>
      </c>
      <c r="L132" s="289">
        <f t="shared" si="16"/>
        <v>472</v>
      </c>
      <c r="N132" s="7">
        <f t="shared" si="17"/>
        <v>5664</v>
      </c>
      <c r="O132" t="str">
        <f>Medicaid!G124</f>
        <v>No</v>
      </c>
      <c r="P132" t="str">
        <f>Medicaid!K124</f>
        <v>Yes</v>
      </c>
    </row>
    <row r="133" spans="1:16" ht="15" customHeight="1" x14ac:dyDescent="0.25">
      <c r="A133" s="3">
        <v>58000</v>
      </c>
      <c r="B133" s="3">
        <f t="shared" si="23"/>
        <v>4833.333333333333</v>
      </c>
      <c r="C133" s="3">
        <f t="shared" si="24"/>
        <v>405.51666666666665</v>
      </c>
      <c r="D133" s="64">
        <f t="shared" si="26"/>
        <v>1.4994829369183038</v>
      </c>
      <c r="E133" s="50">
        <f t="shared" si="25"/>
        <v>0</v>
      </c>
      <c r="F133" s="50">
        <f t="shared" si="19"/>
        <v>0.02</v>
      </c>
      <c r="G133" s="69">
        <f t="shared" si="20"/>
        <v>4835</v>
      </c>
      <c r="H133" s="70">
        <f t="shared" si="21"/>
        <v>6414.4333333333334</v>
      </c>
      <c r="I133" s="70">
        <f t="shared" si="22"/>
        <v>4802.7666666666664</v>
      </c>
      <c r="J133" s="53">
        <f t="shared" si="14"/>
        <v>1.8333678042054424</v>
      </c>
      <c r="K133" s="53">
        <f t="shared" si="15"/>
        <v>472</v>
      </c>
      <c r="L133" s="289">
        <f t="shared" si="16"/>
        <v>470.16663219579453</v>
      </c>
      <c r="N133" s="7">
        <f t="shared" si="17"/>
        <v>5641.9995863495342</v>
      </c>
      <c r="O133" t="str">
        <f>Medicaid!G125</f>
        <v>No</v>
      </c>
      <c r="P133" t="str">
        <f>Medicaid!K125</f>
        <v>Yes</v>
      </c>
    </row>
    <row r="134" spans="1:16" ht="15" customHeight="1" x14ac:dyDescent="0.25">
      <c r="A134" s="3">
        <v>58500</v>
      </c>
      <c r="B134" s="3">
        <f t="shared" si="23"/>
        <v>4875</v>
      </c>
      <c r="C134" s="3">
        <f t="shared" si="24"/>
        <v>409.01249999999999</v>
      </c>
      <c r="D134" s="64">
        <f t="shared" si="26"/>
        <v>1.5124095139607032</v>
      </c>
      <c r="E134" s="50">
        <f t="shared" si="25"/>
        <v>0</v>
      </c>
      <c r="F134" s="50">
        <f t="shared" si="19"/>
        <v>0.02</v>
      </c>
      <c r="G134" s="69">
        <f t="shared" si="20"/>
        <v>4835</v>
      </c>
      <c r="H134" s="70">
        <f t="shared" si="21"/>
        <v>6414.4333333333334</v>
      </c>
      <c r="I134" s="70">
        <f t="shared" si="22"/>
        <v>4802.7666666666664</v>
      </c>
      <c r="J134" s="53">
        <f t="shared" si="14"/>
        <v>4.3698552223371392</v>
      </c>
      <c r="K134" s="53">
        <f t="shared" si="15"/>
        <v>472</v>
      </c>
      <c r="L134" s="289">
        <f t="shared" si="16"/>
        <v>467.63014477766285</v>
      </c>
      <c r="N134" s="7">
        <f t="shared" si="17"/>
        <v>5611.5617373319546</v>
      </c>
      <c r="O134" t="str">
        <f>Medicaid!G126</f>
        <v>No</v>
      </c>
      <c r="P134" t="str">
        <f>Medicaid!K126</f>
        <v>Yes</v>
      </c>
    </row>
    <row r="135" spans="1:16" ht="15" customHeight="1" x14ac:dyDescent="0.25">
      <c r="A135" s="3">
        <v>59000</v>
      </c>
      <c r="B135" s="3">
        <f t="shared" si="23"/>
        <v>4916.666666666667</v>
      </c>
      <c r="C135" s="3">
        <f t="shared" si="24"/>
        <v>412.50833333333338</v>
      </c>
      <c r="D135" s="64">
        <f t="shared" si="26"/>
        <v>1.5253360910031024</v>
      </c>
      <c r="E135" s="50">
        <f t="shared" si="25"/>
        <v>0</v>
      </c>
      <c r="F135" s="50">
        <f t="shared" si="19"/>
        <v>0.02</v>
      </c>
      <c r="G135" s="69">
        <f t="shared" si="20"/>
        <v>4835</v>
      </c>
      <c r="H135" s="70">
        <f t="shared" si="21"/>
        <v>6414.4333333333334</v>
      </c>
      <c r="I135" s="70">
        <f t="shared" si="22"/>
        <v>4802.7666666666664</v>
      </c>
      <c r="J135" s="53">
        <f t="shared" si="14"/>
        <v>6.949431230610168</v>
      </c>
      <c r="K135" s="53">
        <f t="shared" si="15"/>
        <v>472</v>
      </c>
      <c r="L135" s="289">
        <f t="shared" si="16"/>
        <v>465.05056876938983</v>
      </c>
      <c r="N135" s="7">
        <f t="shared" si="17"/>
        <v>5580.6068252326777</v>
      </c>
      <c r="O135" t="str">
        <f>Medicaid!G127</f>
        <v>No</v>
      </c>
      <c r="P135" t="str">
        <f>Medicaid!K127</f>
        <v>Yes</v>
      </c>
    </row>
    <row r="136" spans="1:16" ht="15" customHeight="1" x14ac:dyDescent="0.25">
      <c r="A136" s="3">
        <v>59500</v>
      </c>
      <c r="B136" s="3">
        <f t="shared" si="23"/>
        <v>4958.333333333333</v>
      </c>
      <c r="C136" s="3">
        <f t="shared" si="24"/>
        <v>416.00416666666666</v>
      </c>
      <c r="D136" s="64">
        <f t="shared" si="26"/>
        <v>1.5382626680455014</v>
      </c>
      <c r="E136" s="50">
        <f t="shared" si="25"/>
        <v>0</v>
      </c>
      <c r="F136" s="50">
        <f t="shared" si="19"/>
        <v>0.02</v>
      </c>
      <c r="G136" s="69">
        <f t="shared" si="20"/>
        <v>4835</v>
      </c>
      <c r="H136" s="70">
        <f t="shared" si="21"/>
        <v>6414.4333333333334</v>
      </c>
      <c r="I136" s="70">
        <f t="shared" si="22"/>
        <v>4802.7666666666664</v>
      </c>
      <c r="J136" s="53">
        <f t="shared" si="14"/>
        <v>9.5720958290244678</v>
      </c>
      <c r="K136" s="53">
        <f t="shared" si="15"/>
        <v>472</v>
      </c>
      <c r="L136" s="289">
        <f t="shared" si="16"/>
        <v>462.42790417097552</v>
      </c>
      <c r="N136" s="7">
        <f t="shared" si="17"/>
        <v>5549.1348500517061</v>
      </c>
      <c r="O136" t="str">
        <f>Medicaid!G128</f>
        <v>No</v>
      </c>
      <c r="P136" t="str">
        <f>Medicaid!K128</f>
        <v>Yes</v>
      </c>
    </row>
    <row r="137" spans="1:16" ht="15" customHeight="1" x14ac:dyDescent="0.25">
      <c r="A137" s="3">
        <v>60000</v>
      </c>
      <c r="B137" s="3">
        <f t="shared" si="23"/>
        <v>5000</v>
      </c>
      <c r="C137" s="3">
        <f t="shared" si="24"/>
        <v>419.5</v>
      </c>
      <c r="D137" s="64">
        <f t="shared" si="26"/>
        <v>1.5511892450879006</v>
      </c>
      <c r="E137" s="50">
        <f t="shared" si="25"/>
        <v>0</v>
      </c>
      <c r="F137" s="50">
        <f t="shared" si="19"/>
        <v>0.02</v>
      </c>
      <c r="G137" s="69">
        <f t="shared" si="20"/>
        <v>4835</v>
      </c>
      <c r="H137" s="70">
        <f t="shared" si="21"/>
        <v>6414.4333333333334</v>
      </c>
      <c r="I137" s="70">
        <f t="shared" si="22"/>
        <v>4802.7666666666664</v>
      </c>
      <c r="J137" s="53">
        <f t="shared" si="14"/>
        <v>12.237849017580158</v>
      </c>
      <c r="K137" s="53">
        <f t="shared" si="15"/>
        <v>472</v>
      </c>
      <c r="L137" s="289">
        <f t="shared" si="16"/>
        <v>459.76215098241983</v>
      </c>
      <c r="N137" s="7">
        <f t="shared" si="17"/>
        <v>5517.1458117890379</v>
      </c>
      <c r="O137" t="str">
        <f>Medicaid!G129</f>
        <v>No</v>
      </c>
      <c r="P137" t="str">
        <f>Medicaid!K129</f>
        <v>Yes</v>
      </c>
    </row>
    <row r="138" spans="1:16" ht="15" customHeight="1" x14ac:dyDescent="0.25">
      <c r="A138" s="3">
        <v>60500</v>
      </c>
      <c r="B138" s="3">
        <f t="shared" si="23"/>
        <v>5041.666666666667</v>
      </c>
      <c r="C138" s="3">
        <f t="shared" si="24"/>
        <v>422.99583333333339</v>
      </c>
      <c r="D138" s="64">
        <f t="shared" si="26"/>
        <v>1.5641158221303</v>
      </c>
      <c r="E138" s="50">
        <f t="shared" si="25"/>
        <v>0</v>
      </c>
      <c r="F138" s="50">
        <f t="shared" si="19"/>
        <v>0.02</v>
      </c>
      <c r="G138" s="69">
        <f t="shared" si="20"/>
        <v>4835</v>
      </c>
      <c r="H138" s="70">
        <f t="shared" si="21"/>
        <v>6414.4333333333334</v>
      </c>
      <c r="I138" s="70">
        <f t="shared" si="22"/>
        <v>4802.7666666666664</v>
      </c>
      <c r="J138" s="53">
        <f t="shared" si="14"/>
        <v>14.94669079627718</v>
      </c>
      <c r="K138" s="53">
        <f t="shared" si="15"/>
        <v>472</v>
      </c>
      <c r="L138" s="289">
        <f t="shared" si="16"/>
        <v>457.05330920372285</v>
      </c>
      <c r="N138" s="7">
        <f t="shared" si="17"/>
        <v>5484.6397104446742</v>
      </c>
      <c r="O138" t="str">
        <f>Medicaid!G130</f>
        <v>No</v>
      </c>
      <c r="P138" t="str">
        <f>Medicaid!K130</f>
        <v>Yes</v>
      </c>
    </row>
    <row r="139" spans="1:16" ht="15" customHeight="1" x14ac:dyDescent="0.25">
      <c r="A139" s="3">
        <v>61000</v>
      </c>
      <c r="B139" s="3">
        <f t="shared" si="23"/>
        <v>5083.333333333333</v>
      </c>
      <c r="C139" s="3">
        <f t="shared" si="24"/>
        <v>426.49166666666667</v>
      </c>
      <c r="D139" s="64">
        <f t="shared" si="26"/>
        <v>1.5770423991726989</v>
      </c>
      <c r="E139" s="50">
        <f t="shared" si="25"/>
        <v>0</v>
      </c>
      <c r="F139" s="50">
        <f t="shared" si="19"/>
        <v>0.02</v>
      </c>
      <c r="G139" s="69">
        <f t="shared" si="20"/>
        <v>4835</v>
      </c>
      <c r="H139" s="70">
        <f t="shared" si="21"/>
        <v>6414.4333333333334</v>
      </c>
      <c r="I139" s="70">
        <f t="shared" si="22"/>
        <v>4802.7666666666664</v>
      </c>
      <c r="J139" s="53">
        <f t="shared" si="14"/>
        <v>17.698621165115469</v>
      </c>
      <c r="K139" s="53">
        <f t="shared" si="15"/>
        <v>472</v>
      </c>
      <c r="L139" s="289">
        <f t="shared" si="16"/>
        <v>454.30137883488453</v>
      </c>
      <c r="N139" s="7">
        <f t="shared" si="17"/>
        <v>5451.6165460186148</v>
      </c>
      <c r="O139" t="str">
        <f>Medicaid!G131</f>
        <v>No</v>
      </c>
      <c r="P139" t="str">
        <f>Medicaid!K131</f>
        <v>Yes</v>
      </c>
    </row>
    <row r="140" spans="1:16" ht="15" customHeight="1" x14ac:dyDescent="0.25">
      <c r="A140" s="3">
        <v>61500</v>
      </c>
      <c r="B140" s="3">
        <f t="shared" si="23"/>
        <v>5125</v>
      </c>
      <c r="C140" s="3">
        <f t="shared" si="24"/>
        <v>429.98750000000001</v>
      </c>
      <c r="D140" s="64">
        <f t="shared" si="26"/>
        <v>1.5899689762150981</v>
      </c>
      <c r="E140" s="50">
        <f t="shared" si="25"/>
        <v>0</v>
      </c>
      <c r="F140" s="50">
        <f t="shared" si="19"/>
        <v>0.02</v>
      </c>
      <c r="G140" s="69">
        <f t="shared" si="20"/>
        <v>4835</v>
      </c>
      <c r="H140" s="70">
        <f t="shared" si="21"/>
        <v>6414.4333333333334</v>
      </c>
      <c r="I140" s="70">
        <f t="shared" si="22"/>
        <v>4802.7666666666664</v>
      </c>
      <c r="J140" s="53">
        <f t="shared" si="14"/>
        <v>20.493640124095151</v>
      </c>
      <c r="K140" s="53">
        <f t="shared" si="15"/>
        <v>472</v>
      </c>
      <c r="L140" s="289">
        <f t="shared" si="16"/>
        <v>451.50635987590488</v>
      </c>
      <c r="N140" s="7">
        <f t="shared" si="17"/>
        <v>5418.076318510859</v>
      </c>
      <c r="O140" t="str">
        <f>Medicaid!G132</f>
        <v>No</v>
      </c>
      <c r="P140" t="str">
        <f>Medicaid!K132</f>
        <v>Yes</v>
      </c>
    </row>
    <row r="141" spans="1:16" ht="15" customHeight="1" x14ac:dyDescent="0.25">
      <c r="A141" s="3">
        <v>62000</v>
      </c>
      <c r="B141" s="3">
        <f t="shared" si="23"/>
        <v>5166.666666666667</v>
      </c>
      <c r="C141" s="3">
        <f t="shared" si="24"/>
        <v>433.48333333333335</v>
      </c>
      <c r="D141" s="64">
        <f t="shared" si="26"/>
        <v>1.6028955532574973</v>
      </c>
      <c r="E141" s="50">
        <f t="shared" si="25"/>
        <v>0</v>
      </c>
      <c r="F141" s="50">
        <f t="shared" si="19"/>
        <v>0.02</v>
      </c>
      <c r="G141" s="69">
        <f t="shared" si="20"/>
        <v>4835</v>
      </c>
      <c r="H141" s="70">
        <f t="shared" si="21"/>
        <v>6414.4333333333334</v>
      </c>
      <c r="I141" s="70">
        <f t="shared" si="22"/>
        <v>4802.7666666666664</v>
      </c>
      <c r="J141" s="53">
        <f t="shared" si="14"/>
        <v>23.331747673216167</v>
      </c>
      <c r="K141" s="53">
        <f t="shared" si="15"/>
        <v>472</v>
      </c>
      <c r="L141" s="289">
        <f t="shared" si="16"/>
        <v>448.66825232678383</v>
      </c>
      <c r="N141" s="7">
        <f t="shared" si="17"/>
        <v>5384.0190279214057</v>
      </c>
      <c r="O141" t="str">
        <f>Medicaid!G133</f>
        <v>No</v>
      </c>
      <c r="P141" t="str">
        <f>Medicaid!K133</f>
        <v>Yes</v>
      </c>
    </row>
    <row r="142" spans="1:16" ht="15" customHeight="1" x14ac:dyDescent="0.25">
      <c r="A142" s="3">
        <v>62500</v>
      </c>
      <c r="B142" s="3">
        <f t="shared" si="23"/>
        <v>5208.333333333333</v>
      </c>
      <c r="C142" s="3">
        <f t="shared" si="24"/>
        <v>436.97916666666663</v>
      </c>
      <c r="D142" s="64">
        <f t="shared" si="26"/>
        <v>1.6158221302998965</v>
      </c>
      <c r="E142" s="50">
        <f t="shared" si="25"/>
        <v>0</v>
      </c>
      <c r="F142" s="50">
        <f t="shared" si="19"/>
        <v>0.02</v>
      </c>
      <c r="G142" s="69">
        <f t="shared" si="20"/>
        <v>4835</v>
      </c>
      <c r="H142" s="70">
        <f t="shared" si="21"/>
        <v>6414.4333333333334</v>
      </c>
      <c r="I142" s="70">
        <f t="shared" si="22"/>
        <v>4802.7666666666664</v>
      </c>
      <c r="J142" s="53">
        <f t="shared" si="14"/>
        <v>26.212943812478446</v>
      </c>
      <c r="K142" s="53">
        <f t="shared" si="15"/>
        <v>472</v>
      </c>
      <c r="L142" s="289">
        <f t="shared" si="16"/>
        <v>445.78705618752156</v>
      </c>
      <c r="N142" s="7">
        <f t="shared" si="17"/>
        <v>5349.4446742502587</v>
      </c>
      <c r="O142" t="str">
        <f>Medicaid!G134</f>
        <v>No</v>
      </c>
      <c r="P142" t="str">
        <f>Medicaid!K134</f>
        <v>Yes</v>
      </c>
    </row>
    <row r="143" spans="1:16" ht="15" customHeight="1" x14ac:dyDescent="0.25">
      <c r="A143" s="3">
        <v>63000</v>
      </c>
      <c r="B143" s="3">
        <f t="shared" si="23"/>
        <v>5250</v>
      </c>
      <c r="C143" s="3">
        <f t="shared" si="24"/>
        <v>440.47500000000002</v>
      </c>
      <c r="D143" s="64">
        <f t="shared" si="26"/>
        <v>1.6287487073422957</v>
      </c>
      <c r="E143" s="50">
        <f t="shared" si="25"/>
        <v>0</v>
      </c>
      <c r="F143" s="50">
        <f t="shared" si="19"/>
        <v>0.02</v>
      </c>
      <c r="G143" s="69">
        <f t="shared" si="20"/>
        <v>4835</v>
      </c>
      <c r="H143" s="70">
        <f t="shared" si="21"/>
        <v>6414.4333333333334</v>
      </c>
      <c r="I143" s="70">
        <f t="shared" si="22"/>
        <v>4802.7666666666664</v>
      </c>
      <c r="J143" s="53">
        <f t="shared" si="14"/>
        <v>29.137228541882124</v>
      </c>
      <c r="K143" s="53">
        <f t="shared" si="15"/>
        <v>472</v>
      </c>
      <c r="L143" s="289">
        <f t="shared" si="16"/>
        <v>442.86277145811789</v>
      </c>
      <c r="N143" s="7">
        <f t="shared" si="17"/>
        <v>5314.3532574974142</v>
      </c>
      <c r="O143" t="str">
        <f>Medicaid!G135</f>
        <v>No</v>
      </c>
      <c r="P143" t="str">
        <f>Medicaid!K135</f>
        <v>Yes</v>
      </c>
    </row>
    <row r="144" spans="1:16" ht="15" customHeight="1" x14ac:dyDescent="0.25">
      <c r="A144" s="3">
        <v>63500</v>
      </c>
      <c r="B144" s="3">
        <f t="shared" si="23"/>
        <v>5291.666666666667</v>
      </c>
      <c r="C144" s="3">
        <f t="shared" si="24"/>
        <v>443.97083333333336</v>
      </c>
      <c r="D144" s="64">
        <f t="shared" si="26"/>
        <v>1.6416752843846949</v>
      </c>
      <c r="E144" s="50">
        <f t="shared" si="25"/>
        <v>0</v>
      </c>
      <c r="F144" s="50">
        <f t="shared" si="19"/>
        <v>0.02</v>
      </c>
      <c r="G144" s="69">
        <f t="shared" si="20"/>
        <v>4835</v>
      </c>
      <c r="H144" s="70">
        <f t="shared" si="21"/>
        <v>6414.4333333333334</v>
      </c>
      <c r="I144" s="70">
        <f t="shared" si="22"/>
        <v>4802.7666666666664</v>
      </c>
      <c r="J144" s="53">
        <f t="shared" si="14"/>
        <v>32.104601861427128</v>
      </c>
      <c r="K144" s="53">
        <f t="shared" si="15"/>
        <v>472</v>
      </c>
      <c r="L144" s="289">
        <f t="shared" si="16"/>
        <v>439.89539813857289</v>
      </c>
      <c r="N144" s="7">
        <f t="shared" si="17"/>
        <v>5278.7447776628742</v>
      </c>
      <c r="O144" t="str">
        <f>Medicaid!G136</f>
        <v>No</v>
      </c>
      <c r="P144" t="str">
        <f>Medicaid!K136</f>
        <v>Yes</v>
      </c>
    </row>
    <row r="145" spans="1:16" ht="15" customHeight="1" x14ac:dyDescent="0.25">
      <c r="A145" s="3">
        <v>64000</v>
      </c>
      <c r="B145" s="3">
        <f t="shared" si="23"/>
        <v>5333.333333333333</v>
      </c>
      <c r="C145" s="3">
        <f t="shared" si="24"/>
        <v>447.46666666666664</v>
      </c>
      <c r="D145" s="64">
        <f t="shared" si="26"/>
        <v>1.6546018614270939</v>
      </c>
      <c r="E145" s="50">
        <f t="shared" si="25"/>
        <v>0</v>
      </c>
      <c r="F145" s="50">
        <f t="shared" si="19"/>
        <v>0.02</v>
      </c>
      <c r="G145" s="69">
        <f t="shared" si="20"/>
        <v>4835</v>
      </c>
      <c r="H145" s="70">
        <f t="shared" si="21"/>
        <v>6414.4333333333334</v>
      </c>
      <c r="I145" s="70">
        <f t="shared" si="22"/>
        <v>4802.7666666666664</v>
      </c>
      <c r="J145" s="53">
        <f t="shared" si="14"/>
        <v>35.115063771113398</v>
      </c>
      <c r="K145" s="53">
        <f t="shared" si="15"/>
        <v>472</v>
      </c>
      <c r="L145" s="289">
        <f t="shared" si="16"/>
        <v>436.8849362288866</v>
      </c>
      <c r="N145" s="7">
        <f t="shared" si="17"/>
        <v>5242.6192347466394</v>
      </c>
      <c r="O145" t="str">
        <f>Medicaid!G137</f>
        <v>No</v>
      </c>
      <c r="P145" t="str">
        <f>Medicaid!K137</f>
        <v>Yes</v>
      </c>
    </row>
    <row r="146" spans="1:16" ht="15" customHeight="1" x14ac:dyDescent="0.25">
      <c r="A146" s="3">
        <v>64500</v>
      </c>
      <c r="B146" s="3">
        <f t="shared" si="23"/>
        <v>5375</v>
      </c>
      <c r="C146" s="3">
        <f t="shared" si="24"/>
        <v>450.96250000000003</v>
      </c>
      <c r="D146" s="64">
        <f t="shared" si="26"/>
        <v>1.6675284384694933</v>
      </c>
      <c r="E146" s="50">
        <f t="shared" si="25"/>
        <v>0</v>
      </c>
      <c r="F146" s="50">
        <f t="shared" si="19"/>
        <v>0.02</v>
      </c>
      <c r="G146" s="69">
        <f t="shared" si="20"/>
        <v>4835</v>
      </c>
      <c r="H146" s="70">
        <f t="shared" si="21"/>
        <v>6414.4333333333334</v>
      </c>
      <c r="I146" s="70">
        <f t="shared" si="22"/>
        <v>4802.7666666666664</v>
      </c>
      <c r="J146" s="53">
        <f t="shared" ref="J146:J209" si="27">B146*(E146+(B146-I146)*(F146-E146)/(H146-I146))</f>
        <v>38.168614270941063</v>
      </c>
      <c r="K146" s="53">
        <f t="shared" ref="K146:K209" si="28">SUM(IF(O146="Yes",0,$C$12),IF(P146="Yes",0,$C$13))</f>
        <v>472</v>
      </c>
      <c r="L146" s="289">
        <f t="shared" ref="L146:L209" si="29">MAX(0,K146-J146)</f>
        <v>433.83138572905892</v>
      </c>
      <c r="N146" s="7">
        <f t="shared" ref="N146:N209" si="30">MAX(0,L146*12)</f>
        <v>5205.9766287487073</v>
      </c>
      <c r="O146" t="str">
        <f>Medicaid!G138</f>
        <v>No</v>
      </c>
      <c r="P146" t="str">
        <f>Medicaid!K138</f>
        <v>Yes</v>
      </c>
    </row>
    <row r="147" spans="1:16" ht="15" customHeight="1" x14ac:dyDescent="0.25">
      <c r="A147" s="3">
        <v>65000</v>
      </c>
      <c r="B147" s="3">
        <f t="shared" si="23"/>
        <v>5416.666666666667</v>
      </c>
      <c r="C147" s="3">
        <f t="shared" si="24"/>
        <v>454.45833333333337</v>
      </c>
      <c r="D147" s="64">
        <f t="shared" si="26"/>
        <v>1.6804550155118925</v>
      </c>
      <c r="E147" s="50">
        <f t="shared" si="25"/>
        <v>0</v>
      </c>
      <c r="F147" s="50">
        <f t="shared" ref="F147:F210" si="31">IF(D147&gt;3.99,0.085,IF(D147&gt;2.99,0.085,IF(D147&gt;2.49,0.06,IF(D147&gt;1.99,0.04,IF(D147&gt;1.49,0.02,0)))))</f>
        <v>0.02</v>
      </c>
      <c r="G147" s="69">
        <f t="shared" ref="G147:G210" si="32">IF(D147&gt;3.99,$M$7,IF(D147&gt;2.99,$M$6,IF(D147&gt;2.49,$M$5,IF(D147&gt;1.99,$M$4,IF(D147&gt;1.49,$M$3,0)))))</f>
        <v>4835</v>
      </c>
      <c r="H147" s="70">
        <f t="shared" ref="H147:H210" si="33">IF(D147&gt;3.99,$N$7,IF(D147&gt;2.99,$N$6,IF(D147&gt;2.49,$N$5,IF(D147&gt;1.99,$N$4,IF(D147&gt;1.49,$N$3,IF(D147&gt;=0,$N$2,0))))))</f>
        <v>6414.4333333333334</v>
      </c>
      <c r="I147" s="70">
        <f t="shared" ref="I147:I210" si="34">IF(D147&gt;3.99,$N$6,IF(D147&gt;2.99,$N$5,IF(D147&gt;2.49,$N$4,IF(D147&gt;1.99,$N$3,IF(D147&gt;1.49,$N$2,IF(D147&gt;=0,0))))))</f>
        <v>4802.7666666666664</v>
      </c>
      <c r="J147" s="53">
        <f t="shared" si="27"/>
        <v>41.265253360910059</v>
      </c>
      <c r="K147" s="53">
        <f t="shared" si="28"/>
        <v>472</v>
      </c>
      <c r="L147" s="289">
        <f t="shared" si="29"/>
        <v>430.73474663908996</v>
      </c>
      <c r="N147" s="7">
        <f t="shared" si="30"/>
        <v>5168.8169596690796</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1.6933815925542914</v>
      </c>
      <c r="E148" s="50">
        <f t="shared" si="25"/>
        <v>0</v>
      </c>
      <c r="F148" s="50">
        <f t="shared" si="31"/>
        <v>0.02</v>
      </c>
      <c r="G148" s="69">
        <f t="shared" si="32"/>
        <v>4835</v>
      </c>
      <c r="H148" s="70">
        <f t="shared" si="33"/>
        <v>6414.4333333333334</v>
      </c>
      <c r="I148" s="70">
        <f t="shared" si="34"/>
        <v>4802.7666666666664</v>
      </c>
      <c r="J148" s="53">
        <f t="shared" si="27"/>
        <v>44.404981041020328</v>
      </c>
      <c r="K148" s="53">
        <f t="shared" si="28"/>
        <v>472</v>
      </c>
      <c r="L148" s="289">
        <f t="shared" si="29"/>
        <v>427.59501895897967</v>
      </c>
      <c r="N148" s="7">
        <f t="shared" si="30"/>
        <v>5131.1402275077562</v>
      </c>
      <c r="O148" t="str">
        <f>Medicaid!G140</f>
        <v>No</v>
      </c>
      <c r="P148" t="str">
        <f>Medicaid!K140</f>
        <v>Yes</v>
      </c>
    </row>
    <row r="149" spans="1:16" ht="15" customHeight="1" x14ac:dyDescent="0.25">
      <c r="A149" s="3">
        <v>66000</v>
      </c>
      <c r="B149" s="3">
        <f t="shared" si="35"/>
        <v>5500</v>
      </c>
      <c r="C149" s="3">
        <f t="shared" si="36"/>
        <v>461.45</v>
      </c>
      <c r="D149" s="64">
        <f t="shared" si="26"/>
        <v>1.7063081695966906</v>
      </c>
      <c r="E149" s="50">
        <f t="shared" si="25"/>
        <v>0</v>
      </c>
      <c r="F149" s="50">
        <f t="shared" si="31"/>
        <v>0.02</v>
      </c>
      <c r="G149" s="69">
        <f t="shared" si="32"/>
        <v>4835</v>
      </c>
      <c r="H149" s="70">
        <f t="shared" si="33"/>
        <v>6414.4333333333334</v>
      </c>
      <c r="I149" s="70">
        <f t="shared" si="34"/>
        <v>4802.7666666666664</v>
      </c>
      <c r="J149" s="53">
        <f t="shared" si="27"/>
        <v>47.587797311271984</v>
      </c>
      <c r="K149" s="53">
        <f t="shared" si="28"/>
        <v>472</v>
      </c>
      <c r="L149" s="289">
        <f t="shared" si="29"/>
        <v>424.41220268872803</v>
      </c>
      <c r="N149" s="7">
        <f t="shared" si="30"/>
        <v>5092.9464322647364</v>
      </c>
      <c r="O149" t="str">
        <f>Medicaid!G141</f>
        <v>No</v>
      </c>
      <c r="P149" t="str">
        <f>Medicaid!K141</f>
        <v>Yes</v>
      </c>
    </row>
    <row r="150" spans="1:16" ht="15" customHeight="1" x14ac:dyDescent="0.25">
      <c r="A150" s="3">
        <v>66500</v>
      </c>
      <c r="B150" s="3">
        <f t="shared" si="35"/>
        <v>5541.666666666667</v>
      </c>
      <c r="C150" s="3">
        <f t="shared" si="36"/>
        <v>464.94583333333338</v>
      </c>
      <c r="D150" s="64">
        <f t="shared" si="26"/>
        <v>1.71923474663909</v>
      </c>
      <c r="E150" s="50">
        <f t="shared" si="25"/>
        <v>0</v>
      </c>
      <c r="F150" s="50">
        <f t="shared" si="31"/>
        <v>0.02</v>
      </c>
      <c r="G150" s="69">
        <f t="shared" si="32"/>
        <v>4835</v>
      </c>
      <c r="H150" s="70">
        <f t="shared" si="33"/>
        <v>6414.4333333333334</v>
      </c>
      <c r="I150" s="70">
        <f t="shared" si="34"/>
        <v>4802.7666666666664</v>
      </c>
      <c r="J150" s="53">
        <f t="shared" si="27"/>
        <v>50.813702171664971</v>
      </c>
      <c r="K150" s="53">
        <f t="shared" si="28"/>
        <v>472</v>
      </c>
      <c r="L150" s="289">
        <f t="shared" si="29"/>
        <v>421.186297828335</v>
      </c>
      <c r="N150" s="7">
        <f t="shared" si="30"/>
        <v>5054.23557394002</v>
      </c>
      <c r="O150" t="str">
        <f>Medicaid!G142</f>
        <v>No</v>
      </c>
      <c r="P150" t="str">
        <f>Medicaid!K142</f>
        <v>Yes</v>
      </c>
    </row>
    <row r="151" spans="1:16" ht="15" customHeight="1" x14ac:dyDescent="0.25">
      <c r="A151" s="3">
        <v>67000</v>
      </c>
      <c r="B151" s="3">
        <f t="shared" si="35"/>
        <v>5583.333333333333</v>
      </c>
      <c r="C151" s="3">
        <f t="shared" si="36"/>
        <v>468.44166666666666</v>
      </c>
      <c r="D151" s="64">
        <f t="shared" si="26"/>
        <v>1.732161323681489</v>
      </c>
      <c r="E151" s="50">
        <f t="shared" si="25"/>
        <v>0</v>
      </c>
      <c r="F151" s="50">
        <f t="shared" si="31"/>
        <v>0.02</v>
      </c>
      <c r="G151" s="69">
        <f t="shared" si="32"/>
        <v>4835</v>
      </c>
      <c r="H151" s="70">
        <f t="shared" si="33"/>
        <v>6414.4333333333334</v>
      </c>
      <c r="I151" s="70">
        <f t="shared" si="34"/>
        <v>4802.7666666666664</v>
      </c>
      <c r="J151" s="53">
        <f t="shared" si="27"/>
        <v>54.082695622199232</v>
      </c>
      <c r="K151" s="53">
        <f t="shared" si="28"/>
        <v>472</v>
      </c>
      <c r="L151" s="289">
        <f t="shared" si="29"/>
        <v>417.91730437780075</v>
      </c>
      <c r="N151" s="7">
        <f t="shared" si="30"/>
        <v>5015.007652533609</v>
      </c>
      <c r="O151" t="str">
        <f>Medicaid!G143</f>
        <v>No</v>
      </c>
      <c r="P151" t="str">
        <f>Medicaid!K143</f>
        <v>Yes</v>
      </c>
    </row>
    <row r="152" spans="1:16" ht="15" customHeight="1" x14ac:dyDescent="0.25">
      <c r="A152" s="3">
        <v>67500</v>
      </c>
      <c r="B152" s="3">
        <f t="shared" si="35"/>
        <v>5625</v>
      </c>
      <c r="C152" s="3">
        <f t="shared" si="36"/>
        <v>471.9375</v>
      </c>
      <c r="D152" s="64">
        <f t="shared" si="26"/>
        <v>1.7450879007238882</v>
      </c>
      <c r="E152" s="50">
        <f t="shared" si="25"/>
        <v>0</v>
      </c>
      <c r="F152" s="50">
        <f t="shared" si="31"/>
        <v>0.02</v>
      </c>
      <c r="G152" s="69">
        <f t="shared" si="32"/>
        <v>4835</v>
      </c>
      <c r="H152" s="70">
        <f t="shared" si="33"/>
        <v>6414.4333333333334</v>
      </c>
      <c r="I152" s="70">
        <f t="shared" si="34"/>
        <v>4802.7666666666664</v>
      </c>
      <c r="J152" s="53">
        <f t="shared" si="27"/>
        <v>57.394777662874873</v>
      </c>
      <c r="K152" s="53">
        <f t="shared" si="28"/>
        <v>472</v>
      </c>
      <c r="L152" s="289">
        <f t="shared" si="29"/>
        <v>414.60522233712516</v>
      </c>
      <c r="N152" s="7">
        <f t="shared" si="30"/>
        <v>4975.2626680455014</v>
      </c>
      <c r="O152" t="str">
        <f>Medicaid!G144</f>
        <v>No</v>
      </c>
      <c r="P152" t="str">
        <f>Medicaid!K144</f>
        <v>Yes</v>
      </c>
    </row>
    <row r="153" spans="1:16" ht="15" customHeight="1" x14ac:dyDescent="0.25">
      <c r="A153" s="3">
        <v>68000</v>
      </c>
      <c r="B153" s="3">
        <f t="shared" si="35"/>
        <v>5666.666666666667</v>
      </c>
      <c r="C153" s="3">
        <f t="shared" si="36"/>
        <v>475.43333333333339</v>
      </c>
      <c r="D153" s="64">
        <f t="shared" si="26"/>
        <v>1.7580144777662876</v>
      </c>
      <c r="E153" s="50">
        <f t="shared" si="25"/>
        <v>0</v>
      </c>
      <c r="F153" s="50">
        <f t="shared" si="31"/>
        <v>0.02</v>
      </c>
      <c r="G153" s="69">
        <f t="shared" si="32"/>
        <v>4835</v>
      </c>
      <c r="H153" s="70">
        <f t="shared" si="33"/>
        <v>6414.4333333333334</v>
      </c>
      <c r="I153" s="70">
        <f t="shared" si="34"/>
        <v>4802.7666666666664</v>
      </c>
      <c r="J153" s="53">
        <f t="shared" si="27"/>
        <v>60.749948293691872</v>
      </c>
      <c r="K153" s="53">
        <f t="shared" si="28"/>
        <v>472</v>
      </c>
      <c r="L153" s="289">
        <f t="shared" si="29"/>
        <v>411.25005170630811</v>
      </c>
      <c r="N153" s="7">
        <f t="shared" si="30"/>
        <v>4935.0006204756974</v>
      </c>
      <c r="O153" t="str">
        <f>Medicaid!G145</f>
        <v>No</v>
      </c>
      <c r="P153" t="str">
        <f>Medicaid!K145</f>
        <v>Yes</v>
      </c>
    </row>
    <row r="154" spans="1:16" ht="15" customHeight="1" x14ac:dyDescent="0.25">
      <c r="A154" s="3">
        <v>68500</v>
      </c>
      <c r="B154" s="3">
        <f t="shared" si="35"/>
        <v>5708.333333333333</v>
      </c>
      <c r="C154" s="3">
        <f t="shared" si="36"/>
        <v>478.92916666666667</v>
      </c>
      <c r="D154" s="64">
        <f t="shared" si="26"/>
        <v>1.7709410548086866</v>
      </c>
      <c r="E154" s="50">
        <f t="shared" si="25"/>
        <v>0</v>
      </c>
      <c r="F154" s="50">
        <f t="shared" si="31"/>
        <v>0.02</v>
      </c>
      <c r="G154" s="69">
        <f t="shared" si="32"/>
        <v>4835</v>
      </c>
      <c r="H154" s="70">
        <f t="shared" si="33"/>
        <v>6414.4333333333334</v>
      </c>
      <c r="I154" s="70">
        <f t="shared" si="34"/>
        <v>4802.7666666666664</v>
      </c>
      <c r="J154" s="53">
        <f t="shared" si="27"/>
        <v>64.148207514650096</v>
      </c>
      <c r="K154" s="53">
        <f t="shared" si="28"/>
        <v>472</v>
      </c>
      <c r="L154" s="289">
        <f t="shared" si="29"/>
        <v>407.8517924853499</v>
      </c>
      <c r="N154" s="7">
        <f t="shared" si="30"/>
        <v>4894.2215098241986</v>
      </c>
      <c r="O154" t="str">
        <f>Medicaid!G146</f>
        <v>No</v>
      </c>
      <c r="P154" t="str">
        <f>Medicaid!K146</f>
        <v>Yes</v>
      </c>
    </row>
    <row r="155" spans="1:16" ht="15" customHeight="1" x14ac:dyDescent="0.25">
      <c r="A155" s="3">
        <v>69000</v>
      </c>
      <c r="B155" s="3">
        <f t="shared" si="35"/>
        <v>5750</v>
      </c>
      <c r="C155" s="3">
        <f t="shared" si="36"/>
        <v>482.42500000000001</v>
      </c>
      <c r="D155" s="64">
        <f t="shared" si="26"/>
        <v>1.7838676318510858</v>
      </c>
      <c r="E155" s="50">
        <f t="shared" si="25"/>
        <v>0</v>
      </c>
      <c r="F155" s="50">
        <f t="shared" si="31"/>
        <v>0.02</v>
      </c>
      <c r="G155" s="69">
        <f t="shared" si="32"/>
        <v>4835</v>
      </c>
      <c r="H155" s="70">
        <f t="shared" si="33"/>
        <v>6414.4333333333334</v>
      </c>
      <c r="I155" s="70">
        <f t="shared" si="34"/>
        <v>4802.7666666666664</v>
      </c>
      <c r="J155" s="53">
        <f t="shared" si="27"/>
        <v>67.589555325749757</v>
      </c>
      <c r="K155" s="53">
        <f t="shared" si="28"/>
        <v>472</v>
      </c>
      <c r="L155" s="289">
        <f t="shared" si="29"/>
        <v>404.41044467425024</v>
      </c>
      <c r="N155" s="7">
        <f t="shared" si="30"/>
        <v>4852.9253360910025</v>
      </c>
      <c r="O155" t="str">
        <f>Medicaid!G147</f>
        <v>No</v>
      </c>
      <c r="P155" t="str">
        <f>Medicaid!K147</f>
        <v>Yes</v>
      </c>
    </row>
    <row r="156" spans="1:16" ht="15" customHeight="1" x14ac:dyDescent="0.25">
      <c r="A156" s="3">
        <v>69500</v>
      </c>
      <c r="B156" s="3">
        <f t="shared" si="35"/>
        <v>5791.666666666667</v>
      </c>
      <c r="C156" s="3">
        <f t="shared" si="36"/>
        <v>485.92083333333335</v>
      </c>
      <c r="D156" s="64">
        <f t="shared" si="26"/>
        <v>1.796794208893485</v>
      </c>
      <c r="E156" s="50">
        <f t="shared" si="25"/>
        <v>0</v>
      </c>
      <c r="F156" s="50">
        <f t="shared" si="31"/>
        <v>0.02</v>
      </c>
      <c r="G156" s="69">
        <f t="shared" si="32"/>
        <v>4835</v>
      </c>
      <c r="H156" s="70">
        <f t="shared" si="33"/>
        <v>6414.4333333333334</v>
      </c>
      <c r="I156" s="70">
        <f t="shared" si="34"/>
        <v>4802.7666666666664</v>
      </c>
      <c r="J156" s="53">
        <f t="shared" si="27"/>
        <v>71.073991726990727</v>
      </c>
      <c r="K156" s="53">
        <f t="shared" si="28"/>
        <v>472</v>
      </c>
      <c r="L156" s="289">
        <f t="shared" si="29"/>
        <v>400.9260082730093</v>
      </c>
      <c r="N156" s="7">
        <f t="shared" si="30"/>
        <v>4811.1120992761116</v>
      </c>
      <c r="O156" t="str">
        <f>Medicaid!G148</f>
        <v>No</v>
      </c>
      <c r="P156" t="str">
        <f>Medicaid!K148</f>
        <v>Yes</v>
      </c>
    </row>
    <row r="157" spans="1:16" ht="15" customHeight="1" x14ac:dyDescent="0.25">
      <c r="A157" s="3">
        <v>70000</v>
      </c>
      <c r="B157" s="3">
        <f t="shared" si="35"/>
        <v>5833.333333333333</v>
      </c>
      <c r="C157" s="3">
        <f t="shared" si="36"/>
        <v>489.41666666666663</v>
      </c>
      <c r="D157" s="64">
        <f t="shared" si="26"/>
        <v>1.8097207859358839</v>
      </c>
      <c r="E157" s="50">
        <f t="shared" si="25"/>
        <v>0</v>
      </c>
      <c r="F157" s="50">
        <f t="shared" si="31"/>
        <v>0.02</v>
      </c>
      <c r="G157" s="69">
        <f t="shared" si="32"/>
        <v>4835</v>
      </c>
      <c r="H157" s="70">
        <f t="shared" si="33"/>
        <v>6414.4333333333334</v>
      </c>
      <c r="I157" s="70">
        <f t="shared" si="34"/>
        <v>4802.7666666666664</v>
      </c>
      <c r="J157" s="53">
        <f t="shared" si="27"/>
        <v>74.601516718372949</v>
      </c>
      <c r="K157" s="53">
        <f t="shared" si="28"/>
        <v>472</v>
      </c>
      <c r="L157" s="289">
        <f t="shared" si="29"/>
        <v>397.39848328162702</v>
      </c>
      <c r="N157" s="7">
        <f t="shared" si="30"/>
        <v>4768.7817993795243</v>
      </c>
      <c r="O157" t="str">
        <f>Medicaid!G149</f>
        <v>No</v>
      </c>
      <c r="P157" t="str">
        <f>Medicaid!K149</f>
        <v>Yes</v>
      </c>
    </row>
    <row r="158" spans="1:16" ht="15" customHeight="1" x14ac:dyDescent="0.25">
      <c r="A158" s="3">
        <v>70500</v>
      </c>
      <c r="B158" s="3">
        <f t="shared" si="35"/>
        <v>5875</v>
      </c>
      <c r="C158" s="3">
        <f t="shared" si="36"/>
        <v>492.91250000000002</v>
      </c>
      <c r="D158" s="64">
        <f t="shared" si="26"/>
        <v>1.8226473629782833</v>
      </c>
      <c r="E158" s="50">
        <f t="shared" si="25"/>
        <v>0</v>
      </c>
      <c r="F158" s="50">
        <f t="shared" si="31"/>
        <v>0.02</v>
      </c>
      <c r="G158" s="69">
        <f t="shared" si="32"/>
        <v>4835</v>
      </c>
      <c r="H158" s="70">
        <f t="shared" si="33"/>
        <v>6414.4333333333334</v>
      </c>
      <c r="I158" s="70">
        <f t="shared" si="34"/>
        <v>4802.7666666666664</v>
      </c>
      <c r="J158" s="53">
        <f t="shared" si="27"/>
        <v>78.172130299896594</v>
      </c>
      <c r="K158" s="53">
        <f t="shared" si="28"/>
        <v>472</v>
      </c>
      <c r="L158" s="289">
        <f t="shared" si="29"/>
        <v>393.82786970010341</v>
      </c>
      <c r="N158" s="7">
        <f t="shared" si="30"/>
        <v>4725.9344364012413</v>
      </c>
      <c r="O158" t="str">
        <f>Medicaid!G150</f>
        <v>No</v>
      </c>
      <c r="P158" t="str">
        <f>Medicaid!K150</f>
        <v>Yes</v>
      </c>
    </row>
    <row r="159" spans="1:16" ht="15" customHeight="1" x14ac:dyDescent="0.25">
      <c r="A159" s="3">
        <v>71000</v>
      </c>
      <c r="B159" s="3">
        <f t="shared" si="35"/>
        <v>5916.666666666667</v>
      </c>
      <c r="C159" s="3">
        <f t="shared" si="36"/>
        <v>496.40833333333336</v>
      </c>
      <c r="D159" s="64">
        <f t="shared" si="26"/>
        <v>1.8355739400206825</v>
      </c>
      <c r="E159" s="50">
        <f t="shared" si="25"/>
        <v>0</v>
      </c>
      <c r="F159" s="50">
        <f t="shared" si="31"/>
        <v>0.02</v>
      </c>
      <c r="G159" s="69">
        <f t="shared" si="32"/>
        <v>4835</v>
      </c>
      <c r="H159" s="70">
        <f t="shared" si="33"/>
        <v>6414.4333333333334</v>
      </c>
      <c r="I159" s="70">
        <f t="shared" si="34"/>
        <v>4802.7666666666664</v>
      </c>
      <c r="J159" s="53">
        <f t="shared" si="27"/>
        <v>81.785832471561562</v>
      </c>
      <c r="K159" s="53">
        <f t="shared" si="28"/>
        <v>472</v>
      </c>
      <c r="L159" s="289">
        <f t="shared" si="29"/>
        <v>390.21416752843845</v>
      </c>
      <c r="N159" s="7">
        <f t="shared" si="30"/>
        <v>4682.5700103412619</v>
      </c>
      <c r="O159" t="str">
        <f>Medicaid!G151</f>
        <v>No</v>
      </c>
      <c r="P159" t="str">
        <f>Medicaid!K151</f>
        <v>Yes</v>
      </c>
    </row>
    <row r="160" spans="1:16" ht="15" customHeight="1" x14ac:dyDescent="0.25">
      <c r="A160" s="3">
        <v>71500</v>
      </c>
      <c r="B160" s="3">
        <f t="shared" si="35"/>
        <v>5958.333333333333</v>
      </c>
      <c r="C160" s="3">
        <f t="shared" si="36"/>
        <v>499.90416666666664</v>
      </c>
      <c r="D160" s="64">
        <f t="shared" si="26"/>
        <v>1.8485005170630815</v>
      </c>
      <c r="E160" s="50">
        <f t="shared" si="25"/>
        <v>0</v>
      </c>
      <c r="F160" s="50">
        <f t="shared" si="31"/>
        <v>0.02</v>
      </c>
      <c r="G160" s="69">
        <f t="shared" si="32"/>
        <v>4835</v>
      </c>
      <c r="H160" s="70">
        <f t="shared" si="33"/>
        <v>6414.4333333333334</v>
      </c>
      <c r="I160" s="70">
        <f t="shared" si="34"/>
        <v>4802.7666666666664</v>
      </c>
      <c r="J160" s="53">
        <f t="shared" si="27"/>
        <v>85.442623233367769</v>
      </c>
      <c r="K160" s="53">
        <f t="shared" si="28"/>
        <v>472</v>
      </c>
      <c r="L160" s="289">
        <f t="shared" si="29"/>
        <v>386.55737676663222</v>
      </c>
      <c r="N160" s="7">
        <f t="shared" si="30"/>
        <v>4638.6885211995868</v>
      </c>
      <c r="O160" t="str">
        <f>Medicaid!G152</f>
        <v>No</v>
      </c>
      <c r="P160" t="str">
        <f>Medicaid!K152</f>
        <v>Yes</v>
      </c>
    </row>
    <row r="161" spans="1:16" ht="15" customHeight="1" x14ac:dyDescent="0.25">
      <c r="A161" s="3">
        <v>72000</v>
      </c>
      <c r="B161" s="3">
        <f t="shared" si="35"/>
        <v>6000</v>
      </c>
      <c r="C161" s="3">
        <f t="shared" si="36"/>
        <v>503.40000000000003</v>
      </c>
      <c r="D161" s="64">
        <f t="shared" si="26"/>
        <v>1.8614270941054807</v>
      </c>
      <c r="E161" s="50">
        <f t="shared" si="25"/>
        <v>0</v>
      </c>
      <c r="F161" s="50">
        <f t="shared" si="31"/>
        <v>0.02</v>
      </c>
      <c r="G161" s="69">
        <f t="shared" si="32"/>
        <v>4835</v>
      </c>
      <c r="H161" s="70">
        <f t="shared" si="33"/>
        <v>6414.4333333333334</v>
      </c>
      <c r="I161" s="70">
        <f t="shared" si="34"/>
        <v>4802.7666666666664</v>
      </c>
      <c r="J161" s="53">
        <f t="shared" si="27"/>
        <v>89.142502585315412</v>
      </c>
      <c r="K161" s="53">
        <f t="shared" si="28"/>
        <v>472</v>
      </c>
      <c r="L161" s="289">
        <f t="shared" si="29"/>
        <v>382.85749741468459</v>
      </c>
      <c r="N161" s="7">
        <f t="shared" si="30"/>
        <v>4594.2899689762153</v>
      </c>
      <c r="O161" t="str">
        <f>Medicaid!G153</f>
        <v>No</v>
      </c>
      <c r="P161" t="str">
        <f>Medicaid!K153</f>
        <v>Yes</v>
      </c>
    </row>
    <row r="162" spans="1:16" ht="15" customHeight="1" x14ac:dyDescent="0.25">
      <c r="A162" s="3">
        <v>72500</v>
      </c>
      <c r="B162" s="3">
        <f t="shared" si="35"/>
        <v>6041.666666666667</v>
      </c>
      <c r="C162" s="3">
        <f t="shared" si="36"/>
        <v>506.89583333333337</v>
      </c>
      <c r="D162" s="64">
        <f t="shared" si="26"/>
        <v>1.8743536711478801</v>
      </c>
      <c r="E162" s="50">
        <f t="shared" ref="E162:E217" si="37">IF(D162&gt;3.99,0.085,IF(D162&gt;2.99,0.06,IF(D162&gt;1.99,0.02,IF(D162&gt;1.49,0,0))))</f>
        <v>0</v>
      </c>
      <c r="F162" s="50">
        <f t="shared" si="31"/>
        <v>0.02</v>
      </c>
      <c r="G162" s="69">
        <f t="shared" si="32"/>
        <v>4835</v>
      </c>
      <c r="H162" s="70">
        <f t="shared" si="33"/>
        <v>6414.4333333333334</v>
      </c>
      <c r="I162" s="70">
        <f t="shared" si="34"/>
        <v>4802.7666666666664</v>
      </c>
      <c r="J162" s="53">
        <f t="shared" si="27"/>
        <v>92.885470527404379</v>
      </c>
      <c r="K162" s="53">
        <f t="shared" si="28"/>
        <v>472</v>
      </c>
      <c r="L162" s="289">
        <f t="shared" si="29"/>
        <v>379.11452947259562</v>
      </c>
      <c r="N162" s="7">
        <f t="shared" si="30"/>
        <v>4549.3743536711472</v>
      </c>
      <c r="O162" t="str">
        <f>Medicaid!G154</f>
        <v>No</v>
      </c>
      <c r="P162" t="str">
        <f>Medicaid!K154</f>
        <v>Yes</v>
      </c>
    </row>
    <row r="163" spans="1:16" ht="15" customHeight="1" x14ac:dyDescent="0.25">
      <c r="A163" s="3">
        <v>73000</v>
      </c>
      <c r="B163" s="3">
        <f t="shared" si="35"/>
        <v>6083.333333333333</v>
      </c>
      <c r="C163" s="3">
        <f t="shared" si="36"/>
        <v>510.39166666666665</v>
      </c>
      <c r="D163" s="64">
        <f t="shared" si="26"/>
        <v>1.8872802481902791</v>
      </c>
      <c r="E163" s="50">
        <f t="shared" si="37"/>
        <v>0</v>
      </c>
      <c r="F163" s="50">
        <f t="shared" si="31"/>
        <v>0.02</v>
      </c>
      <c r="G163" s="69">
        <f t="shared" si="32"/>
        <v>4835</v>
      </c>
      <c r="H163" s="70">
        <f t="shared" si="33"/>
        <v>6414.4333333333334</v>
      </c>
      <c r="I163" s="70">
        <f t="shared" si="34"/>
        <v>4802.7666666666664</v>
      </c>
      <c r="J163" s="53">
        <f t="shared" si="27"/>
        <v>96.671527059634585</v>
      </c>
      <c r="K163" s="53">
        <f t="shared" si="28"/>
        <v>472</v>
      </c>
      <c r="L163" s="289">
        <f t="shared" si="29"/>
        <v>375.32847294036543</v>
      </c>
      <c r="N163" s="7">
        <f t="shared" si="30"/>
        <v>4503.9416752843854</v>
      </c>
      <c r="O163" t="str">
        <f>Medicaid!G155</f>
        <v>No</v>
      </c>
      <c r="P163" t="str">
        <f>Medicaid!K155</f>
        <v>Yes</v>
      </c>
    </row>
    <row r="164" spans="1:16" ht="15" customHeight="1" x14ac:dyDescent="0.25">
      <c r="A164" s="3">
        <v>73500</v>
      </c>
      <c r="B164" s="3">
        <f t="shared" si="35"/>
        <v>6125</v>
      </c>
      <c r="C164" s="3">
        <f t="shared" si="36"/>
        <v>513.88750000000005</v>
      </c>
      <c r="D164" s="64">
        <f t="shared" si="26"/>
        <v>1.9002068252326783</v>
      </c>
      <c r="E164" s="50">
        <f t="shared" si="37"/>
        <v>0</v>
      </c>
      <c r="F164" s="50">
        <f t="shared" si="31"/>
        <v>0.02</v>
      </c>
      <c r="G164" s="69">
        <f t="shared" si="32"/>
        <v>4835</v>
      </c>
      <c r="H164" s="70">
        <f t="shared" si="33"/>
        <v>6414.4333333333334</v>
      </c>
      <c r="I164" s="70">
        <f t="shared" si="34"/>
        <v>4802.7666666666664</v>
      </c>
      <c r="J164" s="53">
        <f t="shared" si="27"/>
        <v>100.50067218200621</v>
      </c>
      <c r="K164" s="53">
        <f t="shared" si="28"/>
        <v>472</v>
      </c>
      <c r="L164" s="289">
        <f t="shared" si="29"/>
        <v>371.49932781799379</v>
      </c>
      <c r="N164" s="7">
        <f t="shared" si="30"/>
        <v>4457.9919338159252</v>
      </c>
      <c r="O164" t="str">
        <f>Medicaid!G156</f>
        <v>No</v>
      </c>
      <c r="P164" t="str">
        <f>Medicaid!K156</f>
        <v>Yes</v>
      </c>
    </row>
    <row r="165" spans="1:16" ht="15" customHeight="1" x14ac:dyDescent="0.25">
      <c r="A165" s="3">
        <v>74000</v>
      </c>
      <c r="B165" s="3">
        <f t="shared" si="35"/>
        <v>6166.666666666667</v>
      </c>
      <c r="C165" s="3">
        <f t="shared" si="36"/>
        <v>517.38333333333333</v>
      </c>
      <c r="D165" s="64">
        <f t="shared" si="26"/>
        <v>1.9131334022750777</v>
      </c>
      <c r="E165" s="50">
        <f t="shared" si="37"/>
        <v>0</v>
      </c>
      <c r="F165" s="50">
        <f t="shared" si="31"/>
        <v>0.02</v>
      </c>
      <c r="G165" s="69">
        <f t="shared" si="32"/>
        <v>4835</v>
      </c>
      <c r="H165" s="70">
        <f t="shared" si="33"/>
        <v>6414.4333333333334</v>
      </c>
      <c r="I165" s="70">
        <f t="shared" si="34"/>
        <v>4802.7666666666664</v>
      </c>
      <c r="J165" s="53">
        <f t="shared" si="27"/>
        <v>104.37290589451916</v>
      </c>
      <c r="K165" s="53">
        <f t="shared" si="28"/>
        <v>472</v>
      </c>
      <c r="L165" s="289">
        <f t="shared" si="29"/>
        <v>367.62709410548086</v>
      </c>
      <c r="N165" s="7">
        <f t="shared" si="30"/>
        <v>4411.5251292657704</v>
      </c>
      <c r="O165" t="str">
        <f>Medicaid!G157</f>
        <v>No</v>
      </c>
      <c r="P165" t="str">
        <f>Medicaid!K157</f>
        <v>Yes</v>
      </c>
    </row>
    <row r="166" spans="1:16" ht="15" customHeight="1" x14ac:dyDescent="0.25">
      <c r="A166" s="3">
        <v>74500</v>
      </c>
      <c r="B166" s="3">
        <f t="shared" si="35"/>
        <v>6208.333333333333</v>
      </c>
      <c r="C166" s="3">
        <f t="shared" si="36"/>
        <v>520.87916666666661</v>
      </c>
      <c r="D166" s="64">
        <f t="shared" si="26"/>
        <v>1.9260599793174766</v>
      </c>
      <c r="E166" s="50">
        <f t="shared" si="37"/>
        <v>0</v>
      </c>
      <c r="F166" s="50">
        <f t="shared" si="31"/>
        <v>0.02</v>
      </c>
      <c r="G166" s="69">
        <f t="shared" si="32"/>
        <v>4835</v>
      </c>
      <c r="H166" s="70">
        <f t="shared" si="33"/>
        <v>6414.4333333333334</v>
      </c>
      <c r="I166" s="70">
        <f t="shared" si="34"/>
        <v>4802.7666666666664</v>
      </c>
      <c r="J166" s="53">
        <f t="shared" si="27"/>
        <v>108.28822819717337</v>
      </c>
      <c r="K166" s="53">
        <f t="shared" si="28"/>
        <v>472</v>
      </c>
      <c r="L166" s="289">
        <f t="shared" si="29"/>
        <v>363.71177180282666</v>
      </c>
      <c r="N166" s="7">
        <f t="shared" si="30"/>
        <v>4364.5412616339199</v>
      </c>
      <c r="O166" t="str">
        <f>Medicaid!G158</f>
        <v>No</v>
      </c>
      <c r="P166" t="str">
        <f>Medicaid!K158</f>
        <v>Yes</v>
      </c>
    </row>
    <row r="167" spans="1:16" ht="15" customHeight="1" x14ac:dyDescent="0.25">
      <c r="A167" s="3">
        <v>75000</v>
      </c>
      <c r="B167" s="3">
        <f t="shared" si="35"/>
        <v>6250</v>
      </c>
      <c r="C167" s="3">
        <f t="shared" si="36"/>
        <v>524.375</v>
      </c>
      <c r="D167" s="64">
        <f t="shared" si="26"/>
        <v>1.9389865563598758</v>
      </c>
      <c r="E167" s="50">
        <f t="shared" si="37"/>
        <v>0</v>
      </c>
      <c r="F167" s="50">
        <f t="shared" si="31"/>
        <v>0.02</v>
      </c>
      <c r="G167" s="69">
        <f t="shared" si="32"/>
        <v>4835</v>
      </c>
      <c r="H167" s="70">
        <f t="shared" si="33"/>
        <v>6414.4333333333334</v>
      </c>
      <c r="I167" s="70">
        <f t="shared" si="34"/>
        <v>4802.7666666666664</v>
      </c>
      <c r="J167" s="53">
        <f t="shared" si="27"/>
        <v>112.24663908996899</v>
      </c>
      <c r="K167" s="53">
        <f t="shared" si="28"/>
        <v>472</v>
      </c>
      <c r="L167" s="289">
        <f t="shared" si="29"/>
        <v>359.75336091003101</v>
      </c>
      <c r="N167" s="7">
        <f t="shared" si="30"/>
        <v>4317.0403309203721</v>
      </c>
      <c r="O167" t="str">
        <f>Medicaid!G159</f>
        <v>No</v>
      </c>
      <c r="P167" t="str">
        <f>Medicaid!K159</f>
        <v>Yes</v>
      </c>
    </row>
    <row r="168" spans="1:16" ht="15" customHeight="1" x14ac:dyDescent="0.25">
      <c r="A168" s="3">
        <v>75500</v>
      </c>
      <c r="B168" s="3">
        <f t="shared" si="35"/>
        <v>6291.666666666667</v>
      </c>
      <c r="C168" s="3">
        <f t="shared" si="36"/>
        <v>527.87083333333339</v>
      </c>
      <c r="D168" s="64">
        <f t="shared" si="26"/>
        <v>1.951913133402275</v>
      </c>
      <c r="E168" s="50">
        <f t="shared" si="37"/>
        <v>0</v>
      </c>
      <c r="F168" s="50">
        <f t="shared" si="31"/>
        <v>0.02</v>
      </c>
      <c r="G168" s="69">
        <f t="shared" si="32"/>
        <v>4835</v>
      </c>
      <c r="H168" s="70">
        <f t="shared" si="33"/>
        <v>6414.4333333333334</v>
      </c>
      <c r="I168" s="70">
        <f t="shared" si="34"/>
        <v>4802.7666666666664</v>
      </c>
      <c r="J168" s="53">
        <f t="shared" si="27"/>
        <v>116.24813857290592</v>
      </c>
      <c r="K168" s="53">
        <f t="shared" si="28"/>
        <v>472</v>
      </c>
      <c r="L168" s="289">
        <f t="shared" si="29"/>
        <v>355.75186142709407</v>
      </c>
      <c r="N168" s="7">
        <f t="shared" si="30"/>
        <v>4269.0223371251286</v>
      </c>
      <c r="O168" t="str">
        <f>Medicaid!G160</f>
        <v>No</v>
      </c>
      <c r="P168" t="str">
        <f>Medicaid!K160</f>
        <v>Yes</v>
      </c>
    </row>
    <row r="169" spans="1:16" ht="15" customHeight="1" x14ac:dyDescent="0.25">
      <c r="A169" s="3">
        <v>76000</v>
      </c>
      <c r="B169" s="3">
        <f t="shared" si="35"/>
        <v>6333.333333333333</v>
      </c>
      <c r="C169" s="3">
        <f t="shared" si="36"/>
        <v>531.36666666666667</v>
      </c>
      <c r="D169" s="64">
        <f t="shared" si="26"/>
        <v>1.964839710444674</v>
      </c>
      <c r="E169" s="50">
        <f t="shared" si="37"/>
        <v>0</v>
      </c>
      <c r="F169" s="50">
        <f t="shared" si="31"/>
        <v>0.02</v>
      </c>
      <c r="G169" s="69">
        <f t="shared" si="32"/>
        <v>4835</v>
      </c>
      <c r="H169" s="70">
        <f t="shared" si="33"/>
        <v>6414.4333333333334</v>
      </c>
      <c r="I169" s="70">
        <f t="shared" si="34"/>
        <v>4802.7666666666664</v>
      </c>
      <c r="J169" s="53">
        <f t="shared" si="27"/>
        <v>120.29272664598412</v>
      </c>
      <c r="K169" s="53">
        <f t="shared" si="28"/>
        <v>472</v>
      </c>
      <c r="L169" s="289">
        <f t="shared" si="29"/>
        <v>351.70727335401591</v>
      </c>
      <c r="N169" s="7">
        <f t="shared" si="30"/>
        <v>4220.4872802481914</v>
      </c>
      <c r="O169" t="str">
        <f>Medicaid!G161</f>
        <v>No</v>
      </c>
      <c r="P169" t="str">
        <f>Medicaid!K161</f>
        <v>Yes</v>
      </c>
    </row>
    <row r="170" spans="1:16" ht="15" customHeight="1" x14ac:dyDescent="0.25">
      <c r="A170" s="3">
        <v>76500</v>
      </c>
      <c r="B170" s="3">
        <f t="shared" si="35"/>
        <v>6375</v>
      </c>
      <c r="C170" s="3">
        <f t="shared" si="36"/>
        <v>534.86250000000007</v>
      </c>
      <c r="D170" s="64">
        <f t="shared" si="26"/>
        <v>1.9777662874870734</v>
      </c>
      <c r="E170" s="50">
        <f t="shared" si="37"/>
        <v>0</v>
      </c>
      <c r="F170" s="50">
        <f t="shared" si="31"/>
        <v>0.02</v>
      </c>
      <c r="G170" s="69">
        <f t="shared" si="32"/>
        <v>4835</v>
      </c>
      <c r="H170" s="70">
        <f t="shared" si="33"/>
        <v>6414.4333333333334</v>
      </c>
      <c r="I170" s="70">
        <f t="shared" si="34"/>
        <v>4802.7666666666664</v>
      </c>
      <c r="J170" s="53">
        <f t="shared" si="27"/>
        <v>124.38040330920373</v>
      </c>
      <c r="K170" s="53">
        <f t="shared" si="28"/>
        <v>472</v>
      </c>
      <c r="L170" s="289">
        <f t="shared" si="29"/>
        <v>347.61959669079624</v>
      </c>
      <c r="N170" s="7">
        <f t="shared" si="30"/>
        <v>4171.4351602895549</v>
      </c>
      <c r="O170" t="str">
        <f>Medicaid!G162</f>
        <v>No</v>
      </c>
      <c r="P170" t="str">
        <f>Medicaid!K162</f>
        <v>Yes</v>
      </c>
    </row>
    <row r="171" spans="1:16" ht="15" customHeight="1" x14ac:dyDescent="0.25">
      <c r="A171" s="3">
        <v>77000</v>
      </c>
      <c r="B171" s="3">
        <f t="shared" si="35"/>
        <v>6416.666666666667</v>
      </c>
      <c r="C171" s="3">
        <f t="shared" si="36"/>
        <v>538.35833333333335</v>
      </c>
      <c r="D171" s="64">
        <f t="shared" si="26"/>
        <v>1.9906928645294726</v>
      </c>
      <c r="E171" s="50">
        <f t="shared" si="37"/>
        <v>0.02</v>
      </c>
      <c r="F171" s="50">
        <f t="shared" si="31"/>
        <v>0.04</v>
      </c>
      <c r="G171" s="69">
        <f t="shared" si="32"/>
        <v>6446.666666666667</v>
      </c>
      <c r="H171" s="70">
        <f t="shared" si="33"/>
        <v>8026.1000000000013</v>
      </c>
      <c r="I171" s="70">
        <f t="shared" si="34"/>
        <v>6414.4333333333334</v>
      </c>
      <c r="J171" s="53">
        <f t="shared" si="27"/>
        <v>128.51116856256465</v>
      </c>
      <c r="K171" s="53">
        <f t="shared" si="28"/>
        <v>472</v>
      </c>
      <c r="L171" s="289">
        <f t="shared" si="29"/>
        <v>343.48883143743535</v>
      </c>
      <c r="N171" s="7">
        <f t="shared" si="30"/>
        <v>4121.8659772492247</v>
      </c>
      <c r="O171" t="str">
        <f>Medicaid!G163</f>
        <v>No</v>
      </c>
      <c r="P171" t="str">
        <f>Medicaid!K163</f>
        <v>Yes</v>
      </c>
    </row>
    <row r="172" spans="1:16" ht="15" customHeight="1" x14ac:dyDescent="0.25">
      <c r="A172" s="3">
        <v>77500</v>
      </c>
      <c r="B172" s="3">
        <f t="shared" si="35"/>
        <v>6458.333333333333</v>
      </c>
      <c r="C172" s="3">
        <f t="shared" si="36"/>
        <v>541.85416666666663</v>
      </c>
      <c r="D172" s="64">
        <f t="shared" si="26"/>
        <v>2.0036194415718716</v>
      </c>
      <c r="E172" s="50">
        <f t="shared" si="37"/>
        <v>0.02</v>
      </c>
      <c r="F172" s="50">
        <f t="shared" si="31"/>
        <v>0.04</v>
      </c>
      <c r="G172" s="69">
        <f t="shared" si="32"/>
        <v>6446.666666666667</v>
      </c>
      <c r="H172" s="70">
        <f t="shared" si="33"/>
        <v>8026.1000000000013</v>
      </c>
      <c r="I172" s="70">
        <f t="shared" si="34"/>
        <v>6414.4333333333334</v>
      </c>
      <c r="J172" s="53">
        <f t="shared" si="27"/>
        <v>132.68502240606685</v>
      </c>
      <c r="K172" s="53">
        <f t="shared" si="28"/>
        <v>847</v>
      </c>
      <c r="L172" s="289">
        <f t="shared" si="29"/>
        <v>714.31497759393312</v>
      </c>
      <c r="N172" s="7">
        <f t="shared" si="30"/>
        <v>8571.779731127197</v>
      </c>
      <c r="O172" t="str">
        <f>Medicaid!G164</f>
        <v>No</v>
      </c>
      <c r="P172" t="str">
        <f>Medicaid!K164</f>
        <v>No</v>
      </c>
    </row>
    <row r="173" spans="1:16" ht="15" customHeight="1" x14ac:dyDescent="0.25">
      <c r="A173" s="3">
        <v>78000</v>
      </c>
      <c r="B173" s="3">
        <f t="shared" si="35"/>
        <v>6500</v>
      </c>
      <c r="C173" s="3">
        <f t="shared" si="36"/>
        <v>545.35</v>
      </c>
      <c r="D173" s="64">
        <f t="shared" si="26"/>
        <v>2.016546018614271</v>
      </c>
      <c r="E173" s="50">
        <f t="shared" si="37"/>
        <v>0.02</v>
      </c>
      <c r="F173" s="50">
        <f t="shared" si="31"/>
        <v>0.04</v>
      </c>
      <c r="G173" s="69">
        <f t="shared" si="32"/>
        <v>6446.666666666667</v>
      </c>
      <c r="H173" s="70">
        <f t="shared" si="33"/>
        <v>8026.1000000000013</v>
      </c>
      <c r="I173" s="70">
        <f t="shared" si="34"/>
        <v>6414.4333333333334</v>
      </c>
      <c r="J173" s="53">
        <f t="shared" si="27"/>
        <v>136.90196483971044</v>
      </c>
      <c r="K173" s="53">
        <f t="shared" si="28"/>
        <v>847</v>
      </c>
      <c r="L173" s="289">
        <f t="shared" si="29"/>
        <v>710.09803516028956</v>
      </c>
      <c r="N173" s="7">
        <f t="shared" si="30"/>
        <v>8521.1764219234756</v>
      </c>
      <c r="O173" t="str">
        <f>Medicaid!G165</f>
        <v>No</v>
      </c>
      <c r="P173" t="str">
        <f>Medicaid!K165</f>
        <v>No</v>
      </c>
    </row>
    <row r="174" spans="1:16" ht="15" customHeight="1" x14ac:dyDescent="0.25">
      <c r="A174" s="3">
        <v>78500</v>
      </c>
      <c r="B174" s="3">
        <f t="shared" si="35"/>
        <v>6541.666666666667</v>
      </c>
      <c r="C174" s="3">
        <f t="shared" si="36"/>
        <v>548.84583333333342</v>
      </c>
      <c r="D174" s="64">
        <f t="shared" si="26"/>
        <v>2.0294725956566699</v>
      </c>
      <c r="E174" s="50">
        <f t="shared" si="37"/>
        <v>0.02</v>
      </c>
      <c r="F174" s="50">
        <f t="shared" si="31"/>
        <v>0.04</v>
      </c>
      <c r="G174" s="69">
        <f t="shared" si="32"/>
        <v>6446.666666666667</v>
      </c>
      <c r="H174" s="70">
        <f t="shared" si="33"/>
        <v>8026.1000000000013</v>
      </c>
      <c r="I174" s="70">
        <f t="shared" si="34"/>
        <v>6414.4333333333334</v>
      </c>
      <c r="J174" s="53">
        <f t="shared" si="27"/>
        <v>141.16199586349538</v>
      </c>
      <c r="K174" s="53">
        <f t="shared" si="28"/>
        <v>847</v>
      </c>
      <c r="L174" s="289">
        <f t="shared" si="29"/>
        <v>705.83800413650465</v>
      </c>
      <c r="N174" s="7">
        <f t="shared" si="30"/>
        <v>8470.0560496380567</v>
      </c>
      <c r="O174" t="str">
        <f>Medicaid!G166</f>
        <v>No</v>
      </c>
      <c r="P174" t="str">
        <f>Medicaid!K166</f>
        <v>No</v>
      </c>
    </row>
    <row r="175" spans="1:16" ht="15" customHeight="1" x14ac:dyDescent="0.25">
      <c r="A175" s="3">
        <v>79000</v>
      </c>
      <c r="B175" s="3">
        <f t="shared" si="35"/>
        <v>6583.333333333333</v>
      </c>
      <c r="C175" s="3">
        <f t="shared" si="36"/>
        <v>552.3416666666667</v>
      </c>
      <c r="D175" s="64">
        <f t="shared" si="26"/>
        <v>2.0423991726990689</v>
      </c>
      <c r="E175" s="50">
        <f t="shared" si="37"/>
        <v>0.02</v>
      </c>
      <c r="F175" s="50">
        <f t="shared" si="31"/>
        <v>0.04</v>
      </c>
      <c r="G175" s="69">
        <f t="shared" si="32"/>
        <v>6446.666666666667</v>
      </c>
      <c r="H175" s="70">
        <f t="shared" si="33"/>
        <v>8026.1000000000013</v>
      </c>
      <c r="I175" s="70">
        <f t="shared" si="34"/>
        <v>6414.4333333333334</v>
      </c>
      <c r="J175" s="53">
        <f t="shared" si="27"/>
        <v>145.46511547742153</v>
      </c>
      <c r="K175" s="53">
        <f t="shared" si="28"/>
        <v>847</v>
      </c>
      <c r="L175" s="289">
        <f t="shared" si="29"/>
        <v>701.53488452257852</v>
      </c>
      <c r="N175" s="7">
        <f t="shared" si="30"/>
        <v>8418.4186142709423</v>
      </c>
      <c r="O175" t="str">
        <f>Medicaid!G167</f>
        <v>No</v>
      </c>
      <c r="P175" t="str">
        <f>Medicaid!K167</f>
        <v>No</v>
      </c>
    </row>
    <row r="176" spans="1:16" ht="15" customHeight="1" x14ac:dyDescent="0.25">
      <c r="A176" s="3">
        <v>79500</v>
      </c>
      <c r="B176" s="3">
        <f t="shared" si="35"/>
        <v>6625</v>
      </c>
      <c r="C176" s="3">
        <f t="shared" si="36"/>
        <v>555.83749999999998</v>
      </c>
      <c r="D176" s="64">
        <f t="shared" si="26"/>
        <v>2.0553257497414683</v>
      </c>
      <c r="E176" s="50">
        <f t="shared" si="37"/>
        <v>0.02</v>
      </c>
      <c r="F176" s="50">
        <f t="shared" si="31"/>
        <v>0.04</v>
      </c>
      <c r="G176" s="69">
        <f t="shared" si="32"/>
        <v>6446.666666666667</v>
      </c>
      <c r="H176" s="70">
        <f t="shared" si="33"/>
        <v>8026.1000000000013</v>
      </c>
      <c r="I176" s="70">
        <f t="shared" si="34"/>
        <v>6414.4333333333334</v>
      </c>
      <c r="J176" s="53">
        <f t="shared" si="27"/>
        <v>149.81132368148914</v>
      </c>
      <c r="K176" s="53">
        <f t="shared" si="28"/>
        <v>847</v>
      </c>
      <c r="L176" s="289">
        <f t="shared" si="29"/>
        <v>697.18867631851083</v>
      </c>
      <c r="N176" s="7">
        <f t="shared" si="30"/>
        <v>8366.2641158221304</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2.0682523267838677</v>
      </c>
      <c r="E177" s="50">
        <f t="shared" si="37"/>
        <v>0.02</v>
      </c>
      <c r="F177" s="50">
        <f t="shared" si="31"/>
        <v>0.04</v>
      </c>
      <c r="G177" s="69">
        <f t="shared" si="32"/>
        <v>6446.666666666667</v>
      </c>
      <c r="H177" s="70">
        <f t="shared" si="33"/>
        <v>8026.1000000000013</v>
      </c>
      <c r="I177" s="70">
        <f t="shared" si="34"/>
        <v>6414.4333333333334</v>
      </c>
      <c r="J177" s="53">
        <f t="shared" si="27"/>
        <v>154.20062047569806</v>
      </c>
      <c r="K177" s="53">
        <f t="shared" si="28"/>
        <v>847</v>
      </c>
      <c r="L177" s="289">
        <f t="shared" si="29"/>
        <v>692.79937952430191</v>
      </c>
      <c r="N177" s="7">
        <f t="shared" si="30"/>
        <v>8313.5925542916229</v>
      </c>
      <c r="O177" t="str">
        <f>Medicaid!G169</f>
        <v>No</v>
      </c>
      <c r="P177" t="str">
        <f>Medicaid!K169</f>
        <v>No</v>
      </c>
    </row>
    <row r="178" spans="1:16" ht="15" customHeight="1" x14ac:dyDescent="0.25">
      <c r="A178" s="3">
        <v>80500</v>
      </c>
      <c r="B178" s="3">
        <f t="shared" si="35"/>
        <v>6708.333333333333</v>
      </c>
      <c r="C178" s="3">
        <f t="shared" si="36"/>
        <v>562.82916666666665</v>
      </c>
      <c r="D178" s="64">
        <f t="shared" si="38"/>
        <v>2.0811789038262667</v>
      </c>
      <c r="E178" s="50">
        <f t="shared" si="37"/>
        <v>0.02</v>
      </c>
      <c r="F178" s="50">
        <f t="shared" si="31"/>
        <v>0.04</v>
      </c>
      <c r="G178" s="69">
        <f t="shared" si="32"/>
        <v>6446.666666666667</v>
      </c>
      <c r="H178" s="70">
        <f t="shared" si="33"/>
        <v>8026.1000000000013</v>
      </c>
      <c r="I178" s="70">
        <f t="shared" si="34"/>
        <v>6414.4333333333334</v>
      </c>
      <c r="J178" s="53">
        <f t="shared" si="27"/>
        <v>158.6330058600482</v>
      </c>
      <c r="K178" s="53">
        <f t="shared" si="28"/>
        <v>847</v>
      </c>
      <c r="L178" s="289">
        <f t="shared" si="29"/>
        <v>688.36699413995177</v>
      </c>
      <c r="N178" s="7">
        <f t="shared" si="30"/>
        <v>8260.4039296794217</v>
      </c>
      <c r="O178" t="str">
        <f>Medicaid!G170</f>
        <v>No</v>
      </c>
      <c r="P178" t="str">
        <f>Medicaid!K170</f>
        <v>No</v>
      </c>
    </row>
    <row r="179" spans="1:16" ht="15" customHeight="1" x14ac:dyDescent="0.25">
      <c r="A179" s="3">
        <v>81000</v>
      </c>
      <c r="B179" s="3">
        <f t="shared" si="35"/>
        <v>6750</v>
      </c>
      <c r="C179" s="3">
        <f t="shared" si="36"/>
        <v>566.32500000000005</v>
      </c>
      <c r="D179" s="64">
        <f t="shared" si="38"/>
        <v>2.0941054808686657</v>
      </c>
      <c r="E179" s="50">
        <f t="shared" si="37"/>
        <v>0.02</v>
      </c>
      <c r="F179" s="50">
        <f t="shared" si="31"/>
        <v>0.04</v>
      </c>
      <c r="G179" s="69">
        <f t="shared" si="32"/>
        <v>6446.666666666667</v>
      </c>
      <c r="H179" s="70">
        <f t="shared" si="33"/>
        <v>8026.1000000000013</v>
      </c>
      <c r="I179" s="70">
        <f t="shared" si="34"/>
        <v>6414.4333333333334</v>
      </c>
      <c r="J179" s="53">
        <f t="shared" si="27"/>
        <v>163.10847983453979</v>
      </c>
      <c r="K179" s="53">
        <f t="shared" si="28"/>
        <v>847</v>
      </c>
      <c r="L179" s="289">
        <f t="shared" si="29"/>
        <v>683.89152016546018</v>
      </c>
      <c r="N179" s="7">
        <f t="shared" si="30"/>
        <v>8206.6982419855231</v>
      </c>
      <c r="O179" t="str">
        <f>Medicaid!G171</f>
        <v>No</v>
      </c>
      <c r="P179" t="str">
        <f>Medicaid!K171</f>
        <v>No</v>
      </c>
    </row>
    <row r="180" spans="1:16" ht="15" customHeight="1" x14ac:dyDescent="0.25">
      <c r="A180" s="3">
        <v>81500</v>
      </c>
      <c r="B180" s="3">
        <f t="shared" si="35"/>
        <v>6791.666666666667</v>
      </c>
      <c r="C180" s="3">
        <f t="shared" si="36"/>
        <v>569.82083333333333</v>
      </c>
      <c r="D180" s="64">
        <f t="shared" si="38"/>
        <v>2.1070320579110651</v>
      </c>
      <c r="E180" s="50">
        <f t="shared" si="37"/>
        <v>0.02</v>
      </c>
      <c r="F180" s="50">
        <f t="shared" si="31"/>
        <v>0.04</v>
      </c>
      <c r="G180" s="69">
        <f t="shared" si="32"/>
        <v>6446.666666666667</v>
      </c>
      <c r="H180" s="70">
        <f t="shared" si="33"/>
        <v>8026.1000000000013</v>
      </c>
      <c r="I180" s="70">
        <f t="shared" si="34"/>
        <v>6414.4333333333334</v>
      </c>
      <c r="J180" s="53">
        <f t="shared" si="27"/>
        <v>167.62704239917272</v>
      </c>
      <c r="K180" s="53">
        <f t="shared" si="28"/>
        <v>847</v>
      </c>
      <c r="L180" s="289">
        <f t="shared" si="29"/>
        <v>679.37295760082725</v>
      </c>
      <c r="N180" s="7">
        <f t="shared" si="30"/>
        <v>8152.475491209927</v>
      </c>
      <c r="O180" t="str">
        <f>Medicaid!G172</f>
        <v>No</v>
      </c>
      <c r="P180" t="str">
        <f>Medicaid!K172</f>
        <v>No</v>
      </c>
    </row>
    <row r="181" spans="1:16" ht="15" customHeight="1" x14ac:dyDescent="0.25">
      <c r="A181" s="3">
        <v>82000</v>
      </c>
      <c r="B181" s="3">
        <f t="shared" si="35"/>
        <v>6833.333333333333</v>
      </c>
      <c r="C181" s="3">
        <f t="shared" si="36"/>
        <v>573.31666666666661</v>
      </c>
      <c r="D181" s="64">
        <f t="shared" si="38"/>
        <v>2.119958634953464</v>
      </c>
      <c r="E181" s="50">
        <f t="shared" si="37"/>
        <v>0.02</v>
      </c>
      <c r="F181" s="50">
        <f t="shared" si="31"/>
        <v>0.04</v>
      </c>
      <c r="G181" s="69">
        <f t="shared" si="32"/>
        <v>6446.666666666667</v>
      </c>
      <c r="H181" s="70">
        <f t="shared" si="33"/>
        <v>8026.1000000000013</v>
      </c>
      <c r="I181" s="70">
        <f t="shared" si="34"/>
        <v>6414.4333333333334</v>
      </c>
      <c r="J181" s="53">
        <f t="shared" si="27"/>
        <v>172.18869355394685</v>
      </c>
      <c r="K181" s="53">
        <f t="shared" si="28"/>
        <v>847</v>
      </c>
      <c r="L181" s="289">
        <f t="shared" si="29"/>
        <v>674.81130644605309</v>
      </c>
      <c r="N181" s="7">
        <f t="shared" si="30"/>
        <v>8097.7356773526371</v>
      </c>
      <c r="O181" t="str">
        <f>Medicaid!G173</f>
        <v>No</v>
      </c>
      <c r="P181" t="str">
        <f>Medicaid!K173</f>
        <v>No</v>
      </c>
    </row>
    <row r="182" spans="1:16" ht="15" customHeight="1" x14ac:dyDescent="0.25">
      <c r="A182" s="3">
        <v>82500</v>
      </c>
      <c r="B182" s="3">
        <f t="shared" si="35"/>
        <v>6875</v>
      </c>
      <c r="C182" s="3">
        <f t="shared" si="36"/>
        <v>576.8125</v>
      </c>
      <c r="D182" s="64">
        <f t="shared" si="38"/>
        <v>2.1328852119958635</v>
      </c>
      <c r="E182" s="50">
        <f t="shared" si="37"/>
        <v>0.02</v>
      </c>
      <c r="F182" s="50">
        <f t="shared" si="31"/>
        <v>0.04</v>
      </c>
      <c r="G182" s="69">
        <f t="shared" si="32"/>
        <v>6446.666666666667</v>
      </c>
      <c r="H182" s="70">
        <f t="shared" si="33"/>
        <v>8026.1000000000013</v>
      </c>
      <c r="I182" s="70">
        <f t="shared" si="34"/>
        <v>6414.4333333333334</v>
      </c>
      <c r="J182" s="53">
        <f t="shared" si="27"/>
        <v>176.79343329886242</v>
      </c>
      <c r="K182" s="53">
        <f t="shared" si="28"/>
        <v>847</v>
      </c>
      <c r="L182" s="289">
        <f t="shared" si="29"/>
        <v>670.2065667011376</v>
      </c>
      <c r="N182" s="7">
        <f t="shared" si="30"/>
        <v>8042.4788004136517</v>
      </c>
      <c r="O182" t="str">
        <f>Medicaid!G174</f>
        <v>No</v>
      </c>
      <c r="P182" t="str">
        <f>Medicaid!K174</f>
        <v>No</v>
      </c>
    </row>
    <row r="183" spans="1:16" ht="15" customHeight="1" x14ac:dyDescent="0.25">
      <c r="A183" s="3">
        <v>83000</v>
      </c>
      <c r="B183" s="3">
        <f t="shared" si="35"/>
        <v>6916.666666666667</v>
      </c>
      <c r="C183" s="3">
        <f t="shared" si="36"/>
        <v>580.30833333333339</v>
      </c>
      <c r="D183" s="64">
        <f t="shared" si="38"/>
        <v>2.1458117890382629</v>
      </c>
      <c r="E183" s="50">
        <f t="shared" si="37"/>
        <v>0.02</v>
      </c>
      <c r="F183" s="50">
        <f t="shared" si="31"/>
        <v>0.04</v>
      </c>
      <c r="G183" s="69">
        <f t="shared" si="32"/>
        <v>6446.666666666667</v>
      </c>
      <c r="H183" s="70">
        <f t="shared" si="33"/>
        <v>8026.1000000000013</v>
      </c>
      <c r="I183" s="70">
        <f t="shared" si="34"/>
        <v>6414.4333333333334</v>
      </c>
      <c r="J183" s="53">
        <f t="shared" si="27"/>
        <v>181.44126163391934</v>
      </c>
      <c r="K183" s="53">
        <f t="shared" si="28"/>
        <v>847</v>
      </c>
      <c r="L183" s="289">
        <f t="shared" si="29"/>
        <v>665.55873836608066</v>
      </c>
      <c r="N183" s="7">
        <f t="shared" si="30"/>
        <v>7986.7048603929679</v>
      </c>
      <c r="O183" t="str">
        <f>Medicaid!G175</f>
        <v>No</v>
      </c>
      <c r="P183" t="str">
        <f>Medicaid!K175</f>
        <v>No</v>
      </c>
    </row>
    <row r="184" spans="1:16" ht="15" customHeight="1" x14ac:dyDescent="0.25">
      <c r="A184" s="3">
        <v>83500</v>
      </c>
      <c r="B184" s="3">
        <f t="shared" si="35"/>
        <v>6958.333333333333</v>
      </c>
      <c r="C184" s="3">
        <f t="shared" si="36"/>
        <v>583.80416666666667</v>
      </c>
      <c r="D184" s="64">
        <f t="shared" si="38"/>
        <v>2.1587383660806618</v>
      </c>
      <c r="E184" s="50">
        <f t="shared" si="37"/>
        <v>0.02</v>
      </c>
      <c r="F184" s="50">
        <f t="shared" si="31"/>
        <v>0.04</v>
      </c>
      <c r="G184" s="69">
        <f t="shared" si="32"/>
        <v>6446.666666666667</v>
      </c>
      <c r="H184" s="70">
        <f t="shared" si="33"/>
        <v>8026.1000000000013</v>
      </c>
      <c r="I184" s="70">
        <f t="shared" si="34"/>
        <v>6414.4333333333334</v>
      </c>
      <c r="J184" s="53">
        <f t="shared" si="27"/>
        <v>186.13217855911748</v>
      </c>
      <c r="K184" s="53">
        <f t="shared" si="28"/>
        <v>847</v>
      </c>
      <c r="L184" s="289">
        <f t="shared" si="29"/>
        <v>660.86782144088249</v>
      </c>
      <c r="N184" s="7">
        <f t="shared" si="30"/>
        <v>7930.4138572905904</v>
      </c>
      <c r="O184" t="str">
        <f>Medicaid!G176</f>
        <v>No</v>
      </c>
      <c r="P184" t="str">
        <f>Medicaid!K176</f>
        <v>No</v>
      </c>
    </row>
    <row r="185" spans="1:16" ht="15" customHeight="1" x14ac:dyDescent="0.25">
      <c r="A185" s="3">
        <v>84000</v>
      </c>
      <c r="B185" s="3">
        <f t="shared" si="35"/>
        <v>7000</v>
      </c>
      <c r="C185" s="3">
        <f t="shared" si="36"/>
        <v>587.30000000000007</v>
      </c>
      <c r="D185" s="64">
        <f t="shared" si="38"/>
        <v>2.1716649431230608</v>
      </c>
      <c r="E185" s="50">
        <f t="shared" si="37"/>
        <v>0.02</v>
      </c>
      <c r="F185" s="50">
        <f t="shared" si="31"/>
        <v>0.04</v>
      </c>
      <c r="G185" s="69">
        <f t="shared" si="32"/>
        <v>6446.666666666667</v>
      </c>
      <c r="H185" s="70">
        <f t="shared" si="33"/>
        <v>8026.1000000000013</v>
      </c>
      <c r="I185" s="70">
        <f t="shared" si="34"/>
        <v>6414.4333333333334</v>
      </c>
      <c r="J185" s="53">
        <f t="shared" si="27"/>
        <v>190.86618407445704</v>
      </c>
      <c r="K185" s="53">
        <f t="shared" si="28"/>
        <v>847</v>
      </c>
      <c r="L185" s="289">
        <f t="shared" si="29"/>
        <v>656.13381592554299</v>
      </c>
      <c r="N185" s="7">
        <f t="shared" si="30"/>
        <v>7873.6057911065163</v>
      </c>
      <c r="O185" t="str">
        <f>Medicaid!G177</f>
        <v>No</v>
      </c>
      <c r="P185" t="str">
        <f>Medicaid!K177</f>
        <v>No</v>
      </c>
    </row>
    <row r="186" spans="1:16" ht="15" customHeight="1" x14ac:dyDescent="0.25">
      <c r="A186" s="3">
        <v>84500</v>
      </c>
      <c r="B186" s="3">
        <f t="shared" si="35"/>
        <v>7041.666666666667</v>
      </c>
      <c r="C186" s="3">
        <f t="shared" si="36"/>
        <v>590.79583333333335</v>
      </c>
      <c r="D186" s="64">
        <f t="shared" si="38"/>
        <v>2.1845915201654602</v>
      </c>
      <c r="E186" s="50">
        <f t="shared" si="37"/>
        <v>0.02</v>
      </c>
      <c r="F186" s="50">
        <f t="shared" si="31"/>
        <v>0.04</v>
      </c>
      <c r="G186" s="69">
        <f t="shared" si="32"/>
        <v>6446.666666666667</v>
      </c>
      <c r="H186" s="70">
        <f t="shared" si="33"/>
        <v>8026.1000000000013</v>
      </c>
      <c r="I186" s="70">
        <f t="shared" si="34"/>
        <v>6414.4333333333334</v>
      </c>
      <c r="J186" s="53">
        <f t="shared" si="27"/>
        <v>195.64327817993794</v>
      </c>
      <c r="K186" s="53">
        <f t="shared" si="28"/>
        <v>847</v>
      </c>
      <c r="L186" s="289">
        <f t="shared" si="29"/>
        <v>651.35672182006203</v>
      </c>
      <c r="N186" s="7">
        <f t="shared" si="30"/>
        <v>7816.2806618407449</v>
      </c>
      <c r="O186" t="str">
        <f>Medicaid!G178</f>
        <v>No</v>
      </c>
      <c r="P186" t="str">
        <f>Medicaid!K178</f>
        <v>No</v>
      </c>
    </row>
    <row r="187" spans="1:16" ht="15" customHeight="1" x14ac:dyDescent="0.25">
      <c r="A187" s="3">
        <v>85000</v>
      </c>
      <c r="B187" s="3">
        <f t="shared" si="35"/>
        <v>7083.333333333333</v>
      </c>
      <c r="C187" s="3">
        <f t="shared" si="36"/>
        <v>594.29166666666663</v>
      </c>
      <c r="D187" s="64">
        <f t="shared" si="38"/>
        <v>2.1975180972078592</v>
      </c>
      <c r="E187" s="50">
        <f t="shared" si="37"/>
        <v>0.02</v>
      </c>
      <c r="F187" s="50">
        <f t="shared" si="31"/>
        <v>0.04</v>
      </c>
      <c r="G187" s="69">
        <f t="shared" si="32"/>
        <v>6446.666666666667</v>
      </c>
      <c r="H187" s="70">
        <f t="shared" si="33"/>
        <v>8026.1000000000013</v>
      </c>
      <c r="I187" s="70">
        <f t="shared" si="34"/>
        <v>6414.4333333333334</v>
      </c>
      <c r="J187" s="53">
        <f t="shared" si="27"/>
        <v>200.46346087556009</v>
      </c>
      <c r="K187" s="53">
        <f t="shared" si="28"/>
        <v>847</v>
      </c>
      <c r="L187" s="289">
        <f t="shared" si="29"/>
        <v>646.53653912443997</v>
      </c>
      <c r="N187" s="7">
        <f t="shared" si="30"/>
        <v>7758.4384694932796</v>
      </c>
      <c r="O187" t="str">
        <f>Medicaid!G179</f>
        <v>No</v>
      </c>
      <c r="P187" t="str">
        <f>Medicaid!K179</f>
        <v>No</v>
      </c>
    </row>
    <row r="188" spans="1:16" ht="15" customHeight="1" x14ac:dyDescent="0.25">
      <c r="A188" s="3">
        <v>85500</v>
      </c>
      <c r="B188" s="3">
        <f t="shared" si="35"/>
        <v>7125</v>
      </c>
      <c r="C188" s="3">
        <f t="shared" si="36"/>
        <v>597.78750000000002</v>
      </c>
      <c r="D188" s="64">
        <f t="shared" si="38"/>
        <v>2.2104446742502586</v>
      </c>
      <c r="E188" s="50">
        <f t="shared" si="37"/>
        <v>0.02</v>
      </c>
      <c r="F188" s="50">
        <f t="shared" si="31"/>
        <v>0.04</v>
      </c>
      <c r="G188" s="69">
        <f t="shared" si="32"/>
        <v>6446.666666666667</v>
      </c>
      <c r="H188" s="70">
        <f t="shared" si="33"/>
        <v>8026.1000000000013</v>
      </c>
      <c r="I188" s="70">
        <f t="shared" si="34"/>
        <v>6414.4333333333334</v>
      </c>
      <c r="J188" s="53">
        <f t="shared" si="27"/>
        <v>205.32673216132363</v>
      </c>
      <c r="K188" s="53">
        <f t="shared" si="28"/>
        <v>847</v>
      </c>
      <c r="L188" s="289">
        <f t="shared" si="29"/>
        <v>641.67326783867634</v>
      </c>
      <c r="N188" s="7">
        <f t="shared" si="30"/>
        <v>7700.0792140641161</v>
      </c>
      <c r="O188" t="str">
        <f>Medicaid!G180</f>
        <v>No</v>
      </c>
      <c r="P188" t="str">
        <f>Medicaid!K180</f>
        <v>No</v>
      </c>
    </row>
    <row r="189" spans="1:16" ht="15" customHeight="1" x14ac:dyDescent="0.25">
      <c r="A189" s="3">
        <v>86000</v>
      </c>
      <c r="B189" s="3">
        <f t="shared" si="35"/>
        <v>7166.666666666667</v>
      </c>
      <c r="C189" s="3">
        <f t="shared" si="36"/>
        <v>601.28333333333342</v>
      </c>
      <c r="D189" s="64">
        <f t="shared" si="38"/>
        <v>2.2233712512926576</v>
      </c>
      <c r="E189" s="50">
        <f t="shared" si="37"/>
        <v>0.02</v>
      </c>
      <c r="F189" s="50">
        <f t="shared" si="31"/>
        <v>0.04</v>
      </c>
      <c r="G189" s="69">
        <f t="shared" si="32"/>
        <v>6446.666666666667</v>
      </c>
      <c r="H189" s="70">
        <f t="shared" si="33"/>
        <v>8026.1000000000013</v>
      </c>
      <c r="I189" s="70">
        <f t="shared" si="34"/>
        <v>6414.4333333333334</v>
      </c>
      <c r="J189" s="53">
        <f t="shared" si="27"/>
        <v>210.23309203722852</v>
      </c>
      <c r="K189" s="53">
        <f t="shared" si="28"/>
        <v>847</v>
      </c>
      <c r="L189" s="289">
        <f t="shared" si="29"/>
        <v>636.76690796277148</v>
      </c>
      <c r="N189" s="7">
        <f t="shared" si="30"/>
        <v>7641.2028955532578</v>
      </c>
      <c r="O189" t="str">
        <f>Medicaid!G181</f>
        <v>No</v>
      </c>
      <c r="P189" t="str">
        <f>Medicaid!K181</f>
        <v>No</v>
      </c>
    </row>
    <row r="190" spans="1:16" ht="15" customHeight="1" x14ac:dyDescent="0.25">
      <c r="A190" s="3">
        <v>86500</v>
      </c>
      <c r="B190" s="3">
        <f t="shared" si="35"/>
        <v>7208.333333333333</v>
      </c>
      <c r="C190" s="3">
        <f t="shared" si="36"/>
        <v>604.7791666666667</v>
      </c>
      <c r="D190" s="64">
        <f t="shared" si="38"/>
        <v>2.2362978283350565</v>
      </c>
      <c r="E190" s="50">
        <f t="shared" si="37"/>
        <v>0.02</v>
      </c>
      <c r="F190" s="50">
        <f t="shared" si="31"/>
        <v>0.04</v>
      </c>
      <c r="G190" s="69">
        <f t="shared" si="32"/>
        <v>6446.666666666667</v>
      </c>
      <c r="H190" s="70">
        <f t="shared" si="33"/>
        <v>8026.1000000000013</v>
      </c>
      <c r="I190" s="70">
        <f t="shared" si="34"/>
        <v>6414.4333333333334</v>
      </c>
      <c r="J190" s="53">
        <f t="shared" si="27"/>
        <v>215.18254050327462</v>
      </c>
      <c r="K190" s="53">
        <f t="shared" si="28"/>
        <v>847</v>
      </c>
      <c r="L190" s="289">
        <f t="shared" si="29"/>
        <v>631.81745949672541</v>
      </c>
      <c r="N190" s="7">
        <f t="shared" si="30"/>
        <v>7581.8095139607049</v>
      </c>
      <c r="O190" t="str">
        <f>Medicaid!G182</f>
        <v>No</v>
      </c>
      <c r="P190" t="str">
        <f>Medicaid!K182</f>
        <v>No</v>
      </c>
    </row>
    <row r="191" spans="1:16" ht="15" customHeight="1" x14ac:dyDescent="0.25">
      <c r="A191" s="3">
        <v>87000</v>
      </c>
      <c r="B191" s="3">
        <f t="shared" si="35"/>
        <v>7250</v>
      </c>
      <c r="C191" s="3">
        <f t="shared" si="36"/>
        <v>608.27499999999998</v>
      </c>
      <c r="D191" s="64">
        <f t="shared" si="38"/>
        <v>2.2492244053774559</v>
      </c>
      <c r="E191" s="50">
        <f t="shared" si="37"/>
        <v>0.02</v>
      </c>
      <c r="F191" s="50">
        <f t="shared" si="31"/>
        <v>0.04</v>
      </c>
      <c r="G191" s="69">
        <f t="shared" si="32"/>
        <v>6446.666666666667</v>
      </c>
      <c r="H191" s="70">
        <f t="shared" si="33"/>
        <v>8026.1000000000013</v>
      </c>
      <c r="I191" s="70">
        <f t="shared" si="34"/>
        <v>6414.4333333333334</v>
      </c>
      <c r="J191" s="53">
        <f t="shared" si="27"/>
        <v>220.17507755946218</v>
      </c>
      <c r="K191" s="53">
        <f t="shared" si="28"/>
        <v>847</v>
      </c>
      <c r="L191" s="289">
        <f t="shared" si="29"/>
        <v>626.82492244053788</v>
      </c>
      <c r="N191" s="7">
        <f t="shared" si="30"/>
        <v>7521.8990692864545</v>
      </c>
      <c r="O191" t="str">
        <f>Medicaid!G183</f>
        <v>No</v>
      </c>
      <c r="P191" t="str">
        <f>Medicaid!K183</f>
        <v>No</v>
      </c>
    </row>
    <row r="192" spans="1:16" ht="15" customHeight="1" x14ac:dyDescent="0.25">
      <c r="A192" s="3">
        <v>87500</v>
      </c>
      <c r="B192" s="3">
        <f t="shared" si="35"/>
        <v>7291.666666666667</v>
      </c>
      <c r="C192" s="3">
        <f t="shared" si="36"/>
        <v>611.77083333333337</v>
      </c>
      <c r="D192" s="64">
        <f t="shared" si="38"/>
        <v>2.2621509824198553</v>
      </c>
      <c r="E192" s="50">
        <f t="shared" si="37"/>
        <v>0.02</v>
      </c>
      <c r="F192" s="50">
        <f t="shared" si="31"/>
        <v>0.04</v>
      </c>
      <c r="G192" s="69">
        <f t="shared" si="32"/>
        <v>6446.666666666667</v>
      </c>
      <c r="H192" s="70">
        <f t="shared" si="33"/>
        <v>8026.1000000000013</v>
      </c>
      <c r="I192" s="70">
        <f t="shared" si="34"/>
        <v>6414.4333333333334</v>
      </c>
      <c r="J192" s="53">
        <f t="shared" si="27"/>
        <v>225.21070320579108</v>
      </c>
      <c r="K192" s="53">
        <f t="shared" si="28"/>
        <v>847</v>
      </c>
      <c r="L192" s="289">
        <f t="shared" si="29"/>
        <v>621.78929679420889</v>
      </c>
      <c r="N192" s="7">
        <f t="shared" si="30"/>
        <v>7461.4715615305067</v>
      </c>
      <c r="O192" t="str">
        <f>Medicaid!G184</f>
        <v>No</v>
      </c>
      <c r="P192" t="str">
        <f>Medicaid!K184</f>
        <v>No</v>
      </c>
    </row>
    <row r="193" spans="1:16" ht="15" customHeight="1" x14ac:dyDescent="0.25">
      <c r="A193" s="3">
        <v>88000</v>
      </c>
      <c r="B193" s="3">
        <f t="shared" si="35"/>
        <v>7333.333333333333</v>
      </c>
      <c r="C193" s="3">
        <f t="shared" si="36"/>
        <v>615.26666666666665</v>
      </c>
      <c r="D193" s="64">
        <f t="shared" si="38"/>
        <v>2.2750775594622543</v>
      </c>
      <c r="E193" s="50">
        <f t="shared" si="37"/>
        <v>0.02</v>
      </c>
      <c r="F193" s="50">
        <f t="shared" si="31"/>
        <v>0.04</v>
      </c>
      <c r="G193" s="69">
        <f t="shared" si="32"/>
        <v>6446.666666666667</v>
      </c>
      <c r="H193" s="70">
        <f t="shared" si="33"/>
        <v>8026.1000000000013</v>
      </c>
      <c r="I193" s="70">
        <f t="shared" si="34"/>
        <v>6414.4333333333334</v>
      </c>
      <c r="J193" s="53">
        <f t="shared" si="27"/>
        <v>230.2894174422612</v>
      </c>
      <c r="K193" s="53">
        <f t="shared" si="28"/>
        <v>847</v>
      </c>
      <c r="L193" s="289">
        <f t="shared" si="29"/>
        <v>616.7105825577388</v>
      </c>
      <c r="N193" s="7">
        <f t="shared" si="30"/>
        <v>7400.5269906928661</v>
      </c>
      <c r="O193" t="str">
        <f>Medicaid!G185</f>
        <v>No</v>
      </c>
      <c r="P193" t="str">
        <f>Medicaid!K185</f>
        <v>No</v>
      </c>
    </row>
    <row r="194" spans="1:16" ht="15" customHeight="1" x14ac:dyDescent="0.25">
      <c r="A194" s="3">
        <v>88500</v>
      </c>
      <c r="B194" s="3">
        <f t="shared" si="35"/>
        <v>7375</v>
      </c>
      <c r="C194" s="3">
        <f t="shared" si="36"/>
        <v>618.76250000000005</v>
      </c>
      <c r="D194" s="64">
        <f t="shared" si="38"/>
        <v>2.2880041365046533</v>
      </c>
      <c r="E194" s="50">
        <f t="shared" si="37"/>
        <v>0.02</v>
      </c>
      <c r="F194" s="50">
        <f t="shared" si="31"/>
        <v>0.04</v>
      </c>
      <c r="G194" s="69">
        <f t="shared" si="32"/>
        <v>6446.666666666667</v>
      </c>
      <c r="H194" s="70">
        <f t="shared" si="33"/>
        <v>8026.1000000000013</v>
      </c>
      <c r="I194" s="70">
        <f t="shared" si="34"/>
        <v>6414.4333333333334</v>
      </c>
      <c r="J194" s="53">
        <f t="shared" si="27"/>
        <v>235.41122026887274</v>
      </c>
      <c r="K194" s="53">
        <f t="shared" si="28"/>
        <v>847</v>
      </c>
      <c r="L194" s="289">
        <f t="shared" si="29"/>
        <v>611.58877973112726</v>
      </c>
      <c r="N194" s="7">
        <f t="shared" si="30"/>
        <v>7339.0653567735271</v>
      </c>
      <c r="O194" t="str">
        <f>Medicaid!G186</f>
        <v>No</v>
      </c>
      <c r="P194" t="str">
        <f>Medicaid!K186</f>
        <v>No</v>
      </c>
    </row>
    <row r="195" spans="1:16" ht="15" customHeight="1" x14ac:dyDescent="0.25">
      <c r="A195" s="3">
        <v>89000</v>
      </c>
      <c r="B195" s="3">
        <f t="shared" si="35"/>
        <v>7416.666666666667</v>
      </c>
      <c r="C195" s="3">
        <f t="shared" si="36"/>
        <v>622.25833333333333</v>
      </c>
      <c r="D195" s="64">
        <f t="shared" si="38"/>
        <v>2.3009307135470527</v>
      </c>
      <c r="E195" s="50">
        <f t="shared" si="37"/>
        <v>0.02</v>
      </c>
      <c r="F195" s="50">
        <f t="shared" si="31"/>
        <v>0.04</v>
      </c>
      <c r="G195" s="69">
        <f t="shared" si="32"/>
        <v>6446.666666666667</v>
      </c>
      <c r="H195" s="70">
        <f t="shared" si="33"/>
        <v>8026.1000000000013</v>
      </c>
      <c r="I195" s="70">
        <f t="shared" si="34"/>
        <v>6414.4333333333334</v>
      </c>
      <c r="J195" s="53">
        <f t="shared" si="27"/>
        <v>240.57611168562565</v>
      </c>
      <c r="K195" s="53">
        <f t="shared" si="28"/>
        <v>847</v>
      </c>
      <c r="L195" s="289">
        <f t="shared" si="29"/>
        <v>606.42388831437438</v>
      </c>
      <c r="N195" s="7">
        <f t="shared" si="30"/>
        <v>7277.0866597724926</v>
      </c>
      <c r="O195" t="str">
        <f>Medicaid!G187</f>
        <v>No</v>
      </c>
      <c r="P195" t="str">
        <f>Medicaid!K187</f>
        <v>No</v>
      </c>
    </row>
    <row r="196" spans="1:16" ht="15" customHeight="1" x14ac:dyDescent="0.25">
      <c r="A196" s="3">
        <v>89500</v>
      </c>
      <c r="B196" s="3">
        <f t="shared" si="35"/>
        <v>7458.333333333333</v>
      </c>
      <c r="C196" s="3">
        <f t="shared" si="36"/>
        <v>625.75416666666661</v>
      </c>
      <c r="D196" s="64">
        <f t="shared" si="38"/>
        <v>2.3138572905894517</v>
      </c>
      <c r="E196" s="50">
        <f t="shared" si="37"/>
        <v>0.02</v>
      </c>
      <c r="F196" s="50">
        <f t="shared" si="31"/>
        <v>0.04</v>
      </c>
      <c r="G196" s="69">
        <f t="shared" si="32"/>
        <v>6446.666666666667</v>
      </c>
      <c r="H196" s="70">
        <f t="shared" si="33"/>
        <v>8026.1000000000013</v>
      </c>
      <c r="I196" s="70">
        <f t="shared" si="34"/>
        <v>6414.4333333333334</v>
      </c>
      <c r="J196" s="53">
        <f t="shared" si="27"/>
        <v>245.7840916925197</v>
      </c>
      <c r="K196" s="53">
        <f t="shared" si="28"/>
        <v>847</v>
      </c>
      <c r="L196" s="289">
        <f t="shared" si="29"/>
        <v>601.21590830748028</v>
      </c>
      <c r="N196" s="7">
        <f t="shared" si="30"/>
        <v>7214.5908996897633</v>
      </c>
      <c r="O196" t="str">
        <f>Medicaid!G188</f>
        <v>No</v>
      </c>
      <c r="P196" t="str">
        <f>Medicaid!K188</f>
        <v>No</v>
      </c>
    </row>
    <row r="197" spans="1:16" ht="15" customHeight="1" x14ac:dyDescent="0.25">
      <c r="A197" s="3">
        <v>90000</v>
      </c>
      <c r="B197" s="3">
        <f t="shared" si="35"/>
        <v>7500</v>
      </c>
      <c r="C197" s="3">
        <f t="shared" si="36"/>
        <v>629.25</v>
      </c>
      <c r="D197" s="64">
        <f t="shared" si="38"/>
        <v>2.3267838676318511</v>
      </c>
      <c r="E197" s="50">
        <f t="shared" si="37"/>
        <v>0.02</v>
      </c>
      <c r="F197" s="50">
        <f t="shared" si="31"/>
        <v>0.04</v>
      </c>
      <c r="G197" s="69">
        <f t="shared" si="32"/>
        <v>6446.666666666667</v>
      </c>
      <c r="H197" s="70">
        <f t="shared" si="33"/>
        <v>8026.1000000000013</v>
      </c>
      <c r="I197" s="70">
        <f t="shared" si="34"/>
        <v>6414.4333333333334</v>
      </c>
      <c r="J197" s="53">
        <f t="shared" si="27"/>
        <v>251.03516028955528</v>
      </c>
      <c r="K197" s="53">
        <f t="shared" si="28"/>
        <v>847</v>
      </c>
      <c r="L197" s="289">
        <f t="shared" si="29"/>
        <v>595.96483971044472</v>
      </c>
      <c r="N197" s="7">
        <f t="shared" si="30"/>
        <v>7151.5780765253367</v>
      </c>
      <c r="O197" t="str">
        <f>Medicaid!G189</f>
        <v>No</v>
      </c>
      <c r="P197" t="str">
        <f>Medicaid!K189</f>
        <v>No</v>
      </c>
    </row>
    <row r="198" spans="1:16" ht="15" customHeight="1" x14ac:dyDescent="0.25">
      <c r="A198" s="3">
        <v>90500</v>
      </c>
      <c r="B198" s="3">
        <f t="shared" si="35"/>
        <v>7541.666666666667</v>
      </c>
      <c r="C198" s="3">
        <f t="shared" si="36"/>
        <v>632.74583333333339</v>
      </c>
      <c r="D198" s="64">
        <f t="shared" si="38"/>
        <v>2.33971044467425</v>
      </c>
      <c r="E198" s="50">
        <f t="shared" si="37"/>
        <v>0.02</v>
      </c>
      <c r="F198" s="50">
        <f t="shared" si="31"/>
        <v>0.04</v>
      </c>
      <c r="G198" s="69">
        <f t="shared" si="32"/>
        <v>6446.666666666667</v>
      </c>
      <c r="H198" s="70">
        <f t="shared" si="33"/>
        <v>8026.1000000000013</v>
      </c>
      <c r="I198" s="70">
        <f t="shared" si="34"/>
        <v>6414.4333333333334</v>
      </c>
      <c r="J198" s="53">
        <f t="shared" si="27"/>
        <v>256.32931747673211</v>
      </c>
      <c r="K198" s="53">
        <f t="shared" si="28"/>
        <v>847</v>
      </c>
      <c r="L198" s="289">
        <f t="shared" si="29"/>
        <v>590.67068252326794</v>
      </c>
      <c r="N198" s="7">
        <f t="shared" si="30"/>
        <v>7088.0481902792153</v>
      </c>
      <c r="O198" t="str">
        <f>Medicaid!G190</f>
        <v>No</v>
      </c>
      <c r="P198" t="str">
        <f>Medicaid!K190</f>
        <v>No</v>
      </c>
    </row>
    <row r="199" spans="1:16" ht="15" customHeight="1" x14ac:dyDescent="0.25">
      <c r="A199" s="3">
        <v>91000</v>
      </c>
      <c r="B199" s="3">
        <f t="shared" si="35"/>
        <v>7583.333333333333</v>
      </c>
      <c r="C199" s="3">
        <f t="shared" si="36"/>
        <v>636.24166666666667</v>
      </c>
      <c r="D199" s="64">
        <f t="shared" si="38"/>
        <v>2.352637021716649</v>
      </c>
      <c r="E199" s="50">
        <f t="shared" si="37"/>
        <v>0.02</v>
      </c>
      <c r="F199" s="50">
        <f t="shared" si="31"/>
        <v>0.04</v>
      </c>
      <c r="G199" s="69">
        <f t="shared" si="32"/>
        <v>6446.666666666667</v>
      </c>
      <c r="H199" s="70">
        <f t="shared" si="33"/>
        <v>8026.1000000000013</v>
      </c>
      <c r="I199" s="70">
        <f t="shared" si="34"/>
        <v>6414.4333333333334</v>
      </c>
      <c r="J199" s="53">
        <f t="shared" si="27"/>
        <v>261.66656325405023</v>
      </c>
      <c r="K199" s="53">
        <f t="shared" si="28"/>
        <v>847</v>
      </c>
      <c r="L199" s="289">
        <f t="shared" si="29"/>
        <v>585.33343674594971</v>
      </c>
      <c r="N199" s="7">
        <f t="shared" si="30"/>
        <v>7024.0012409513965</v>
      </c>
      <c r="O199" t="str">
        <f>Medicaid!G191</f>
        <v>No</v>
      </c>
      <c r="P199" t="str">
        <f>Medicaid!K191</f>
        <v>No</v>
      </c>
    </row>
    <row r="200" spans="1:16" ht="15" customHeight="1" x14ac:dyDescent="0.25">
      <c r="A200" s="3">
        <v>91500</v>
      </c>
      <c r="B200" s="3">
        <f t="shared" si="35"/>
        <v>7625</v>
      </c>
      <c r="C200" s="3">
        <f t="shared" si="36"/>
        <v>639.73750000000007</v>
      </c>
      <c r="D200" s="64">
        <f t="shared" si="38"/>
        <v>2.3655635987590484</v>
      </c>
      <c r="E200" s="50">
        <f t="shared" si="37"/>
        <v>0.02</v>
      </c>
      <c r="F200" s="50">
        <f t="shared" si="31"/>
        <v>0.04</v>
      </c>
      <c r="G200" s="69">
        <f t="shared" si="32"/>
        <v>6446.666666666667</v>
      </c>
      <c r="H200" s="70">
        <f t="shared" si="33"/>
        <v>8026.1000000000013</v>
      </c>
      <c r="I200" s="70">
        <f t="shared" si="34"/>
        <v>6414.4333333333334</v>
      </c>
      <c r="J200" s="53">
        <f t="shared" si="27"/>
        <v>267.04689762150974</v>
      </c>
      <c r="K200" s="53">
        <f t="shared" si="28"/>
        <v>847</v>
      </c>
      <c r="L200" s="289">
        <f t="shared" si="29"/>
        <v>579.95310237849026</v>
      </c>
      <c r="N200" s="7">
        <f t="shared" si="30"/>
        <v>6959.4372285418831</v>
      </c>
      <c r="O200" t="str">
        <f>Medicaid!G192</f>
        <v>No</v>
      </c>
      <c r="P200" t="str">
        <f>Medicaid!K192</f>
        <v>No</v>
      </c>
    </row>
    <row r="201" spans="1:16" ht="15" customHeight="1" x14ac:dyDescent="0.25">
      <c r="A201" s="3">
        <v>92000</v>
      </c>
      <c r="B201" s="3">
        <f t="shared" si="35"/>
        <v>7666.666666666667</v>
      </c>
      <c r="C201" s="3">
        <f t="shared" si="36"/>
        <v>643.23333333333335</v>
      </c>
      <c r="D201" s="64">
        <f t="shared" si="38"/>
        <v>2.3784901758014478</v>
      </c>
      <c r="E201" s="50">
        <f t="shared" si="37"/>
        <v>0.02</v>
      </c>
      <c r="F201" s="50">
        <f t="shared" si="31"/>
        <v>0.04</v>
      </c>
      <c r="G201" s="69">
        <f t="shared" si="32"/>
        <v>6446.666666666667</v>
      </c>
      <c r="H201" s="70">
        <f t="shared" si="33"/>
        <v>8026.1000000000013</v>
      </c>
      <c r="I201" s="70">
        <f t="shared" si="34"/>
        <v>6414.4333333333334</v>
      </c>
      <c r="J201" s="53">
        <f t="shared" si="27"/>
        <v>272.47032057911059</v>
      </c>
      <c r="K201" s="53">
        <f t="shared" si="28"/>
        <v>847</v>
      </c>
      <c r="L201" s="289">
        <f t="shared" si="29"/>
        <v>574.52967942088935</v>
      </c>
      <c r="N201" s="7">
        <f t="shared" si="30"/>
        <v>6894.3561530506722</v>
      </c>
      <c r="O201" t="str">
        <f>Medicaid!G193</f>
        <v>No</v>
      </c>
      <c r="P201" t="str">
        <f>Medicaid!K193</f>
        <v>No</v>
      </c>
    </row>
    <row r="202" spans="1:16" ht="15" customHeight="1" x14ac:dyDescent="0.25">
      <c r="A202" s="3">
        <v>92500</v>
      </c>
      <c r="B202" s="3">
        <f t="shared" si="35"/>
        <v>7708.333333333333</v>
      </c>
      <c r="C202" s="3">
        <f t="shared" si="36"/>
        <v>646.72916666666663</v>
      </c>
      <c r="D202" s="64">
        <f t="shared" si="38"/>
        <v>2.3914167528438468</v>
      </c>
      <c r="E202" s="50">
        <f t="shared" si="37"/>
        <v>0.02</v>
      </c>
      <c r="F202" s="50">
        <f t="shared" si="31"/>
        <v>0.04</v>
      </c>
      <c r="G202" s="69">
        <f t="shared" si="32"/>
        <v>6446.666666666667</v>
      </c>
      <c r="H202" s="70">
        <f t="shared" si="33"/>
        <v>8026.1000000000013</v>
      </c>
      <c r="I202" s="70">
        <f t="shared" si="34"/>
        <v>6414.4333333333334</v>
      </c>
      <c r="J202" s="53">
        <f t="shared" si="27"/>
        <v>277.93683212685272</v>
      </c>
      <c r="K202" s="53">
        <f t="shared" si="28"/>
        <v>847</v>
      </c>
      <c r="L202" s="289">
        <f t="shared" si="29"/>
        <v>569.06316787314722</v>
      </c>
      <c r="N202" s="7">
        <f t="shared" si="30"/>
        <v>6828.7580144777667</v>
      </c>
      <c r="O202" t="str">
        <f>Medicaid!G194</f>
        <v>No</v>
      </c>
      <c r="P202" t="str">
        <f>Medicaid!K194</f>
        <v>No</v>
      </c>
    </row>
    <row r="203" spans="1:16" ht="15" customHeight="1" x14ac:dyDescent="0.25">
      <c r="A203" s="3">
        <v>93000</v>
      </c>
      <c r="B203" s="3">
        <f t="shared" si="35"/>
        <v>7750</v>
      </c>
      <c r="C203" s="3">
        <f t="shared" si="36"/>
        <v>650.22500000000002</v>
      </c>
      <c r="D203" s="64">
        <f t="shared" si="38"/>
        <v>2.4043433298862462</v>
      </c>
      <c r="E203" s="50">
        <f t="shared" si="37"/>
        <v>0.02</v>
      </c>
      <c r="F203" s="50">
        <f t="shared" si="31"/>
        <v>0.04</v>
      </c>
      <c r="G203" s="69">
        <f t="shared" si="32"/>
        <v>6446.666666666667</v>
      </c>
      <c r="H203" s="70">
        <f t="shared" si="33"/>
        <v>8026.1000000000013</v>
      </c>
      <c r="I203" s="70">
        <f t="shared" si="34"/>
        <v>6414.4333333333334</v>
      </c>
      <c r="J203" s="53">
        <f t="shared" si="27"/>
        <v>283.44643226473619</v>
      </c>
      <c r="K203" s="53">
        <f t="shared" si="28"/>
        <v>847</v>
      </c>
      <c r="L203" s="289">
        <f t="shared" si="29"/>
        <v>563.55356773526387</v>
      </c>
      <c r="N203" s="7">
        <f t="shared" si="30"/>
        <v>6762.6428128231664</v>
      </c>
      <c r="O203" t="str">
        <f>Medicaid!G195</f>
        <v>No</v>
      </c>
      <c r="P203" t="str">
        <f>Medicaid!K195</f>
        <v>No</v>
      </c>
    </row>
    <row r="204" spans="1:16" ht="15" customHeight="1" x14ac:dyDescent="0.25">
      <c r="A204" s="3">
        <v>93500</v>
      </c>
      <c r="B204" s="3">
        <f t="shared" si="35"/>
        <v>7791.666666666667</v>
      </c>
      <c r="C204" s="3">
        <f t="shared" si="36"/>
        <v>653.72083333333342</v>
      </c>
      <c r="D204" s="64">
        <f t="shared" si="38"/>
        <v>2.4172699069286452</v>
      </c>
      <c r="E204" s="50">
        <f t="shared" si="37"/>
        <v>0.02</v>
      </c>
      <c r="F204" s="50">
        <f t="shared" si="31"/>
        <v>0.04</v>
      </c>
      <c r="G204" s="69">
        <f t="shared" si="32"/>
        <v>6446.666666666667</v>
      </c>
      <c r="H204" s="70">
        <f t="shared" si="33"/>
        <v>8026.1000000000013</v>
      </c>
      <c r="I204" s="70">
        <f t="shared" si="34"/>
        <v>6414.4333333333334</v>
      </c>
      <c r="J204" s="53">
        <f t="shared" si="27"/>
        <v>288.99912099276105</v>
      </c>
      <c r="K204" s="53">
        <f t="shared" si="28"/>
        <v>847</v>
      </c>
      <c r="L204" s="289">
        <f t="shared" si="29"/>
        <v>558.00087900723895</v>
      </c>
      <c r="N204" s="7">
        <f t="shared" si="30"/>
        <v>6696.0105480868679</v>
      </c>
      <c r="O204" t="str">
        <f>Medicaid!G196</f>
        <v>No</v>
      </c>
      <c r="P204" t="str">
        <f>Medicaid!K196</f>
        <v>No</v>
      </c>
    </row>
    <row r="205" spans="1:16" ht="15" customHeight="1" x14ac:dyDescent="0.25">
      <c r="A205" s="3">
        <v>94000</v>
      </c>
      <c r="B205" s="3">
        <f t="shared" si="35"/>
        <v>7833.333333333333</v>
      </c>
      <c r="C205" s="3">
        <f t="shared" si="36"/>
        <v>657.2166666666667</v>
      </c>
      <c r="D205" s="64">
        <f t="shared" si="38"/>
        <v>2.4301964839710442</v>
      </c>
      <c r="E205" s="50">
        <f t="shared" si="37"/>
        <v>0.02</v>
      </c>
      <c r="F205" s="50">
        <f t="shared" si="31"/>
        <v>0.04</v>
      </c>
      <c r="G205" s="69">
        <f t="shared" si="32"/>
        <v>6446.666666666667</v>
      </c>
      <c r="H205" s="70">
        <f t="shared" si="33"/>
        <v>8026.1000000000013</v>
      </c>
      <c r="I205" s="70">
        <f t="shared" si="34"/>
        <v>6414.4333333333334</v>
      </c>
      <c r="J205" s="53">
        <f t="shared" si="27"/>
        <v>294.59489831092714</v>
      </c>
      <c r="K205" s="53">
        <f t="shared" si="28"/>
        <v>847</v>
      </c>
      <c r="L205" s="289">
        <f t="shared" si="29"/>
        <v>552.40510168907281</v>
      </c>
      <c r="N205" s="7">
        <f t="shared" si="30"/>
        <v>6628.8612202688737</v>
      </c>
      <c r="O205" t="str">
        <f>Medicaid!G197</f>
        <v>No</v>
      </c>
      <c r="P205" t="str">
        <f>Medicaid!K197</f>
        <v>No</v>
      </c>
    </row>
    <row r="206" spans="1:16" ht="15" customHeight="1" x14ac:dyDescent="0.25">
      <c r="A206" s="3">
        <v>94500</v>
      </c>
      <c r="B206" s="3">
        <f t="shared" si="35"/>
        <v>7875</v>
      </c>
      <c r="C206" s="3">
        <f t="shared" si="36"/>
        <v>660.71249999999998</v>
      </c>
      <c r="D206" s="64">
        <f t="shared" si="38"/>
        <v>2.4431230610134436</v>
      </c>
      <c r="E206" s="50">
        <f t="shared" si="37"/>
        <v>0.02</v>
      </c>
      <c r="F206" s="50">
        <f t="shared" si="31"/>
        <v>0.04</v>
      </c>
      <c r="G206" s="69">
        <f t="shared" si="32"/>
        <v>6446.666666666667</v>
      </c>
      <c r="H206" s="70">
        <f t="shared" si="33"/>
        <v>8026.1000000000013</v>
      </c>
      <c r="I206" s="70">
        <f t="shared" si="34"/>
        <v>6414.4333333333334</v>
      </c>
      <c r="J206" s="53">
        <f t="shared" si="27"/>
        <v>300.23376421923467</v>
      </c>
      <c r="K206" s="53">
        <f t="shared" si="28"/>
        <v>847</v>
      </c>
      <c r="L206" s="289">
        <f t="shared" si="29"/>
        <v>546.76623578076533</v>
      </c>
      <c r="N206" s="7">
        <f t="shared" si="30"/>
        <v>6561.1948293691839</v>
      </c>
      <c r="O206" t="str">
        <f>Medicaid!G198</f>
        <v>No</v>
      </c>
      <c r="P206" t="str">
        <f>Medicaid!K198</f>
        <v>No</v>
      </c>
    </row>
    <row r="207" spans="1:16" ht="15" customHeight="1" x14ac:dyDescent="0.25">
      <c r="A207" s="3">
        <v>95000</v>
      </c>
      <c r="B207" s="3">
        <f t="shared" si="35"/>
        <v>7916.666666666667</v>
      </c>
      <c r="C207" s="3">
        <f t="shared" si="36"/>
        <v>664.20833333333337</v>
      </c>
      <c r="D207" s="64">
        <f t="shared" si="38"/>
        <v>2.456049638055843</v>
      </c>
      <c r="E207" s="50">
        <f t="shared" si="37"/>
        <v>0.02</v>
      </c>
      <c r="F207" s="50">
        <f t="shared" si="31"/>
        <v>0.04</v>
      </c>
      <c r="G207" s="69">
        <f t="shared" si="32"/>
        <v>6446.666666666667</v>
      </c>
      <c r="H207" s="70">
        <f t="shared" si="33"/>
        <v>8026.1000000000013</v>
      </c>
      <c r="I207" s="70">
        <f t="shared" si="34"/>
        <v>6414.4333333333334</v>
      </c>
      <c r="J207" s="53">
        <f t="shared" si="27"/>
        <v>305.91571871768349</v>
      </c>
      <c r="K207" s="53">
        <f t="shared" si="28"/>
        <v>847</v>
      </c>
      <c r="L207" s="289">
        <f t="shared" si="29"/>
        <v>541.08428128231651</v>
      </c>
      <c r="N207" s="7">
        <f t="shared" si="30"/>
        <v>6493.0113753877977</v>
      </c>
      <c r="O207" t="str">
        <f>Medicaid!G199</f>
        <v>No</v>
      </c>
      <c r="P207" t="str">
        <f>Medicaid!K199</f>
        <v>No</v>
      </c>
    </row>
    <row r="208" spans="1:16" ht="15" customHeight="1" x14ac:dyDescent="0.25">
      <c r="A208" s="3">
        <v>95500</v>
      </c>
      <c r="B208" s="3">
        <f t="shared" si="35"/>
        <v>7958.333333333333</v>
      </c>
      <c r="C208" s="3">
        <f t="shared" si="36"/>
        <v>667.70416666666665</v>
      </c>
      <c r="D208" s="64">
        <f t="shared" si="38"/>
        <v>2.4689762150982419</v>
      </c>
      <c r="E208" s="50">
        <f t="shared" si="37"/>
        <v>0.02</v>
      </c>
      <c r="F208" s="50">
        <f t="shared" si="31"/>
        <v>0.04</v>
      </c>
      <c r="G208" s="69">
        <f t="shared" si="32"/>
        <v>6446.666666666667</v>
      </c>
      <c r="H208" s="70">
        <f t="shared" si="33"/>
        <v>8026.1000000000013</v>
      </c>
      <c r="I208" s="70">
        <f t="shared" si="34"/>
        <v>6414.4333333333334</v>
      </c>
      <c r="J208" s="53">
        <f t="shared" si="27"/>
        <v>311.64076180627353</v>
      </c>
      <c r="K208" s="53">
        <f t="shared" si="28"/>
        <v>847</v>
      </c>
      <c r="L208" s="289">
        <f t="shared" si="29"/>
        <v>535.35923819372647</v>
      </c>
      <c r="N208" s="7">
        <f t="shared" si="30"/>
        <v>6424.3108583247176</v>
      </c>
      <c r="O208" t="str">
        <f>Medicaid!G200</f>
        <v>No</v>
      </c>
      <c r="P208" t="str">
        <f>Medicaid!K200</f>
        <v>No</v>
      </c>
    </row>
    <row r="209" spans="1:16" ht="15" customHeight="1" x14ac:dyDescent="0.25">
      <c r="A209" s="3">
        <v>96000</v>
      </c>
      <c r="B209" s="3">
        <f t="shared" si="35"/>
        <v>8000</v>
      </c>
      <c r="C209" s="3">
        <f t="shared" si="36"/>
        <v>671.2</v>
      </c>
      <c r="D209" s="64">
        <f t="shared" si="38"/>
        <v>2.4819027921406409</v>
      </c>
      <c r="E209" s="50">
        <f t="shared" si="37"/>
        <v>0.02</v>
      </c>
      <c r="F209" s="50">
        <f t="shared" si="31"/>
        <v>0.04</v>
      </c>
      <c r="G209" s="69">
        <f t="shared" si="32"/>
        <v>6446.666666666667</v>
      </c>
      <c r="H209" s="70">
        <f t="shared" si="33"/>
        <v>8026.1000000000013</v>
      </c>
      <c r="I209" s="70">
        <f t="shared" si="34"/>
        <v>6414.4333333333334</v>
      </c>
      <c r="J209" s="53">
        <f t="shared" si="27"/>
        <v>317.40889348500508</v>
      </c>
      <c r="K209" s="53">
        <f t="shared" si="28"/>
        <v>847</v>
      </c>
      <c r="L209" s="289">
        <f t="shared" si="29"/>
        <v>529.59110651499486</v>
      </c>
      <c r="N209" s="7">
        <f t="shared" si="30"/>
        <v>6355.0932781799384</v>
      </c>
      <c r="O209" t="str">
        <f>Medicaid!G201</f>
        <v>No</v>
      </c>
      <c r="P209" t="str">
        <f>Medicaid!K201</f>
        <v>No</v>
      </c>
    </row>
    <row r="210" spans="1:16" ht="15" customHeight="1" x14ac:dyDescent="0.25">
      <c r="A210" s="3">
        <v>96500</v>
      </c>
      <c r="B210" s="3">
        <f t="shared" si="35"/>
        <v>8041.666666666667</v>
      </c>
      <c r="C210" s="3">
        <f t="shared" si="36"/>
        <v>674.69583333333333</v>
      </c>
      <c r="D210" s="64">
        <f t="shared" si="38"/>
        <v>2.4948293691830403</v>
      </c>
      <c r="E210" s="50">
        <f t="shared" si="37"/>
        <v>0.02</v>
      </c>
      <c r="F210" s="50">
        <f t="shared" si="31"/>
        <v>0.06</v>
      </c>
      <c r="G210" s="69">
        <f t="shared" si="32"/>
        <v>8058.3333333333339</v>
      </c>
      <c r="H210" s="70">
        <f t="shared" si="33"/>
        <v>9637.7666666666682</v>
      </c>
      <c r="I210" s="70">
        <f t="shared" si="34"/>
        <v>8026.1000000000013</v>
      </c>
      <c r="J210" s="53">
        <f t="shared" ref="J210:J217" si="39">B210*(E210+(B210-I210)*(F210-E210)/(H210-I210))</f>
        <v>163.94022750775576</v>
      </c>
      <c r="K210" s="53">
        <f t="shared" ref="K210:K217" si="40">SUM(IF(O210="Yes",0,$C$12),IF(P210="Yes",0,$C$13))</f>
        <v>847</v>
      </c>
      <c r="L210" s="289">
        <f t="shared" ref="L210:L217" si="41">MAX(0,K210-J210)</f>
        <v>683.05977249224429</v>
      </c>
      <c r="N210" s="7">
        <f t="shared" ref="N210:N217" si="42">MAX(0,L210*12)</f>
        <v>8196.7172699069306</v>
      </c>
      <c r="O210" t="str">
        <f>Medicaid!G202</f>
        <v>No</v>
      </c>
      <c r="P210" t="str">
        <f>Medicaid!K202</f>
        <v>No</v>
      </c>
    </row>
    <row r="211" spans="1:16" ht="15" customHeight="1" x14ac:dyDescent="0.25">
      <c r="A211" s="3">
        <v>97000</v>
      </c>
      <c r="B211" s="3">
        <f t="shared" si="35"/>
        <v>8083.333333333333</v>
      </c>
      <c r="C211" s="3">
        <f t="shared" si="36"/>
        <v>678.19166666666661</v>
      </c>
      <c r="D211" s="64">
        <f t="shared" si="38"/>
        <v>2.5077559462254393</v>
      </c>
      <c r="E211" s="50">
        <f t="shared" si="37"/>
        <v>0.02</v>
      </c>
      <c r="F211" s="50">
        <f t="shared" ref="F211:F217" si="43">IF(D211&gt;3.99,0.085,IF(D211&gt;2.99,0.085,IF(D211&gt;2.49,0.06,IF(D211&gt;1.99,0.04,IF(D211&gt;1.49,0.02,0)))))</f>
        <v>0.06</v>
      </c>
      <c r="G211" s="69">
        <f t="shared" ref="G211:G217" si="44">IF(D211&gt;3.99,$M$7,IF(D211&gt;2.99,$M$6,IF(D211&gt;2.49,$M$5,IF(D211&gt;1.99,$M$4,IF(D211&gt;1.49,$M$3,0)))))</f>
        <v>8058.3333333333339</v>
      </c>
      <c r="H211" s="70">
        <f t="shared" ref="H211:H217" si="45">IF(D211&gt;3.99,$N$7,IF(D211&gt;2.99,$N$6,IF(D211&gt;2.49,$N$5,IF(D211&gt;1.99,$N$4,IF(D211&gt;1.49,$N$3,IF(D211&gt;=0,$N$2,0))))))</f>
        <v>9637.7666666666682</v>
      </c>
      <c r="I211" s="70">
        <f t="shared" ref="I211:I217" si="46">IF(D211&gt;3.99,$N$6,IF(D211&gt;2.99,$N$5,IF(D211&gt;2.49,$N$4,IF(D211&gt;1.99,$N$3,IF(D211&gt;1.49,$N$2,IF(D211&gt;=0,0))))))</f>
        <v>8026.1000000000013</v>
      </c>
      <c r="J211" s="53">
        <f t="shared" si="39"/>
        <v>173.14884522578387</v>
      </c>
      <c r="K211" s="53">
        <f t="shared" si="40"/>
        <v>847</v>
      </c>
      <c r="L211" s="289">
        <f t="shared" si="41"/>
        <v>673.85115477421618</v>
      </c>
      <c r="N211" s="7">
        <f t="shared" si="42"/>
        <v>8086.2138572905942</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2.5206825232678387</v>
      </c>
      <c r="E212" s="50">
        <f t="shared" si="37"/>
        <v>0.02</v>
      </c>
      <c r="F212" s="50">
        <f t="shared" si="43"/>
        <v>0.06</v>
      </c>
      <c r="G212" s="69">
        <f t="shared" si="44"/>
        <v>8058.3333333333339</v>
      </c>
      <c r="H212" s="70">
        <f t="shared" si="45"/>
        <v>9637.7666666666682</v>
      </c>
      <c r="I212" s="70">
        <f t="shared" si="46"/>
        <v>8026.1000000000013</v>
      </c>
      <c r="J212" s="53">
        <f t="shared" si="39"/>
        <v>182.44364012409488</v>
      </c>
      <c r="K212" s="53">
        <f t="shared" si="40"/>
        <v>847</v>
      </c>
      <c r="L212" s="289">
        <f t="shared" si="41"/>
        <v>664.55635987590517</v>
      </c>
      <c r="N212" s="7">
        <f t="shared" si="42"/>
        <v>7974.6763185108621</v>
      </c>
      <c r="O212" t="str">
        <f>Medicaid!G204</f>
        <v>No</v>
      </c>
      <c r="P212" t="str">
        <f>Medicaid!K204</f>
        <v>No</v>
      </c>
    </row>
    <row r="213" spans="1:16" ht="15" customHeight="1" x14ac:dyDescent="0.25">
      <c r="A213" s="3">
        <v>98000</v>
      </c>
      <c r="B213" s="3">
        <f t="shared" si="47"/>
        <v>8166.666666666667</v>
      </c>
      <c r="C213" s="3">
        <f t="shared" si="48"/>
        <v>685.18333333333339</v>
      </c>
      <c r="D213" s="64">
        <f t="shared" si="38"/>
        <v>2.5336091003102377</v>
      </c>
      <c r="E213" s="50">
        <f t="shared" si="37"/>
        <v>0.02</v>
      </c>
      <c r="F213" s="50">
        <f t="shared" si="43"/>
        <v>0.06</v>
      </c>
      <c r="G213" s="69">
        <f t="shared" si="44"/>
        <v>8058.3333333333339</v>
      </c>
      <c r="H213" s="70">
        <f t="shared" si="45"/>
        <v>9637.7666666666682</v>
      </c>
      <c r="I213" s="70">
        <f t="shared" si="46"/>
        <v>8026.1000000000013</v>
      </c>
      <c r="J213" s="53">
        <f t="shared" si="39"/>
        <v>191.82461220268851</v>
      </c>
      <c r="K213" s="53">
        <f t="shared" si="40"/>
        <v>847</v>
      </c>
      <c r="L213" s="289">
        <f t="shared" si="41"/>
        <v>655.17538779731149</v>
      </c>
      <c r="N213" s="7">
        <f t="shared" si="42"/>
        <v>7862.1046535677378</v>
      </c>
      <c r="O213" t="str">
        <f>Medicaid!G205</f>
        <v>No</v>
      </c>
      <c r="P213" t="str">
        <f>Medicaid!K205</f>
        <v>No</v>
      </c>
    </row>
    <row r="214" spans="1:16" ht="15" customHeight="1" x14ac:dyDescent="0.25">
      <c r="A214" s="3">
        <v>98500</v>
      </c>
      <c r="B214" s="3">
        <f t="shared" si="47"/>
        <v>8208.3333333333339</v>
      </c>
      <c r="C214" s="3">
        <f t="shared" si="48"/>
        <v>688.67916666666679</v>
      </c>
      <c r="D214" s="64">
        <f t="shared" si="38"/>
        <v>2.5465356773526371</v>
      </c>
      <c r="E214" s="50">
        <f t="shared" si="37"/>
        <v>0.02</v>
      </c>
      <c r="F214" s="50">
        <f t="shared" si="43"/>
        <v>0.06</v>
      </c>
      <c r="G214" s="69">
        <f t="shared" si="44"/>
        <v>8058.3333333333339</v>
      </c>
      <c r="H214" s="70">
        <f t="shared" si="45"/>
        <v>9637.7666666666682</v>
      </c>
      <c r="I214" s="70">
        <f t="shared" si="46"/>
        <v>8026.1000000000013</v>
      </c>
      <c r="J214" s="53">
        <f t="shared" si="39"/>
        <v>201.29176146156485</v>
      </c>
      <c r="K214" s="53">
        <f t="shared" si="40"/>
        <v>847</v>
      </c>
      <c r="L214" s="289">
        <f t="shared" si="41"/>
        <v>645.70823853843513</v>
      </c>
      <c r="N214" s="7">
        <f t="shared" si="42"/>
        <v>7748.4988624612215</v>
      </c>
      <c r="O214" t="str">
        <f>Medicaid!G206</f>
        <v>No</v>
      </c>
      <c r="P214" t="str">
        <f>Medicaid!K206</f>
        <v>No</v>
      </c>
    </row>
    <row r="215" spans="1:16" ht="15" customHeight="1" x14ac:dyDescent="0.25">
      <c r="A215" s="3">
        <v>99000</v>
      </c>
      <c r="B215" s="3">
        <f t="shared" si="47"/>
        <v>8250</v>
      </c>
      <c r="C215" s="3">
        <f t="shared" si="48"/>
        <v>692.17500000000007</v>
      </c>
      <c r="D215" s="64">
        <f t="shared" si="38"/>
        <v>2.5594622543950361</v>
      </c>
      <c r="E215" s="50">
        <f t="shared" si="37"/>
        <v>0.02</v>
      </c>
      <c r="F215" s="50">
        <f t="shared" si="43"/>
        <v>0.06</v>
      </c>
      <c r="G215" s="69">
        <f t="shared" si="44"/>
        <v>8058.3333333333339</v>
      </c>
      <c r="H215" s="70">
        <f t="shared" si="45"/>
        <v>9637.7666666666682</v>
      </c>
      <c r="I215" s="70">
        <f t="shared" si="46"/>
        <v>8026.1000000000013</v>
      </c>
      <c r="J215" s="53">
        <f t="shared" si="39"/>
        <v>210.8450879007236</v>
      </c>
      <c r="K215" s="53">
        <f t="shared" si="40"/>
        <v>847</v>
      </c>
      <c r="L215" s="289">
        <f t="shared" si="41"/>
        <v>636.15491209927643</v>
      </c>
      <c r="N215" s="7">
        <f t="shared" si="42"/>
        <v>7633.8589451913176</v>
      </c>
      <c r="O215" t="str">
        <f>Medicaid!G207</f>
        <v>No</v>
      </c>
      <c r="P215" t="str">
        <f>Medicaid!K207</f>
        <v>No</v>
      </c>
    </row>
    <row r="216" spans="1:16" ht="15" customHeight="1" x14ac:dyDescent="0.25">
      <c r="A216" s="3">
        <v>99500</v>
      </c>
      <c r="B216" s="3">
        <f t="shared" si="47"/>
        <v>8291.6666666666661</v>
      </c>
      <c r="C216" s="3">
        <f t="shared" si="48"/>
        <v>695.67083333333335</v>
      </c>
      <c r="D216" s="64">
        <f t="shared" si="38"/>
        <v>2.572388831437435</v>
      </c>
      <c r="E216" s="50">
        <f t="shared" si="37"/>
        <v>0.02</v>
      </c>
      <c r="F216" s="50">
        <f t="shared" si="43"/>
        <v>0.06</v>
      </c>
      <c r="G216" s="69">
        <f t="shared" si="44"/>
        <v>8058.3333333333339</v>
      </c>
      <c r="H216" s="70">
        <f t="shared" si="45"/>
        <v>9637.7666666666682</v>
      </c>
      <c r="I216" s="70">
        <f t="shared" si="46"/>
        <v>8026.1000000000013</v>
      </c>
      <c r="J216" s="53">
        <f t="shared" si="39"/>
        <v>220.48459152016503</v>
      </c>
      <c r="K216" s="53">
        <f t="shared" si="40"/>
        <v>847</v>
      </c>
      <c r="L216" s="289">
        <f t="shared" si="41"/>
        <v>626.51540847983495</v>
      </c>
      <c r="N216" s="7">
        <f t="shared" si="42"/>
        <v>7518.1849017580189</v>
      </c>
      <c r="O216" t="str">
        <f>Medicaid!G208</f>
        <v>No</v>
      </c>
      <c r="P216" t="str">
        <f>Medicaid!K208</f>
        <v>No</v>
      </c>
    </row>
    <row r="217" spans="1:16" ht="15" customHeight="1" x14ac:dyDescent="0.25">
      <c r="A217" s="3">
        <v>100000</v>
      </c>
      <c r="B217" s="3">
        <f t="shared" si="47"/>
        <v>8333.3333333333339</v>
      </c>
      <c r="C217" s="3">
        <f t="shared" si="48"/>
        <v>699.16666666666674</v>
      </c>
      <c r="D217" s="64">
        <f t="shared" si="38"/>
        <v>2.5853154084798344</v>
      </c>
      <c r="E217" s="50">
        <f t="shared" si="37"/>
        <v>0.02</v>
      </c>
      <c r="F217" s="50">
        <f t="shared" si="43"/>
        <v>0.06</v>
      </c>
      <c r="G217" s="69">
        <f t="shared" si="44"/>
        <v>8058.3333333333339</v>
      </c>
      <c r="H217" s="70">
        <f t="shared" si="45"/>
        <v>9637.7666666666682</v>
      </c>
      <c r="I217" s="70">
        <f t="shared" si="46"/>
        <v>8026.1000000000013</v>
      </c>
      <c r="J217" s="53">
        <f t="shared" si="39"/>
        <v>230.21027231988955</v>
      </c>
      <c r="K217" s="53">
        <f t="shared" si="40"/>
        <v>847</v>
      </c>
      <c r="L217" s="289">
        <f t="shared" si="41"/>
        <v>616.78972768011045</v>
      </c>
      <c r="N217" s="7">
        <f t="shared" si="42"/>
        <v>7401.4767321613253</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1500</v>
      </c>
      <c r="C220" s="3">
        <f>B220*0.0839</f>
        <v>125.85000000000001</v>
      </c>
      <c r="D220" s="64">
        <f>B220/$K$2</f>
        <v>0.46535677352637017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4802.7666666666664</v>
      </c>
      <c r="I220" s="70">
        <f>IF(D220&gt;3.99,$N$6,IF(D220&gt;2.99,$N$5,IF(D220&gt;2.49,$N$4,IF(D220&gt;1.99,$N$3,IF(D220&gt;1.49,$N$2,IF(D220&gt;=0,0))))))</f>
        <v>0</v>
      </c>
      <c r="J220" s="53">
        <f>B220*(E220+(B220-I220)*(F220-E220)/(H220-I220))</f>
        <v>0</v>
      </c>
      <c r="K220" s="53">
        <f>$C$12</f>
        <v>472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1500</v>
      </c>
      <c r="C222" s="3">
        <f>B222*0.0839</f>
        <v>125.85000000000001</v>
      </c>
      <c r="D222" s="64">
        <f>B222/$K$2</f>
        <v>0.46535677352637017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4802.7666666666664</v>
      </c>
      <c r="I222" s="70">
        <f>IF(D222&gt;3.99,$N$6,IF(D222&gt;2.99,$N$5,IF(D222&gt;2.49,$N$4,IF(D222&gt;1.99,$N$3,IF(D222&gt;1.49,$N$2,IF(D222&gt;=0,0))))))</f>
        <v>0</v>
      </c>
      <c r="J222" s="53">
        <f>B222*(E222+(B222-I222)*(F222-E222)/(H222-I222))</f>
        <v>0</v>
      </c>
      <c r="K222" s="53">
        <f>$C$12</f>
        <v>472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5</v>
      </c>
      <c r="C2" s="77">
        <f>'Total income package'!B30</f>
        <v>3</v>
      </c>
      <c r="D2" s="77">
        <f>'Total income package'!B31</f>
        <v>2</v>
      </c>
      <c r="E2" s="77">
        <f>ROUNDUP(C2/2,0)</f>
        <v>2</v>
      </c>
      <c r="F2" s="77">
        <f>ROUNDDOWN(D2/2,0)</f>
        <v>1</v>
      </c>
      <c r="G2" s="77">
        <f>'Total income package'!D13</f>
        <v>3</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5625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400</v>
      </c>
      <c r="F6" s="4">
        <f>B6+C6+D6+E6</f>
        <v>882</v>
      </c>
      <c r="G6" s="181" t="str">
        <f>IF(F6&lt;$L$2,"Yes","No")</f>
        <v>Yes</v>
      </c>
      <c r="H6" s="3">
        <f>40*($D$2+$I$2)</f>
        <v>80</v>
      </c>
      <c r="I6" s="3">
        <f>IF($H$2+$J$2&gt;0,33.33,0)</f>
        <v>33.33</v>
      </c>
      <c r="J6" s="3">
        <f t="shared" ref="J6:J69" si="1">IF(F6-H6-I6&lt;0,0,F6-H6-I6)</f>
        <v>768.67</v>
      </c>
      <c r="K6" s="3">
        <f>J6*0.3</f>
        <v>230.60099999999997</v>
      </c>
      <c r="L6" s="3">
        <f t="shared" ref="L6:L69" si="2">F6*0.1</f>
        <v>88.2</v>
      </c>
      <c r="M6" s="3">
        <v>50</v>
      </c>
      <c r="N6" s="3">
        <f>MAX(K6:M6)</f>
        <v>230.60099999999997</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1119.3990000000001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400</v>
      </c>
      <c r="F7" s="4">
        <f t="shared" ref="F7:F70" si="3">B7+C7+D7+E7</f>
        <v>923.66666666666663</v>
      </c>
      <c r="G7" s="181" t="str">
        <f t="shared" ref="G7:G70" si="4">IF(F7&lt;$L$2,"Yes","No")</f>
        <v>Yes</v>
      </c>
      <c r="H7" s="3">
        <f t="shared" ref="H7:H70" si="5">40*($D$2+$I$2)</f>
        <v>80</v>
      </c>
      <c r="I7" s="3">
        <f t="shared" ref="I7:I70" si="6">IF($H$2+$I$2&gt;0,33.33,0)</f>
        <v>33.33</v>
      </c>
      <c r="J7" s="3">
        <f t="shared" si="1"/>
        <v>810.33666666666659</v>
      </c>
      <c r="K7" s="3">
        <f t="shared" ref="K7:K69" si="7">J7*0.3</f>
        <v>243.10099999999997</v>
      </c>
      <c r="L7" s="3">
        <f t="shared" si="2"/>
        <v>92.366666666666674</v>
      </c>
      <c r="M7" s="3">
        <v>50</v>
      </c>
      <c r="N7" s="3">
        <f t="shared" ref="N7:N71" si="8">MAX(K7:M7)</f>
        <v>243.10099999999997</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1106.8990000000001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400</v>
      </c>
      <c r="F8" s="4">
        <f t="shared" si="3"/>
        <v>965.33333333333337</v>
      </c>
      <c r="G8" s="181" t="str">
        <f t="shared" si="4"/>
        <v>Yes</v>
      </c>
      <c r="H8" s="3">
        <f t="shared" si="5"/>
        <v>80</v>
      </c>
      <c r="I8" s="3">
        <f t="shared" si="6"/>
        <v>33.33</v>
      </c>
      <c r="J8" s="3">
        <f t="shared" si="1"/>
        <v>852.00333333333333</v>
      </c>
      <c r="K8" s="3">
        <f t="shared" si="7"/>
        <v>255.601</v>
      </c>
      <c r="L8" s="3">
        <f t="shared" si="2"/>
        <v>96.533333333333346</v>
      </c>
      <c r="M8" s="3">
        <v>50</v>
      </c>
      <c r="N8" s="3">
        <f t="shared" si="8"/>
        <v>255.601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1094.3989999999999</v>
      </c>
      <c r="R8" s="29"/>
    </row>
    <row r="9" spans="1:21" x14ac:dyDescent="0.25">
      <c r="A9" s="182">
        <v>1500</v>
      </c>
      <c r="B9" s="4">
        <f t="shared" si="0"/>
        <v>125</v>
      </c>
      <c r="C9" s="4">
        <f>MAX('TANF-VIEW'!L12,'TANF-VIEW'!T12)</f>
        <v>482</v>
      </c>
      <c r="D9" s="4">
        <f>'Total income package'!$D$80</f>
        <v>0</v>
      </c>
      <c r="E9" s="4">
        <f>'Total income package'!$H$61+'Total income package'!$F$66</f>
        <v>400</v>
      </c>
      <c r="F9" s="4">
        <f t="shared" si="3"/>
        <v>1007</v>
      </c>
      <c r="G9" s="181" t="str">
        <f t="shared" si="4"/>
        <v>Yes</v>
      </c>
      <c r="H9" s="3">
        <f t="shared" si="5"/>
        <v>80</v>
      </c>
      <c r="I9" s="3">
        <f t="shared" si="6"/>
        <v>33.33</v>
      </c>
      <c r="J9" s="3">
        <f t="shared" si="1"/>
        <v>893.67</v>
      </c>
      <c r="K9" s="3">
        <f t="shared" si="7"/>
        <v>268.101</v>
      </c>
      <c r="L9" s="3">
        <f t="shared" si="2"/>
        <v>100.7</v>
      </c>
      <c r="M9" s="3">
        <v>50</v>
      </c>
      <c r="N9" s="3">
        <f>MAX(K9:M9)</f>
        <v>268.101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1081.8989999999999</v>
      </c>
      <c r="R9" s="29"/>
    </row>
    <row r="10" spans="1:21" x14ac:dyDescent="0.25">
      <c r="A10" s="182">
        <v>2000</v>
      </c>
      <c r="B10" s="4">
        <f t="shared" si="0"/>
        <v>166.66666666666666</v>
      </c>
      <c r="C10" s="4">
        <f>MAX('TANF-VIEW'!L13,'TANF-VIEW'!T13)</f>
        <v>482</v>
      </c>
      <c r="D10" s="4">
        <f>'Total income package'!$D$80</f>
        <v>0</v>
      </c>
      <c r="E10" s="4">
        <f>'Total income package'!$H$61+'Total income package'!$F$66</f>
        <v>400</v>
      </c>
      <c r="F10" s="4">
        <f t="shared" si="3"/>
        <v>1048.6666666666665</v>
      </c>
      <c r="G10" s="181" t="str">
        <f t="shared" si="4"/>
        <v>Yes</v>
      </c>
      <c r="H10" s="3">
        <f t="shared" si="5"/>
        <v>80</v>
      </c>
      <c r="I10" s="3">
        <f t="shared" si="6"/>
        <v>33.33</v>
      </c>
      <c r="J10" s="3">
        <f t="shared" si="1"/>
        <v>935.33666666666647</v>
      </c>
      <c r="K10" s="3">
        <f t="shared" si="7"/>
        <v>280.60099999999994</v>
      </c>
      <c r="L10" s="3">
        <f t="shared" si="2"/>
        <v>104.86666666666666</v>
      </c>
      <c r="M10" s="3">
        <v>50</v>
      </c>
      <c r="N10" s="3">
        <f t="shared" si="8"/>
        <v>280.60099999999994</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1069.3990000000001</v>
      </c>
      <c r="R10" s="29"/>
    </row>
    <row r="11" spans="1:21" x14ac:dyDescent="0.25">
      <c r="A11" s="182">
        <v>2500</v>
      </c>
      <c r="B11" s="4">
        <f t="shared" si="0"/>
        <v>208.33333333333334</v>
      </c>
      <c r="C11" s="4">
        <f>MAX('TANF-VIEW'!L14,'TANF-VIEW'!T14)</f>
        <v>482</v>
      </c>
      <c r="D11" s="4">
        <f>'Total income package'!$D$80</f>
        <v>0</v>
      </c>
      <c r="E11" s="4">
        <f>'Total income package'!$H$61+'Total income package'!$F$66</f>
        <v>400</v>
      </c>
      <c r="F11" s="4">
        <f t="shared" si="3"/>
        <v>1090.3333333333335</v>
      </c>
      <c r="G11" s="181" t="str">
        <f t="shared" si="4"/>
        <v>Yes</v>
      </c>
      <c r="H11" s="3">
        <f t="shared" si="5"/>
        <v>80</v>
      </c>
      <c r="I11" s="3">
        <f t="shared" si="6"/>
        <v>33.33</v>
      </c>
      <c r="J11" s="3">
        <f t="shared" si="1"/>
        <v>977.00333333333344</v>
      </c>
      <c r="K11" s="3">
        <f t="shared" si="7"/>
        <v>293.101</v>
      </c>
      <c r="L11" s="3">
        <f t="shared" si="2"/>
        <v>109.03333333333336</v>
      </c>
      <c r="M11" s="3">
        <v>50</v>
      </c>
      <c r="N11" s="3">
        <f t="shared" si="8"/>
        <v>293.101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1056.8989999999999</v>
      </c>
      <c r="R11" s="29"/>
    </row>
    <row r="12" spans="1:21" x14ac:dyDescent="0.25">
      <c r="A12" s="182">
        <v>3000</v>
      </c>
      <c r="B12" s="4">
        <f t="shared" si="0"/>
        <v>250</v>
      </c>
      <c r="C12" s="4">
        <f>MAX('TANF-VIEW'!L15,'TANF-VIEW'!T15)</f>
        <v>449.2</v>
      </c>
      <c r="D12" s="4">
        <f>'Total income package'!$D$80</f>
        <v>0</v>
      </c>
      <c r="E12" s="4">
        <f>'Total income package'!$H$61+'Total income package'!$F$66</f>
        <v>400</v>
      </c>
      <c r="F12" s="4">
        <f t="shared" si="3"/>
        <v>1099.2</v>
      </c>
      <c r="G12" s="181" t="str">
        <f t="shared" si="4"/>
        <v>Yes</v>
      </c>
      <c r="H12" s="3">
        <f t="shared" si="5"/>
        <v>80</v>
      </c>
      <c r="I12" s="3">
        <f t="shared" si="6"/>
        <v>33.33</v>
      </c>
      <c r="J12" s="3">
        <f t="shared" si="1"/>
        <v>985.87</v>
      </c>
      <c r="K12" s="3">
        <f t="shared" si="7"/>
        <v>295.76099999999997</v>
      </c>
      <c r="L12" s="3">
        <f t="shared" si="2"/>
        <v>109.92000000000002</v>
      </c>
      <c r="M12" s="3">
        <v>50</v>
      </c>
      <c r="N12" s="3">
        <f t="shared" si="8"/>
        <v>295.76099999999997</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1054.239</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400</v>
      </c>
      <c r="F13" s="4">
        <f t="shared" si="3"/>
        <v>1107.5333333333333</v>
      </c>
      <c r="G13" s="181" t="str">
        <f t="shared" si="4"/>
        <v>Yes</v>
      </c>
      <c r="H13" s="3">
        <f t="shared" si="5"/>
        <v>80</v>
      </c>
      <c r="I13" s="3">
        <f t="shared" si="6"/>
        <v>33.33</v>
      </c>
      <c r="J13" s="3">
        <f t="shared" si="1"/>
        <v>994.20333333333326</v>
      </c>
      <c r="K13" s="3">
        <f t="shared" si="7"/>
        <v>298.26099999999997</v>
      </c>
      <c r="L13" s="3">
        <f t="shared" si="2"/>
        <v>110.75333333333333</v>
      </c>
      <c r="M13" s="3">
        <v>50</v>
      </c>
      <c r="N13" s="3">
        <f t="shared" si="8"/>
        <v>298.26099999999997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1051.739</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400</v>
      </c>
      <c r="F14" s="4">
        <f>B14+C14+D14+E14</f>
        <v>1115.8666666666668</v>
      </c>
      <c r="G14" s="181" t="str">
        <f t="shared" si="4"/>
        <v>Yes</v>
      </c>
      <c r="H14" s="3">
        <f t="shared" si="5"/>
        <v>80</v>
      </c>
      <c r="I14" s="3">
        <f t="shared" si="6"/>
        <v>33.33</v>
      </c>
      <c r="J14" s="3">
        <f t="shared" si="1"/>
        <v>1002.5366666666667</v>
      </c>
      <c r="K14" s="3">
        <f t="shared" si="7"/>
        <v>300.76100000000002</v>
      </c>
      <c r="L14" s="3">
        <f t="shared" si="2"/>
        <v>111.58666666666669</v>
      </c>
      <c r="M14" s="3">
        <v>50</v>
      </c>
      <c r="N14" s="3">
        <f t="shared" si="8"/>
        <v>300.76100000000002</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1049.239</v>
      </c>
      <c r="R14" s="29"/>
    </row>
    <row r="15" spans="1:21" x14ac:dyDescent="0.25">
      <c r="A15" s="182">
        <v>4500</v>
      </c>
      <c r="B15" s="4">
        <f t="shared" si="0"/>
        <v>375</v>
      </c>
      <c r="C15" s="4">
        <f>MAX('TANF-VIEW'!L18,'TANF-VIEW'!T18)</f>
        <v>349.2</v>
      </c>
      <c r="D15" s="4">
        <f>'Total income package'!$D$80</f>
        <v>0</v>
      </c>
      <c r="E15" s="4">
        <f>'Total income package'!$H$61+'Total income package'!$F$66</f>
        <v>400</v>
      </c>
      <c r="F15" s="4">
        <f t="shared" si="3"/>
        <v>1124.2</v>
      </c>
      <c r="G15" s="181" t="str">
        <f t="shared" si="4"/>
        <v>Yes</v>
      </c>
      <c r="H15" s="3">
        <f t="shared" si="5"/>
        <v>80</v>
      </c>
      <c r="I15" s="3">
        <f t="shared" si="6"/>
        <v>33.33</v>
      </c>
      <c r="J15" s="3">
        <f t="shared" si="1"/>
        <v>1010.87</v>
      </c>
      <c r="K15" s="3">
        <f t="shared" si="7"/>
        <v>303.26099999999997</v>
      </c>
      <c r="L15" s="3">
        <f t="shared" si="2"/>
        <v>112.42000000000002</v>
      </c>
      <c r="M15" s="3">
        <v>50</v>
      </c>
      <c r="N15" s="3">
        <f t="shared" si="8"/>
        <v>303.26099999999997</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1046.739</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400</v>
      </c>
      <c r="F16" s="4">
        <f t="shared" si="3"/>
        <v>1132.5333333333333</v>
      </c>
      <c r="G16" s="181" t="str">
        <f t="shared" si="4"/>
        <v>Yes</v>
      </c>
      <c r="H16" s="3">
        <f t="shared" si="5"/>
        <v>80</v>
      </c>
      <c r="I16" s="3">
        <f t="shared" si="6"/>
        <v>33.33</v>
      </c>
      <c r="J16" s="3">
        <f t="shared" si="1"/>
        <v>1019.2033333333333</v>
      </c>
      <c r="K16" s="3">
        <f t="shared" si="7"/>
        <v>305.76099999999997</v>
      </c>
      <c r="L16" s="3">
        <f t="shared" si="2"/>
        <v>113.25333333333333</v>
      </c>
      <c r="M16" s="3">
        <v>50</v>
      </c>
      <c r="N16" s="3">
        <f t="shared" si="8"/>
        <v>305.76099999999997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1044.239</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400</v>
      </c>
      <c r="F17" s="4">
        <f t="shared" si="3"/>
        <v>1140.8666666666668</v>
      </c>
      <c r="G17" s="181" t="str">
        <f t="shared" si="4"/>
        <v>Yes</v>
      </c>
      <c r="H17" s="3">
        <f t="shared" si="5"/>
        <v>80</v>
      </c>
      <c r="I17" s="3">
        <f t="shared" si="6"/>
        <v>33.33</v>
      </c>
      <c r="J17" s="3">
        <f t="shared" si="1"/>
        <v>1027.5366666666669</v>
      </c>
      <c r="K17" s="3">
        <f t="shared" si="7"/>
        <v>308.26100000000002</v>
      </c>
      <c r="L17" s="3">
        <f t="shared" si="2"/>
        <v>114.08666666666669</v>
      </c>
      <c r="M17" s="3">
        <v>50</v>
      </c>
      <c r="N17" s="3">
        <f t="shared" si="8"/>
        <v>308.26100000000002</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1041.739</v>
      </c>
      <c r="R17" s="29"/>
    </row>
    <row r="18" spans="1:18" x14ac:dyDescent="0.25">
      <c r="A18" s="182">
        <v>6000</v>
      </c>
      <c r="B18" s="4">
        <f t="shared" si="0"/>
        <v>500</v>
      </c>
      <c r="C18" s="4">
        <f>MAX('TANF-VIEW'!L21,'TANF-VIEW'!T21)</f>
        <v>249.2</v>
      </c>
      <c r="D18" s="4">
        <f>'Total income package'!$D$80</f>
        <v>0</v>
      </c>
      <c r="E18" s="4">
        <f>'Total income package'!$H$61+'Total income package'!$F$66</f>
        <v>400</v>
      </c>
      <c r="F18" s="4">
        <f t="shared" si="3"/>
        <v>1149.2</v>
      </c>
      <c r="G18" s="181" t="str">
        <f t="shared" si="4"/>
        <v>Yes</v>
      </c>
      <c r="H18" s="3">
        <f t="shared" si="5"/>
        <v>80</v>
      </c>
      <c r="I18" s="3">
        <f t="shared" si="6"/>
        <v>33.33</v>
      </c>
      <c r="J18" s="3">
        <f t="shared" si="1"/>
        <v>1035.8700000000001</v>
      </c>
      <c r="K18" s="3">
        <f t="shared" si="7"/>
        <v>310.76100000000002</v>
      </c>
      <c r="L18" s="3">
        <f t="shared" si="2"/>
        <v>114.92000000000002</v>
      </c>
      <c r="M18" s="3">
        <v>50</v>
      </c>
      <c r="N18" s="3">
        <f t="shared" si="8"/>
        <v>310.76100000000002</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1039.239</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400</v>
      </c>
      <c r="F19" s="4">
        <f t="shared" si="3"/>
        <v>1157.5333333333333</v>
      </c>
      <c r="G19" s="181" t="str">
        <f t="shared" si="4"/>
        <v>Yes</v>
      </c>
      <c r="H19" s="3">
        <f t="shared" si="5"/>
        <v>80</v>
      </c>
      <c r="I19" s="3">
        <f t="shared" si="6"/>
        <v>33.33</v>
      </c>
      <c r="J19" s="3">
        <f t="shared" si="1"/>
        <v>1044.2033333333334</v>
      </c>
      <c r="K19" s="3">
        <f t="shared" si="7"/>
        <v>313.26100000000002</v>
      </c>
      <c r="L19" s="3">
        <f t="shared" si="2"/>
        <v>115.75333333333333</v>
      </c>
      <c r="M19" s="3">
        <v>50</v>
      </c>
      <c r="N19" s="3">
        <f t="shared" si="8"/>
        <v>313.26100000000002</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1036.739</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400</v>
      </c>
      <c r="F20" s="4">
        <f t="shared" si="3"/>
        <v>1165.8666666666668</v>
      </c>
      <c r="G20" s="181" t="str">
        <f t="shared" si="4"/>
        <v>Yes</v>
      </c>
      <c r="H20" s="3">
        <f t="shared" si="5"/>
        <v>80</v>
      </c>
      <c r="I20" s="3">
        <f t="shared" si="6"/>
        <v>33.33</v>
      </c>
      <c r="J20" s="3">
        <f t="shared" si="1"/>
        <v>1052.5366666666669</v>
      </c>
      <c r="K20" s="3">
        <f t="shared" si="7"/>
        <v>315.76100000000002</v>
      </c>
      <c r="L20" s="3">
        <f t="shared" si="2"/>
        <v>116.58666666666669</v>
      </c>
      <c r="M20" s="3">
        <v>50</v>
      </c>
      <c r="N20" s="3">
        <f t="shared" si="8"/>
        <v>315.76100000000002</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1034.239</v>
      </c>
      <c r="R20" s="29"/>
    </row>
    <row r="21" spans="1:18" x14ac:dyDescent="0.25">
      <c r="A21" s="182">
        <v>7500</v>
      </c>
      <c r="B21" s="4">
        <f t="shared" si="0"/>
        <v>625</v>
      </c>
      <c r="C21" s="4">
        <f>MAX('TANF-VIEW'!L24,'TANF-VIEW'!T24)</f>
        <v>149.19999999999999</v>
      </c>
      <c r="D21" s="4">
        <f>'Total income package'!$D$80</f>
        <v>0</v>
      </c>
      <c r="E21" s="4">
        <f>'Total income package'!$H$61+'Total income package'!$F$66</f>
        <v>400</v>
      </c>
      <c r="F21" s="4">
        <f t="shared" si="3"/>
        <v>1174.2</v>
      </c>
      <c r="G21" s="181" t="str">
        <f t="shared" si="4"/>
        <v>Yes</v>
      </c>
      <c r="H21" s="3">
        <f t="shared" si="5"/>
        <v>80</v>
      </c>
      <c r="I21" s="3">
        <f t="shared" si="6"/>
        <v>33.33</v>
      </c>
      <c r="J21" s="3">
        <f t="shared" si="1"/>
        <v>1060.8700000000001</v>
      </c>
      <c r="K21" s="3">
        <f t="shared" si="7"/>
        <v>318.26100000000002</v>
      </c>
      <c r="L21" s="3">
        <f t="shared" si="2"/>
        <v>117.42000000000002</v>
      </c>
      <c r="M21" s="3">
        <v>50</v>
      </c>
      <c r="N21" s="3">
        <f t="shared" si="8"/>
        <v>318.26100000000002</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1031.739</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400</v>
      </c>
      <c r="F22" s="4">
        <f t="shared" si="3"/>
        <v>1182.5333333333333</v>
      </c>
      <c r="G22" s="181" t="str">
        <f t="shared" si="4"/>
        <v>Yes</v>
      </c>
      <c r="H22" s="3">
        <f t="shared" si="5"/>
        <v>80</v>
      </c>
      <c r="I22" s="3">
        <f t="shared" si="6"/>
        <v>33.33</v>
      </c>
      <c r="J22" s="3">
        <f t="shared" si="1"/>
        <v>1069.2033333333334</v>
      </c>
      <c r="K22" s="3">
        <f t="shared" si="7"/>
        <v>320.76100000000002</v>
      </c>
      <c r="L22" s="3">
        <f t="shared" si="2"/>
        <v>118.25333333333333</v>
      </c>
      <c r="M22" s="3">
        <v>50</v>
      </c>
      <c r="N22" s="3">
        <f t="shared" si="8"/>
        <v>320.76100000000002</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1029.239</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400</v>
      </c>
      <c r="F23" s="4">
        <f t="shared" si="3"/>
        <v>1190.8666666666668</v>
      </c>
      <c r="G23" s="181" t="str">
        <f t="shared" si="4"/>
        <v>Yes</v>
      </c>
      <c r="H23" s="3">
        <f t="shared" si="5"/>
        <v>80</v>
      </c>
      <c r="I23" s="3">
        <f t="shared" si="6"/>
        <v>33.33</v>
      </c>
      <c r="J23" s="3">
        <f t="shared" si="1"/>
        <v>1077.5366666666669</v>
      </c>
      <c r="K23" s="3">
        <f t="shared" si="7"/>
        <v>323.26100000000002</v>
      </c>
      <c r="L23" s="3">
        <f t="shared" si="2"/>
        <v>119.08666666666669</v>
      </c>
      <c r="M23" s="3">
        <v>50</v>
      </c>
      <c r="N23" s="3">
        <f t="shared" si="8"/>
        <v>323.26100000000002</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1026.739</v>
      </c>
      <c r="R23" s="29"/>
    </row>
    <row r="24" spans="1:18" x14ac:dyDescent="0.25">
      <c r="A24" s="182">
        <v>9000</v>
      </c>
      <c r="B24" s="4">
        <f t="shared" si="0"/>
        <v>750</v>
      </c>
      <c r="C24" s="4">
        <f>MAX('TANF-VIEW'!L27,'TANF-VIEW'!T27)</f>
        <v>49.199999999999989</v>
      </c>
      <c r="D24" s="4">
        <f>'Total income package'!$D$80</f>
        <v>0</v>
      </c>
      <c r="E24" s="4">
        <f>'Total income package'!$H$61+'Total income package'!$F$66</f>
        <v>400</v>
      </c>
      <c r="F24" s="4">
        <f t="shared" si="3"/>
        <v>1199.2</v>
      </c>
      <c r="G24" s="181" t="str">
        <f t="shared" si="4"/>
        <v>Yes</v>
      </c>
      <c r="H24" s="3">
        <f t="shared" si="5"/>
        <v>80</v>
      </c>
      <c r="I24" s="3">
        <f t="shared" si="6"/>
        <v>33.33</v>
      </c>
      <c r="J24" s="3">
        <f t="shared" si="1"/>
        <v>1085.8700000000001</v>
      </c>
      <c r="K24" s="3">
        <f t="shared" si="7"/>
        <v>325.76100000000002</v>
      </c>
      <c r="L24" s="3">
        <f t="shared" si="2"/>
        <v>119.92000000000002</v>
      </c>
      <c r="M24" s="3">
        <v>50</v>
      </c>
      <c r="N24" s="3">
        <f t="shared" si="8"/>
        <v>325.76100000000002</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1024.239</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400</v>
      </c>
      <c r="F25" s="4">
        <f t="shared" si="3"/>
        <v>1207.5333333333333</v>
      </c>
      <c r="G25" s="181" t="str">
        <f t="shared" si="4"/>
        <v>Yes</v>
      </c>
      <c r="H25" s="3">
        <f t="shared" si="5"/>
        <v>80</v>
      </c>
      <c r="I25" s="3">
        <f t="shared" si="6"/>
        <v>33.33</v>
      </c>
      <c r="J25" s="3">
        <f t="shared" si="1"/>
        <v>1094.2033333333334</v>
      </c>
      <c r="K25" s="3">
        <f t="shared" si="7"/>
        <v>328.26100000000002</v>
      </c>
      <c r="L25" s="3">
        <f t="shared" si="2"/>
        <v>120.75333333333333</v>
      </c>
      <c r="M25" s="3">
        <v>50</v>
      </c>
      <c r="N25" s="3">
        <f t="shared" si="8"/>
        <v>328.26100000000002</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1021.739</v>
      </c>
      <c r="R25" s="29"/>
    </row>
    <row r="26" spans="1:18" x14ac:dyDescent="0.25">
      <c r="A26" s="182">
        <v>10000</v>
      </c>
      <c r="B26" s="4">
        <f t="shared" si="0"/>
        <v>833.33333333333337</v>
      </c>
      <c r="C26" s="4">
        <f>MAX('TANF-VIEW'!L29,'TANF-VIEW'!T29)</f>
        <v>0</v>
      </c>
      <c r="D26" s="4">
        <f>'Total income package'!$D$80</f>
        <v>0</v>
      </c>
      <c r="E26" s="4">
        <f>'Total income package'!$H$61+'Total income package'!$F$66</f>
        <v>400</v>
      </c>
      <c r="F26" s="4">
        <f t="shared" si="3"/>
        <v>1233.3333333333335</v>
      </c>
      <c r="G26" s="181" t="str">
        <f t="shared" si="4"/>
        <v>Yes</v>
      </c>
      <c r="H26" s="3">
        <f t="shared" si="5"/>
        <v>80</v>
      </c>
      <c r="I26" s="3">
        <f t="shared" si="6"/>
        <v>33.33</v>
      </c>
      <c r="J26" s="3">
        <f t="shared" si="1"/>
        <v>1120.0033333333336</v>
      </c>
      <c r="K26" s="3">
        <f t="shared" si="7"/>
        <v>336.00100000000003</v>
      </c>
      <c r="L26" s="3">
        <f t="shared" si="2"/>
        <v>123.33333333333336</v>
      </c>
      <c r="M26" s="3">
        <v>50</v>
      </c>
      <c r="N26" s="3">
        <f t="shared" si="8"/>
        <v>336.00100000000003</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1013.999</v>
      </c>
      <c r="R26" s="29"/>
    </row>
    <row r="27" spans="1:18" x14ac:dyDescent="0.25">
      <c r="A27" s="182">
        <v>10500</v>
      </c>
      <c r="B27" s="4">
        <f t="shared" si="0"/>
        <v>875</v>
      </c>
      <c r="C27" s="4">
        <f>MAX('TANF-VIEW'!L30,'TANF-VIEW'!T30)</f>
        <v>0</v>
      </c>
      <c r="D27" s="4">
        <f>'Total income package'!$D$80</f>
        <v>0</v>
      </c>
      <c r="E27" s="4">
        <f>'Total income package'!$H$61+'Total income package'!$F$66</f>
        <v>400</v>
      </c>
      <c r="F27" s="4">
        <f t="shared" si="3"/>
        <v>1275</v>
      </c>
      <c r="G27" s="181" t="str">
        <f t="shared" si="4"/>
        <v>Yes</v>
      </c>
      <c r="H27" s="3">
        <f t="shared" si="5"/>
        <v>80</v>
      </c>
      <c r="I27" s="3">
        <f t="shared" si="6"/>
        <v>33.33</v>
      </c>
      <c r="J27" s="3">
        <f t="shared" si="1"/>
        <v>1161.67</v>
      </c>
      <c r="K27" s="3">
        <f t="shared" si="7"/>
        <v>348.50100000000003</v>
      </c>
      <c r="L27" s="3">
        <f t="shared" si="2"/>
        <v>127.5</v>
      </c>
      <c r="M27" s="3">
        <v>50</v>
      </c>
      <c r="N27" s="3">
        <f t="shared" si="8"/>
        <v>348.50100000000003</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1001.499</v>
      </c>
      <c r="R27" s="29"/>
    </row>
    <row r="28" spans="1:18" x14ac:dyDescent="0.25">
      <c r="A28" s="182">
        <v>11000</v>
      </c>
      <c r="B28" s="4">
        <f t="shared" si="0"/>
        <v>916.66666666666663</v>
      </c>
      <c r="C28" s="4">
        <f>MAX('TANF-VIEW'!L31,'TANF-VIEW'!T31)</f>
        <v>0</v>
      </c>
      <c r="D28" s="4">
        <f>'Total income package'!$D$80</f>
        <v>0</v>
      </c>
      <c r="E28" s="4">
        <f>'Total income package'!$H$61+'Total income package'!$F$66</f>
        <v>400</v>
      </c>
      <c r="F28" s="4">
        <f t="shared" si="3"/>
        <v>1316.6666666666665</v>
      </c>
      <c r="G28" s="181" t="str">
        <f t="shared" si="4"/>
        <v>Yes</v>
      </c>
      <c r="H28" s="3">
        <f t="shared" si="5"/>
        <v>80</v>
      </c>
      <c r="I28" s="3">
        <f t="shared" si="6"/>
        <v>33.33</v>
      </c>
      <c r="J28" s="3">
        <f t="shared" si="1"/>
        <v>1203.3366666666666</v>
      </c>
      <c r="K28" s="3">
        <f t="shared" si="7"/>
        <v>361.00099999999998</v>
      </c>
      <c r="L28" s="3">
        <f t="shared" si="2"/>
        <v>131.66666666666666</v>
      </c>
      <c r="M28" s="3">
        <v>50</v>
      </c>
      <c r="N28" s="3">
        <f t="shared" si="8"/>
        <v>361.00099999999998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988.99900000000002</v>
      </c>
      <c r="R28" s="29"/>
    </row>
    <row r="29" spans="1:18" x14ac:dyDescent="0.25">
      <c r="A29" s="182">
        <v>11500</v>
      </c>
      <c r="B29" s="4">
        <f t="shared" si="0"/>
        <v>958.33333333333337</v>
      </c>
      <c r="C29" s="4">
        <f>MAX('TANF-VIEW'!L32,'TANF-VIEW'!T32)</f>
        <v>0</v>
      </c>
      <c r="D29" s="4">
        <f>'Total income package'!$D$80</f>
        <v>0</v>
      </c>
      <c r="E29" s="4">
        <f>'Total income package'!$H$61+'Total income package'!$F$66</f>
        <v>400</v>
      </c>
      <c r="F29" s="4">
        <f t="shared" si="3"/>
        <v>1358.3333333333335</v>
      </c>
      <c r="G29" s="181" t="str">
        <f t="shared" si="4"/>
        <v>Yes</v>
      </c>
      <c r="H29" s="3">
        <f t="shared" si="5"/>
        <v>80</v>
      </c>
      <c r="I29" s="3">
        <f t="shared" si="6"/>
        <v>33.33</v>
      </c>
      <c r="J29" s="3">
        <f t="shared" si="1"/>
        <v>1245.0033333333336</v>
      </c>
      <c r="K29" s="3">
        <f t="shared" si="7"/>
        <v>373.50100000000003</v>
      </c>
      <c r="L29" s="3">
        <f t="shared" si="2"/>
        <v>135.83333333333334</v>
      </c>
      <c r="M29" s="3">
        <v>50</v>
      </c>
      <c r="N29" s="3">
        <f t="shared" si="8"/>
        <v>373.50100000000003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976.49900000000002</v>
      </c>
      <c r="R29" s="29"/>
    </row>
    <row r="30" spans="1:18" x14ac:dyDescent="0.25">
      <c r="A30" s="182">
        <v>12000</v>
      </c>
      <c r="B30" s="4">
        <f t="shared" si="0"/>
        <v>1000</v>
      </c>
      <c r="C30" s="4">
        <f>MAX('TANF-VIEW'!L33,'TANF-VIEW'!T33)</f>
        <v>0</v>
      </c>
      <c r="D30" s="4">
        <f>'Total income package'!$D$80</f>
        <v>0</v>
      </c>
      <c r="E30" s="4">
        <f>'Total income package'!$H$61+'Total income package'!$F$66</f>
        <v>400</v>
      </c>
      <c r="F30" s="4">
        <f t="shared" si="3"/>
        <v>1400</v>
      </c>
      <c r="G30" s="181" t="str">
        <f t="shared" si="4"/>
        <v>Yes</v>
      </c>
      <c r="H30" s="3">
        <f t="shared" si="5"/>
        <v>80</v>
      </c>
      <c r="I30" s="3">
        <f t="shared" si="6"/>
        <v>33.33</v>
      </c>
      <c r="J30" s="3">
        <f t="shared" si="1"/>
        <v>1286.67</v>
      </c>
      <c r="K30" s="3">
        <f t="shared" si="7"/>
        <v>386.00100000000003</v>
      </c>
      <c r="L30" s="3">
        <f t="shared" si="2"/>
        <v>140</v>
      </c>
      <c r="M30" s="3">
        <v>50</v>
      </c>
      <c r="N30" s="3">
        <f t="shared" si="8"/>
        <v>386.00100000000003</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963.99900000000002</v>
      </c>
      <c r="R30" s="29"/>
    </row>
    <row r="31" spans="1:18" x14ac:dyDescent="0.25">
      <c r="A31" s="182">
        <v>12500</v>
      </c>
      <c r="B31" s="4">
        <f t="shared" si="0"/>
        <v>1041.6666666666667</v>
      </c>
      <c r="C31" s="4">
        <f>MAX('TANF-VIEW'!L34,'TANF-VIEW'!T34)</f>
        <v>0</v>
      </c>
      <c r="D31" s="4">
        <f>'Total income package'!$D$80</f>
        <v>0</v>
      </c>
      <c r="E31" s="4">
        <f>'Total income package'!$H$61+'Total income package'!$F$66</f>
        <v>400</v>
      </c>
      <c r="F31" s="4">
        <f t="shared" si="3"/>
        <v>1441.6666666666667</v>
      </c>
      <c r="G31" s="181" t="str">
        <f t="shared" si="4"/>
        <v>Yes</v>
      </c>
      <c r="H31" s="3">
        <f t="shared" si="5"/>
        <v>80</v>
      </c>
      <c r="I31" s="3">
        <f t="shared" si="6"/>
        <v>33.33</v>
      </c>
      <c r="J31" s="3">
        <f t="shared" si="1"/>
        <v>1328.3366666666668</v>
      </c>
      <c r="K31" s="3">
        <f t="shared" si="7"/>
        <v>398.50100000000003</v>
      </c>
      <c r="L31" s="3">
        <f t="shared" si="2"/>
        <v>144.16666666666669</v>
      </c>
      <c r="M31" s="3">
        <v>50</v>
      </c>
      <c r="N31" s="3">
        <f t="shared" si="8"/>
        <v>398.50100000000003</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951.49900000000002</v>
      </c>
      <c r="R31" s="29"/>
    </row>
    <row r="32" spans="1:18" x14ac:dyDescent="0.25">
      <c r="A32" s="182">
        <v>13000</v>
      </c>
      <c r="B32" s="4">
        <f t="shared" si="0"/>
        <v>1083.3333333333333</v>
      </c>
      <c r="C32" s="4">
        <f>MAX('TANF-VIEW'!L35,'TANF-VIEW'!T35)</f>
        <v>0</v>
      </c>
      <c r="D32" s="4">
        <f>'Total income package'!$D$80</f>
        <v>0</v>
      </c>
      <c r="E32" s="4">
        <f>'Total income package'!$H$61+'Total income package'!$F$66</f>
        <v>400</v>
      </c>
      <c r="F32" s="4">
        <f t="shared" si="3"/>
        <v>1483.3333333333333</v>
      </c>
      <c r="G32" s="181" t="str">
        <f t="shared" si="4"/>
        <v>Yes</v>
      </c>
      <c r="H32" s="3">
        <f t="shared" si="5"/>
        <v>80</v>
      </c>
      <c r="I32" s="3">
        <f t="shared" si="6"/>
        <v>33.33</v>
      </c>
      <c r="J32" s="3">
        <f t="shared" si="1"/>
        <v>1370.0033333333333</v>
      </c>
      <c r="K32" s="3">
        <f t="shared" si="7"/>
        <v>411.00099999999998</v>
      </c>
      <c r="L32" s="3">
        <f t="shared" si="2"/>
        <v>148.33333333333334</v>
      </c>
      <c r="M32" s="3">
        <v>50</v>
      </c>
      <c r="N32" s="3">
        <f t="shared" si="8"/>
        <v>411.00099999999998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938.99900000000002</v>
      </c>
      <c r="R32" s="29"/>
    </row>
    <row r="33" spans="1:18" x14ac:dyDescent="0.25">
      <c r="A33" s="182">
        <v>13500</v>
      </c>
      <c r="B33" s="4">
        <f t="shared" si="0"/>
        <v>1125</v>
      </c>
      <c r="C33" s="4">
        <f>MAX('TANF-VIEW'!L36,'TANF-VIEW'!T36)</f>
        <v>0</v>
      </c>
      <c r="D33" s="4">
        <f>'Total income package'!$D$80</f>
        <v>0</v>
      </c>
      <c r="E33" s="4">
        <f>'Total income package'!$H$61+'Total income package'!$F$66</f>
        <v>400</v>
      </c>
      <c r="F33" s="4">
        <f t="shared" si="3"/>
        <v>1525</v>
      </c>
      <c r="G33" s="181" t="str">
        <f t="shared" si="4"/>
        <v>Yes</v>
      </c>
      <c r="H33" s="3">
        <f t="shared" si="5"/>
        <v>80</v>
      </c>
      <c r="I33" s="3">
        <f t="shared" si="6"/>
        <v>33.33</v>
      </c>
      <c r="J33" s="3">
        <f t="shared" si="1"/>
        <v>1411.67</v>
      </c>
      <c r="K33" s="3">
        <f t="shared" si="7"/>
        <v>423.50100000000003</v>
      </c>
      <c r="L33" s="3">
        <f t="shared" si="2"/>
        <v>152.5</v>
      </c>
      <c r="M33" s="3">
        <v>50</v>
      </c>
      <c r="N33" s="3">
        <f t="shared" si="8"/>
        <v>423.50100000000003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926.49900000000002</v>
      </c>
      <c r="R33" s="29"/>
    </row>
    <row r="34" spans="1:18" x14ac:dyDescent="0.25">
      <c r="A34" s="182">
        <v>14000</v>
      </c>
      <c r="B34" s="4">
        <f t="shared" si="0"/>
        <v>1166.6666666666667</v>
      </c>
      <c r="C34" s="4">
        <f>MAX('TANF-VIEW'!L37,'TANF-VIEW'!T37)</f>
        <v>0</v>
      </c>
      <c r="D34" s="4">
        <f>'Total income package'!$D$80</f>
        <v>0</v>
      </c>
      <c r="E34" s="4">
        <f>'Total income package'!$H$61+'Total income package'!$F$66</f>
        <v>400</v>
      </c>
      <c r="F34" s="4">
        <f t="shared" si="3"/>
        <v>1566.6666666666667</v>
      </c>
      <c r="G34" s="181" t="str">
        <f t="shared" si="4"/>
        <v>Yes</v>
      </c>
      <c r="H34" s="3">
        <f t="shared" si="5"/>
        <v>80</v>
      </c>
      <c r="I34" s="3">
        <f t="shared" si="6"/>
        <v>33.33</v>
      </c>
      <c r="J34" s="3">
        <f t="shared" si="1"/>
        <v>1453.3366666666668</v>
      </c>
      <c r="K34" s="3">
        <f t="shared" si="7"/>
        <v>436.00100000000003</v>
      </c>
      <c r="L34" s="3">
        <f t="shared" si="2"/>
        <v>156.66666666666669</v>
      </c>
      <c r="M34" s="3">
        <v>50</v>
      </c>
      <c r="N34" s="3">
        <f t="shared" si="8"/>
        <v>436.00100000000003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913.99900000000002</v>
      </c>
      <c r="R34" s="29"/>
    </row>
    <row r="35" spans="1:18" x14ac:dyDescent="0.25">
      <c r="A35" s="182">
        <v>14500</v>
      </c>
      <c r="B35" s="4">
        <f t="shared" si="0"/>
        <v>1208.3333333333333</v>
      </c>
      <c r="C35" s="4">
        <f>MAX('TANF-VIEW'!L38,'TANF-VIEW'!T38)</f>
        <v>0</v>
      </c>
      <c r="D35" s="4">
        <f>'Total income package'!$D$80</f>
        <v>0</v>
      </c>
      <c r="E35" s="4">
        <f>'Total income package'!$H$61+'Total income package'!$F$66</f>
        <v>400</v>
      </c>
      <c r="F35" s="4">
        <f t="shared" si="3"/>
        <v>1608.3333333333333</v>
      </c>
      <c r="G35" s="181" t="str">
        <f t="shared" si="4"/>
        <v>Yes</v>
      </c>
      <c r="H35" s="3">
        <f t="shared" si="5"/>
        <v>80</v>
      </c>
      <c r="I35" s="3">
        <f t="shared" si="6"/>
        <v>33.33</v>
      </c>
      <c r="J35" s="3">
        <f t="shared" si="1"/>
        <v>1495.0033333333333</v>
      </c>
      <c r="K35" s="3">
        <f t="shared" si="7"/>
        <v>448.50099999999998</v>
      </c>
      <c r="L35" s="3">
        <f t="shared" si="2"/>
        <v>160.83333333333334</v>
      </c>
      <c r="M35" s="3">
        <v>50</v>
      </c>
      <c r="N35" s="3">
        <f t="shared" si="8"/>
        <v>448.50099999999998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901.49900000000002</v>
      </c>
      <c r="R35" s="29"/>
    </row>
    <row r="36" spans="1:18" x14ac:dyDescent="0.25">
      <c r="A36" s="182">
        <v>15000</v>
      </c>
      <c r="B36" s="4">
        <f t="shared" si="0"/>
        <v>1250</v>
      </c>
      <c r="C36" s="4">
        <f>MAX('TANF-VIEW'!L39,'TANF-VIEW'!T39)</f>
        <v>0</v>
      </c>
      <c r="D36" s="4">
        <f>'Total income package'!$D$80</f>
        <v>0</v>
      </c>
      <c r="E36" s="4">
        <f>'Total income package'!$H$61+'Total income package'!$F$66</f>
        <v>400</v>
      </c>
      <c r="F36" s="4">
        <f t="shared" si="3"/>
        <v>1650</v>
      </c>
      <c r="G36" s="181" t="str">
        <f t="shared" si="4"/>
        <v>Yes</v>
      </c>
      <c r="H36" s="3">
        <f t="shared" si="5"/>
        <v>80</v>
      </c>
      <c r="I36" s="3">
        <f t="shared" si="6"/>
        <v>33.33</v>
      </c>
      <c r="J36" s="3">
        <f t="shared" si="1"/>
        <v>1536.67</v>
      </c>
      <c r="K36" s="3">
        <f t="shared" si="7"/>
        <v>461.00099999999998</v>
      </c>
      <c r="L36" s="3">
        <f t="shared" si="2"/>
        <v>165</v>
      </c>
      <c r="M36" s="3">
        <v>50</v>
      </c>
      <c r="N36" s="3">
        <f t="shared" si="8"/>
        <v>461.00099999999998</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888.99900000000002</v>
      </c>
      <c r="R36" s="29"/>
    </row>
    <row r="37" spans="1:18" x14ac:dyDescent="0.25">
      <c r="A37" s="182">
        <v>15500</v>
      </c>
      <c r="B37" s="4">
        <f t="shared" si="0"/>
        <v>1291.6666666666667</v>
      </c>
      <c r="C37" s="4">
        <f>MAX('TANF-VIEW'!L40,'TANF-VIEW'!T40)</f>
        <v>0</v>
      </c>
      <c r="D37" s="4">
        <f>'Total income package'!$D$80</f>
        <v>0</v>
      </c>
      <c r="E37" s="4">
        <f>'Total income package'!$H$61+'Total income package'!$F$66</f>
        <v>400</v>
      </c>
      <c r="F37" s="4">
        <f t="shared" si="3"/>
        <v>1691.6666666666667</v>
      </c>
      <c r="G37" s="181" t="str">
        <f t="shared" si="4"/>
        <v>Yes</v>
      </c>
      <c r="H37" s="3">
        <f t="shared" si="5"/>
        <v>80</v>
      </c>
      <c r="I37" s="3">
        <f t="shared" si="6"/>
        <v>33.33</v>
      </c>
      <c r="J37" s="3">
        <f t="shared" si="1"/>
        <v>1578.3366666666668</v>
      </c>
      <c r="K37" s="3">
        <f t="shared" si="7"/>
        <v>473.50100000000003</v>
      </c>
      <c r="L37" s="3">
        <f t="shared" si="2"/>
        <v>169.16666666666669</v>
      </c>
      <c r="M37" s="3">
        <v>50</v>
      </c>
      <c r="N37" s="3">
        <f t="shared" si="8"/>
        <v>473.50100000000003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876.49900000000002</v>
      </c>
      <c r="R37" s="29"/>
    </row>
    <row r="38" spans="1:18" x14ac:dyDescent="0.25">
      <c r="A38" s="182">
        <v>16000</v>
      </c>
      <c r="B38" s="4">
        <f t="shared" si="0"/>
        <v>1333.3333333333333</v>
      </c>
      <c r="C38" s="4">
        <f>MAX('TANF-VIEW'!L41,'TANF-VIEW'!T41)</f>
        <v>0</v>
      </c>
      <c r="D38" s="4">
        <f>'Total income package'!$D$80</f>
        <v>0</v>
      </c>
      <c r="E38" s="4">
        <f>'Total income package'!$H$61+'Total income package'!$F$66</f>
        <v>400</v>
      </c>
      <c r="F38" s="4">
        <f t="shared" si="3"/>
        <v>1733.3333333333333</v>
      </c>
      <c r="G38" s="181" t="str">
        <f t="shared" si="4"/>
        <v>Yes</v>
      </c>
      <c r="H38" s="3">
        <f t="shared" si="5"/>
        <v>80</v>
      </c>
      <c r="I38" s="3">
        <f t="shared" si="6"/>
        <v>33.33</v>
      </c>
      <c r="J38" s="3">
        <f t="shared" si="1"/>
        <v>1620.0033333333333</v>
      </c>
      <c r="K38" s="3">
        <f t="shared" si="7"/>
        <v>486.00099999999998</v>
      </c>
      <c r="L38" s="3">
        <f t="shared" si="2"/>
        <v>173.33333333333334</v>
      </c>
      <c r="M38" s="3">
        <v>50</v>
      </c>
      <c r="N38" s="3">
        <f t="shared" si="8"/>
        <v>486.00099999999998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863.99900000000002</v>
      </c>
      <c r="R38" s="29"/>
    </row>
    <row r="39" spans="1:18" x14ac:dyDescent="0.25">
      <c r="A39" s="182">
        <v>16500</v>
      </c>
      <c r="B39" s="4">
        <f t="shared" si="0"/>
        <v>1375</v>
      </c>
      <c r="C39" s="4">
        <f>MAX('TANF-VIEW'!L42,'TANF-VIEW'!T42)</f>
        <v>0</v>
      </c>
      <c r="D39" s="4">
        <f>'Total income package'!$D$80</f>
        <v>0</v>
      </c>
      <c r="E39" s="4">
        <f>'Total income package'!$H$61+'Total income package'!$F$66</f>
        <v>400</v>
      </c>
      <c r="F39" s="4">
        <f t="shared" si="3"/>
        <v>1775</v>
      </c>
      <c r="G39" s="181" t="str">
        <f t="shared" si="4"/>
        <v>Yes</v>
      </c>
      <c r="H39" s="3">
        <f t="shared" si="5"/>
        <v>80</v>
      </c>
      <c r="I39" s="3">
        <f t="shared" si="6"/>
        <v>33.33</v>
      </c>
      <c r="J39" s="3">
        <f t="shared" si="1"/>
        <v>1661.67</v>
      </c>
      <c r="K39" s="3">
        <f t="shared" si="7"/>
        <v>498.50099999999998</v>
      </c>
      <c r="L39" s="3">
        <f t="shared" si="2"/>
        <v>177.5</v>
      </c>
      <c r="M39" s="3">
        <v>50</v>
      </c>
      <c r="N39" s="3">
        <f t="shared" si="8"/>
        <v>498.50099999999998</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851.49900000000002</v>
      </c>
      <c r="R39" s="29"/>
    </row>
    <row r="40" spans="1:18" x14ac:dyDescent="0.25">
      <c r="A40" s="182">
        <v>17000</v>
      </c>
      <c r="B40" s="4">
        <f t="shared" si="0"/>
        <v>1416.6666666666667</v>
      </c>
      <c r="C40" s="4">
        <f>MAX('TANF-VIEW'!L43,'TANF-VIEW'!T43)</f>
        <v>0</v>
      </c>
      <c r="D40" s="4">
        <f>'Total income package'!$D$80</f>
        <v>0</v>
      </c>
      <c r="E40" s="4">
        <f>'Total income package'!$H$61+'Total income package'!$F$66</f>
        <v>400</v>
      </c>
      <c r="F40" s="4">
        <f t="shared" si="3"/>
        <v>1816.6666666666667</v>
      </c>
      <c r="G40" s="181" t="str">
        <f t="shared" si="4"/>
        <v>Yes</v>
      </c>
      <c r="H40" s="3">
        <f t="shared" si="5"/>
        <v>80</v>
      </c>
      <c r="I40" s="3">
        <f t="shared" si="6"/>
        <v>33.33</v>
      </c>
      <c r="J40" s="3">
        <f t="shared" si="1"/>
        <v>1703.3366666666668</v>
      </c>
      <c r="K40" s="3">
        <f t="shared" si="7"/>
        <v>511.00100000000003</v>
      </c>
      <c r="L40" s="3">
        <f t="shared" si="2"/>
        <v>181.66666666666669</v>
      </c>
      <c r="M40" s="3">
        <v>50</v>
      </c>
      <c r="N40" s="3">
        <f t="shared" si="8"/>
        <v>511.00100000000003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838.99900000000002</v>
      </c>
      <c r="R40" s="29"/>
    </row>
    <row r="41" spans="1:18" x14ac:dyDescent="0.25">
      <c r="A41" s="182">
        <v>17500</v>
      </c>
      <c r="B41" s="4">
        <f t="shared" si="0"/>
        <v>1458.3333333333333</v>
      </c>
      <c r="C41" s="4">
        <f>MAX('TANF-VIEW'!L44,'TANF-VIEW'!T44)</f>
        <v>0</v>
      </c>
      <c r="D41" s="4">
        <f>'Total income package'!$D$80</f>
        <v>0</v>
      </c>
      <c r="E41" s="4">
        <f>'Total income package'!$H$61+'Total income package'!$F$66</f>
        <v>400</v>
      </c>
      <c r="F41" s="4">
        <f t="shared" si="3"/>
        <v>1858.3333333333333</v>
      </c>
      <c r="G41" s="181" t="str">
        <f t="shared" si="4"/>
        <v>Yes</v>
      </c>
      <c r="H41" s="3">
        <f t="shared" si="5"/>
        <v>80</v>
      </c>
      <c r="I41" s="3">
        <f t="shared" si="6"/>
        <v>33.33</v>
      </c>
      <c r="J41" s="3">
        <f t="shared" si="1"/>
        <v>1745.0033333333333</v>
      </c>
      <c r="K41" s="3">
        <f t="shared" si="7"/>
        <v>523.50099999999998</v>
      </c>
      <c r="L41" s="3">
        <f t="shared" si="2"/>
        <v>185.83333333333334</v>
      </c>
      <c r="M41" s="3">
        <v>50</v>
      </c>
      <c r="N41" s="3">
        <f t="shared" si="8"/>
        <v>523.50099999999998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826.49900000000002</v>
      </c>
      <c r="R41" s="29"/>
    </row>
    <row r="42" spans="1:18" x14ac:dyDescent="0.25">
      <c r="A42" s="182">
        <v>18000</v>
      </c>
      <c r="B42" s="4">
        <f t="shared" si="0"/>
        <v>1500</v>
      </c>
      <c r="C42" s="4">
        <f>MAX('TANF-VIEW'!L45,'TANF-VIEW'!T45)</f>
        <v>0</v>
      </c>
      <c r="D42" s="4">
        <f>'Total income package'!$D$80</f>
        <v>0</v>
      </c>
      <c r="E42" s="4">
        <f>'Total income package'!$H$61+'Total income package'!$F$66</f>
        <v>400</v>
      </c>
      <c r="F42" s="4">
        <f t="shared" si="3"/>
        <v>1900</v>
      </c>
      <c r="G42" s="181" t="str">
        <f t="shared" si="4"/>
        <v>Yes</v>
      </c>
      <c r="H42" s="3">
        <f t="shared" si="5"/>
        <v>80</v>
      </c>
      <c r="I42" s="3">
        <f t="shared" si="6"/>
        <v>33.33</v>
      </c>
      <c r="J42" s="3">
        <f t="shared" si="1"/>
        <v>1786.67</v>
      </c>
      <c r="K42" s="3">
        <f t="shared" si="7"/>
        <v>536.00099999999998</v>
      </c>
      <c r="L42" s="3">
        <f t="shared" si="2"/>
        <v>190</v>
      </c>
      <c r="M42" s="3">
        <v>50</v>
      </c>
      <c r="N42" s="3">
        <f t="shared" si="8"/>
        <v>536.00099999999998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813.99900000000002</v>
      </c>
      <c r="R42" s="29"/>
    </row>
    <row r="43" spans="1:18" x14ac:dyDescent="0.25">
      <c r="A43" s="182">
        <v>18500</v>
      </c>
      <c r="B43" s="4">
        <f t="shared" si="0"/>
        <v>1541.6666666666667</v>
      </c>
      <c r="C43" s="4">
        <f>MAX('TANF-VIEW'!L46,'TANF-VIEW'!T46)</f>
        <v>0</v>
      </c>
      <c r="D43" s="4">
        <f>'Total income package'!$D$80</f>
        <v>0</v>
      </c>
      <c r="E43" s="4">
        <f>'Total income package'!$H$61+'Total income package'!$F$66</f>
        <v>400</v>
      </c>
      <c r="F43" s="4">
        <f t="shared" si="3"/>
        <v>1941.6666666666667</v>
      </c>
      <c r="G43" s="181" t="str">
        <f t="shared" si="4"/>
        <v>Yes</v>
      </c>
      <c r="H43" s="3">
        <f t="shared" si="5"/>
        <v>80</v>
      </c>
      <c r="I43" s="3">
        <f t="shared" si="6"/>
        <v>33.33</v>
      </c>
      <c r="J43" s="3">
        <f t="shared" si="1"/>
        <v>1828.3366666666668</v>
      </c>
      <c r="K43" s="3">
        <f t="shared" si="7"/>
        <v>548.50099999999998</v>
      </c>
      <c r="L43" s="3">
        <f t="shared" si="2"/>
        <v>194.16666666666669</v>
      </c>
      <c r="M43" s="3">
        <v>50</v>
      </c>
      <c r="N43" s="3">
        <f t="shared" si="8"/>
        <v>548.50099999999998</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801.49900000000002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400</v>
      </c>
      <c r="F44" s="4">
        <f t="shared" si="3"/>
        <v>1983.3333333333333</v>
      </c>
      <c r="G44" s="181" t="str">
        <f t="shared" si="4"/>
        <v>Yes</v>
      </c>
      <c r="H44" s="3">
        <f t="shared" si="5"/>
        <v>80</v>
      </c>
      <c r="I44" s="3">
        <f t="shared" si="6"/>
        <v>33.33</v>
      </c>
      <c r="J44" s="3">
        <f t="shared" si="1"/>
        <v>1870.0033333333333</v>
      </c>
      <c r="K44" s="3">
        <f t="shared" si="7"/>
        <v>561.00099999999998</v>
      </c>
      <c r="L44" s="3">
        <f t="shared" si="2"/>
        <v>198.33333333333334</v>
      </c>
      <c r="M44" s="3">
        <v>50</v>
      </c>
      <c r="N44" s="3">
        <f t="shared" si="8"/>
        <v>561.00099999999998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788.99900000000002</v>
      </c>
      <c r="R44" s="29"/>
    </row>
    <row r="45" spans="1:18" x14ac:dyDescent="0.25">
      <c r="A45" s="182">
        <v>19500</v>
      </c>
      <c r="B45" s="4">
        <f t="shared" si="0"/>
        <v>1625</v>
      </c>
      <c r="C45" s="4">
        <f>MAX('TANF-VIEW'!L48,'TANF-VIEW'!T48)</f>
        <v>0</v>
      </c>
      <c r="D45" s="4">
        <f>'Total income package'!$D$80</f>
        <v>0</v>
      </c>
      <c r="E45" s="4">
        <f>'Total income package'!$H$61+'Total income package'!$F$66</f>
        <v>400</v>
      </c>
      <c r="F45" s="4">
        <f t="shared" si="3"/>
        <v>2025</v>
      </c>
      <c r="G45" s="181" t="str">
        <f t="shared" si="4"/>
        <v>Yes</v>
      </c>
      <c r="H45" s="3">
        <f t="shared" si="5"/>
        <v>80</v>
      </c>
      <c r="I45" s="3">
        <f t="shared" si="6"/>
        <v>33.33</v>
      </c>
      <c r="J45" s="3">
        <f t="shared" si="1"/>
        <v>1911.67</v>
      </c>
      <c r="K45" s="3">
        <f t="shared" si="7"/>
        <v>573.50099999999998</v>
      </c>
      <c r="L45" s="3">
        <f t="shared" si="2"/>
        <v>202.5</v>
      </c>
      <c r="M45" s="3">
        <v>50</v>
      </c>
      <c r="N45" s="3">
        <f t="shared" si="8"/>
        <v>573.50099999999998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776.49900000000002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400</v>
      </c>
      <c r="F46" s="4">
        <f t="shared" si="3"/>
        <v>2066.666666666667</v>
      </c>
      <c r="G46" s="181" t="str">
        <f t="shared" si="4"/>
        <v>Yes</v>
      </c>
      <c r="H46" s="3">
        <f t="shared" si="5"/>
        <v>80</v>
      </c>
      <c r="I46" s="3">
        <f t="shared" si="6"/>
        <v>33.33</v>
      </c>
      <c r="J46" s="3">
        <f t="shared" si="1"/>
        <v>1953.336666666667</v>
      </c>
      <c r="K46" s="3">
        <f t="shared" si="7"/>
        <v>586.00100000000009</v>
      </c>
      <c r="L46" s="3">
        <f t="shared" si="2"/>
        <v>206.66666666666671</v>
      </c>
      <c r="M46" s="3">
        <v>50</v>
      </c>
      <c r="N46" s="3">
        <f t="shared" si="8"/>
        <v>586.00100000000009</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763.99899999999991</v>
      </c>
      <c r="R46" s="29"/>
    </row>
    <row r="47" spans="1:18" x14ac:dyDescent="0.25">
      <c r="A47" s="182">
        <v>20500</v>
      </c>
      <c r="B47" s="4">
        <f t="shared" si="0"/>
        <v>1708.3333333333333</v>
      </c>
      <c r="C47" s="4">
        <f>MAX('TANF-VIEW'!L50,'TANF-VIEW'!T50)</f>
        <v>0</v>
      </c>
      <c r="D47" s="4">
        <f>'Total income package'!$D$80</f>
        <v>0</v>
      </c>
      <c r="E47" s="4">
        <f>'Total income package'!$H$61+'Total income package'!$F$66</f>
        <v>400</v>
      </c>
      <c r="F47" s="4">
        <f t="shared" si="3"/>
        <v>2108.333333333333</v>
      </c>
      <c r="G47" s="181" t="str">
        <f t="shared" si="4"/>
        <v>Yes</v>
      </c>
      <c r="H47" s="3">
        <f t="shared" si="5"/>
        <v>80</v>
      </c>
      <c r="I47" s="3">
        <f t="shared" si="6"/>
        <v>33.33</v>
      </c>
      <c r="J47" s="3">
        <f t="shared" si="1"/>
        <v>1995.0033333333331</v>
      </c>
      <c r="K47" s="3">
        <f t="shared" si="7"/>
        <v>598.50099999999986</v>
      </c>
      <c r="L47" s="3">
        <f t="shared" si="2"/>
        <v>210.83333333333331</v>
      </c>
      <c r="M47" s="3">
        <v>50</v>
      </c>
      <c r="N47" s="3">
        <f t="shared" si="8"/>
        <v>598.50099999999986</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751.49900000000014</v>
      </c>
      <c r="R47" s="29"/>
    </row>
    <row r="48" spans="1:18" x14ac:dyDescent="0.25">
      <c r="A48" s="182">
        <v>21000</v>
      </c>
      <c r="B48" s="4">
        <f t="shared" si="0"/>
        <v>1750</v>
      </c>
      <c r="C48" s="4">
        <f>MAX('TANF-VIEW'!L51,'TANF-VIEW'!T51)</f>
        <v>0</v>
      </c>
      <c r="D48" s="4">
        <f>'Total income package'!$D$80</f>
        <v>0</v>
      </c>
      <c r="E48" s="4">
        <f>'Total income package'!$H$61+'Total income package'!$F$66</f>
        <v>400</v>
      </c>
      <c r="F48" s="4">
        <f t="shared" si="3"/>
        <v>2150</v>
      </c>
      <c r="G48" s="181" t="str">
        <f t="shared" si="4"/>
        <v>Yes</v>
      </c>
      <c r="H48" s="3">
        <f t="shared" si="5"/>
        <v>80</v>
      </c>
      <c r="I48" s="3">
        <f t="shared" si="6"/>
        <v>33.33</v>
      </c>
      <c r="J48" s="3">
        <f t="shared" si="1"/>
        <v>2036.67</v>
      </c>
      <c r="K48" s="3">
        <f t="shared" si="7"/>
        <v>611.00099999999998</v>
      </c>
      <c r="L48" s="3">
        <f t="shared" si="2"/>
        <v>215</v>
      </c>
      <c r="M48" s="3">
        <v>50</v>
      </c>
      <c r="N48" s="3">
        <f t="shared" si="8"/>
        <v>611.00099999999998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738.99900000000002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400</v>
      </c>
      <c r="F49" s="4">
        <f t="shared" si="3"/>
        <v>2191.666666666667</v>
      </c>
      <c r="G49" s="181" t="str">
        <f t="shared" si="4"/>
        <v>Yes</v>
      </c>
      <c r="H49" s="3">
        <f t="shared" si="5"/>
        <v>80</v>
      </c>
      <c r="I49" s="3">
        <f t="shared" si="6"/>
        <v>33.33</v>
      </c>
      <c r="J49" s="3">
        <f t="shared" si="1"/>
        <v>2078.336666666667</v>
      </c>
      <c r="K49" s="3">
        <f t="shared" si="7"/>
        <v>623.50100000000009</v>
      </c>
      <c r="L49" s="3">
        <f t="shared" si="2"/>
        <v>219.16666666666671</v>
      </c>
      <c r="M49" s="3">
        <v>50</v>
      </c>
      <c r="N49" s="3">
        <f t="shared" si="8"/>
        <v>623.50100000000009</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726.49899999999991</v>
      </c>
      <c r="R49" s="29"/>
    </row>
    <row r="50" spans="1:18" x14ac:dyDescent="0.25">
      <c r="A50" s="182">
        <v>22000</v>
      </c>
      <c r="B50" s="4">
        <f t="shared" si="0"/>
        <v>1833.3333333333333</v>
      </c>
      <c r="C50" s="4">
        <f>MAX('TANF-VIEW'!L53,'TANF-VIEW'!T53)</f>
        <v>0</v>
      </c>
      <c r="D50" s="4">
        <f>'Total income package'!$D$80</f>
        <v>0</v>
      </c>
      <c r="E50" s="4">
        <f>'Total income package'!$H$61+'Total income package'!$F$66</f>
        <v>400</v>
      </c>
      <c r="F50" s="4">
        <f t="shared" si="3"/>
        <v>2233.333333333333</v>
      </c>
      <c r="G50" s="181" t="str">
        <f t="shared" si="4"/>
        <v>Yes</v>
      </c>
      <c r="H50" s="3">
        <f t="shared" si="5"/>
        <v>80</v>
      </c>
      <c r="I50" s="3">
        <f t="shared" si="6"/>
        <v>33.33</v>
      </c>
      <c r="J50" s="3">
        <f t="shared" si="1"/>
        <v>2120.0033333333331</v>
      </c>
      <c r="K50" s="3">
        <f t="shared" si="7"/>
        <v>636.00099999999986</v>
      </c>
      <c r="L50" s="3">
        <f t="shared" si="2"/>
        <v>223.33333333333331</v>
      </c>
      <c r="M50" s="3">
        <v>50</v>
      </c>
      <c r="N50" s="3">
        <f t="shared" si="8"/>
        <v>636.00099999999986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713.99900000000014</v>
      </c>
      <c r="R50" s="29"/>
    </row>
    <row r="51" spans="1:18" x14ac:dyDescent="0.25">
      <c r="A51" s="182">
        <v>22500</v>
      </c>
      <c r="B51" s="4">
        <f t="shared" si="0"/>
        <v>1875</v>
      </c>
      <c r="C51" s="4">
        <f>MAX('TANF-VIEW'!L54,'TANF-VIEW'!T54)</f>
        <v>0</v>
      </c>
      <c r="D51" s="4">
        <f>'Total income package'!$D$80</f>
        <v>0</v>
      </c>
      <c r="E51" s="4">
        <f>'Total income package'!$H$61+'Total income package'!$F$66</f>
        <v>400</v>
      </c>
      <c r="F51" s="4">
        <f t="shared" si="3"/>
        <v>2275</v>
      </c>
      <c r="G51" s="181" t="str">
        <f t="shared" si="4"/>
        <v>Yes</v>
      </c>
      <c r="H51" s="3">
        <f t="shared" si="5"/>
        <v>80</v>
      </c>
      <c r="I51" s="3">
        <f t="shared" si="6"/>
        <v>33.33</v>
      </c>
      <c r="J51" s="3">
        <f t="shared" si="1"/>
        <v>2161.67</v>
      </c>
      <c r="K51" s="3">
        <f t="shared" si="7"/>
        <v>648.50099999999998</v>
      </c>
      <c r="L51" s="3">
        <f t="shared" si="2"/>
        <v>227.5</v>
      </c>
      <c r="M51" s="3">
        <v>50</v>
      </c>
      <c r="N51" s="3">
        <f t="shared" si="8"/>
        <v>648.50099999999998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701.49900000000002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400</v>
      </c>
      <c r="F52" s="4">
        <f t="shared" si="3"/>
        <v>2316.666666666667</v>
      </c>
      <c r="G52" s="181" t="str">
        <f t="shared" si="4"/>
        <v>Yes</v>
      </c>
      <c r="H52" s="3">
        <f t="shared" si="5"/>
        <v>80</v>
      </c>
      <c r="I52" s="3">
        <f t="shared" si="6"/>
        <v>33.33</v>
      </c>
      <c r="J52" s="3">
        <f t="shared" si="1"/>
        <v>2203.336666666667</v>
      </c>
      <c r="K52" s="3">
        <f t="shared" si="7"/>
        <v>661.00100000000009</v>
      </c>
      <c r="L52" s="3">
        <f t="shared" si="2"/>
        <v>231.66666666666671</v>
      </c>
      <c r="M52" s="3">
        <v>50</v>
      </c>
      <c r="N52" s="3">
        <f t="shared" si="8"/>
        <v>661.00100000000009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688.99899999999991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400</v>
      </c>
      <c r="F53" s="4">
        <f t="shared" si="3"/>
        <v>2358.333333333333</v>
      </c>
      <c r="G53" s="181" t="str">
        <f t="shared" si="4"/>
        <v>Yes</v>
      </c>
      <c r="H53" s="3">
        <f t="shared" si="5"/>
        <v>80</v>
      </c>
      <c r="I53" s="3">
        <f t="shared" si="6"/>
        <v>33.33</v>
      </c>
      <c r="J53" s="3">
        <f t="shared" si="1"/>
        <v>2245.0033333333331</v>
      </c>
      <c r="K53" s="3">
        <f t="shared" si="7"/>
        <v>673.50099999999986</v>
      </c>
      <c r="L53" s="3">
        <f t="shared" si="2"/>
        <v>235.83333333333331</v>
      </c>
      <c r="M53" s="3">
        <v>50</v>
      </c>
      <c r="N53" s="3">
        <f t="shared" si="8"/>
        <v>673.50099999999986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676.49900000000014</v>
      </c>
      <c r="R53" s="29"/>
    </row>
    <row r="54" spans="1:18" x14ac:dyDescent="0.25">
      <c r="A54" s="182">
        <v>24000</v>
      </c>
      <c r="B54" s="4">
        <f t="shared" si="0"/>
        <v>2000</v>
      </c>
      <c r="C54" s="4">
        <f>MAX('TANF-VIEW'!L57,'TANF-VIEW'!T57)</f>
        <v>0</v>
      </c>
      <c r="D54" s="4">
        <f>'Total income package'!$D$80</f>
        <v>0</v>
      </c>
      <c r="E54" s="4">
        <f>'Total income package'!$H$61+'Total income package'!$F$66</f>
        <v>400</v>
      </c>
      <c r="F54" s="4">
        <f t="shared" si="3"/>
        <v>2400</v>
      </c>
      <c r="G54" s="181" t="str">
        <f t="shared" si="4"/>
        <v>Yes</v>
      </c>
      <c r="H54" s="3">
        <f t="shared" si="5"/>
        <v>80</v>
      </c>
      <c r="I54" s="3">
        <f t="shared" si="6"/>
        <v>33.33</v>
      </c>
      <c r="J54" s="3">
        <f t="shared" si="1"/>
        <v>2286.67</v>
      </c>
      <c r="K54" s="3">
        <f t="shared" si="7"/>
        <v>686.00099999999998</v>
      </c>
      <c r="L54" s="3">
        <f t="shared" si="2"/>
        <v>240</v>
      </c>
      <c r="M54" s="3">
        <v>50</v>
      </c>
      <c r="N54" s="3">
        <f t="shared" si="8"/>
        <v>686.00099999999998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663.99900000000002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400</v>
      </c>
      <c r="F55" s="4">
        <f t="shared" si="3"/>
        <v>2441.666666666667</v>
      </c>
      <c r="G55" s="181" t="str">
        <f t="shared" si="4"/>
        <v>Yes</v>
      </c>
      <c r="H55" s="3">
        <f t="shared" si="5"/>
        <v>80</v>
      </c>
      <c r="I55" s="3">
        <f t="shared" si="6"/>
        <v>33.33</v>
      </c>
      <c r="J55" s="3">
        <f t="shared" si="1"/>
        <v>2328.336666666667</v>
      </c>
      <c r="K55" s="3">
        <f t="shared" si="7"/>
        <v>698.50100000000009</v>
      </c>
      <c r="L55" s="3">
        <f t="shared" si="2"/>
        <v>244.16666666666671</v>
      </c>
      <c r="M55" s="3">
        <v>50</v>
      </c>
      <c r="N55" s="3">
        <f t="shared" si="8"/>
        <v>698.50100000000009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651.49899999999991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400</v>
      </c>
      <c r="F56" s="4">
        <f t="shared" si="3"/>
        <v>2483.3333333333335</v>
      </c>
      <c r="G56" s="181" t="str">
        <f t="shared" si="4"/>
        <v>Yes</v>
      </c>
      <c r="H56" s="3">
        <f t="shared" si="5"/>
        <v>80</v>
      </c>
      <c r="I56" s="3">
        <f t="shared" si="6"/>
        <v>33.33</v>
      </c>
      <c r="J56" s="3">
        <f t="shared" si="1"/>
        <v>2370.0033333333336</v>
      </c>
      <c r="K56" s="3">
        <f t="shared" si="7"/>
        <v>711.00100000000009</v>
      </c>
      <c r="L56" s="3">
        <f t="shared" si="2"/>
        <v>248.33333333333337</v>
      </c>
      <c r="M56" s="3">
        <v>50</v>
      </c>
      <c r="N56" s="3">
        <f t="shared" si="8"/>
        <v>711.00100000000009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638.99899999999991</v>
      </c>
      <c r="R56" s="29"/>
    </row>
    <row r="57" spans="1:18" x14ac:dyDescent="0.25">
      <c r="A57" s="182">
        <v>25500</v>
      </c>
      <c r="B57" s="4">
        <f t="shared" si="0"/>
        <v>2125</v>
      </c>
      <c r="C57" s="4">
        <f>MAX('TANF-VIEW'!L60,'TANF-VIEW'!T60)</f>
        <v>0</v>
      </c>
      <c r="D57" s="4">
        <f>'Total income package'!$D$80</f>
        <v>0</v>
      </c>
      <c r="E57" s="4">
        <f>'Total income package'!$H$61+'Total income package'!$F$66</f>
        <v>400</v>
      </c>
      <c r="F57" s="4">
        <f t="shared" si="3"/>
        <v>2525</v>
      </c>
      <c r="G57" s="181" t="str">
        <f t="shared" si="4"/>
        <v>Yes</v>
      </c>
      <c r="H57" s="3">
        <f t="shared" si="5"/>
        <v>80</v>
      </c>
      <c r="I57" s="3">
        <f t="shared" si="6"/>
        <v>33.33</v>
      </c>
      <c r="J57" s="3">
        <f t="shared" si="1"/>
        <v>2411.67</v>
      </c>
      <c r="K57" s="3">
        <f t="shared" si="7"/>
        <v>723.50099999999998</v>
      </c>
      <c r="L57" s="3">
        <f t="shared" si="2"/>
        <v>252.5</v>
      </c>
      <c r="M57" s="3">
        <v>50</v>
      </c>
      <c r="N57" s="3">
        <f t="shared" si="8"/>
        <v>723.50099999999998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626.49900000000002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400</v>
      </c>
      <c r="F58" s="4">
        <f t="shared" si="3"/>
        <v>2566.6666666666665</v>
      </c>
      <c r="G58" s="181" t="str">
        <f t="shared" si="4"/>
        <v>Yes</v>
      </c>
      <c r="H58" s="3">
        <f t="shared" si="5"/>
        <v>80</v>
      </c>
      <c r="I58" s="3">
        <f t="shared" si="6"/>
        <v>33.33</v>
      </c>
      <c r="J58" s="3">
        <f t="shared" si="1"/>
        <v>2453.3366666666666</v>
      </c>
      <c r="K58" s="3">
        <f t="shared" si="7"/>
        <v>736.00099999999998</v>
      </c>
      <c r="L58" s="3">
        <f t="shared" si="2"/>
        <v>256.66666666666669</v>
      </c>
      <c r="M58" s="3">
        <v>50</v>
      </c>
      <c r="N58" s="3">
        <f t="shared" si="8"/>
        <v>736.00099999999998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613.99900000000002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400</v>
      </c>
      <c r="F59" s="4">
        <f t="shared" si="3"/>
        <v>2608.3333333333335</v>
      </c>
      <c r="G59" s="181" t="str">
        <f t="shared" si="4"/>
        <v>Yes</v>
      </c>
      <c r="H59" s="3">
        <f t="shared" si="5"/>
        <v>80</v>
      </c>
      <c r="I59" s="3">
        <f t="shared" si="6"/>
        <v>33.33</v>
      </c>
      <c r="J59" s="3">
        <f t="shared" si="1"/>
        <v>2495.0033333333336</v>
      </c>
      <c r="K59" s="3">
        <f t="shared" si="7"/>
        <v>748.50100000000009</v>
      </c>
      <c r="L59" s="3">
        <f t="shared" si="2"/>
        <v>260.83333333333337</v>
      </c>
      <c r="M59" s="3">
        <v>50</v>
      </c>
      <c r="N59" s="3">
        <f t="shared" si="8"/>
        <v>748.50100000000009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601.49899999999991</v>
      </c>
      <c r="R59" s="29"/>
    </row>
    <row r="60" spans="1:18" x14ac:dyDescent="0.25">
      <c r="A60" s="182">
        <v>27000</v>
      </c>
      <c r="B60" s="4">
        <f t="shared" si="0"/>
        <v>2250</v>
      </c>
      <c r="C60" s="4">
        <f>MAX('TANF-VIEW'!L63,'TANF-VIEW'!T63)</f>
        <v>0</v>
      </c>
      <c r="D60" s="4">
        <f>'Total income package'!$D$80</f>
        <v>0</v>
      </c>
      <c r="E60" s="4">
        <f>'Total income package'!$H$61+'Total income package'!$F$66</f>
        <v>400</v>
      </c>
      <c r="F60" s="4">
        <f t="shared" si="3"/>
        <v>2650</v>
      </c>
      <c r="G60" s="181" t="str">
        <f t="shared" si="4"/>
        <v>Yes</v>
      </c>
      <c r="H60" s="3">
        <f t="shared" si="5"/>
        <v>80</v>
      </c>
      <c r="I60" s="3">
        <f t="shared" si="6"/>
        <v>33.33</v>
      </c>
      <c r="J60" s="3">
        <f t="shared" si="1"/>
        <v>2536.67</v>
      </c>
      <c r="K60" s="3">
        <f t="shared" si="7"/>
        <v>761.00099999999998</v>
      </c>
      <c r="L60" s="3">
        <f t="shared" si="2"/>
        <v>265</v>
      </c>
      <c r="M60" s="3">
        <v>50</v>
      </c>
      <c r="N60" s="3">
        <f t="shared" si="8"/>
        <v>761.00099999999998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588.99900000000002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400</v>
      </c>
      <c r="F61" s="4">
        <f t="shared" si="3"/>
        <v>2691.6666666666665</v>
      </c>
      <c r="G61" s="181" t="str">
        <f t="shared" si="4"/>
        <v>Yes</v>
      </c>
      <c r="H61" s="3">
        <f t="shared" si="5"/>
        <v>80</v>
      </c>
      <c r="I61" s="3">
        <f t="shared" si="6"/>
        <v>33.33</v>
      </c>
      <c r="J61" s="3">
        <f t="shared" si="1"/>
        <v>2578.3366666666666</v>
      </c>
      <c r="K61" s="3">
        <f t="shared" si="7"/>
        <v>773.50099999999998</v>
      </c>
      <c r="L61" s="3">
        <f t="shared" si="2"/>
        <v>269.16666666666669</v>
      </c>
      <c r="M61" s="3">
        <v>50</v>
      </c>
      <c r="N61" s="3">
        <f t="shared" si="8"/>
        <v>773.50099999999998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576.49900000000002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400</v>
      </c>
      <c r="F62" s="4">
        <f t="shared" si="3"/>
        <v>2733.3333333333335</v>
      </c>
      <c r="G62" s="181" t="str">
        <f t="shared" si="4"/>
        <v>Yes</v>
      </c>
      <c r="H62" s="3">
        <f t="shared" si="5"/>
        <v>80</v>
      </c>
      <c r="I62" s="3">
        <f t="shared" si="6"/>
        <v>33.33</v>
      </c>
      <c r="J62" s="3">
        <f t="shared" si="1"/>
        <v>2620.0033333333336</v>
      </c>
      <c r="K62" s="3">
        <f t="shared" si="7"/>
        <v>786.00100000000009</v>
      </c>
      <c r="L62" s="3">
        <f t="shared" si="2"/>
        <v>273.33333333333337</v>
      </c>
      <c r="M62" s="3">
        <v>50</v>
      </c>
      <c r="N62" s="3">
        <f t="shared" si="8"/>
        <v>786.00100000000009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563.99899999999991</v>
      </c>
      <c r="R62" s="29"/>
    </row>
    <row r="63" spans="1:18" x14ac:dyDescent="0.25">
      <c r="A63" s="182">
        <v>28500</v>
      </c>
      <c r="B63" s="4">
        <f t="shared" si="0"/>
        <v>2375</v>
      </c>
      <c r="C63" s="4">
        <f>MAX('TANF-VIEW'!L66,'TANF-VIEW'!T66)</f>
        <v>0</v>
      </c>
      <c r="D63" s="4">
        <f>'Total income package'!$D$80</f>
        <v>0</v>
      </c>
      <c r="E63" s="4">
        <f>'Total income package'!$H$61+'Total income package'!$F$66</f>
        <v>400</v>
      </c>
      <c r="F63" s="4">
        <f t="shared" si="3"/>
        <v>2775</v>
      </c>
      <c r="G63" s="181" t="str">
        <f t="shared" si="4"/>
        <v>Yes</v>
      </c>
      <c r="H63" s="3">
        <f t="shared" si="5"/>
        <v>80</v>
      </c>
      <c r="I63" s="3">
        <f t="shared" si="6"/>
        <v>33.33</v>
      </c>
      <c r="J63" s="3">
        <f t="shared" si="1"/>
        <v>2661.67</v>
      </c>
      <c r="K63" s="3">
        <f t="shared" si="7"/>
        <v>798.50099999999998</v>
      </c>
      <c r="L63" s="3">
        <f t="shared" si="2"/>
        <v>277.5</v>
      </c>
      <c r="M63" s="3">
        <v>50</v>
      </c>
      <c r="N63" s="3">
        <f t="shared" si="8"/>
        <v>798.50099999999998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551.49900000000002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400</v>
      </c>
      <c r="F64" s="4">
        <f t="shared" si="3"/>
        <v>2816.6666666666665</v>
      </c>
      <c r="G64" s="181" t="str">
        <f t="shared" si="4"/>
        <v>Yes</v>
      </c>
      <c r="H64" s="3">
        <f t="shared" si="5"/>
        <v>80</v>
      </c>
      <c r="I64" s="3">
        <f t="shared" si="6"/>
        <v>33.33</v>
      </c>
      <c r="J64" s="3">
        <f t="shared" si="1"/>
        <v>2703.3366666666666</v>
      </c>
      <c r="K64" s="3">
        <f t="shared" si="7"/>
        <v>811.00099999999998</v>
      </c>
      <c r="L64" s="3">
        <f t="shared" si="2"/>
        <v>281.66666666666669</v>
      </c>
      <c r="M64" s="3">
        <v>50</v>
      </c>
      <c r="N64" s="3">
        <f t="shared" si="8"/>
        <v>811.00099999999998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538.99900000000002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400</v>
      </c>
      <c r="F65" s="4">
        <f t="shared" si="3"/>
        <v>2858.3333333333335</v>
      </c>
      <c r="G65" s="181" t="str">
        <f t="shared" si="4"/>
        <v>Yes</v>
      </c>
      <c r="H65" s="3">
        <f t="shared" si="5"/>
        <v>80</v>
      </c>
      <c r="I65" s="3">
        <f t="shared" si="6"/>
        <v>33.33</v>
      </c>
      <c r="J65" s="3">
        <f t="shared" si="1"/>
        <v>2745.0033333333336</v>
      </c>
      <c r="K65" s="3">
        <f t="shared" si="7"/>
        <v>823.50100000000009</v>
      </c>
      <c r="L65" s="3">
        <f t="shared" si="2"/>
        <v>285.83333333333337</v>
      </c>
      <c r="M65" s="3">
        <v>50</v>
      </c>
      <c r="N65" s="3">
        <f t="shared" si="8"/>
        <v>823.50100000000009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526.49899999999991</v>
      </c>
      <c r="R65" s="29"/>
    </row>
    <row r="66" spans="1:18" x14ac:dyDescent="0.25">
      <c r="A66" s="182">
        <v>30000</v>
      </c>
      <c r="B66" s="4">
        <f t="shared" si="0"/>
        <v>2500</v>
      </c>
      <c r="C66" s="4">
        <f>MAX('TANF-VIEW'!L69,'TANF-VIEW'!T69)</f>
        <v>0</v>
      </c>
      <c r="D66" s="4">
        <f>'Total income package'!$D$80</f>
        <v>0</v>
      </c>
      <c r="E66" s="4">
        <f>'Total income package'!$H$61+'Total income package'!$F$66</f>
        <v>400</v>
      </c>
      <c r="F66" s="4">
        <f t="shared" si="3"/>
        <v>2900</v>
      </c>
      <c r="G66" s="181" t="str">
        <f t="shared" si="4"/>
        <v>Yes</v>
      </c>
      <c r="H66" s="3">
        <f t="shared" si="5"/>
        <v>80</v>
      </c>
      <c r="I66" s="3">
        <f t="shared" si="6"/>
        <v>33.33</v>
      </c>
      <c r="J66" s="3">
        <f t="shared" si="1"/>
        <v>2786.67</v>
      </c>
      <c r="K66" s="3">
        <f t="shared" si="7"/>
        <v>836.00099999999998</v>
      </c>
      <c r="L66" s="3">
        <f t="shared" si="2"/>
        <v>290</v>
      </c>
      <c r="M66" s="3">
        <v>50</v>
      </c>
      <c r="N66" s="3">
        <f t="shared" si="8"/>
        <v>836.00099999999998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513.99900000000002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400</v>
      </c>
      <c r="F67" s="4">
        <f t="shared" si="3"/>
        <v>2941.6666666666665</v>
      </c>
      <c r="G67" s="181" t="str">
        <f t="shared" si="4"/>
        <v>Yes</v>
      </c>
      <c r="H67" s="3">
        <f t="shared" si="5"/>
        <v>80</v>
      </c>
      <c r="I67" s="3">
        <f t="shared" si="6"/>
        <v>33.33</v>
      </c>
      <c r="J67" s="3">
        <f t="shared" si="1"/>
        <v>2828.3366666666666</v>
      </c>
      <c r="K67" s="3">
        <f t="shared" si="7"/>
        <v>848.50099999999998</v>
      </c>
      <c r="L67" s="3">
        <f t="shared" si="2"/>
        <v>294.16666666666669</v>
      </c>
      <c r="M67" s="3">
        <v>50</v>
      </c>
      <c r="N67" s="3">
        <f t="shared" si="8"/>
        <v>848.50099999999998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501.49900000000002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400</v>
      </c>
      <c r="F68" s="4">
        <f t="shared" si="3"/>
        <v>2983.3333333333335</v>
      </c>
      <c r="G68" s="181" t="str">
        <f t="shared" si="4"/>
        <v>Yes</v>
      </c>
      <c r="H68" s="3">
        <f t="shared" si="5"/>
        <v>80</v>
      </c>
      <c r="I68" s="3">
        <f t="shared" si="6"/>
        <v>33.33</v>
      </c>
      <c r="J68" s="3">
        <f t="shared" si="1"/>
        <v>2870.0033333333336</v>
      </c>
      <c r="K68" s="3">
        <f t="shared" si="7"/>
        <v>861.00100000000009</v>
      </c>
      <c r="L68" s="3">
        <f t="shared" si="2"/>
        <v>298.33333333333337</v>
      </c>
      <c r="M68" s="3">
        <v>50</v>
      </c>
      <c r="N68" s="3">
        <f t="shared" si="8"/>
        <v>861.00100000000009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488.99899999999991</v>
      </c>
      <c r="R68" s="29"/>
    </row>
    <row r="69" spans="1:18" x14ac:dyDescent="0.25">
      <c r="A69" s="182">
        <v>31500</v>
      </c>
      <c r="B69" s="4">
        <f t="shared" si="0"/>
        <v>2625</v>
      </c>
      <c r="C69" s="4">
        <f>MAX('TANF-VIEW'!L72,'TANF-VIEW'!T72)</f>
        <v>0</v>
      </c>
      <c r="D69" s="4">
        <f>'Total income package'!$D$80</f>
        <v>0</v>
      </c>
      <c r="E69" s="4">
        <f>'Total income package'!$H$61+'Total income package'!$F$66</f>
        <v>400</v>
      </c>
      <c r="F69" s="4">
        <f t="shared" si="3"/>
        <v>3025</v>
      </c>
      <c r="G69" s="181" t="str">
        <f t="shared" si="4"/>
        <v>Yes</v>
      </c>
      <c r="H69" s="3">
        <f t="shared" si="5"/>
        <v>80</v>
      </c>
      <c r="I69" s="3">
        <f t="shared" si="6"/>
        <v>33.33</v>
      </c>
      <c r="J69" s="3">
        <f t="shared" si="1"/>
        <v>2911.67</v>
      </c>
      <c r="K69" s="3">
        <f t="shared" si="7"/>
        <v>873.50099999999998</v>
      </c>
      <c r="L69" s="3">
        <f t="shared" si="2"/>
        <v>302.5</v>
      </c>
      <c r="M69" s="3">
        <v>50</v>
      </c>
      <c r="N69" s="3">
        <f t="shared" si="8"/>
        <v>873.50099999999998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476.49900000000002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400</v>
      </c>
      <c r="F70" s="4">
        <f t="shared" si="3"/>
        <v>3066.6666666666665</v>
      </c>
      <c r="G70" s="181" t="str">
        <f t="shared" si="4"/>
        <v>Yes</v>
      </c>
      <c r="H70" s="3">
        <f t="shared" si="5"/>
        <v>80</v>
      </c>
      <c r="I70" s="3">
        <f t="shared" si="6"/>
        <v>33.33</v>
      </c>
      <c r="J70" s="3">
        <f t="shared" ref="J70:J133" si="9">IF(F70-H70-I70&lt;0,0,F70-H70-I70)</f>
        <v>2953.3366666666666</v>
      </c>
      <c r="K70" s="3">
        <f t="shared" ref="K70:K133" si="10">J70*0.3</f>
        <v>886.00099999999998</v>
      </c>
      <c r="L70" s="3">
        <f t="shared" ref="L70:L133" si="11">F70*0.1</f>
        <v>306.66666666666669</v>
      </c>
      <c r="M70" s="3">
        <v>50</v>
      </c>
      <c r="N70" s="3">
        <f t="shared" si="8"/>
        <v>886.00099999999998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463.99900000000002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400</v>
      </c>
      <c r="F71" s="4">
        <f t="shared" ref="F71:F134" si="13">B71+C71+D71+E71</f>
        <v>3108.3333333333335</v>
      </c>
      <c r="G71" s="181" t="str">
        <f t="shared" ref="G71:G134" si="14">IF(F71&lt;$L$2,"Yes","No")</f>
        <v>Yes</v>
      </c>
      <c r="H71" s="3">
        <f t="shared" ref="H71:H134" si="15">40*($D$2+$I$2)</f>
        <v>80</v>
      </c>
      <c r="I71" s="3">
        <f t="shared" ref="I71:I134" si="16">IF($H$2+$I$2&gt;0,33.33,0)</f>
        <v>33.33</v>
      </c>
      <c r="J71" s="3">
        <f t="shared" si="9"/>
        <v>2995.0033333333336</v>
      </c>
      <c r="K71" s="3">
        <f t="shared" si="10"/>
        <v>898.50100000000009</v>
      </c>
      <c r="L71" s="3">
        <f t="shared" si="11"/>
        <v>310.83333333333337</v>
      </c>
      <c r="M71" s="3">
        <v>50</v>
      </c>
      <c r="N71" s="3">
        <f t="shared" si="8"/>
        <v>898.50100000000009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451.49899999999991</v>
      </c>
      <c r="R71" s="29"/>
    </row>
    <row r="72" spans="1:18" x14ac:dyDescent="0.25">
      <c r="A72" s="182">
        <v>33000</v>
      </c>
      <c r="B72" s="4">
        <f t="shared" si="12"/>
        <v>2750</v>
      </c>
      <c r="C72" s="4">
        <f>MAX('TANF-VIEW'!L75,'TANF-VIEW'!T75)</f>
        <v>0</v>
      </c>
      <c r="D72" s="4">
        <f>'Total income package'!$D$80</f>
        <v>0</v>
      </c>
      <c r="E72" s="4">
        <f>'Total income package'!$H$61+'Total income package'!$F$66</f>
        <v>400</v>
      </c>
      <c r="F72" s="4">
        <f t="shared" si="13"/>
        <v>3150</v>
      </c>
      <c r="G72" s="181" t="str">
        <f t="shared" si="14"/>
        <v>Yes</v>
      </c>
      <c r="H72" s="3">
        <f t="shared" si="15"/>
        <v>80</v>
      </c>
      <c r="I72" s="3">
        <f t="shared" si="16"/>
        <v>33.33</v>
      </c>
      <c r="J72" s="3">
        <f t="shared" si="9"/>
        <v>3036.67</v>
      </c>
      <c r="K72" s="3">
        <f t="shared" si="10"/>
        <v>911.00099999999998</v>
      </c>
      <c r="L72" s="3">
        <f t="shared" si="11"/>
        <v>315</v>
      </c>
      <c r="M72" s="3">
        <v>50</v>
      </c>
      <c r="N72" s="3">
        <f t="shared" ref="N72:N106" si="17">MAX(K72:M72)</f>
        <v>911.00099999999998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438.99900000000002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400</v>
      </c>
      <c r="F73" s="4">
        <f t="shared" si="13"/>
        <v>3191.6666666666665</v>
      </c>
      <c r="G73" s="181" t="str">
        <f t="shared" si="14"/>
        <v>Yes</v>
      </c>
      <c r="H73" s="3">
        <f t="shared" si="15"/>
        <v>80</v>
      </c>
      <c r="I73" s="3">
        <f t="shared" si="16"/>
        <v>33.33</v>
      </c>
      <c r="J73" s="3">
        <f t="shared" si="9"/>
        <v>3078.3366666666666</v>
      </c>
      <c r="K73" s="3">
        <f t="shared" si="10"/>
        <v>923.50099999999998</v>
      </c>
      <c r="L73" s="3">
        <f t="shared" si="11"/>
        <v>319.16666666666669</v>
      </c>
      <c r="M73" s="3">
        <v>50</v>
      </c>
      <c r="N73" s="3">
        <f t="shared" si="17"/>
        <v>923.50099999999998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426.49900000000002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400</v>
      </c>
      <c r="F74" s="4">
        <f t="shared" si="13"/>
        <v>3233.3333333333335</v>
      </c>
      <c r="G74" s="181" t="str">
        <f t="shared" si="14"/>
        <v>Yes</v>
      </c>
      <c r="H74" s="3">
        <f t="shared" si="15"/>
        <v>80</v>
      </c>
      <c r="I74" s="3">
        <f t="shared" si="16"/>
        <v>33.33</v>
      </c>
      <c r="J74" s="3">
        <f t="shared" si="9"/>
        <v>3120.0033333333336</v>
      </c>
      <c r="K74" s="3">
        <f t="shared" si="10"/>
        <v>936.00099999999998</v>
      </c>
      <c r="L74" s="3">
        <f t="shared" si="11"/>
        <v>323.33333333333337</v>
      </c>
      <c r="M74" s="3">
        <v>50</v>
      </c>
      <c r="N74" s="3">
        <f t="shared" si="17"/>
        <v>936.00099999999998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413.99900000000002</v>
      </c>
      <c r="R74" s="29"/>
    </row>
    <row r="75" spans="1:18" x14ac:dyDescent="0.25">
      <c r="A75" s="182">
        <v>34500</v>
      </c>
      <c r="B75" s="4">
        <f t="shared" si="12"/>
        <v>2875</v>
      </c>
      <c r="C75" s="4">
        <f>MAX('TANF-VIEW'!L78,'TANF-VIEW'!T78)</f>
        <v>0</v>
      </c>
      <c r="D75" s="4">
        <f>'Total income package'!$D$80</f>
        <v>0</v>
      </c>
      <c r="E75" s="4">
        <f>'Total income package'!$H$61+'Total income package'!$F$66</f>
        <v>400</v>
      </c>
      <c r="F75" s="4">
        <f t="shared" si="13"/>
        <v>3275</v>
      </c>
      <c r="G75" s="181" t="str">
        <f t="shared" si="14"/>
        <v>Yes</v>
      </c>
      <c r="H75" s="3">
        <f t="shared" si="15"/>
        <v>80</v>
      </c>
      <c r="I75" s="3">
        <f t="shared" si="16"/>
        <v>33.33</v>
      </c>
      <c r="J75" s="3">
        <f t="shared" si="9"/>
        <v>3161.67</v>
      </c>
      <c r="K75" s="3">
        <f t="shared" si="10"/>
        <v>948.50099999999998</v>
      </c>
      <c r="L75" s="3">
        <f t="shared" si="11"/>
        <v>327.5</v>
      </c>
      <c r="M75" s="3">
        <v>50</v>
      </c>
      <c r="N75" s="3">
        <f t="shared" si="17"/>
        <v>948.50099999999998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401.49900000000002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400</v>
      </c>
      <c r="F76" s="4">
        <f t="shared" si="13"/>
        <v>3316.6666666666665</v>
      </c>
      <c r="G76" s="181" t="str">
        <f t="shared" si="14"/>
        <v>Yes</v>
      </c>
      <c r="H76" s="3">
        <f t="shared" si="15"/>
        <v>80</v>
      </c>
      <c r="I76" s="3">
        <f t="shared" si="16"/>
        <v>33.33</v>
      </c>
      <c r="J76" s="3">
        <f t="shared" si="9"/>
        <v>3203.3366666666666</v>
      </c>
      <c r="K76" s="3">
        <f t="shared" si="10"/>
        <v>961.00099999999998</v>
      </c>
      <c r="L76" s="3">
        <f t="shared" si="11"/>
        <v>331.66666666666669</v>
      </c>
      <c r="M76" s="3">
        <v>50</v>
      </c>
      <c r="N76" s="3">
        <f t="shared" si="17"/>
        <v>961.00099999999998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388.99900000000002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400</v>
      </c>
      <c r="F77" s="4">
        <f t="shared" si="13"/>
        <v>3358.3333333333335</v>
      </c>
      <c r="G77" s="181" t="str">
        <f t="shared" si="14"/>
        <v>Yes</v>
      </c>
      <c r="H77" s="3">
        <f t="shared" si="15"/>
        <v>80</v>
      </c>
      <c r="I77" s="3">
        <f t="shared" si="16"/>
        <v>33.33</v>
      </c>
      <c r="J77" s="3">
        <f t="shared" si="9"/>
        <v>3245.0033333333336</v>
      </c>
      <c r="K77" s="3">
        <f t="shared" si="10"/>
        <v>973.50099999999998</v>
      </c>
      <c r="L77" s="3">
        <f t="shared" si="11"/>
        <v>335.83333333333337</v>
      </c>
      <c r="M77" s="3">
        <v>50</v>
      </c>
      <c r="N77" s="3">
        <f t="shared" si="17"/>
        <v>973.50099999999998</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376.49900000000002</v>
      </c>
      <c r="R77" s="29"/>
    </row>
    <row r="78" spans="1:18" x14ac:dyDescent="0.25">
      <c r="A78" s="182">
        <v>36000</v>
      </c>
      <c r="B78" s="4">
        <f t="shared" si="12"/>
        <v>3000</v>
      </c>
      <c r="C78" s="4">
        <f>MAX('TANF-VIEW'!L81,'TANF-VIEW'!T81)</f>
        <v>0</v>
      </c>
      <c r="D78" s="4">
        <f>'Total income package'!$D$80</f>
        <v>0</v>
      </c>
      <c r="E78" s="4">
        <f>'Total income package'!$H$61+'Total income package'!$F$66</f>
        <v>400</v>
      </c>
      <c r="F78" s="4">
        <f t="shared" si="13"/>
        <v>3400</v>
      </c>
      <c r="G78" s="181" t="str">
        <f t="shared" si="14"/>
        <v>Yes</v>
      </c>
      <c r="H78" s="3">
        <f t="shared" si="15"/>
        <v>80</v>
      </c>
      <c r="I78" s="3">
        <f t="shared" si="16"/>
        <v>33.33</v>
      </c>
      <c r="J78" s="3">
        <f t="shared" si="9"/>
        <v>3286.67</v>
      </c>
      <c r="K78" s="3">
        <f t="shared" si="10"/>
        <v>986.00099999999998</v>
      </c>
      <c r="L78" s="3">
        <f t="shared" si="11"/>
        <v>340</v>
      </c>
      <c r="M78" s="3">
        <v>50</v>
      </c>
      <c r="N78" s="3">
        <f t="shared" si="17"/>
        <v>986.00099999999998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363.99900000000002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400</v>
      </c>
      <c r="F79" s="4">
        <f t="shared" si="13"/>
        <v>3441.6666666666665</v>
      </c>
      <c r="G79" s="181" t="str">
        <f t="shared" si="14"/>
        <v>Yes</v>
      </c>
      <c r="H79" s="3">
        <f t="shared" si="15"/>
        <v>80</v>
      </c>
      <c r="I79" s="3">
        <f t="shared" si="16"/>
        <v>33.33</v>
      </c>
      <c r="J79" s="3">
        <f t="shared" si="9"/>
        <v>3328.3366666666666</v>
      </c>
      <c r="K79" s="3">
        <f t="shared" si="10"/>
        <v>998.50099999999998</v>
      </c>
      <c r="L79" s="3">
        <f t="shared" si="11"/>
        <v>344.16666666666669</v>
      </c>
      <c r="M79" s="3">
        <v>50</v>
      </c>
      <c r="N79" s="3">
        <f t="shared" si="17"/>
        <v>998.50099999999998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351.49900000000002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400</v>
      </c>
      <c r="F80" s="4">
        <f t="shared" si="13"/>
        <v>3483.3333333333335</v>
      </c>
      <c r="G80" s="181" t="str">
        <f t="shared" si="14"/>
        <v>Yes</v>
      </c>
      <c r="H80" s="3">
        <f t="shared" si="15"/>
        <v>80</v>
      </c>
      <c r="I80" s="3">
        <f t="shared" si="16"/>
        <v>33.33</v>
      </c>
      <c r="J80" s="3">
        <f t="shared" si="9"/>
        <v>3370.0033333333336</v>
      </c>
      <c r="K80" s="3">
        <f t="shared" si="10"/>
        <v>1011.001</v>
      </c>
      <c r="L80" s="3">
        <f t="shared" si="11"/>
        <v>348.33333333333337</v>
      </c>
      <c r="M80" s="3">
        <v>50</v>
      </c>
      <c r="N80" s="3">
        <f t="shared" si="17"/>
        <v>1011.001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338.99900000000002</v>
      </c>
      <c r="R80" s="29"/>
    </row>
    <row r="81" spans="1:18" x14ac:dyDescent="0.25">
      <c r="A81" s="182">
        <v>37500</v>
      </c>
      <c r="B81" s="4">
        <f t="shared" si="12"/>
        <v>3125</v>
      </c>
      <c r="C81" s="4">
        <f>MAX('TANF-VIEW'!L84,'TANF-VIEW'!T84)</f>
        <v>0</v>
      </c>
      <c r="D81" s="4">
        <f>'Total income package'!$D$80</f>
        <v>0</v>
      </c>
      <c r="E81" s="4">
        <f>'Total income package'!$H$61+'Total income package'!$F$66</f>
        <v>400</v>
      </c>
      <c r="F81" s="4">
        <f t="shared" si="13"/>
        <v>3525</v>
      </c>
      <c r="G81" s="181" t="str">
        <f t="shared" si="14"/>
        <v>Yes</v>
      </c>
      <c r="H81" s="3">
        <f t="shared" si="15"/>
        <v>80</v>
      </c>
      <c r="I81" s="3">
        <f t="shared" si="16"/>
        <v>33.33</v>
      </c>
      <c r="J81" s="3">
        <f t="shared" si="9"/>
        <v>3411.67</v>
      </c>
      <c r="K81" s="3">
        <f t="shared" si="10"/>
        <v>1023.501</v>
      </c>
      <c r="L81" s="3">
        <f t="shared" si="11"/>
        <v>352.5</v>
      </c>
      <c r="M81" s="3">
        <v>50</v>
      </c>
      <c r="N81" s="3">
        <f t="shared" si="17"/>
        <v>1023.501</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326.49900000000002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400</v>
      </c>
      <c r="F82" s="4">
        <f t="shared" si="13"/>
        <v>3566.6666666666665</v>
      </c>
      <c r="G82" s="181" t="str">
        <f t="shared" si="14"/>
        <v>Yes</v>
      </c>
      <c r="H82" s="3">
        <f t="shared" si="15"/>
        <v>80</v>
      </c>
      <c r="I82" s="3">
        <f t="shared" si="16"/>
        <v>33.33</v>
      </c>
      <c r="J82" s="3">
        <f t="shared" si="9"/>
        <v>3453.3366666666666</v>
      </c>
      <c r="K82" s="3">
        <f t="shared" si="10"/>
        <v>1036.001</v>
      </c>
      <c r="L82" s="3">
        <f t="shared" si="11"/>
        <v>356.66666666666669</v>
      </c>
      <c r="M82" s="3">
        <v>50</v>
      </c>
      <c r="N82" s="3">
        <f t="shared" si="17"/>
        <v>1036.001</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313.99900000000002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400</v>
      </c>
      <c r="F83" s="4">
        <f t="shared" si="13"/>
        <v>3608.3333333333335</v>
      </c>
      <c r="G83" s="181" t="str">
        <f t="shared" si="14"/>
        <v>Yes</v>
      </c>
      <c r="H83" s="3">
        <f t="shared" si="15"/>
        <v>80</v>
      </c>
      <c r="I83" s="3">
        <f t="shared" si="16"/>
        <v>33.33</v>
      </c>
      <c r="J83" s="3">
        <f t="shared" si="9"/>
        <v>3495.0033333333336</v>
      </c>
      <c r="K83" s="3">
        <f t="shared" si="10"/>
        <v>1048.501</v>
      </c>
      <c r="L83" s="3">
        <f t="shared" si="11"/>
        <v>360.83333333333337</v>
      </c>
      <c r="M83" s="3">
        <v>50</v>
      </c>
      <c r="N83" s="3">
        <f t="shared" si="17"/>
        <v>1048.501</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301.49900000000002</v>
      </c>
      <c r="R83" s="29"/>
    </row>
    <row r="84" spans="1:18" x14ac:dyDescent="0.25">
      <c r="A84" s="182">
        <v>39000</v>
      </c>
      <c r="B84" s="4">
        <f t="shared" si="12"/>
        <v>3250</v>
      </c>
      <c r="C84" s="4">
        <f>MAX('TANF-VIEW'!L87,'TANF-VIEW'!T87)</f>
        <v>0</v>
      </c>
      <c r="D84" s="4">
        <f>'Total income package'!$D$80</f>
        <v>0</v>
      </c>
      <c r="E84" s="4">
        <f>'Total income package'!$H$61+'Total income package'!$F$66</f>
        <v>400</v>
      </c>
      <c r="F84" s="4">
        <f t="shared" si="13"/>
        <v>3650</v>
      </c>
      <c r="G84" s="181" t="str">
        <f t="shared" si="14"/>
        <v>Yes</v>
      </c>
      <c r="H84" s="3">
        <f t="shared" si="15"/>
        <v>80</v>
      </c>
      <c r="I84" s="3">
        <f t="shared" si="16"/>
        <v>33.33</v>
      </c>
      <c r="J84" s="3">
        <f t="shared" si="9"/>
        <v>3536.67</v>
      </c>
      <c r="K84" s="3">
        <f t="shared" si="10"/>
        <v>1061.001</v>
      </c>
      <c r="L84" s="3">
        <f t="shared" si="11"/>
        <v>365</v>
      </c>
      <c r="M84" s="3">
        <v>50</v>
      </c>
      <c r="N84" s="3">
        <f t="shared" si="17"/>
        <v>1061.001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288.99900000000002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400</v>
      </c>
      <c r="F85" s="4">
        <f t="shared" si="13"/>
        <v>3691.6666666666665</v>
      </c>
      <c r="G85" s="181" t="str">
        <f t="shared" si="14"/>
        <v>Yes</v>
      </c>
      <c r="H85" s="3">
        <f t="shared" si="15"/>
        <v>80</v>
      </c>
      <c r="I85" s="3">
        <f t="shared" si="16"/>
        <v>33.33</v>
      </c>
      <c r="J85" s="3">
        <f t="shared" si="9"/>
        <v>3578.3366666666666</v>
      </c>
      <c r="K85" s="3">
        <f t="shared" si="10"/>
        <v>1073.501</v>
      </c>
      <c r="L85" s="3">
        <f t="shared" si="11"/>
        <v>369.16666666666669</v>
      </c>
      <c r="M85" s="3">
        <v>50</v>
      </c>
      <c r="N85" s="3">
        <f t="shared" si="17"/>
        <v>1073.501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276.49900000000002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400</v>
      </c>
      <c r="F86" s="4">
        <f t="shared" si="13"/>
        <v>3733.3333333333335</v>
      </c>
      <c r="G86" s="181" t="str">
        <f t="shared" si="14"/>
        <v>Yes</v>
      </c>
      <c r="H86" s="3">
        <f t="shared" si="15"/>
        <v>80</v>
      </c>
      <c r="I86" s="3">
        <f t="shared" si="16"/>
        <v>33.33</v>
      </c>
      <c r="J86" s="3">
        <f t="shared" si="9"/>
        <v>3620.0033333333336</v>
      </c>
      <c r="K86" s="3">
        <f t="shared" si="10"/>
        <v>1086.001</v>
      </c>
      <c r="L86" s="3">
        <f t="shared" si="11"/>
        <v>373.33333333333337</v>
      </c>
      <c r="M86" s="3">
        <v>50</v>
      </c>
      <c r="N86" s="3">
        <f t="shared" si="17"/>
        <v>1086.001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263.99900000000002</v>
      </c>
      <c r="R86" s="29"/>
    </row>
    <row r="87" spans="1:18" x14ac:dyDescent="0.25">
      <c r="A87" s="182">
        <v>40500</v>
      </c>
      <c r="B87" s="4">
        <f t="shared" si="12"/>
        <v>3375</v>
      </c>
      <c r="C87" s="4">
        <f>MAX('TANF-VIEW'!L90,'TANF-VIEW'!T90)</f>
        <v>0</v>
      </c>
      <c r="D87" s="4">
        <f>'Total income package'!$D$80</f>
        <v>0</v>
      </c>
      <c r="E87" s="4">
        <f>'Total income package'!$H$61+'Total income package'!$F$66</f>
        <v>400</v>
      </c>
      <c r="F87" s="4">
        <f t="shared" si="13"/>
        <v>3775</v>
      </c>
      <c r="G87" s="181" t="str">
        <f t="shared" si="14"/>
        <v>Yes</v>
      </c>
      <c r="H87" s="3">
        <f t="shared" si="15"/>
        <v>80</v>
      </c>
      <c r="I87" s="3">
        <f t="shared" si="16"/>
        <v>33.33</v>
      </c>
      <c r="J87" s="3">
        <f t="shared" si="9"/>
        <v>3661.67</v>
      </c>
      <c r="K87" s="3">
        <f t="shared" si="10"/>
        <v>1098.501</v>
      </c>
      <c r="L87" s="3">
        <f t="shared" si="11"/>
        <v>377.5</v>
      </c>
      <c r="M87" s="3">
        <v>50</v>
      </c>
      <c r="N87" s="3">
        <f t="shared" si="17"/>
        <v>1098.501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251.49900000000002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400</v>
      </c>
      <c r="F88" s="4">
        <f t="shared" si="13"/>
        <v>3816.6666666666665</v>
      </c>
      <c r="G88" s="181" t="str">
        <f t="shared" si="14"/>
        <v>Yes</v>
      </c>
      <c r="H88" s="3">
        <f t="shared" si="15"/>
        <v>80</v>
      </c>
      <c r="I88" s="3">
        <f t="shared" si="16"/>
        <v>33.33</v>
      </c>
      <c r="J88" s="3">
        <f t="shared" si="9"/>
        <v>3703.3366666666666</v>
      </c>
      <c r="K88" s="3">
        <f t="shared" si="10"/>
        <v>1111.001</v>
      </c>
      <c r="L88" s="3">
        <f t="shared" si="11"/>
        <v>381.66666666666669</v>
      </c>
      <c r="M88" s="3">
        <v>50</v>
      </c>
      <c r="N88" s="3">
        <f t="shared" si="17"/>
        <v>1111.001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238.99900000000002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400</v>
      </c>
      <c r="F89" s="4">
        <f t="shared" si="13"/>
        <v>3858.3333333333335</v>
      </c>
      <c r="G89" s="181" t="str">
        <f t="shared" si="14"/>
        <v>Yes</v>
      </c>
      <c r="H89" s="3">
        <f t="shared" si="15"/>
        <v>80</v>
      </c>
      <c r="I89" s="3">
        <f t="shared" si="16"/>
        <v>33.33</v>
      </c>
      <c r="J89" s="3">
        <f t="shared" si="9"/>
        <v>3745.0033333333336</v>
      </c>
      <c r="K89" s="3">
        <f t="shared" si="10"/>
        <v>1123.501</v>
      </c>
      <c r="L89" s="3">
        <f t="shared" si="11"/>
        <v>385.83333333333337</v>
      </c>
      <c r="M89" s="3">
        <v>50</v>
      </c>
      <c r="N89" s="3">
        <f t="shared" si="17"/>
        <v>1123.501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226.49900000000002</v>
      </c>
      <c r="R89" s="29"/>
    </row>
    <row r="90" spans="1:18" x14ac:dyDescent="0.25">
      <c r="A90" s="182">
        <v>42000</v>
      </c>
      <c r="B90" s="4">
        <f t="shared" si="12"/>
        <v>3500</v>
      </c>
      <c r="C90" s="4">
        <f>MAX('TANF-VIEW'!L93,'TANF-VIEW'!T93)</f>
        <v>0</v>
      </c>
      <c r="D90" s="4">
        <f>'Total income package'!$D$80</f>
        <v>0</v>
      </c>
      <c r="E90" s="4">
        <f>'Total income package'!$H$61+'Total income package'!$F$66</f>
        <v>400</v>
      </c>
      <c r="F90" s="4">
        <f t="shared" si="13"/>
        <v>3900</v>
      </c>
      <c r="G90" s="181" t="str">
        <f t="shared" si="14"/>
        <v>Yes</v>
      </c>
      <c r="H90" s="3">
        <f t="shared" si="15"/>
        <v>80</v>
      </c>
      <c r="I90" s="3">
        <f t="shared" si="16"/>
        <v>33.33</v>
      </c>
      <c r="J90" s="3">
        <f t="shared" si="9"/>
        <v>3786.67</v>
      </c>
      <c r="K90" s="3">
        <f t="shared" si="10"/>
        <v>1136.001</v>
      </c>
      <c r="L90" s="3">
        <f t="shared" si="11"/>
        <v>390</v>
      </c>
      <c r="M90" s="3">
        <v>50</v>
      </c>
      <c r="N90" s="3">
        <f t="shared" si="17"/>
        <v>1136.001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213.99900000000002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400</v>
      </c>
      <c r="F91" s="4">
        <f t="shared" si="13"/>
        <v>3941.6666666666665</v>
      </c>
      <c r="G91" s="181" t="str">
        <f t="shared" si="14"/>
        <v>Yes</v>
      </c>
      <c r="H91" s="3">
        <f t="shared" si="15"/>
        <v>80</v>
      </c>
      <c r="I91" s="3">
        <f t="shared" si="16"/>
        <v>33.33</v>
      </c>
      <c r="J91" s="3">
        <f t="shared" si="9"/>
        <v>3828.3366666666666</v>
      </c>
      <c r="K91" s="3">
        <f t="shared" si="10"/>
        <v>1148.501</v>
      </c>
      <c r="L91" s="3">
        <f t="shared" si="11"/>
        <v>394.16666666666669</v>
      </c>
      <c r="M91" s="3">
        <v>50</v>
      </c>
      <c r="N91" s="3">
        <f t="shared" si="17"/>
        <v>1148.501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201.49900000000002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400</v>
      </c>
      <c r="F92" s="4">
        <f t="shared" si="13"/>
        <v>3983.3333333333335</v>
      </c>
      <c r="G92" s="181" t="str">
        <f t="shared" si="14"/>
        <v>Yes</v>
      </c>
      <c r="H92" s="3">
        <f t="shared" si="15"/>
        <v>80</v>
      </c>
      <c r="I92" s="3">
        <f t="shared" si="16"/>
        <v>33.33</v>
      </c>
      <c r="J92" s="3">
        <f t="shared" si="9"/>
        <v>3870.0033333333336</v>
      </c>
      <c r="K92" s="3">
        <f t="shared" si="10"/>
        <v>1161.001</v>
      </c>
      <c r="L92" s="3">
        <f t="shared" si="11"/>
        <v>398.33333333333337</v>
      </c>
      <c r="M92" s="3">
        <v>50</v>
      </c>
      <c r="N92" s="3">
        <f t="shared" si="17"/>
        <v>1161.001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188.99900000000002</v>
      </c>
      <c r="R92" s="29"/>
    </row>
    <row r="93" spans="1:18" x14ac:dyDescent="0.25">
      <c r="A93" s="182">
        <v>43500</v>
      </c>
      <c r="B93" s="4">
        <f t="shared" si="12"/>
        <v>3625</v>
      </c>
      <c r="C93" s="4">
        <f>MAX('TANF-VIEW'!L96,'TANF-VIEW'!T96)</f>
        <v>0</v>
      </c>
      <c r="D93" s="4">
        <f>'Total income package'!$D$80</f>
        <v>0</v>
      </c>
      <c r="E93" s="4">
        <f>'Total income package'!$H$61+'Total income package'!$F$66</f>
        <v>400</v>
      </c>
      <c r="F93" s="4">
        <f t="shared" si="13"/>
        <v>4025</v>
      </c>
      <c r="G93" s="181" t="str">
        <f t="shared" si="14"/>
        <v>Yes</v>
      </c>
      <c r="H93" s="3">
        <f t="shared" si="15"/>
        <v>80</v>
      </c>
      <c r="I93" s="3">
        <f t="shared" si="16"/>
        <v>33.33</v>
      </c>
      <c r="J93" s="3">
        <f t="shared" si="9"/>
        <v>3911.67</v>
      </c>
      <c r="K93" s="3">
        <f t="shared" si="10"/>
        <v>1173.501</v>
      </c>
      <c r="L93" s="3">
        <f t="shared" si="11"/>
        <v>402.5</v>
      </c>
      <c r="M93" s="3">
        <v>50</v>
      </c>
      <c r="N93" s="3">
        <f t="shared" si="17"/>
        <v>1173.501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176.49900000000002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400</v>
      </c>
      <c r="F94" s="4">
        <f t="shared" si="13"/>
        <v>4066.6666666666665</v>
      </c>
      <c r="G94" s="181" t="str">
        <f t="shared" si="14"/>
        <v>Yes</v>
      </c>
      <c r="H94" s="3">
        <f t="shared" si="15"/>
        <v>80</v>
      </c>
      <c r="I94" s="3">
        <f t="shared" si="16"/>
        <v>33.33</v>
      </c>
      <c r="J94" s="3">
        <f t="shared" si="9"/>
        <v>3953.3366666666666</v>
      </c>
      <c r="K94" s="3">
        <f t="shared" si="10"/>
        <v>1186.001</v>
      </c>
      <c r="L94" s="3">
        <f t="shared" si="11"/>
        <v>406.66666666666669</v>
      </c>
      <c r="M94" s="3">
        <v>50</v>
      </c>
      <c r="N94" s="3">
        <f t="shared" si="17"/>
        <v>1186.001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163.99900000000002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400</v>
      </c>
      <c r="F95" s="4">
        <f t="shared" si="13"/>
        <v>4108.3333333333339</v>
      </c>
      <c r="G95" s="181" t="str">
        <f t="shared" si="14"/>
        <v>Yes</v>
      </c>
      <c r="H95" s="3">
        <f t="shared" si="15"/>
        <v>80</v>
      </c>
      <c r="I95" s="3">
        <f t="shared" si="16"/>
        <v>33.33</v>
      </c>
      <c r="J95" s="3">
        <f t="shared" si="9"/>
        <v>3995.003333333334</v>
      </c>
      <c r="K95" s="3">
        <f t="shared" si="10"/>
        <v>1198.5010000000002</v>
      </c>
      <c r="L95" s="3">
        <f t="shared" si="11"/>
        <v>410.83333333333343</v>
      </c>
      <c r="M95" s="3">
        <v>50</v>
      </c>
      <c r="N95" s="3">
        <f t="shared" si="17"/>
        <v>1198.5010000000002</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151.4989999999998</v>
      </c>
      <c r="R95" s="29"/>
    </row>
    <row r="96" spans="1:18" x14ac:dyDescent="0.25">
      <c r="A96" s="182">
        <v>45000</v>
      </c>
      <c r="B96" s="4">
        <f t="shared" si="12"/>
        <v>3750</v>
      </c>
      <c r="C96" s="4">
        <f>MAX('TANF-VIEW'!L99,'TANF-VIEW'!T99)</f>
        <v>0</v>
      </c>
      <c r="D96" s="4">
        <f>'Total income package'!$D$80</f>
        <v>0</v>
      </c>
      <c r="E96" s="4">
        <f>'Total income package'!$H$61+'Total income package'!$F$66</f>
        <v>400</v>
      </c>
      <c r="F96" s="4">
        <f t="shared" si="13"/>
        <v>4150</v>
      </c>
      <c r="G96" s="181" t="str">
        <f t="shared" si="14"/>
        <v>Yes</v>
      </c>
      <c r="H96" s="3">
        <f t="shared" si="15"/>
        <v>80</v>
      </c>
      <c r="I96" s="3">
        <f t="shared" si="16"/>
        <v>33.33</v>
      </c>
      <c r="J96" s="3">
        <f t="shared" si="9"/>
        <v>4036.67</v>
      </c>
      <c r="K96" s="3">
        <f t="shared" si="10"/>
        <v>1211.001</v>
      </c>
      <c r="L96" s="3">
        <f t="shared" si="11"/>
        <v>415</v>
      </c>
      <c r="M96" s="3">
        <v>50</v>
      </c>
      <c r="N96" s="3">
        <f t="shared" si="17"/>
        <v>1211.001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138.99900000000002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400</v>
      </c>
      <c r="F97" s="4">
        <f t="shared" si="13"/>
        <v>4191.6666666666661</v>
      </c>
      <c r="G97" s="181" t="str">
        <f t="shared" si="14"/>
        <v>Yes</v>
      </c>
      <c r="H97" s="3">
        <f t="shared" si="15"/>
        <v>80</v>
      </c>
      <c r="I97" s="3">
        <f t="shared" si="16"/>
        <v>33.33</v>
      </c>
      <c r="J97" s="3">
        <f t="shared" si="9"/>
        <v>4078.3366666666661</v>
      </c>
      <c r="K97" s="3">
        <f t="shared" si="10"/>
        <v>1223.5009999999997</v>
      </c>
      <c r="L97" s="3">
        <f t="shared" si="11"/>
        <v>419.16666666666663</v>
      </c>
      <c r="M97" s="3">
        <v>50</v>
      </c>
      <c r="N97" s="3">
        <f t="shared" si="17"/>
        <v>1223.5009999999997</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126.49900000000025</v>
      </c>
      <c r="R97" s="29"/>
    </row>
    <row r="98" spans="1:18" x14ac:dyDescent="0.25">
      <c r="A98" s="182">
        <v>46000</v>
      </c>
      <c r="B98" s="4">
        <f t="shared" si="12"/>
        <v>3833.3333333333335</v>
      </c>
      <c r="C98" s="4">
        <f>MAX('TANF-VIEW'!L101,'TANF-VIEW'!T101)</f>
        <v>0</v>
      </c>
      <c r="D98" s="4">
        <f>'Total income package'!$D$80</f>
        <v>0</v>
      </c>
      <c r="E98" s="4">
        <f>'Total income package'!$H$61+'Total income package'!$F$66</f>
        <v>400</v>
      </c>
      <c r="F98" s="4">
        <f t="shared" si="13"/>
        <v>4233.3333333333339</v>
      </c>
      <c r="G98" s="181" t="str">
        <f t="shared" si="14"/>
        <v>Yes</v>
      </c>
      <c r="H98" s="3">
        <f t="shared" si="15"/>
        <v>80</v>
      </c>
      <c r="I98" s="3">
        <f t="shared" si="16"/>
        <v>33.33</v>
      </c>
      <c r="J98" s="3">
        <f t="shared" si="9"/>
        <v>4120.003333333334</v>
      </c>
      <c r="K98" s="3">
        <f t="shared" si="10"/>
        <v>1236.0010000000002</v>
      </c>
      <c r="L98" s="3">
        <f t="shared" si="11"/>
        <v>423.33333333333343</v>
      </c>
      <c r="M98" s="3">
        <v>50</v>
      </c>
      <c r="N98" s="3">
        <f t="shared" si="17"/>
        <v>1236.0010000000002</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113.9989999999998</v>
      </c>
      <c r="R98" s="29"/>
    </row>
    <row r="99" spans="1:18" x14ac:dyDescent="0.25">
      <c r="A99" s="182">
        <v>46500</v>
      </c>
      <c r="B99" s="4">
        <f t="shared" si="12"/>
        <v>3875</v>
      </c>
      <c r="C99" s="4">
        <f>MAX('TANF-VIEW'!L102,'TANF-VIEW'!T102)</f>
        <v>0</v>
      </c>
      <c r="D99" s="4">
        <f>'Total income package'!$D$80</f>
        <v>0</v>
      </c>
      <c r="E99" s="4">
        <f>'Total income package'!$H$61+'Total income package'!$F$66</f>
        <v>400</v>
      </c>
      <c r="F99" s="4">
        <f t="shared" si="13"/>
        <v>4275</v>
      </c>
      <c r="G99" s="181" t="str">
        <f t="shared" si="14"/>
        <v>Yes</v>
      </c>
      <c r="H99" s="3">
        <f t="shared" si="15"/>
        <v>80</v>
      </c>
      <c r="I99" s="3">
        <f t="shared" si="16"/>
        <v>33.33</v>
      </c>
      <c r="J99" s="3">
        <f t="shared" si="9"/>
        <v>4161.67</v>
      </c>
      <c r="K99" s="3">
        <f t="shared" si="10"/>
        <v>1248.501</v>
      </c>
      <c r="L99" s="3">
        <f t="shared" si="11"/>
        <v>427.5</v>
      </c>
      <c r="M99" s="3">
        <v>50</v>
      </c>
      <c r="N99" s="3">
        <f t="shared" si="17"/>
        <v>1248.501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101.49900000000002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400</v>
      </c>
      <c r="F100" s="4">
        <f t="shared" si="13"/>
        <v>4316.6666666666661</v>
      </c>
      <c r="G100" s="181" t="str">
        <f t="shared" si="14"/>
        <v>Yes</v>
      </c>
      <c r="H100" s="3">
        <f t="shared" si="15"/>
        <v>80</v>
      </c>
      <c r="I100" s="3">
        <f t="shared" si="16"/>
        <v>33.33</v>
      </c>
      <c r="J100" s="3">
        <f t="shared" si="9"/>
        <v>4203.3366666666661</v>
      </c>
      <c r="K100" s="3">
        <f t="shared" si="10"/>
        <v>1261.0009999999997</v>
      </c>
      <c r="L100" s="3">
        <f t="shared" si="11"/>
        <v>431.66666666666663</v>
      </c>
      <c r="M100" s="3">
        <v>50</v>
      </c>
      <c r="N100" s="3">
        <f t="shared" si="17"/>
        <v>1261.0009999999997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88.999000000000251</v>
      </c>
      <c r="R100" s="29"/>
    </row>
    <row r="101" spans="1:18" x14ac:dyDescent="0.25">
      <c r="A101" s="182">
        <v>47500</v>
      </c>
      <c r="B101" s="4">
        <f t="shared" si="12"/>
        <v>3958.3333333333335</v>
      </c>
      <c r="C101" s="4">
        <f>MAX('TANF-VIEW'!L104,'TANF-VIEW'!T104)</f>
        <v>0</v>
      </c>
      <c r="D101" s="4">
        <f>'Total income package'!$D$80</f>
        <v>0</v>
      </c>
      <c r="E101" s="4">
        <f>'Total income package'!$H$61+'Total income package'!$F$66</f>
        <v>400</v>
      </c>
      <c r="F101" s="4">
        <f t="shared" si="13"/>
        <v>4358.3333333333339</v>
      </c>
      <c r="G101" s="181" t="str">
        <f t="shared" si="14"/>
        <v>Yes</v>
      </c>
      <c r="H101" s="3">
        <f t="shared" si="15"/>
        <v>80</v>
      </c>
      <c r="I101" s="3">
        <f t="shared" si="16"/>
        <v>33.33</v>
      </c>
      <c r="J101" s="3">
        <f t="shared" si="9"/>
        <v>4245.003333333334</v>
      </c>
      <c r="K101" s="3">
        <f t="shared" si="10"/>
        <v>1273.5010000000002</v>
      </c>
      <c r="L101" s="3">
        <f t="shared" si="11"/>
        <v>435.83333333333343</v>
      </c>
      <c r="M101" s="3">
        <v>50</v>
      </c>
      <c r="N101" s="3">
        <f t="shared" si="17"/>
        <v>1273.5010000000002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76.498999999999796</v>
      </c>
      <c r="R101" s="29"/>
    </row>
    <row r="102" spans="1:18" x14ac:dyDescent="0.25">
      <c r="A102" s="182">
        <v>48000</v>
      </c>
      <c r="B102" s="4">
        <f t="shared" si="12"/>
        <v>4000</v>
      </c>
      <c r="C102" s="4">
        <f>MAX('TANF-VIEW'!L105,'TANF-VIEW'!T105)</f>
        <v>0</v>
      </c>
      <c r="D102" s="4">
        <f>'Total income package'!$D$80</f>
        <v>0</v>
      </c>
      <c r="E102" s="4">
        <f>'Total income package'!$H$61+'Total income package'!$F$66</f>
        <v>400</v>
      </c>
      <c r="F102" s="4">
        <f t="shared" si="13"/>
        <v>4400</v>
      </c>
      <c r="G102" s="181" t="str">
        <f t="shared" si="14"/>
        <v>Yes</v>
      </c>
      <c r="H102" s="3">
        <f t="shared" si="15"/>
        <v>80</v>
      </c>
      <c r="I102" s="3">
        <f t="shared" si="16"/>
        <v>33.33</v>
      </c>
      <c r="J102" s="3">
        <f t="shared" si="9"/>
        <v>4286.67</v>
      </c>
      <c r="K102" s="3">
        <f t="shared" si="10"/>
        <v>1286.001</v>
      </c>
      <c r="L102" s="3">
        <f t="shared" si="11"/>
        <v>440</v>
      </c>
      <c r="M102" s="3">
        <v>50</v>
      </c>
      <c r="N102" s="3">
        <f t="shared" si="17"/>
        <v>1286.001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63.999000000000024</v>
      </c>
      <c r="R102" s="29"/>
    </row>
    <row r="103" spans="1:18" x14ac:dyDescent="0.25">
      <c r="A103" s="182">
        <v>48500</v>
      </c>
      <c r="B103" s="4">
        <f t="shared" si="12"/>
        <v>4041.6666666666665</v>
      </c>
      <c r="C103" s="4">
        <f>MAX('TANF-VIEW'!L106,'TANF-VIEW'!T106)</f>
        <v>0</v>
      </c>
      <c r="D103" s="4">
        <f>'Total income package'!$D$80</f>
        <v>0</v>
      </c>
      <c r="E103" s="4">
        <f>'Total income package'!$H$61+'Total income package'!$F$66</f>
        <v>400</v>
      </c>
      <c r="F103" s="4">
        <f t="shared" si="13"/>
        <v>4441.6666666666661</v>
      </c>
      <c r="G103" s="181" t="str">
        <f t="shared" si="14"/>
        <v>Yes</v>
      </c>
      <c r="H103" s="3">
        <f t="shared" si="15"/>
        <v>80</v>
      </c>
      <c r="I103" s="3">
        <f t="shared" si="16"/>
        <v>33.33</v>
      </c>
      <c r="J103" s="3">
        <f t="shared" si="9"/>
        <v>4328.3366666666661</v>
      </c>
      <c r="K103" s="3">
        <f t="shared" si="10"/>
        <v>1298.5009999999997</v>
      </c>
      <c r="L103" s="3">
        <f t="shared" si="11"/>
        <v>444.16666666666663</v>
      </c>
      <c r="M103" s="3">
        <v>50</v>
      </c>
      <c r="N103" s="3">
        <f t="shared" si="17"/>
        <v>1298.5009999999997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51.499000000000251</v>
      </c>
      <c r="R103" s="29"/>
    </row>
    <row r="104" spans="1:18" x14ac:dyDescent="0.25">
      <c r="A104" s="182">
        <v>49000</v>
      </c>
      <c r="B104" s="4">
        <f t="shared" si="12"/>
        <v>4083.3333333333335</v>
      </c>
      <c r="C104" s="4">
        <f>MAX('TANF-VIEW'!L107,'TANF-VIEW'!T107)</f>
        <v>0</v>
      </c>
      <c r="D104" s="4">
        <f>'Total income package'!$D$80</f>
        <v>0</v>
      </c>
      <c r="E104" s="4">
        <f>'Total income package'!$H$61+'Total income package'!$F$66</f>
        <v>400</v>
      </c>
      <c r="F104" s="4">
        <f t="shared" si="13"/>
        <v>4483.3333333333339</v>
      </c>
      <c r="G104" s="181" t="str">
        <f t="shared" si="14"/>
        <v>Yes</v>
      </c>
      <c r="H104" s="3">
        <f t="shared" si="15"/>
        <v>80</v>
      </c>
      <c r="I104" s="3">
        <f t="shared" si="16"/>
        <v>33.33</v>
      </c>
      <c r="J104" s="3">
        <f t="shared" si="9"/>
        <v>4370.003333333334</v>
      </c>
      <c r="K104" s="3">
        <f t="shared" si="10"/>
        <v>1311.0010000000002</v>
      </c>
      <c r="L104" s="3">
        <f t="shared" si="11"/>
        <v>448.33333333333343</v>
      </c>
      <c r="M104" s="3">
        <v>50</v>
      </c>
      <c r="N104" s="3">
        <f t="shared" si="17"/>
        <v>1311.0010000000002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38.998999999999796</v>
      </c>
      <c r="R104" s="29"/>
    </row>
    <row r="105" spans="1:18" x14ac:dyDescent="0.25">
      <c r="A105" s="182">
        <v>49500</v>
      </c>
      <c r="B105" s="4">
        <f t="shared" si="12"/>
        <v>4125</v>
      </c>
      <c r="C105" s="4">
        <f>MAX('TANF-VIEW'!L108,'TANF-VIEW'!T108)</f>
        <v>0</v>
      </c>
      <c r="D105" s="4">
        <f>'Total income package'!$D$80</f>
        <v>0</v>
      </c>
      <c r="E105" s="4">
        <f>'Total income package'!$H$61+'Total income package'!$F$66</f>
        <v>400</v>
      </c>
      <c r="F105" s="4">
        <f t="shared" si="13"/>
        <v>4525</v>
      </c>
      <c r="G105" s="181" t="str">
        <f t="shared" si="14"/>
        <v>Yes</v>
      </c>
      <c r="H105" s="3">
        <f t="shared" si="15"/>
        <v>80</v>
      </c>
      <c r="I105" s="3">
        <f t="shared" si="16"/>
        <v>33.33</v>
      </c>
      <c r="J105" s="3">
        <f t="shared" si="9"/>
        <v>4411.67</v>
      </c>
      <c r="K105" s="3">
        <f t="shared" si="10"/>
        <v>1323.501</v>
      </c>
      <c r="L105" s="3">
        <f t="shared" si="11"/>
        <v>452.5</v>
      </c>
      <c r="M105" s="3">
        <v>50</v>
      </c>
      <c r="N105" s="3">
        <f t="shared" si="17"/>
        <v>1323.501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26.499000000000024</v>
      </c>
      <c r="R105" s="29"/>
    </row>
    <row r="106" spans="1:18" x14ac:dyDescent="0.25">
      <c r="A106" s="182">
        <v>50000</v>
      </c>
      <c r="B106" s="4">
        <f t="shared" si="12"/>
        <v>4166.666666666667</v>
      </c>
      <c r="C106" s="4">
        <f>MAX('TANF-VIEW'!L109,'TANF-VIEW'!T109)</f>
        <v>0</v>
      </c>
      <c r="D106" s="4">
        <f>'Total income package'!$D$80</f>
        <v>0</v>
      </c>
      <c r="E106" s="4">
        <f>'Total income package'!$H$61+'Total income package'!$F$66</f>
        <v>400</v>
      </c>
      <c r="F106" s="4">
        <f t="shared" si="13"/>
        <v>4566.666666666667</v>
      </c>
      <c r="G106" s="181" t="str">
        <f t="shared" si="14"/>
        <v>Yes</v>
      </c>
      <c r="H106" s="3">
        <f t="shared" si="15"/>
        <v>80</v>
      </c>
      <c r="I106" s="3">
        <f t="shared" si="16"/>
        <v>33.33</v>
      </c>
      <c r="J106" s="3">
        <f t="shared" si="9"/>
        <v>4453.336666666667</v>
      </c>
      <c r="K106" s="3">
        <f t="shared" si="10"/>
        <v>1336.001</v>
      </c>
      <c r="L106" s="3">
        <f t="shared" si="11"/>
        <v>456.66666666666674</v>
      </c>
      <c r="M106" s="3">
        <v>50</v>
      </c>
      <c r="N106" s="3">
        <f t="shared" si="17"/>
        <v>1336.001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13.999000000000024</v>
      </c>
      <c r="R106" s="29"/>
    </row>
    <row r="107" spans="1:18" x14ac:dyDescent="0.25">
      <c r="A107" s="182">
        <v>50500</v>
      </c>
      <c r="B107" s="4">
        <f t="shared" si="12"/>
        <v>4208.333333333333</v>
      </c>
      <c r="C107" s="4">
        <f>MAX('TANF-VIEW'!L110,'TANF-VIEW'!T110)</f>
        <v>0</v>
      </c>
      <c r="D107" s="4">
        <f>'Total income package'!$D$80</f>
        <v>0</v>
      </c>
      <c r="E107" s="4">
        <f>'Total income package'!$H$61+'Total income package'!$F$66</f>
        <v>400</v>
      </c>
      <c r="F107" s="4">
        <f t="shared" si="13"/>
        <v>4608.333333333333</v>
      </c>
      <c r="G107" s="181" t="str">
        <f t="shared" si="14"/>
        <v>Yes</v>
      </c>
      <c r="H107" s="3">
        <f t="shared" si="15"/>
        <v>80</v>
      </c>
      <c r="I107" s="3">
        <f t="shared" si="16"/>
        <v>33.33</v>
      </c>
      <c r="J107" s="3">
        <f t="shared" si="9"/>
        <v>4495.0033333333331</v>
      </c>
      <c r="K107" s="3">
        <f t="shared" si="10"/>
        <v>1348.501</v>
      </c>
      <c r="L107" s="3">
        <f t="shared" si="11"/>
        <v>460.83333333333331</v>
      </c>
      <c r="M107" s="3">
        <v>50</v>
      </c>
      <c r="N107" s="3">
        <f t="shared" ref="N107:N170" si="18">MAX(K107:M107)</f>
        <v>1348.501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1.4990000000000236</v>
      </c>
    </row>
    <row r="108" spans="1:18" x14ac:dyDescent="0.25">
      <c r="A108" s="182">
        <v>51000</v>
      </c>
      <c r="B108" s="4">
        <f t="shared" si="12"/>
        <v>4250</v>
      </c>
      <c r="C108" s="4">
        <f>MAX('TANF-VIEW'!L111,'TANF-VIEW'!T111)</f>
        <v>0</v>
      </c>
      <c r="D108" s="4">
        <f>'Total income package'!$D$80</f>
        <v>0</v>
      </c>
      <c r="E108" s="4">
        <f>'Total income package'!$H$61+'Total income package'!$F$66</f>
        <v>400</v>
      </c>
      <c r="F108" s="4">
        <f t="shared" si="13"/>
        <v>4650</v>
      </c>
      <c r="G108" s="181" t="str">
        <f t="shared" si="14"/>
        <v>Yes</v>
      </c>
      <c r="H108" s="3">
        <f t="shared" si="15"/>
        <v>80</v>
      </c>
      <c r="I108" s="3">
        <f t="shared" si="16"/>
        <v>33.33</v>
      </c>
      <c r="J108" s="3">
        <f t="shared" si="9"/>
        <v>4536.67</v>
      </c>
      <c r="K108" s="3">
        <f t="shared" si="10"/>
        <v>1361.001</v>
      </c>
      <c r="L108" s="3">
        <f t="shared" si="11"/>
        <v>465</v>
      </c>
      <c r="M108" s="3">
        <v>50</v>
      </c>
      <c r="N108" s="3">
        <f t="shared" si="18"/>
        <v>1361.001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400</v>
      </c>
      <c r="F109" s="4">
        <f t="shared" si="13"/>
        <v>4691.666666666667</v>
      </c>
      <c r="G109" s="181" t="str">
        <f t="shared" si="14"/>
        <v>Yes</v>
      </c>
      <c r="H109" s="3">
        <f t="shared" si="15"/>
        <v>80</v>
      </c>
      <c r="I109" s="3">
        <f t="shared" si="16"/>
        <v>33.33</v>
      </c>
      <c r="J109" s="3">
        <f t="shared" si="9"/>
        <v>4578.336666666667</v>
      </c>
      <c r="K109" s="3">
        <f t="shared" si="10"/>
        <v>1373.501</v>
      </c>
      <c r="L109" s="3">
        <f t="shared" si="11"/>
        <v>469.16666666666674</v>
      </c>
      <c r="M109" s="3">
        <v>50</v>
      </c>
      <c r="N109" s="3">
        <f t="shared" si="18"/>
        <v>1373.501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400</v>
      </c>
      <c r="F110" s="4">
        <f t="shared" si="13"/>
        <v>4733.333333333333</v>
      </c>
      <c r="G110" s="181" t="str">
        <f t="shared" si="14"/>
        <v>Yes</v>
      </c>
      <c r="H110" s="3">
        <f t="shared" si="15"/>
        <v>80</v>
      </c>
      <c r="I110" s="3">
        <f t="shared" si="16"/>
        <v>33.33</v>
      </c>
      <c r="J110" s="3">
        <f t="shared" si="9"/>
        <v>4620.0033333333331</v>
      </c>
      <c r="K110" s="3">
        <f t="shared" si="10"/>
        <v>1386.001</v>
      </c>
      <c r="L110" s="3">
        <f t="shared" si="11"/>
        <v>473.33333333333331</v>
      </c>
      <c r="M110" s="3">
        <v>50</v>
      </c>
      <c r="N110" s="3">
        <f t="shared" si="18"/>
        <v>1386.001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400</v>
      </c>
      <c r="F111" s="4">
        <f t="shared" si="13"/>
        <v>4775</v>
      </c>
      <c r="G111" s="181" t="str">
        <f t="shared" si="14"/>
        <v>Yes</v>
      </c>
      <c r="H111" s="3">
        <f t="shared" si="15"/>
        <v>80</v>
      </c>
      <c r="I111" s="3">
        <f t="shared" si="16"/>
        <v>33.33</v>
      </c>
      <c r="J111" s="3">
        <f t="shared" si="9"/>
        <v>4661.67</v>
      </c>
      <c r="K111" s="3">
        <f t="shared" si="10"/>
        <v>1398.501</v>
      </c>
      <c r="L111" s="3">
        <f t="shared" si="11"/>
        <v>477.5</v>
      </c>
      <c r="M111" s="3">
        <v>50</v>
      </c>
      <c r="N111" s="3">
        <f t="shared" si="18"/>
        <v>1398.501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400</v>
      </c>
      <c r="F112" s="4">
        <f t="shared" si="13"/>
        <v>4816.666666666667</v>
      </c>
      <c r="G112" s="181" t="str">
        <f t="shared" si="14"/>
        <v>Yes</v>
      </c>
      <c r="H112" s="3">
        <f t="shared" si="15"/>
        <v>80</v>
      </c>
      <c r="I112" s="3">
        <f t="shared" si="16"/>
        <v>33.33</v>
      </c>
      <c r="J112" s="3">
        <f t="shared" si="9"/>
        <v>4703.336666666667</v>
      </c>
      <c r="K112" s="3">
        <f t="shared" si="10"/>
        <v>1411.001</v>
      </c>
      <c r="L112" s="3">
        <f t="shared" si="11"/>
        <v>481.66666666666674</v>
      </c>
      <c r="M112" s="3">
        <v>50</v>
      </c>
      <c r="N112" s="3">
        <f t="shared" si="18"/>
        <v>1411.001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400</v>
      </c>
      <c r="F113" s="4">
        <f t="shared" si="13"/>
        <v>4858.333333333333</v>
      </c>
      <c r="G113" s="181" t="str">
        <f t="shared" si="14"/>
        <v>Yes</v>
      </c>
      <c r="H113" s="3">
        <f t="shared" si="15"/>
        <v>80</v>
      </c>
      <c r="I113" s="3">
        <f t="shared" si="16"/>
        <v>33.33</v>
      </c>
      <c r="J113" s="3">
        <f t="shared" si="9"/>
        <v>4745.0033333333331</v>
      </c>
      <c r="K113" s="3">
        <f t="shared" si="10"/>
        <v>1423.501</v>
      </c>
      <c r="L113" s="3">
        <f t="shared" si="11"/>
        <v>485.83333333333331</v>
      </c>
      <c r="M113" s="3">
        <v>50</v>
      </c>
      <c r="N113" s="3">
        <f t="shared" si="18"/>
        <v>1423.501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400</v>
      </c>
      <c r="F114" s="4">
        <f t="shared" si="13"/>
        <v>4900</v>
      </c>
      <c r="G114" s="181" t="str">
        <f t="shared" si="14"/>
        <v>Yes</v>
      </c>
      <c r="H114" s="3">
        <f t="shared" si="15"/>
        <v>80</v>
      </c>
      <c r="I114" s="3">
        <f t="shared" si="16"/>
        <v>33.33</v>
      </c>
      <c r="J114" s="3">
        <f t="shared" si="9"/>
        <v>4786.67</v>
      </c>
      <c r="K114" s="3">
        <f t="shared" si="10"/>
        <v>1436.001</v>
      </c>
      <c r="L114" s="3">
        <f t="shared" si="11"/>
        <v>490</v>
      </c>
      <c r="M114" s="3">
        <v>50</v>
      </c>
      <c r="N114" s="3">
        <f t="shared" si="18"/>
        <v>1436.001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400</v>
      </c>
      <c r="F115" s="4">
        <f t="shared" si="13"/>
        <v>4941.666666666667</v>
      </c>
      <c r="G115" s="181" t="str">
        <f t="shared" si="14"/>
        <v>Yes</v>
      </c>
      <c r="H115" s="3">
        <f t="shared" si="15"/>
        <v>80</v>
      </c>
      <c r="I115" s="3">
        <f t="shared" si="16"/>
        <v>33.33</v>
      </c>
      <c r="J115" s="3">
        <f t="shared" si="9"/>
        <v>4828.336666666667</v>
      </c>
      <c r="K115" s="3">
        <f t="shared" si="10"/>
        <v>1448.501</v>
      </c>
      <c r="L115" s="3">
        <f t="shared" si="11"/>
        <v>494.16666666666674</v>
      </c>
      <c r="M115" s="3">
        <v>50</v>
      </c>
      <c r="N115" s="3">
        <f t="shared" si="18"/>
        <v>1448.501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400</v>
      </c>
      <c r="F116" s="4">
        <f t="shared" si="13"/>
        <v>4983.333333333333</v>
      </c>
      <c r="G116" s="181" t="str">
        <f t="shared" si="14"/>
        <v>Yes</v>
      </c>
      <c r="H116" s="3">
        <f t="shared" si="15"/>
        <v>80</v>
      </c>
      <c r="I116" s="3">
        <f t="shared" si="16"/>
        <v>33.33</v>
      </c>
      <c r="J116" s="3">
        <f t="shared" si="9"/>
        <v>4870.0033333333331</v>
      </c>
      <c r="K116" s="3">
        <f t="shared" si="10"/>
        <v>1461.001</v>
      </c>
      <c r="L116" s="3">
        <f t="shared" si="11"/>
        <v>498.33333333333331</v>
      </c>
      <c r="M116" s="3">
        <v>50</v>
      </c>
      <c r="N116" s="3">
        <f t="shared" si="18"/>
        <v>1461.001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400</v>
      </c>
      <c r="F117" s="4">
        <f t="shared" si="13"/>
        <v>5025</v>
      </c>
      <c r="G117" s="181" t="str">
        <f t="shared" si="14"/>
        <v>Yes</v>
      </c>
      <c r="H117" s="3">
        <f t="shared" si="15"/>
        <v>80</v>
      </c>
      <c r="I117" s="3">
        <f t="shared" si="16"/>
        <v>33.33</v>
      </c>
      <c r="J117" s="3">
        <f t="shared" si="9"/>
        <v>4911.67</v>
      </c>
      <c r="K117" s="3">
        <f t="shared" si="10"/>
        <v>1473.501</v>
      </c>
      <c r="L117" s="3">
        <f t="shared" si="11"/>
        <v>502.5</v>
      </c>
      <c r="M117" s="3">
        <v>50</v>
      </c>
      <c r="N117" s="3">
        <f t="shared" si="18"/>
        <v>1473.501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400</v>
      </c>
      <c r="F118" s="4">
        <f t="shared" si="13"/>
        <v>5066.666666666667</v>
      </c>
      <c r="G118" s="181" t="str">
        <f t="shared" si="14"/>
        <v>Yes</v>
      </c>
      <c r="H118" s="3">
        <f t="shared" si="15"/>
        <v>80</v>
      </c>
      <c r="I118" s="3">
        <f t="shared" si="16"/>
        <v>33.33</v>
      </c>
      <c r="J118" s="3">
        <f t="shared" si="9"/>
        <v>4953.336666666667</v>
      </c>
      <c r="K118" s="3">
        <f t="shared" si="10"/>
        <v>1486.001</v>
      </c>
      <c r="L118" s="3">
        <f t="shared" si="11"/>
        <v>506.66666666666674</v>
      </c>
      <c r="M118" s="3">
        <v>50</v>
      </c>
      <c r="N118" s="3">
        <f t="shared" si="18"/>
        <v>1486.001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400</v>
      </c>
      <c r="F119" s="4">
        <f t="shared" si="13"/>
        <v>5108.333333333333</v>
      </c>
      <c r="G119" s="181" t="str">
        <f t="shared" si="14"/>
        <v>Yes</v>
      </c>
      <c r="H119" s="3">
        <f t="shared" si="15"/>
        <v>80</v>
      </c>
      <c r="I119" s="3">
        <f t="shared" si="16"/>
        <v>33.33</v>
      </c>
      <c r="J119" s="3">
        <f t="shared" si="9"/>
        <v>4995.0033333333331</v>
      </c>
      <c r="K119" s="3">
        <f t="shared" si="10"/>
        <v>1498.501</v>
      </c>
      <c r="L119" s="3">
        <f t="shared" si="11"/>
        <v>510.83333333333331</v>
      </c>
      <c r="M119" s="3">
        <v>50</v>
      </c>
      <c r="N119" s="3">
        <f t="shared" si="18"/>
        <v>1498.501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400</v>
      </c>
      <c r="F120" s="4">
        <f t="shared" si="13"/>
        <v>5150</v>
      </c>
      <c r="G120" s="181" t="str">
        <f t="shared" si="14"/>
        <v>Yes</v>
      </c>
      <c r="H120" s="3">
        <f t="shared" si="15"/>
        <v>80</v>
      </c>
      <c r="I120" s="3">
        <f t="shared" si="16"/>
        <v>33.33</v>
      </c>
      <c r="J120" s="3">
        <f t="shared" si="9"/>
        <v>5036.67</v>
      </c>
      <c r="K120" s="3">
        <f t="shared" si="10"/>
        <v>1511.001</v>
      </c>
      <c r="L120" s="3">
        <f t="shared" si="11"/>
        <v>515</v>
      </c>
      <c r="M120" s="3">
        <v>50</v>
      </c>
      <c r="N120" s="3">
        <f t="shared" si="18"/>
        <v>1511.001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400</v>
      </c>
      <c r="F121" s="4">
        <f t="shared" si="13"/>
        <v>5191.666666666667</v>
      </c>
      <c r="G121" s="181" t="str">
        <f t="shared" si="14"/>
        <v>Yes</v>
      </c>
      <c r="H121" s="3">
        <f t="shared" si="15"/>
        <v>80</v>
      </c>
      <c r="I121" s="3">
        <f t="shared" si="16"/>
        <v>33.33</v>
      </c>
      <c r="J121" s="3">
        <f t="shared" si="9"/>
        <v>5078.336666666667</v>
      </c>
      <c r="K121" s="3">
        <f t="shared" si="10"/>
        <v>1523.501</v>
      </c>
      <c r="L121" s="3">
        <f t="shared" si="11"/>
        <v>519.16666666666674</v>
      </c>
      <c r="M121" s="3">
        <v>50</v>
      </c>
      <c r="N121" s="3">
        <f t="shared" si="18"/>
        <v>1523.501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400</v>
      </c>
      <c r="F122" s="4">
        <f t="shared" si="13"/>
        <v>5233.333333333333</v>
      </c>
      <c r="G122" s="181" t="str">
        <f t="shared" si="14"/>
        <v>Yes</v>
      </c>
      <c r="H122" s="3">
        <f t="shared" si="15"/>
        <v>80</v>
      </c>
      <c r="I122" s="3">
        <f t="shared" si="16"/>
        <v>33.33</v>
      </c>
      <c r="J122" s="3">
        <f t="shared" si="9"/>
        <v>5120.0033333333331</v>
      </c>
      <c r="K122" s="3">
        <f t="shared" si="10"/>
        <v>1536.001</v>
      </c>
      <c r="L122" s="3">
        <f t="shared" si="11"/>
        <v>523.33333333333337</v>
      </c>
      <c r="M122" s="3">
        <v>50</v>
      </c>
      <c r="N122" s="3">
        <f t="shared" si="18"/>
        <v>1536.001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400</v>
      </c>
      <c r="F123" s="4">
        <f t="shared" si="13"/>
        <v>5275</v>
      </c>
      <c r="G123" s="181" t="str">
        <f t="shared" si="14"/>
        <v>Yes</v>
      </c>
      <c r="H123" s="3">
        <f t="shared" si="15"/>
        <v>80</v>
      </c>
      <c r="I123" s="3">
        <f t="shared" si="16"/>
        <v>33.33</v>
      </c>
      <c r="J123" s="3">
        <f t="shared" si="9"/>
        <v>5161.67</v>
      </c>
      <c r="K123" s="3">
        <f t="shared" si="10"/>
        <v>1548.501</v>
      </c>
      <c r="L123" s="3">
        <f t="shared" si="11"/>
        <v>527.5</v>
      </c>
      <c r="M123" s="3">
        <v>50</v>
      </c>
      <c r="N123" s="3">
        <f t="shared" si="18"/>
        <v>1548.501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400</v>
      </c>
      <c r="F124" s="4">
        <f t="shared" si="13"/>
        <v>5316.666666666667</v>
      </c>
      <c r="G124" s="181" t="str">
        <f t="shared" si="14"/>
        <v>Yes</v>
      </c>
      <c r="H124" s="3">
        <f t="shared" si="15"/>
        <v>80</v>
      </c>
      <c r="I124" s="3">
        <f t="shared" si="16"/>
        <v>33.33</v>
      </c>
      <c r="J124" s="3">
        <f t="shared" si="9"/>
        <v>5203.336666666667</v>
      </c>
      <c r="K124" s="3">
        <f t="shared" si="10"/>
        <v>1561.001</v>
      </c>
      <c r="L124" s="3">
        <f t="shared" si="11"/>
        <v>531.66666666666674</v>
      </c>
      <c r="M124" s="3">
        <v>50</v>
      </c>
      <c r="N124" s="3">
        <f t="shared" si="18"/>
        <v>1561.001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400</v>
      </c>
      <c r="F125" s="4">
        <f t="shared" si="13"/>
        <v>5358.333333333333</v>
      </c>
      <c r="G125" s="181" t="str">
        <f t="shared" si="14"/>
        <v>Yes</v>
      </c>
      <c r="H125" s="3">
        <f t="shared" si="15"/>
        <v>80</v>
      </c>
      <c r="I125" s="3">
        <f t="shared" si="16"/>
        <v>33.33</v>
      </c>
      <c r="J125" s="3">
        <f t="shared" si="9"/>
        <v>5245.0033333333331</v>
      </c>
      <c r="K125" s="3">
        <f t="shared" si="10"/>
        <v>1573.501</v>
      </c>
      <c r="L125" s="3">
        <f t="shared" si="11"/>
        <v>535.83333333333337</v>
      </c>
      <c r="M125" s="3">
        <v>50</v>
      </c>
      <c r="N125" s="3">
        <f t="shared" si="18"/>
        <v>1573.501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400</v>
      </c>
      <c r="F126" s="4">
        <f t="shared" si="13"/>
        <v>5400</v>
      </c>
      <c r="G126" s="181" t="str">
        <f t="shared" si="14"/>
        <v>Yes</v>
      </c>
      <c r="H126" s="3">
        <f t="shared" si="15"/>
        <v>80</v>
      </c>
      <c r="I126" s="3">
        <f t="shared" si="16"/>
        <v>33.33</v>
      </c>
      <c r="J126" s="3">
        <f t="shared" si="9"/>
        <v>5286.67</v>
      </c>
      <c r="K126" s="3">
        <f t="shared" si="10"/>
        <v>1586.001</v>
      </c>
      <c r="L126" s="3">
        <f t="shared" si="11"/>
        <v>540</v>
      </c>
      <c r="M126" s="3">
        <v>50</v>
      </c>
      <c r="N126" s="3">
        <f t="shared" si="18"/>
        <v>1586.001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400</v>
      </c>
      <c r="F127" s="4">
        <f t="shared" si="13"/>
        <v>5441.666666666667</v>
      </c>
      <c r="G127" s="181" t="str">
        <f t="shared" si="14"/>
        <v>Yes</v>
      </c>
      <c r="H127" s="3">
        <f t="shared" si="15"/>
        <v>80</v>
      </c>
      <c r="I127" s="3">
        <f t="shared" si="16"/>
        <v>33.33</v>
      </c>
      <c r="J127" s="3">
        <f t="shared" si="9"/>
        <v>5328.336666666667</v>
      </c>
      <c r="K127" s="3">
        <f t="shared" si="10"/>
        <v>1598.501</v>
      </c>
      <c r="L127" s="3">
        <f t="shared" si="11"/>
        <v>544.16666666666674</v>
      </c>
      <c r="M127" s="3">
        <v>50</v>
      </c>
      <c r="N127" s="3">
        <f t="shared" si="18"/>
        <v>1598.501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400</v>
      </c>
      <c r="F128" s="4">
        <f t="shared" si="13"/>
        <v>5483.333333333333</v>
      </c>
      <c r="G128" s="181" t="str">
        <f t="shared" si="14"/>
        <v>Yes</v>
      </c>
      <c r="H128" s="3">
        <f t="shared" si="15"/>
        <v>80</v>
      </c>
      <c r="I128" s="3">
        <f t="shared" si="16"/>
        <v>33.33</v>
      </c>
      <c r="J128" s="3">
        <f t="shared" si="9"/>
        <v>5370.0033333333331</v>
      </c>
      <c r="K128" s="3">
        <f t="shared" si="10"/>
        <v>1611.001</v>
      </c>
      <c r="L128" s="3">
        <f t="shared" si="11"/>
        <v>548.33333333333337</v>
      </c>
      <c r="M128" s="3">
        <v>50</v>
      </c>
      <c r="N128" s="3">
        <f t="shared" si="18"/>
        <v>1611.001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400</v>
      </c>
      <c r="F129" s="4">
        <f t="shared" si="13"/>
        <v>5525</v>
      </c>
      <c r="G129" s="181" t="str">
        <f t="shared" si="14"/>
        <v>Yes</v>
      </c>
      <c r="H129" s="3">
        <f t="shared" si="15"/>
        <v>80</v>
      </c>
      <c r="I129" s="3">
        <f t="shared" si="16"/>
        <v>33.33</v>
      </c>
      <c r="J129" s="3">
        <f t="shared" si="9"/>
        <v>5411.67</v>
      </c>
      <c r="K129" s="3">
        <f t="shared" si="10"/>
        <v>1623.501</v>
      </c>
      <c r="L129" s="3">
        <f t="shared" si="11"/>
        <v>552.5</v>
      </c>
      <c r="M129" s="3">
        <v>50</v>
      </c>
      <c r="N129" s="3">
        <f t="shared" si="18"/>
        <v>1623.501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400</v>
      </c>
      <c r="F130" s="4">
        <f t="shared" si="13"/>
        <v>5566.666666666667</v>
      </c>
      <c r="G130" s="181" t="str">
        <f t="shared" si="14"/>
        <v>Yes</v>
      </c>
      <c r="H130" s="3">
        <f t="shared" si="15"/>
        <v>80</v>
      </c>
      <c r="I130" s="3">
        <f t="shared" si="16"/>
        <v>33.33</v>
      </c>
      <c r="J130" s="3">
        <f t="shared" si="9"/>
        <v>5453.336666666667</v>
      </c>
      <c r="K130" s="3">
        <f t="shared" si="10"/>
        <v>1636.001</v>
      </c>
      <c r="L130" s="3">
        <f t="shared" si="11"/>
        <v>556.66666666666674</v>
      </c>
      <c r="M130" s="3">
        <v>50</v>
      </c>
      <c r="N130" s="3">
        <f t="shared" si="18"/>
        <v>1636.001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400</v>
      </c>
      <c r="F131" s="4">
        <f t="shared" si="13"/>
        <v>5608.333333333333</v>
      </c>
      <c r="G131" s="181" t="str">
        <f t="shared" si="14"/>
        <v>Yes</v>
      </c>
      <c r="H131" s="3">
        <f t="shared" si="15"/>
        <v>80</v>
      </c>
      <c r="I131" s="3">
        <f t="shared" si="16"/>
        <v>33.33</v>
      </c>
      <c r="J131" s="3">
        <f t="shared" si="9"/>
        <v>5495.0033333333331</v>
      </c>
      <c r="K131" s="3">
        <f t="shared" si="10"/>
        <v>1648.501</v>
      </c>
      <c r="L131" s="3">
        <f t="shared" si="11"/>
        <v>560.83333333333337</v>
      </c>
      <c r="M131" s="3">
        <v>50</v>
      </c>
      <c r="N131" s="3">
        <f t="shared" si="18"/>
        <v>1648.501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400</v>
      </c>
      <c r="F132" s="4">
        <f t="shared" si="13"/>
        <v>5650</v>
      </c>
      <c r="G132" s="181" t="str">
        <f t="shared" si="14"/>
        <v>No</v>
      </c>
      <c r="H132" s="3">
        <f t="shared" si="15"/>
        <v>80</v>
      </c>
      <c r="I132" s="3">
        <f t="shared" si="16"/>
        <v>33.33</v>
      </c>
      <c r="J132" s="3">
        <f t="shared" si="9"/>
        <v>5536.67</v>
      </c>
      <c r="K132" s="3">
        <f t="shared" si="10"/>
        <v>1661.001</v>
      </c>
      <c r="L132" s="3">
        <f t="shared" si="11"/>
        <v>565</v>
      </c>
      <c r="M132" s="3">
        <v>50</v>
      </c>
      <c r="N132" s="3">
        <f t="shared" si="18"/>
        <v>1661.001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400</v>
      </c>
      <c r="F133" s="4">
        <f t="shared" si="13"/>
        <v>5691.666666666667</v>
      </c>
      <c r="G133" s="181" t="str">
        <f t="shared" si="14"/>
        <v>No</v>
      </c>
      <c r="H133" s="3">
        <f t="shared" si="15"/>
        <v>80</v>
      </c>
      <c r="I133" s="3">
        <f t="shared" si="16"/>
        <v>33.33</v>
      </c>
      <c r="J133" s="3">
        <f t="shared" si="9"/>
        <v>5578.336666666667</v>
      </c>
      <c r="K133" s="3">
        <f t="shared" si="10"/>
        <v>1673.501</v>
      </c>
      <c r="L133" s="3">
        <f t="shared" si="11"/>
        <v>569.16666666666674</v>
      </c>
      <c r="M133" s="3">
        <v>50</v>
      </c>
      <c r="N133" s="3">
        <f t="shared" si="18"/>
        <v>1673.501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400</v>
      </c>
      <c r="F134" s="4">
        <f t="shared" si="13"/>
        <v>5733.333333333333</v>
      </c>
      <c r="G134" s="181" t="str">
        <f t="shared" si="14"/>
        <v>No</v>
      </c>
      <c r="H134" s="3">
        <f t="shared" si="15"/>
        <v>80</v>
      </c>
      <c r="I134" s="3">
        <f t="shared" si="16"/>
        <v>33.33</v>
      </c>
      <c r="J134" s="3">
        <f t="shared" ref="J134:J197" si="19">IF(F134-H134-I134&lt;0,0,F134-H134-I134)</f>
        <v>5620.0033333333331</v>
      </c>
      <c r="K134" s="3">
        <f t="shared" ref="K134:K197" si="20">J134*0.3</f>
        <v>1686.001</v>
      </c>
      <c r="L134" s="3">
        <f t="shared" ref="L134:L197" si="21">F134*0.1</f>
        <v>573.33333333333337</v>
      </c>
      <c r="M134" s="3">
        <v>50</v>
      </c>
      <c r="N134" s="3">
        <f t="shared" si="18"/>
        <v>1686.001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400</v>
      </c>
      <c r="F135" s="4">
        <f t="shared" ref="F135:F198" si="23">B135+C135+D135+E135</f>
        <v>5775</v>
      </c>
      <c r="G135" s="181" t="str">
        <f t="shared" ref="G135:G198" si="24">IF(F135&lt;$L$2,"Yes","No")</f>
        <v>No</v>
      </c>
      <c r="H135" s="3">
        <f t="shared" ref="H135:H198" si="25">40*($D$2+$I$2)</f>
        <v>80</v>
      </c>
      <c r="I135" s="3">
        <f t="shared" ref="I135:I198" si="26">IF($H$2+$I$2&gt;0,33.33,0)</f>
        <v>33.33</v>
      </c>
      <c r="J135" s="3">
        <f t="shared" si="19"/>
        <v>5661.67</v>
      </c>
      <c r="K135" s="3">
        <f t="shared" si="20"/>
        <v>1698.501</v>
      </c>
      <c r="L135" s="3">
        <f t="shared" si="21"/>
        <v>577.5</v>
      </c>
      <c r="M135" s="3">
        <v>50</v>
      </c>
      <c r="N135" s="3">
        <f t="shared" si="18"/>
        <v>1698.501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400</v>
      </c>
      <c r="F136" s="4">
        <f t="shared" si="23"/>
        <v>5816.666666666667</v>
      </c>
      <c r="G136" s="181" t="str">
        <f t="shared" si="24"/>
        <v>No</v>
      </c>
      <c r="H136" s="3">
        <f t="shared" si="25"/>
        <v>80</v>
      </c>
      <c r="I136" s="3">
        <f t="shared" si="26"/>
        <v>33.33</v>
      </c>
      <c r="J136" s="3">
        <f t="shared" si="19"/>
        <v>5703.336666666667</v>
      </c>
      <c r="K136" s="3">
        <f t="shared" si="20"/>
        <v>1711.001</v>
      </c>
      <c r="L136" s="3">
        <f t="shared" si="21"/>
        <v>581.66666666666674</v>
      </c>
      <c r="M136" s="3">
        <v>50</v>
      </c>
      <c r="N136" s="3">
        <f t="shared" si="18"/>
        <v>1711.001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400</v>
      </c>
      <c r="F137" s="4">
        <f t="shared" si="23"/>
        <v>5858.333333333333</v>
      </c>
      <c r="G137" s="181" t="str">
        <f t="shared" si="24"/>
        <v>No</v>
      </c>
      <c r="H137" s="3">
        <f t="shared" si="25"/>
        <v>80</v>
      </c>
      <c r="I137" s="3">
        <f t="shared" si="26"/>
        <v>33.33</v>
      </c>
      <c r="J137" s="3">
        <f t="shared" si="19"/>
        <v>5745.0033333333331</v>
      </c>
      <c r="K137" s="3">
        <f t="shared" si="20"/>
        <v>1723.501</v>
      </c>
      <c r="L137" s="3">
        <f t="shared" si="21"/>
        <v>585.83333333333337</v>
      </c>
      <c r="M137" s="3">
        <v>50</v>
      </c>
      <c r="N137" s="3">
        <f t="shared" si="18"/>
        <v>1723.501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400</v>
      </c>
      <c r="F138" s="4">
        <f t="shared" si="23"/>
        <v>5900</v>
      </c>
      <c r="G138" s="181" t="str">
        <f t="shared" si="24"/>
        <v>No</v>
      </c>
      <c r="H138" s="3">
        <f t="shared" si="25"/>
        <v>80</v>
      </c>
      <c r="I138" s="3">
        <f t="shared" si="26"/>
        <v>33.33</v>
      </c>
      <c r="J138" s="3">
        <f t="shared" si="19"/>
        <v>5786.67</v>
      </c>
      <c r="K138" s="3">
        <f t="shared" si="20"/>
        <v>1736.001</v>
      </c>
      <c r="L138" s="3">
        <f t="shared" si="21"/>
        <v>590</v>
      </c>
      <c r="M138" s="3">
        <v>50</v>
      </c>
      <c r="N138" s="3">
        <f t="shared" si="18"/>
        <v>1736.001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400</v>
      </c>
      <c r="F139" s="4">
        <f t="shared" si="23"/>
        <v>5941.666666666667</v>
      </c>
      <c r="G139" s="181" t="str">
        <f t="shared" si="24"/>
        <v>No</v>
      </c>
      <c r="H139" s="3">
        <f t="shared" si="25"/>
        <v>80</v>
      </c>
      <c r="I139" s="3">
        <f t="shared" si="26"/>
        <v>33.33</v>
      </c>
      <c r="J139" s="3">
        <f t="shared" si="19"/>
        <v>5828.336666666667</v>
      </c>
      <c r="K139" s="3">
        <f t="shared" si="20"/>
        <v>1748.501</v>
      </c>
      <c r="L139" s="3">
        <f t="shared" si="21"/>
        <v>594.16666666666674</v>
      </c>
      <c r="M139" s="3">
        <v>50</v>
      </c>
      <c r="N139" s="3">
        <f t="shared" si="18"/>
        <v>1748.501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400</v>
      </c>
      <c r="F140" s="4">
        <f t="shared" si="23"/>
        <v>5983.333333333333</v>
      </c>
      <c r="G140" s="181" t="str">
        <f t="shared" si="24"/>
        <v>No</v>
      </c>
      <c r="H140" s="3">
        <f t="shared" si="25"/>
        <v>80</v>
      </c>
      <c r="I140" s="3">
        <f t="shared" si="26"/>
        <v>33.33</v>
      </c>
      <c r="J140" s="3">
        <f t="shared" si="19"/>
        <v>5870.0033333333331</v>
      </c>
      <c r="K140" s="3">
        <f t="shared" si="20"/>
        <v>1761.001</v>
      </c>
      <c r="L140" s="3">
        <f t="shared" si="21"/>
        <v>598.33333333333337</v>
      </c>
      <c r="M140" s="3">
        <v>50</v>
      </c>
      <c r="N140" s="3">
        <f t="shared" si="18"/>
        <v>1761.001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400</v>
      </c>
      <c r="F141" s="4">
        <f t="shared" si="23"/>
        <v>6025</v>
      </c>
      <c r="G141" s="181" t="str">
        <f t="shared" si="24"/>
        <v>No</v>
      </c>
      <c r="H141" s="3">
        <f t="shared" si="25"/>
        <v>80</v>
      </c>
      <c r="I141" s="3">
        <f t="shared" si="26"/>
        <v>33.33</v>
      </c>
      <c r="J141" s="3">
        <f t="shared" si="19"/>
        <v>5911.67</v>
      </c>
      <c r="K141" s="3">
        <f t="shared" si="20"/>
        <v>1773.501</v>
      </c>
      <c r="L141" s="3">
        <f t="shared" si="21"/>
        <v>602.5</v>
      </c>
      <c r="M141" s="3">
        <v>50</v>
      </c>
      <c r="N141" s="3">
        <f t="shared" si="18"/>
        <v>1773.501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400</v>
      </c>
      <c r="F142" s="4">
        <f t="shared" si="23"/>
        <v>6066.666666666667</v>
      </c>
      <c r="G142" s="181" t="str">
        <f t="shared" si="24"/>
        <v>No</v>
      </c>
      <c r="H142" s="3">
        <f t="shared" si="25"/>
        <v>80</v>
      </c>
      <c r="I142" s="3">
        <f t="shared" si="26"/>
        <v>33.33</v>
      </c>
      <c r="J142" s="3">
        <f t="shared" si="19"/>
        <v>5953.336666666667</v>
      </c>
      <c r="K142" s="3">
        <f t="shared" si="20"/>
        <v>1786.001</v>
      </c>
      <c r="L142" s="3">
        <f t="shared" si="21"/>
        <v>606.66666666666674</v>
      </c>
      <c r="M142" s="3">
        <v>50</v>
      </c>
      <c r="N142" s="3">
        <f t="shared" si="18"/>
        <v>1786.001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400</v>
      </c>
      <c r="F143" s="4">
        <f t="shared" si="23"/>
        <v>6108.333333333333</v>
      </c>
      <c r="G143" s="181" t="str">
        <f t="shared" si="24"/>
        <v>No</v>
      </c>
      <c r="H143" s="3">
        <f t="shared" si="25"/>
        <v>80</v>
      </c>
      <c r="I143" s="3">
        <f t="shared" si="26"/>
        <v>33.33</v>
      </c>
      <c r="J143" s="3">
        <f t="shared" si="19"/>
        <v>5995.0033333333331</v>
      </c>
      <c r="K143" s="3">
        <f t="shared" si="20"/>
        <v>1798.501</v>
      </c>
      <c r="L143" s="3">
        <f t="shared" si="21"/>
        <v>610.83333333333337</v>
      </c>
      <c r="M143" s="3">
        <v>50</v>
      </c>
      <c r="N143" s="3">
        <f t="shared" si="18"/>
        <v>1798.501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400</v>
      </c>
      <c r="F144" s="4">
        <f t="shared" si="23"/>
        <v>6150</v>
      </c>
      <c r="G144" s="181" t="str">
        <f t="shared" si="24"/>
        <v>No</v>
      </c>
      <c r="H144" s="3">
        <f t="shared" si="25"/>
        <v>80</v>
      </c>
      <c r="I144" s="3">
        <f t="shared" si="26"/>
        <v>33.33</v>
      </c>
      <c r="J144" s="3">
        <f t="shared" si="19"/>
        <v>6036.67</v>
      </c>
      <c r="K144" s="3">
        <f t="shared" si="20"/>
        <v>1811.001</v>
      </c>
      <c r="L144" s="3">
        <f t="shared" si="21"/>
        <v>615</v>
      </c>
      <c r="M144" s="3">
        <v>50</v>
      </c>
      <c r="N144" s="3">
        <f t="shared" si="18"/>
        <v>1811.001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400</v>
      </c>
      <c r="F145" s="4">
        <f t="shared" si="23"/>
        <v>6191.666666666667</v>
      </c>
      <c r="G145" s="181" t="str">
        <f t="shared" si="24"/>
        <v>No</v>
      </c>
      <c r="H145" s="3">
        <f t="shared" si="25"/>
        <v>80</v>
      </c>
      <c r="I145" s="3">
        <f t="shared" si="26"/>
        <v>33.33</v>
      </c>
      <c r="J145" s="3">
        <f t="shared" si="19"/>
        <v>6078.336666666667</v>
      </c>
      <c r="K145" s="3">
        <f t="shared" si="20"/>
        <v>1823.501</v>
      </c>
      <c r="L145" s="3">
        <f t="shared" si="21"/>
        <v>619.16666666666674</v>
      </c>
      <c r="M145" s="3">
        <v>50</v>
      </c>
      <c r="N145" s="3">
        <f t="shared" si="18"/>
        <v>1823.501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400</v>
      </c>
      <c r="F146" s="4">
        <f t="shared" si="23"/>
        <v>6233.333333333333</v>
      </c>
      <c r="G146" s="181" t="str">
        <f t="shared" si="24"/>
        <v>No</v>
      </c>
      <c r="H146" s="3">
        <f t="shared" si="25"/>
        <v>80</v>
      </c>
      <c r="I146" s="3">
        <f t="shared" si="26"/>
        <v>33.33</v>
      </c>
      <c r="J146" s="3">
        <f t="shared" si="19"/>
        <v>6120.0033333333331</v>
      </c>
      <c r="K146" s="3">
        <f t="shared" si="20"/>
        <v>1836.001</v>
      </c>
      <c r="L146" s="3">
        <f t="shared" si="21"/>
        <v>623.33333333333337</v>
      </c>
      <c r="M146" s="3">
        <v>50</v>
      </c>
      <c r="N146" s="3">
        <f t="shared" si="18"/>
        <v>1836.001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400</v>
      </c>
      <c r="F147" s="4">
        <f t="shared" si="23"/>
        <v>6275</v>
      </c>
      <c r="G147" s="181" t="str">
        <f t="shared" si="24"/>
        <v>No</v>
      </c>
      <c r="H147" s="3">
        <f t="shared" si="25"/>
        <v>80</v>
      </c>
      <c r="I147" s="3">
        <f t="shared" si="26"/>
        <v>33.33</v>
      </c>
      <c r="J147" s="3">
        <f t="shared" si="19"/>
        <v>6161.67</v>
      </c>
      <c r="K147" s="3">
        <f t="shared" si="20"/>
        <v>1848.501</v>
      </c>
      <c r="L147" s="3">
        <f t="shared" si="21"/>
        <v>627.5</v>
      </c>
      <c r="M147" s="3">
        <v>50</v>
      </c>
      <c r="N147" s="3">
        <f t="shared" si="18"/>
        <v>1848.501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400</v>
      </c>
      <c r="F148" s="4">
        <f t="shared" si="23"/>
        <v>6316.666666666667</v>
      </c>
      <c r="G148" s="181" t="str">
        <f t="shared" si="24"/>
        <v>No</v>
      </c>
      <c r="H148" s="3">
        <f t="shared" si="25"/>
        <v>80</v>
      </c>
      <c r="I148" s="3">
        <f t="shared" si="26"/>
        <v>33.33</v>
      </c>
      <c r="J148" s="3">
        <f t="shared" si="19"/>
        <v>6203.336666666667</v>
      </c>
      <c r="K148" s="3">
        <f t="shared" si="20"/>
        <v>1861.001</v>
      </c>
      <c r="L148" s="3">
        <f t="shared" si="21"/>
        <v>631.66666666666674</v>
      </c>
      <c r="M148" s="3">
        <v>50</v>
      </c>
      <c r="N148" s="3">
        <f t="shared" si="18"/>
        <v>1861.001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400</v>
      </c>
      <c r="F149" s="4">
        <f t="shared" si="23"/>
        <v>6358.333333333333</v>
      </c>
      <c r="G149" s="181" t="str">
        <f t="shared" si="24"/>
        <v>No</v>
      </c>
      <c r="H149" s="3">
        <f t="shared" si="25"/>
        <v>80</v>
      </c>
      <c r="I149" s="3">
        <f t="shared" si="26"/>
        <v>33.33</v>
      </c>
      <c r="J149" s="3">
        <f t="shared" si="19"/>
        <v>6245.0033333333331</v>
      </c>
      <c r="K149" s="3">
        <f t="shared" si="20"/>
        <v>1873.5009999999997</v>
      </c>
      <c r="L149" s="3">
        <f t="shared" si="21"/>
        <v>635.83333333333337</v>
      </c>
      <c r="M149" s="3">
        <v>50</v>
      </c>
      <c r="N149" s="3">
        <f t="shared" si="18"/>
        <v>1873.5009999999997</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400</v>
      </c>
      <c r="F150" s="4">
        <f t="shared" si="23"/>
        <v>6400</v>
      </c>
      <c r="G150" s="181" t="str">
        <f t="shared" si="24"/>
        <v>No</v>
      </c>
      <c r="H150" s="3">
        <f t="shared" si="25"/>
        <v>80</v>
      </c>
      <c r="I150" s="3">
        <f t="shared" si="26"/>
        <v>33.33</v>
      </c>
      <c r="J150" s="3">
        <f t="shared" si="19"/>
        <v>6286.67</v>
      </c>
      <c r="K150" s="3">
        <f t="shared" si="20"/>
        <v>1886.001</v>
      </c>
      <c r="L150" s="3">
        <f t="shared" si="21"/>
        <v>640</v>
      </c>
      <c r="M150" s="3">
        <v>50</v>
      </c>
      <c r="N150" s="3">
        <f t="shared" si="18"/>
        <v>1886.001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400</v>
      </c>
      <c r="F151" s="4">
        <f t="shared" si="23"/>
        <v>6441.666666666667</v>
      </c>
      <c r="G151" s="181" t="str">
        <f t="shared" si="24"/>
        <v>No</v>
      </c>
      <c r="H151" s="3">
        <f t="shared" si="25"/>
        <v>80</v>
      </c>
      <c r="I151" s="3">
        <f t="shared" si="26"/>
        <v>33.33</v>
      </c>
      <c r="J151" s="3">
        <f t="shared" si="19"/>
        <v>6328.336666666667</v>
      </c>
      <c r="K151" s="3">
        <f t="shared" si="20"/>
        <v>1898.501</v>
      </c>
      <c r="L151" s="3">
        <f t="shared" si="21"/>
        <v>644.16666666666674</v>
      </c>
      <c r="M151" s="3">
        <v>50</v>
      </c>
      <c r="N151" s="3">
        <f t="shared" si="18"/>
        <v>1898.501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400</v>
      </c>
      <c r="F152" s="4">
        <f t="shared" si="23"/>
        <v>6483.333333333333</v>
      </c>
      <c r="G152" s="181" t="str">
        <f t="shared" si="24"/>
        <v>No</v>
      </c>
      <c r="H152" s="3">
        <f t="shared" si="25"/>
        <v>80</v>
      </c>
      <c r="I152" s="3">
        <f t="shared" si="26"/>
        <v>33.33</v>
      </c>
      <c r="J152" s="3">
        <f t="shared" si="19"/>
        <v>6370.0033333333331</v>
      </c>
      <c r="K152" s="3">
        <f t="shared" si="20"/>
        <v>1911.0009999999997</v>
      </c>
      <c r="L152" s="3">
        <f t="shared" si="21"/>
        <v>648.33333333333337</v>
      </c>
      <c r="M152" s="3">
        <v>50</v>
      </c>
      <c r="N152" s="3">
        <f t="shared" si="18"/>
        <v>1911.0009999999997</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400</v>
      </c>
      <c r="F153" s="4">
        <f t="shared" si="23"/>
        <v>6525</v>
      </c>
      <c r="G153" s="181" t="str">
        <f t="shared" si="24"/>
        <v>No</v>
      </c>
      <c r="H153" s="3">
        <f t="shared" si="25"/>
        <v>80</v>
      </c>
      <c r="I153" s="3">
        <f t="shared" si="26"/>
        <v>33.33</v>
      </c>
      <c r="J153" s="3">
        <f t="shared" si="19"/>
        <v>6411.67</v>
      </c>
      <c r="K153" s="3">
        <f t="shared" si="20"/>
        <v>1923.501</v>
      </c>
      <c r="L153" s="3">
        <f t="shared" si="21"/>
        <v>652.5</v>
      </c>
      <c r="M153" s="3">
        <v>50</v>
      </c>
      <c r="N153" s="3">
        <f t="shared" si="18"/>
        <v>1923.501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400</v>
      </c>
      <c r="F154" s="4">
        <f t="shared" si="23"/>
        <v>6566.666666666667</v>
      </c>
      <c r="G154" s="181" t="str">
        <f t="shared" si="24"/>
        <v>No</v>
      </c>
      <c r="H154" s="3">
        <f t="shared" si="25"/>
        <v>80</v>
      </c>
      <c r="I154" s="3">
        <f t="shared" si="26"/>
        <v>33.33</v>
      </c>
      <c r="J154" s="3">
        <f t="shared" si="19"/>
        <v>6453.336666666667</v>
      </c>
      <c r="K154" s="3">
        <f t="shared" si="20"/>
        <v>1936.001</v>
      </c>
      <c r="L154" s="3">
        <f t="shared" si="21"/>
        <v>656.66666666666674</v>
      </c>
      <c r="M154" s="3">
        <v>50</v>
      </c>
      <c r="N154" s="3">
        <f t="shared" si="18"/>
        <v>1936.001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400</v>
      </c>
      <c r="F155" s="4">
        <f t="shared" si="23"/>
        <v>6608.333333333333</v>
      </c>
      <c r="G155" s="181" t="str">
        <f t="shared" si="24"/>
        <v>No</v>
      </c>
      <c r="H155" s="3">
        <f t="shared" si="25"/>
        <v>80</v>
      </c>
      <c r="I155" s="3">
        <f t="shared" si="26"/>
        <v>33.33</v>
      </c>
      <c r="J155" s="3">
        <f t="shared" si="19"/>
        <v>6495.0033333333331</v>
      </c>
      <c r="K155" s="3">
        <f t="shared" si="20"/>
        <v>1948.5009999999997</v>
      </c>
      <c r="L155" s="3">
        <f t="shared" si="21"/>
        <v>660.83333333333337</v>
      </c>
      <c r="M155" s="3">
        <v>50</v>
      </c>
      <c r="N155" s="3">
        <f t="shared" si="18"/>
        <v>1948.5009999999997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400</v>
      </c>
      <c r="F156" s="4">
        <f t="shared" si="23"/>
        <v>6650</v>
      </c>
      <c r="G156" s="181" t="str">
        <f t="shared" si="24"/>
        <v>No</v>
      </c>
      <c r="H156" s="3">
        <f t="shared" si="25"/>
        <v>80</v>
      </c>
      <c r="I156" s="3">
        <f t="shared" si="26"/>
        <v>33.33</v>
      </c>
      <c r="J156" s="3">
        <f t="shared" si="19"/>
        <v>6536.67</v>
      </c>
      <c r="K156" s="3">
        <f t="shared" si="20"/>
        <v>1961.001</v>
      </c>
      <c r="L156" s="3">
        <f t="shared" si="21"/>
        <v>665</v>
      </c>
      <c r="M156" s="3">
        <v>50</v>
      </c>
      <c r="N156" s="3">
        <f t="shared" si="18"/>
        <v>1961.001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400</v>
      </c>
      <c r="F157" s="4">
        <f t="shared" si="23"/>
        <v>6691.666666666667</v>
      </c>
      <c r="G157" s="181" t="str">
        <f t="shared" si="24"/>
        <v>No</v>
      </c>
      <c r="H157" s="3">
        <f t="shared" si="25"/>
        <v>80</v>
      </c>
      <c r="I157" s="3">
        <f t="shared" si="26"/>
        <v>33.33</v>
      </c>
      <c r="J157" s="3">
        <f t="shared" si="19"/>
        <v>6578.336666666667</v>
      </c>
      <c r="K157" s="3">
        <f t="shared" si="20"/>
        <v>1973.501</v>
      </c>
      <c r="L157" s="3">
        <f t="shared" si="21"/>
        <v>669.16666666666674</v>
      </c>
      <c r="M157" s="3">
        <v>50</v>
      </c>
      <c r="N157" s="3">
        <f t="shared" si="18"/>
        <v>1973.501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400</v>
      </c>
      <c r="F158" s="4">
        <f t="shared" si="23"/>
        <v>6733.333333333333</v>
      </c>
      <c r="G158" s="181" t="str">
        <f t="shared" si="24"/>
        <v>No</v>
      </c>
      <c r="H158" s="3">
        <f t="shared" si="25"/>
        <v>80</v>
      </c>
      <c r="I158" s="3">
        <f t="shared" si="26"/>
        <v>33.33</v>
      </c>
      <c r="J158" s="3">
        <f t="shared" si="19"/>
        <v>6620.0033333333331</v>
      </c>
      <c r="K158" s="3">
        <f t="shared" si="20"/>
        <v>1986.0009999999997</v>
      </c>
      <c r="L158" s="3">
        <f t="shared" si="21"/>
        <v>673.33333333333337</v>
      </c>
      <c r="M158" s="3">
        <v>50</v>
      </c>
      <c r="N158" s="3">
        <f t="shared" si="18"/>
        <v>1986.0009999999997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400</v>
      </c>
      <c r="F159" s="4">
        <f t="shared" si="23"/>
        <v>6775</v>
      </c>
      <c r="G159" s="181" t="str">
        <f t="shared" si="24"/>
        <v>No</v>
      </c>
      <c r="H159" s="3">
        <f t="shared" si="25"/>
        <v>80</v>
      </c>
      <c r="I159" s="3">
        <f t="shared" si="26"/>
        <v>33.33</v>
      </c>
      <c r="J159" s="3">
        <f t="shared" si="19"/>
        <v>6661.67</v>
      </c>
      <c r="K159" s="3">
        <f t="shared" si="20"/>
        <v>1998.501</v>
      </c>
      <c r="L159" s="3">
        <f t="shared" si="21"/>
        <v>677.5</v>
      </c>
      <c r="M159" s="3">
        <v>50</v>
      </c>
      <c r="N159" s="3">
        <f t="shared" si="18"/>
        <v>1998.501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400</v>
      </c>
      <c r="F160" s="4">
        <f t="shared" si="23"/>
        <v>6816.666666666667</v>
      </c>
      <c r="G160" s="181" t="str">
        <f t="shared" si="24"/>
        <v>No</v>
      </c>
      <c r="H160" s="3">
        <f t="shared" si="25"/>
        <v>80</v>
      </c>
      <c r="I160" s="3">
        <f t="shared" si="26"/>
        <v>33.33</v>
      </c>
      <c r="J160" s="3">
        <f t="shared" si="19"/>
        <v>6703.336666666667</v>
      </c>
      <c r="K160" s="3">
        <f t="shared" si="20"/>
        <v>2011.001</v>
      </c>
      <c r="L160" s="3">
        <f t="shared" si="21"/>
        <v>681.66666666666674</v>
      </c>
      <c r="M160" s="3">
        <v>50</v>
      </c>
      <c r="N160" s="3">
        <f t="shared" si="18"/>
        <v>2011.001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400</v>
      </c>
      <c r="F161" s="4">
        <f t="shared" si="23"/>
        <v>6858.333333333333</v>
      </c>
      <c r="G161" s="181" t="str">
        <f t="shared" si="24"/>
        <v>No</v>
      </c>
      <c r="H161" s="3">
        <f t="shared" si="25"/>
        <v>80</v>
      </c>
      <c r="I161" s="3">
        <f t="shared" si="26"/>
        <v>33.33</v>
      </c>
      <c r="J161" s="3">
        <f t="shared" si="19"/>
        <v>6745.0033333333331</v>
      </c>
      <c r="K161" s="3">
        <f t="shared" si="20"/>
        <v>2023.5009999999997</v>
      </c>
      <c r="L161" s="3">
        <f t="shared" si="21"/>
        <v>685.83333333333337</v>
      </c>
      <c r="M161" s="3">
        <v>50</v>
      </c>
      <c r="N161" s="3">
        <f t="shared" si="18"/>
        <v>2023.5009999999997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400</v>
      </c>
      <c r="F162" s="4">
        <f t="shared" si="23"/>
        <v>6900</v>
      </c>
      <c r="G162" s="181" t="str">
        <f t="shared" si="24"/>
        <v>No</v>
      </c>
      <c r="H162" s="3">
        <f t="shared" si="25"/>
        <v>80</v>
      </c>
      <c r="I162" s="3">
        <f t="shared" si="26"/>
        <v>33.33</v>
      </c>
      <c r="J162" s="3">
        <f t="shared" si="19"/>
        <v>6786.67</v>
      </c>
      <c r="K162" s="3">
        <f t="shared" si="20"/>
        <v>2036.001</v>
      </c>
      <c r="L162" s="3">
        <f t="shared" si="21"/>
        <v>690</v>
      </c>
      <c r="M162" s="3">
        <v>50</v>
      </c>
      <c r="N162" s="3">
        <f t="shared" si="18"/>
        <v>2036.001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400</v>
      </c>
      <c r="F163" s="4">
        <f t="shared" si="23"/>
        <v>6941.666666666667</v>
      </c>
      <c r="G163" s="181" t="str">
        <f t="shared" si="24"/>
        <v>No</v>
      </c>
      <c r="H163" s="3">
        <f t="shared" si="25"/>
        <v>80</v>
      </c>
      <c r="I163" s="3">
        <f t="shared" si="26"/>
        <v>33.33</v>
      </c>
      <c r="J163" s="3">
        <f t="shared" si="19"/>
        <v>6828.336666666667</v>
      </c>
      <c r="K163" s="3">
        <f t="shared" si="20"/>
        <v>2048.5010000000002</v>
      </c>
      <c r="L163" s="3">
        <f t="shared" si="21"/>
        <v>694.16666666666674</v>
      </c>
      <c r="M163" s="3">
        <v>50</v>
      </c>
      <c r="N163" s="3">
        <f t="shared" si="18"/>
        <v>2048.5010000000002</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400</v>
      </c>
      <c r="F164" s="4">
        <f t="shared" si="23"/>
        <v>6983.333333333333</v>
      </c>
      <c r="G164" s="181" t="str">
        <f t="shared" si="24"/>
        <v>No</v>
      </c>
      <c r="H164" s="3">
        <f t="shared" si="25"/>
        <v>80</v>
      </c>
      <c r="I164" s="3">
        <f t="shared" si="26"/>
        <v>33.33</v>
      </c>
      <c r="J164" s="3">
        <f t="shared" si="19"/>
        <v>6870.0033333333331</v>
      </c>
      <c r="K164" s="3">
        <f t="shared" si="20"/>
        <v>2061.0009999999997</v>
      </c>
      <c r="L164" s="3">
        <f t="shared" si="21"/>
        <v>698.33333333333337</v>
      </c>
      <c r="M164" s="3">
        <v>50</v>
      </c>
      <c r="N164" s="3">
        <f t="shared" si="18"/>
        <v>2061.0009999999997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400</v>
      </c>
      <c r="F165" s="4">
        <f t="shared" si="23"/>
        <v>7025</v>
      </c>
      <c r="G165" s="181" t="str">
        <f t="shared" si="24"/>
        <v>No</v>
      </c>
      <c r="H165" s="3">
        <f t="shared" si="25"/>
        <v>80</v>
      </c>
      <c r="I165" s="3">
        <f t="shared" si="26"/>
        <v>33.33</v>
      </c>
      <c r="J165" s="3">
        <f t="shared" si="19"/>
        <v>6911.67</v>
      </c>
      <c r="K165" s="3">
        <f t="shared" si="20"/>
        <v>2073.5009999999997</v>
      </c>
      <c r="L165" s="3">
        <f t="shared" si="21"/>
        <v>702.5</v>
      </c>
      <c r="M165" s="3">
        <v>50</v>
      </c>
      <c r="N165" s="3">
        <f t="shared" si="18"/>
        <v>2073.5009999999997</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400</v>
      </c>
      <c r="F166" s="4">
        <f t="shared" si="23"/>
        <v>7066.666666666667</v>
      </c>
      <c r="G166" s="181" t="str">
        <f t="shared" si="24"/>
        <v>No</v>
      </c>
      <c r="H166" s="3">
        <f t="shared" si="25"/>
        <v>80</v>
      </c>
      <c r="I166" s="3">
        <f t="shared" si="26"/>
        <v>33.33</v>
      </c>
      <c r="J166" s="3">
        <f t="shared" si="19"/>
        <v>6953.336666666667</v>
      </c>
      <c r="K166" s="3">
        <f t="shared" si="20"/>
        <v>2086.0010000000002</v>
      </c>
      <c r="L166" s="3">
        <f t="shared" si="21"/>
        <v>706.66666666666674</v>
      </c>
      <c r="M166" s="3">
        <v>50</v>
      </c>
      <c r="N166" s="3">
        <f t="shared" si="18"/>
        <v>2086.0010000000002</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400</v>
      </c>
      <c r="F167" s="4">
        <f t="shared" si="23"/>
        <v>7108.333333333333</v>
      </c>
      <c r="G167" s="181" t="str">
        <f t="shared" si="24"/>
        <v>No</v>
      </c>
      <c r="H167" s="3">
        <f t="shared" si="25"/>
        <v>80</v>
      </c>
      <c r="I167" s="3">
        <f t="shared" si="26"/>
        <v>33.33</v>
      </c>
      <c r="J167" s="3">
        <f t="shared" si="19"/>
        <v>6995.0033333333331</v>
      </c>
      <c r="K167" s="3">
        <f t="shared" si="20"/>
        <v>2098.5009999999997</v>
      </c>
      <c r="L167" s="3">
        <f t="shared" si="21"/>
        <v>710.83333333333337</v>
      </c>
      <c r="M167" s="3">
        <v>50</v>
      </c>
      <c r="N167" s="3">
        <f t="shared" si="18"/>
        <v>2098.5009999999997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400</v>
      </c>
      <c r="F168" s="4">
        <f t="shared" si="23"/>
        <v>7150</v>
      </c>
      <c r="G168" s="181" t="str">
        <f t="shared" si="24"/>
        <v>No</v>
      </c>
      <c r="H168" s="3">
        <f t="shared" si="25"/>
        <v>80</v>
      </c>
      <c r="I168" s="3">
        <f t="shared" si="26"/>
        <v>33.33</v>
      </c>
      <c r="J168" s="3">
        <f t="shared" si="19"/>
        <v>7036.67</v>
      </c>
      <c r="K168" s="3">
        <f t="shared" si="20"/>
        <v>2111.0009999999997</v>
      </c>
      <c r="L168" s="3">
        <f t="shared" si="21"/>
        <v>715</v>
      </c>
      <c r="M168" s="3">
        <v>50</v>
      </c>
      <c r="N168" s="3">
        <f t="shared" si="18"/>
        <v>2111.0009999999997</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400</v>
      </c>
      <c r="F169" s="4">
        <f t="shared" si="23"/>
        <v>7191.666666666667</v>
      </c>
      <c r="G169" s="181" t="str">
        <f t="shared" si="24"/>
        <v>No</v>
      </c>
      <c r="H169" s="3">
        <f t="shared" si="25"/>
        <v>80</v>
      </c>
      <c r="I169" s="3">
        <f t="shared" si="26"/>
        <v>33.33</v>
      </c>
      <c r="J169" s="3">
        <f t="shared" si="19"/>
        <v>7078.336666666667</v>
      </c>
      <c r="K169" s="3">
        <f t="shared" si="20"/>
        <v>2123.5010000000002</v>
      </c>
      <c r="L169" s="3">
        <f t="shared" si="21"/>
        <v>719.16666666666674</v>
      </c>
      <c r="M169" s="3">
        <v>50</v>
      </c>
      <c r="N169" s="3">
        <f t="shared" si="18"/>
        <v>2123.5010000000002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400</v>
      </c>
      <c r="F170" s="4">
        <f t="shared" si="23"/>
        <v>7233.333333333333</v>
      </c>
      <c r="G170" s="181" t="str">
        <f t="shared" si="24"/>
        <v>No</v>
      </c>
      <c r="H170" s="3">
        <f t="shared" si="25"/>
        <v>80</v>
      </c>
      <c r="I170" s="3">
        <f t="shared" si="26"/>
        <v>33.33</v>
      </c>
      <c r="J170" s="3">
        <f t="shared" si="19"/>
        <v>7120.0033333333331</v>
      </c>
      <c r="K170" s="3">
        <f t="shared" si="20"/>
        <v>2136.0009999999997</v>
      </c>
      <c r="L170" s="3">
        <f t="shared" si="21"/>
        <v>723.33333333333337</v>
      </c>
      <c r="M170" s="3">
        <v>50</v>
      </c>
      <c r="N170" s="3">
        <f t="shared" si="18"/>
        <v>2136.0009999999997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400</v>
      </c>
      <c r="F171" s="4">
        <f t="shared" si="23"/>
        <v>7275</v>
      </c>
      <c r="G171" s="181" t="str">
        <f t="shared" si="24"/>
        <v>No</v>
      </c>
      <c r="H171" s="3">
        <f t="shared" si="25"/>
        <v>80</v>
      </c>
      <c r="I171" s="3">
        <f t="shared" si="26"/>
        <v>33.33</v>
      </c>
      <c r="J171" s="3">
        <f t="shared" si="19"/>
        <v>7161.67</v>
      </c>
      <c r="K171" s="3">
        <f t="shared" si="20"/>
        <v>2148.5009999999997</v>
      </c>
      <c r="L171" s="3">
        <f t="shared" si="21"/>
        <v>727.5</v>
      </c>
      <c r="M171" s="3">
        <v>50</v>
      </c>
      <c r="N171" s="3">
        <f t="shared" ref="N171:N206" si="27">MAX(K171:M171)</f>
        <v>2148.5009999999997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400</v>
      </c>
      <c r="F172" s="4">
        <f t="shared" si="23"/>
        <v>7316.666666666667</v>
      </c>
      <c r="G172" s="181" t="str">
        <f t="shared" si="24"/>
        <v>No</v>
      </c>
      <c r="H172" s="3">
        <f t="shared" si="25"/>
        <v>80</v>
      </c>
      <c r="I172" s="3">
        <f t="shared" si="26"/>
        <v>33.33</v>
      </c>
      <c r="J172" s="3">
        <f t="shared" si="19"/>
        <v>7203.336666666667</v>
      </c>
      <c r="K172" s="3">
        <f t="shared" si="20"/>
        <v>2161.0010000000002</v>
      </c>
      <c r="L172" s="3">
        <f t="shared" si="21"/>
        <v>731.66666666666674</v>
      </c>
      <c r="M172" s="3">
        <v>50</v>
      </c>
      <c r="N172" s="3">
        <f t="shared" si="27"/>
        <v>2161.0010000000002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400</v>
      </c>
      <c r="F173" s="4">
        <f t="shared" si="23"/>
        <v>7358.333333333333</v>
      </c>
      <c r="G173" s="181" t="str">
        <f t="shared" si="24"/>
        <v>No</v>
      </c>
      <c r="H173" s="3">
        <f t="shared" si="25"/>
        <v>80</v>
      </c>
      <c r="I173" s="3">
        <f t="shared" si="26"/>
        <v>33.33</v>
      </c>
      <c r="J173" s="3">
        <f t="shared" si="19"/>
        <v>7245.0033333333331</v>
      </c>
      <c r="K173" s="3">
        <f t="shared" si="20"/>
        <v>2173.5009999999997</v>
      </c>
      <c r="L173" s="3">
        <f t="shared" si="21"/>
        <v>735.83333333333337</v>
      </c>
      <c r="M173" s="3">
        <v>50</v>
      </c>
      <c r="N173" s="3">
        <f t="shared" si="27"/>
        <v>2173.5009999999997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400</v>
      </c>
      <c r="F174" s="4">
        <f t="shared" si="23"/>
        <v>7400</v>
      </c>
      <c r="G174" s="181" t="str">
        <f t="shared" si="24"/>
        <v>No</v>
      </c>
      <c r="H174" s="3">
        <f t="shared" si="25"/>
        <v>80</v>
      </c>
      <c r="I174" s="3">
        <f t="shared" si="26"/>
        <v>33.33</v>
      </c>
      <c r="J174" s="3">
        <f t="shared" si="19"/>
        <v>7286.67</v>
      </c>
      <c r="K174" s="3">
        <f t="shared" si="20"/>
        <v>2186.0009999999997</v>
      </c>
      <c r="L174" s="3">
        <f t="shared" si="21"/>
        <v>740</v>
      </c>
      <c r="M174" s="3">
        <v>50</v>
      </c>
      <c r="N174" s="3">
        <f t="shared" si="27"/>
        <v>2186.0009999999997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400</v>
      </c>
      <c r="F175" s="4">
        <f t="shared" si="23"/>
        <v>7441.666666666667</v>
      </c>
      <c r="G175" s="181" t="str">
        <f t="shared" si="24"/>
        <v>No</v>
      </c>
      <c r="H175" s="3">
        <f t="shared" si="25"/>
        <v>80</v>
      </c>
      <c r="I175" s="3">
        <f t="shared" si="26"/>
        <v>33.33</v>
      </c>
      <c r="J175" s="3">
        <f t="shared" si="19"/>
        <v>7328.336666666667</v>
      </c>
      <c r="K175" s="3">
        <f t="shared" si="20"/>
        <v>2198.5010000000002</v>
      </c>
      <c r="L175" s="3">
        <f t="shared" si="21"/>
        <v>744.16666666666674</v>
      </c>
      <c r="M175" s="3">
        <v>50</v>
      </c>
      <c r="N175" s="3">
        <f t="shared" si="27"/>
        <v>2198.5010000000002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400</v>
      </c>
      <c r="F176" s="4">
        <f t="shared" si="23"/>
        <v>7483.333333333333</v>
      </c>
      <c r="G176" s="181" t="str">
        <f t="shared" si="24"/>
        <v>No</v>
      </c>
      <c r="H176" s="3">
        <f t="shared" si="25"/>
        <v>80</v>
      </c>
      <c r="I176" s="3">
        <f t="shared" si="26"/>
        <v>33.33</v>
      </c>
      <c r="J176" s="3">
        <f t="shared" si="19"/>
        <v>7370.0033333333331</v>
      </c>
      <c r="K176" s="3">
        <f t="shared" si="20"/>
        <v>2211.0009999999997</v>
      </c>
      <c r="L176" s="3">
        <f t="shared" si="21"/>
        <v>748.33333333333337</v>
      </c>
      <c r="M176" s="3">
        <v>50</v>
      </c>
      <c r="N176" s="3">
        <f t="shared" si="27"/>
        <v>2211.0009999999997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400</v>
      </c>
      <c r="F177" s="4">
        <f t="shared" si="23"/>
        <v>7525</v>
      </c>
      <c r="G177" s="181" t="str">
        <f t="shared" si="24"/>
        <v>No</v>
      </c>
      <c r="H177" s="3">
        <f t="shared" si="25"/>
        <v>80</v>
      </c>
      <c r="I177" s="3">
        <f t="shared" si="26"/>
        <v>33.33</v>
      </c>
      <c r="J177" s="3">
        <f t="shared" si="19"/>
        <v>7411.67</v>
      </c>
      <c r="K177" s="3">
        <f t="shared" si="20"/>
        <v>2223.5009999999997</v>
      </c>
      <c r="L177" s="3">
        <f t="shared" si="21"/>
        <v>752.5</v>
      </c>
      <c r="M177" s="3">
        <v>50</v>
      </c>
      <c r="N177" s="3">
        <f t="shared" si="27"/>
        <v>2223.5009999999997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400</v>
      </c>
      <c r="F178" s="4">
        <f t="shared" si="23"/>
        <v>7566.666666666667</v>
      </c>
      <c r="G178" s="181" t="str">
        <f t="shared" si="24"/>
        <v>No</v>
      </c>
      <c r="H178" s="3">
        <f t="shared" si="25"/>
        <v>80</v>
      </c>
      <c r="I178" s="3">
        <f t="shared" si="26"/>
        <v>33.33</v>
      </c>
      <c r="J178" s="3">
        <f t="shared" si="19"/>
        <v>7453.336666666667</v>
      </c>
      <c r="K178" s="3">
        <f t="shared" si="20"/>
        <v>2236.0010000000002</v>
      </c>
      <c r="L178" s="3">
        <f t="shared" si="21"/>
        <v>756.66666666666674</v>
      </c>
      <c r="M178" s="3">
        <v>50</v>
      </c>
      <c r="N178" s="3">
        <f t="shared" si="27"/>
        <v>2236.0010000000002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400</v>
      </c>
      <c r="F179" s="4">
        <f t="shared" si="23"/>
        <v>7608.333333333333</v>
      </c>
      <c r="G179" s="181" t="str">
        <f t="shared" si="24"/>
        <v>No</v>
      </c>
      <c r="H179" s="3">
        <f t="shared" si="25"/>
        <v>80</v>
      </c>
      <c r="I179" s="3">
        <f t="shared" si="26"/>
        <v>33.33</v>
      </c>
      <c r="J179" s="3">
        <f t="shared" si="19"/>
        <v>7495.0033333333331</v>
      </c>
      <c r="K179" s="3">
        <f t="shared" si="20"/>
        <v>2248.5009999999997</v>
      </c>
      <c r="L179" s="3">
        <f t="shared" si="21"/>
        <v>760.83333333333337</v>
      </c>
      <c r="M179" s="3">
        <v>50</v>
      </c>
      <c r="N179" s="3">
        <f t="shared" si="27"/>
        <v>2248.5009999999997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400</v>
      </c>
      <c r="F180" s="4">
        <f t="shared" si="23"/>
        <v>7650</v>
      </c>
      <c r="G180" s="181" t="str">
        <f t="shared" si="24"/>
        <v>No</v>
      </c>
      <c r="H180" s="3">
        <f t="shared" si="25"/>
        <v>80</v>
      </c>
      <c r="I180" s="3">
        <f t="shared" si="26"/>
        <v>33.33</v>
      </c>
      <c r="J180" s="3">
        <f t="shared" si="19"/>
        <v>7536.67</v>
      </c>
      <c r="K180" s="3">
        <f t="shared" si="20"/>
        <v>2261.0009999999997</v>
      </c>
      <c r="L180" s="3">
        <f t="shared" si="21"/>
        <v>765</v>
      </c>
      <c r="M180" s="3">
        <v>50</v>
      </c>
      <c r="N180" s="3">
        <f t="shared" si="27"/>
        <v>2261.0009999999997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400</v>
      </c>
      <c r="F181" s="4">
        <f t="shared" si="23"/>
        <v>7691.666666666667</v>
      </c>
      <c r="G181" s="181" t="str">
        <f t="shared" si="24"/>
        <v>No</v>
      </c>
      <c r="H181" s="3">
        <f t="shared" si="25"/>
        <v>80</v>
      </c>
      <c r="I181" s="3">
        <f t="shared" si="26"/>
        <v>33.33</v>
      </c>
      <c r="J181" s="3">
        <f t="shared" si="19"/>
        <v>7578.336666666667</v>
      </c>
      <c r="K181" s="3">
        <f t="shared" si="20"/>
        <v>2273.5010000000002</v>
      </c>
      <c r="L181" s="3">
        <f t="shared" si="21"/>
        <v>769.16666666666674</v>
      </c>
      <c r="M181" s="3">
        <v>50</v>
      </c>
      <c r="N181" s="3">
        <f t="shared" si="27"/>
        <v>2273.5010000000002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400</v>
      </c>
      <c r="F182" s="4">
        <f t="shared" si="23"/>
        <v>7733.333333333333</v>
      </c>
      <c r="G182" s="181" t="str">
        <f t="shared" si="24"/>
        <v>No</v>
      </c>
      <c r="H182" s="3">
        <f t="shared" si="25"/>
        <v>80</v>
      </c>
      <c r="I182" s="3">
        <f t="shared" si="26"/>
        <v>33.33</v>
      </c>
      <c r="J182" s="3">
        <f t="shared" si="19"/>
        <v>7620.0033333333331</v>
      </c>
      <c r="K182" s="3">
        <f t="shared" si="20"/>
        <v>2286.0009999999997</v>
      </c>
      <c r="L182" s="3">
        <f t="shared" si="21"/>
        <v>773.33333333333337</v>
      </c>
      <c r="M182" s="3">
        <v>50</v>
      </c>
      <c r="N182" s="3">
        <f t="shared" si="27"/>
        <v>2286.0009999999997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400</v>
      </c>
      <c r="F183" s="4">
        <f t="shared" si="23"/>
        <v>7775</v>
      </c>
      <c r="G183" s="181" t="str">
        <f t="shared" si="24"/>
        <v>No</v>
      </c>
      <c r="H183" s="3">
        <f t="shared" si="25"/>
        <v>80</v>
      </c>
      <c r="I183" s="3">
        <f t="shared" si="26"/>
        <v>33.33</v>
      </c>
      <c r="J183" s="3">
        <f t="shared" si="19"/>
        <v>7661.67</v>
      </c>
      <c r="K183" s="3">
        <f t="shared" si="20"/>
        <v>2298.5009999999997</v>
      </c>
      <c r="L183" s="3">
        <f t="shared" si="21"/>
        <v>777.5</v>
      </c>
      <c r="M183" s="3">
        <v>50</v>
      </c>
      <c r="N183" s="3">
        <f t="shared" si="27"/>
        <v>2298.5009999999997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400</v>
      </c>
      <c r="F184" s="4">
        <f t="shared" si="23"/>
        <v>7816.666666666667</v>
      </c>
      <c r="G184" s="181" t="str">
        <f t="shared" si="24"/>
        <v>No</v>
      </c>
      <c r="H184" s="3">
        <f t="shared" si="25"/>
        <v>80</v>
      </c>
      <c r="I184" s="3">
        <f t="shared" si="26"/>
        <v>33.33</v>
      </c>
      <c r="J184" s="3">
        <f t="shared" si="19"/>
        <v>7703.336666666667</v>
      </c>
      <c r="K184" s="3">
        <f t="shared" si="20"/>
        <v>2311.0010000000002</v>
      </c>
      <c r="L184" s="3">
        <f t="shared" si="21"/>
        <v>781.66666666666674</v>
      </c>
      <c r="M184" s="3">
        <v>50</v>
      </c>
      <c r="N184" s="3">
        <f t="shared" si="27"/>
        <v>2311.0010000000002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400</v>
      </c>
      <c r="F185" s="4">
        <f t="shared" si="23"/>
        <v>7858.333333333333</v>
      </c>
      <c r="G185" s="181" t="str">
        <f t="shared" si="24"/>
        <v>No</v>
      </c>
      <c r="H185" s="3">
        <f t="shared" si="25"/>
        <v>80</v>
      </c>
      <c r="I185" s="3">
        <f t="shared" si="26"/>
        <v>33.33</v>
      </c>
      <c r="J185" s="3">
        <f t="shared" si="19"/>
        <v>7745.0033333333331</v>
      </c>
      <c r="K185" s="3">
        <f t="shared" si="20"/>
        <v>2323.5009999999997</v>
      </c>
      <c r="L185" s="3">
        <f t="shared" si="21"/>
        <v>785.83333333333337</v>
      </c>
      <c r="M185" s="3">
        <v>50</v>
      </c>
      <c r="N185" s="3">
        <f t="shared" si="27"/>
        <v>2323.5009999999997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400</v>
      </c>
      <c r="F186" s="4">
        <f t="shared" si="23"/>
        <v>7900</v>
      </c>
      <c r="G186" s="181" t="str">
        <f t="shared" si="24"/>
        <v>No</v>
      </c>
      <c r="H186" s="3">
        <f t="shared" si="25"/>
        <v>80</v>
      </c>
      <c r="I186" s="3">
        <f t="shared" si="26"/>
        <v>33.33</v>
      </c>
      <c r="J186" s="3">
        <f t="shared" si="19"/>
        <v>7786.67</v>
      </c>
      <c r="K186" s="3">
        <f t="shared" si="20"/>
        <v>2336.0009999999997</v>
      </c>
      <c r="L186" s="3">
        <f t="shared" si="21"/>
        <v>790</v>
      </c>
      <c r="M186" s="3">
        <v>50</v>
      </c>
      <c r="N186" s="3">
        <f t="shared" si="27"/>
        <v>2336.0009999999997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400</v>
      </c>
      <c r="F187" s="4">
        <f t="shared" si="23"/>
        <v>7941.666666666667</v>
      </c>
      <c r="G187" s="181" t="str">
        <f t="shared" si="24"/>
        <v>No</v>
      </c>
      <c r="H187" s="3">
        <f t="shared" si="25"/>
        <v>80</v>
      </c>
      <c r="I187" s="3">
        <f t="shared" si="26"/>
        <v>33.33</v>
      </c>
      <c r="J187" s="3">
        <f t="shared" si="19"/>
        <v>7828.336666666667</v>
      </c>
      <c r="K187" s="3">
        <f t="shared" si="20"/>
        <v>2348.5010000000002</v>
      </c>
      <c r="L187" s="3">
        <f t="shared" si="21"/>
        <v>794.16666666666674</v>
      </c>
      <c r="M187" s="3">
        <v>50</v>
      </c>
      <c r="N187" s="3">
        <f t="shared" si="27"/>
        <v>2348.5010000000002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400</v>
      </c>
      <c r="F188" s="4">
        <f t="shared" si="23"/>
        <v>7983.333333333333</v>
      </c>
      <c r="G188" s="181" t="str">
        <f t="shared" si="24"/>
        <v>No</v>
      </c>
      <c r="H188" s="3">
        <f t="shared" si="25"/>
        <v>80</v>
      </c>
      <c r="I188" s="3">
        <f t="shared" si="26"/>
        <v>33.33</v>
      </c>
      <c r="J188" s="3">
        <f t="shared" si="19"/>
        <v>7870.0033333333331</v>
      </c>
      <c r="K188" s="3">
        <f t="shared" si="20"/>
        <v>2361.0009999999997</v>
      </c>
      <c r="L188" s="3">
        <f t="shared" si="21"/>
        <v>798.33333333333337</v>
      </c>
      <c r="M188" s="3">
        <v>50</v>
      </c>
      <c r="N188" s="3">
        <f t="shared" si="27"/>
        <v>2361.0009999999997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400</v>
      </c>
      <c r="F189" s="4">
        <f t="shared" si="23"/>
        <v>8025</v>
      </c>
      <c r="G189" s="181" t="str">
        <f t="shared" si="24"/>
        <v>No</v>
      </c>
      <c r="H189" s="3">
        <f t="shared" si="25"/>
        <v>80</v>
      </c>
      <c r="I189" s="3">
        <f t="shared" si="26"/>
        <v>33.33</v>
      </c>
      <c r="J189" s="3">
        <f t="shared" si="19"/>
        <v>7911.67</v>
      </c>
      <c r="K189" s="3">
        <f t="shared" si="20"/>
        <v>2373.5009999999997</v>
      </c>
      <c r="L189" s="3">
        <f t="shared" si="21"/>
        <v>802.5</v>
      </c>
      <c r="M189" s="3">
        <v>50</v>
      </c>
      <c r="N189" s="3">
        <f t="shared" si="27"/>
        <v>2373.5009999999997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400</v>
      </c>
      <c r="F190" s="4">
        <f t="shared" si="23"/>
        <v>8066.666666666667</v>
      </c>
      <c r="G190" s="181" t="str">
        <f t="shared" si="24"/>
        <v>No</v>
      </c>
      <c r="H190" s="3">
        <f t="shared" si="25"/>
        <v>80</v>
      </c>
      <c r="I190" s="3">
        <f t="shared" si="26"/>
        <v>33.33</v>
      </c>
      <c r="J190" s="3">
        <f t="shared" si="19"/>
        <v>7953.336666666667</v>
      </c>
      <c r="K190" s="3">
        <f t="shared" si="20"/>
        <v>2386.0010000000002</v>
      </c>
      <c r="L190" s="3">
        <f t="shared" si="21"/>
        <v>806.66666666666674</v>
      </c>
      <c r="M190" s="3">
        <v>50</v>
      </c>
      <c r="N190" s="3">
        <f t="shared" si="27"/>
        <v>2386.0010000000002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400</v>
      </c>
      <c r="F191" s="4">
        <f t="shared" si="23"/>
        <v>8108.333333333333</v>
      </c>
      <c r="G191" s="181" t="str">
        <f t="shared" si="24"/>
        <v>No</v>
      </c>
      <c r="H191" s="3">
        <f t="shared" si="25"/>
        <v>80</v>
      </c>
      <c r="I191" s="3">
        <f t="shared" si="26"/>
        <v>33.33</v>
      </c>
      <c r="J191" s="3">
        <f t="shared" si="19"/>
        <v>7995.0033333333331</v>
      </c>
      <c r="K191" s="3">
        <f t="shared" si="20"/>
        <v>2398.5009999999997</v>
      </c>
      <c r="L191" s="3">
        <f t="shared" si="21"/>
        <v>810.83333333333337</v>
      </c>
      <c r="M191" s="3">
        <v>50</v>
      </c>
      <c r="N191" s="3">
        <f t="shared" si="27"/>
        <v>2398.5009999999997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400</v>
      </c>
      <c r="F192" s="4">
        <f t="shared" si="23"/>
        <v>8150</v>
      </c>
      <c r="G192" s="181" t="str">
        <f t="shared" si="24"/>
        <v>No</v>
      </c>
      <c r="H192" s="3">
        <f t="shared" si="25"/>
        <v>80</v>
      </c>
      <c r="I192" s="3">
        <f t="shared" si="26"/>
        <v>33.33</v>
      </c>
      <c r="J192" s="3">
        <f t="shared" si="19"/>
        <v>8036.67</v>
      </c>
      <c r="K192" s="3">
        <f t="shared" si="20"/>
        <v>2411.0009999999997</v>
      </c>
      <c r="L192" s="3">
        <f t="shared" si="21"/>
        <v>815</v>
      </c>
      <c r="M192" s="3">
        <v>50</v>
      </c>
      <c r="N192" s="3">
        <f t="shared" si="27"/>
        <v>2411.0009999999997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400</v>
      </c>
      <c r="F193" s="4">
        <f t="shared" si="23"/>
        <v>8191.666666666667</v>
      </c>
      <c r="G193" s="181" t="str">
        <f t="shared" si="24"/>
        <v>No</v>
      </c>
      <c r="H193" s="3">
        <f t="shared" si="25"/>
        <v>80</v>
      </c>
      <c r="I193" s="3">
        <f t="shared" si="26"/>
        <v>33.33</v>
      </c>
      <c r="J193" s="3">
        <f t="shared" si="19"/>
        <v>8078.336666666667</v>
      </c>
      <c r="K193" s="3">
        <f t="shared" si="20"/>
        <v>2423.5010000000002</v>
      </c>
      <c r="L193" s="3">
        <f t="shared" si="21"/>
        <v>819.16666666666674</v>
      </c>
      <c r="M193" s="3">
        <v>50</v>
      </c>
      <c r="N193" s="3">
        <f t="shared" si="27"/>
        <v>2423.5010000000002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400</v>
      </c>
      <c r="F194" s="4">
        <f t="shared" si="23"/>
        <v>8233.3333333333321</v>
      </c>
      <c r="G194" s="181" t="str">
        <f t="shared" si="24"/>
        <v>No</v>
      </c>
      <c r="H194" s="3">
        <f t="shared" si="25"/>
        <v>80</v>
      </c>
      <c r="I194" s="3">
        <f t="shared" si="26"/>
        <v>33.33</v>
      </c>
      <c r="J194" s="3">
        <f t="shared" si="19"/>
        <v>8120.0033333333322</v>
      </c>
      <c r="K194" s="3">
        <f t="shared" si="20"/>
        <v>2436.0009999999997</v>
      </c>
      <c r="L194" s="3">
        <f t="shared" si="21"/>
        <v>823.33333333333326</v>
      </c>
      <c r="M194" s="3">
        <v>50</v>
      </c>
      <c r="N194" s="3">
        <f t="shared" si="27"/>
        <v>2436.0009999999997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400</v>
      </c>
      <c r="F195" s="4">
        <f t="shared" si="23"/>
        <v>8275</v>
      </c>
      <c r="G195" s="181" t="str">
        <f t="shared" si="24"/>
        <v>No</v>
      </c>
      <c r="H195" s="3">
        <f t="shared" si="25"/>
        <v>80</v>
      </c>
      <c r="I195" s="3">
        <f t="shared" si="26"/>
        <v>33.33</v>
      </c>
      <c r="J195" s="3">
        <f t="shared" si="19"/>
        <v>8161.67</v>
      </c>
      <c r="K195" s="3">
        <f t="shared" si="20"/>
        <v>2448.5009999999997</v>
      </c>
      <c r="L195" s="3">
        <f t="shared" si="21"/>
        <v>827.5</v>
      </c>
      <c r="M195" s="3">
        <v>50</v>
      </c>
      <c r="N195" s="3">
        <f t="shared" si="27"/>
        <v>2448.5009999999997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400</v>
      </c>
      <c r="F196" s="4">
        <f t="shared" si="23"/>
        <v>8316.6666666666679</v>
      </c>
      <c r="G196" s="181" t="str">
        <f t="shared" si="24"/>
        <v>No</v>
      </c>
      <c r="H196" s="3">
        <f t="shared" si="25"/>
        <v>80</v>
      </c>
      <c r="I196" s="3">
        <f t="shared" si="26"/>
        <v>33.33</v>
      </c>
      <c r="J196" s="3">
        <f t="shared" si="19"/>
        <v>8203.336666666668</v>
      </c>
      <c r="K196" s="3">
        <f t="shared" si="20"/>
        <v>2461.0010000000002</v>
      </c>
      <c r="L196" s="3">
        <f t="shared" si="21"/>
        <v>831.66666666666686</v>
      </c>
      <c r="M196" s="3">
        <v>50</v>
      </c>
      <c r="N196" s="3">
        <f t="shared" si="27"/>
        <v>2461.0010000000002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400</v>
      </c>
      <c r="F197" s="4">
        <f t="shared" si="23"/>
        <v>8358.3333333333321</v>
      </c>
      <c r="G197" s="181" t="str">
        <f t="shared" si="24"/>
        <v>No</v>
      </c>
      <c r="H197" s="3">
        <f t="shared" si="25"/>
        <v>80</v>
      </c>
      <c r="I197" s="3">
        <f t="shared" si="26"/>
        <v>33.33</v>
      </c>
      <c r="J197" s="3">
        <f t="shared" si="19"/>
        <v>8245.0033333333322</v>
      </c>
      <c r="K197" s="3">
        <f t="shared" si="20"/>
        <v>2473.5009999999997</v>
      </c>
      <c r="L197" s="3">
        <f t="shared" si="21"/>
        <v>835.83333333333326</v>
      </c>
      <c r="M197" s="3">
        <v>50</v>
      </c>
      <c r="N197" s="3">
        <f t="shared" si="27"/>
        <v>2473.5009999999997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400</v>
      </c>
      <c r="F198" s="4">
        <f t="shared" si="23"/>
        <v>8400</v>
      </c>
      <c r="G198" s="181" t="str">
        <f t="shared" si="24"/>
        <v>No</v>
      </c>
      <c r="H198" s="3">
        <f t="shared" si="25"/>
        <v>80</v>
      </c>
      <c r="I198" s="3">
        <f t="shared" si="26"/>
        <v>33.33</v>
      </c>
      <c r="J198" s="3">
        <f t="shared" ref="J198:J206" si="28">IF(F198-H198-I198&lt;0,0,F198-H198-I198)</f>
        <v>8286.67</v>
      </c>
      <c r="K198" s="3">
        <f t="shared" ref="K198:K206" si="29">J198*0.3</f>
        <v>2486.0009999999997</v>
      </c>
      <c r="L198" s="3">
        <f t="shared" ref="L198:L206" si="30">F198*0.1</f>
        <v>840</v>
      </c>
      <c r="M198" s="3">
        <v>50</v>
      </c>
      <c r="N198" s="3">
        <f t="shared" si="27"/>
        <v>2486.0009999999997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400</v>
      </c>
      <c r="F199" s="4">
        <f t="shared" ref="F199:F206" si="32">B199+C199+D199+E199</f>
        <v>8441.6666666666679</v>
      </c>
      <c r="G199" s="181" t="str">
        <f t="shared" ref="G199:G206" si="33">IF(F199&lt;$L$2,"Yes","No")</f>
        <v>No</v>
      </c>
      <c r="H199" s="3">
        <f t="shared" ref="H199:H206" si="34">40*($D$2+$I$2)</f>
        <v>80</v>
      </c>
      <c r="I199" s="3">
        <f t="shared" ref="I199:I211" si="35">IF($H$2+$I$2&gt;0,33.33,0)</f>
        <v>33.33</v>
      </c>
      <c r="J199" s="3">
        <f t="shared" si="28"/>
        <v>8328.336666666668</v>
      </c>
      <c r="K199" s="3">
        <f t="shared" si="29"/>
        <v>2498.5010000000002</v>
      </c>
      <c r="L199" s="3">
        <f t="shared" si="30"/>
        <v>844.16666666666686</v>
      </c>
      <c r="M199" s="3">
        <v>50</v>
      </c>
      <c r="N199" s="3">
        <f t="shared" si="27"/>
        <v>2498.5010000000002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400</v>
      </c>
      <c r="F200" s="4">
        <f t="shared" si="32"/>
        <v>8483.3333333333321</v>
      </c>
      <c r="G200" s="181" t="str">
        <f t="shared" si="33"/>
        <v>No</v>
      </c>
      <c r="H200" s="3">
        <f t="shared" si="34"/>
        <v>80</v>
      </c>
      <c r="I200" s="3">
        <f t="shared" si="35"/>
        <v>33.33</v>
      </c>
      <c r="J200" s="3">
        <f t="shared" si="28"/>
        <v>8370.0033333333322</v>
      </c>
      <c r="K200" s="3">
        <f t="shared" si="29"/>
        <v>2511.0009999999997</v>
      </c>
      <c r="L200" s="3">
        <f t="shared" si="30"/>
        <v>848.33333333333326</v>
      </c>
      <c r="M200" s="3">
        <v>50</v>
      </c>
      <c r="N200" s="3">
        <f t="shared" si="27"/>
        <v>2511.0009999999997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400</v>
      </c>
      <c r="F201" s="4">
        <f t="shared" si="32"/>
        <v>8525</v>
      </c>
      <c r="G201" s="181" t="str">
        <f t="shared" si="33"/>
        <v>No</v>
      </c>
      <c r="H201" s="3">
        <f t="shared" si="34"/>
        <v>80</v>
      </c>
      <c r="I201" s="3">
        <f t="shared" si="35"/>
        <v>33.33</v>
      </c>
      <c r="J201" s="3">
        <f t="shared" si="28"/>
        <v>8411.67</v>
      </c>
      <c r="K201" s="3">
        <f t="shared" si="29"/>
        <v>2523.5009999999997</v>
      </c>
      <c r="L201" s="3">
        <f t="shared" si="30"/>
        <v>852.5</v>
      </c>
      <c r="M201" s="3">
        <v>50</v>
      </c>
      <c r="N201" s="3">
        <f t="shared" si="27"/>
        <v>2523.5009999999997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400</v>
      </c>
      <c r="F202" s="4">
        <f t="shared" si="32"/>
        <v>8566.6666666666679</v>
      </c>
      <c r="G202" s="181" t="str">
        <f t="shared" si="33"/>
        <v>No</v>
      </c>
      <c r="H202" s="3">
        <f t="shared" si="34"/>
        <v>80</v>
      </c>
      <c r="I202" s="3">
        <f t="shared" si="35"/>
        <v>33.33</v>
      </c>
      <c r="J202" s="3">
        <f t="shared" si="28"/>
        <v>8453.336666666668</v>
      </c>
      <c r="K202" s="3">
        <f t="shared" si="29"/>
        <v>2536.0010000000002</v>
      </c>
      <c r="L202" s="3">
        <f t="shared" si="30"/>
        <v>856.66666666666686</v>
      </c>
      <c r="M202" s="3">
        <v>50</v>
      </c>
      <c r="N202" s="3">
        <f t="shared" si="27"/>
        <v>2536.0010000000002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400</v>
      </c>
      <c r="F203" s="4">
        <f t="shared" si="32"/>
        <v>8608.3333333333339</v>
      </c>
      <c r="G203" s="181" t="str">
        <f t="shared" si="33"/>
        <v>No</v>
      </c>
      <c r="H203" s="3">
        <f t="shared" si="34"/>
        <v>80</v>
      </c>
      <c r="I203" s="3">
        <f t="shared" si="35"/>
        <v>33.33</v>
      </c>
      <c r="J203" s="3">
        <f t="shared" si="28"/>
        <v>8495.003333333334</v>
      </c>
      <c r="K203" s="3">
        <f t="shared" si="29"/>
        <v>2548.5010000000002</v>
      </c>
      <c r="L203" s="3">
        <f t="shared" si="30"/>
        <v>860.83333333333348</v>
      </c>
      <c r="M203" s="3">
        <v>50</v>
      </c>
      <c r="N203" s="3">
        <f t="shared" si="27"/>
        <v>2548.5010000000002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400</v>
      </c>
      <c r="F204" s="4">
        <f t="shared" si="32"/>
        <v>8650</v>
      </c>
      <c r="G204" s="181" t="str">
        <f t="shared" si="33"/>
        <v>No</v>
      </c>
      <c r="H204" s="3">
        <f t="shared" si="34"/>
        <v>80</v>
      </c>
      <c r="I204" s="3">
        <f t="shared" si="35"/>
        <v>33.33</v>
      </c>
      <c r="J204" s="3">
        <f t="shared" si="28"/>
        <v>8536.67</v>
      </c>
      <c r="K204" s="3">
        <f t="shared" si="29"/>
        <v>2561.0009999999997</v>
      </c>
      <c r="L204" s="3">
        <f t="shared" si="30"/>
        <v>865</v>
      </c>
      <c r="M204" s="3">
        <v>50</v>
      </c>
      <c r="N204" s="3">
        <f t="shared" si="27"/>
        <v>2561.0009999999997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400</v>
      </c>
      <c r="F205" s="4">
        <f t="shared" si="32"/>
        <v>8691.6666666666661</v>
      </c>
      <c r="G205" s="181" t="str">
        <f t="shared" si="33"/>
        <v>No</v>
      </c>
      <c r="H205" s="3">
        <f t="shared" si="34"/>
        <v>80</v>
      </c>
      <c r="I205" s="3">
        <f t="shared" si="35"/>
        <v>33.33</v>
      </c>
      <c r="J205" s="3">
        <f t="shared" si="28"/>
        <v>8578.3366666666661</v>
      </c>
      <c r="K205" s="3">
        <f t="shared" si="29"/>
        <v>2573.5009999999997</v>
      </c>
      <c r="L205" s="3">
        <f t="shared" si="30"/>
        <v>869.16666666666663</v>
      </c>
      <c r="M205" s="3">
        <v>50</v>
      </c>
      <c r="N205" s="3">
        <f t="shared" si="27"/>
        <v>2573.5009999999997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400</v>
      </c>
      <c r="F206" s="4">
        <f t="shared" si="32"/>
        <v>8733.3333333333339</v>
      </c>
      <c r="G206" s="181" t="str">
        <f t="shared" si="33"/>
        <v>No</v>
      </c>
      <c r="H206" s="3">
        <f t="shared" si="34"/>
        <v>80</v>
      </c>
      <c r="I206" s="3">
        <f t="shared" si="35"/>
        <v>33.33</v>
      </c>
      <c r="J206" s="3">
        <f t="shared" si="28"/>
        <v>8620.003333333334</v>
      </c>
      <c r="K206" s="3">
        <f t="shared" si="29"/>
        <v>2586.0010000000002</v>
      </c>
      <c r="L206" s="3">
        <f t="shared" si="30"/>
        <v>873.33333333333348</v>
      </c>
      <c r="M206" s="3">
        <v>50</v>
      </c>
      <c r="N206" s="3">
        <f t="shared" si="27"/>
        <v>2586.0010000000002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1500</v>
      </c>
      <c r="C209" s="4">
        <f>MAX('TANF-VIEW'!L212,'TANF-VIEW'!T212)</f>
        <v>0</v>
      </c>
      <c r="D209" s="4">
        <f>'Total income package'!$D$80</f>
        <v>0</v>
      </c>
      <c r="E209" s="4">
        <f>'Total income package'!$H$61+'Total income package'!$F$66</f>
        <v>400</v>
      </c>
      <c r="F209" s="4">
        <f t="shared" ref="F209:F211" si="36">B209+C209+D209+E209</f>
        <v>1900</v>
      </c>
      <c r="G209" s="181" t="str">
        <f t="shared" ref="G209:G211" si="37">IF(F209&lt;$L$2,"Yes","No")</f>
        <v>Yes</v>
      </c>
      <c r="H209" s="3">
        <f t="shared" ref="H209:H211" si="38">40*($D$2+$I$2)</f>
        <v>80</v>
      </c>
      <c r="I209" s="3">
        <f t="shared" si="35"/>
        <v>33.33</v>
      </c>
      <c r="J209" s="3">
        <f>IF(F209-H209-I209&lt;0,0,F209-H209-I209)</f>
        <v>1786.67</v>
      </c>
      <c r="K209" s="3">
        <f>J209*0.3</f>
        <v>536.00099999999998</v>
      </c>
      <c r="L209" s="3">
        <f>F209*0.1</f>
        <v>190</v>
      </c>
      <c r="M209" s="3">
        <v>50</v>
      </c>
      <c r="N209" s="3">
        <f>MAX(K209:M209)</f>
        <v>536.00099999999998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813.99900000000002</v>
      </c>
    </row>
    <row r="210" spans="1:17" x14ac:dyDescent="0.25">
      <c r="A210" s="116" t="s">
        <v>303</v>
      </c>
      <c r="C210" s="4" t="s">
        <v>365</v>
      </c>
      <c r="D210" s="4"/>
      <c r="E210" s="4"/>
      <c r="F210" s="4"/>
      <c r="G210" s="181"/>
      <c r="H210" s="3"/>
      <c r="I210" s="3"/>
      <c r="J210" s="3"/>
    </row>
    <row r="211" spans="1:17" x14ac:dyDescent="0.25">
      <c r="B211" s="7">
        <f>'Total income package'!B91</f>
        <v>1500</v>
      </c>
      <c r="C211" s="4">
        <f>MAX('TANF-VIEW'!L214,'TANF-VIEW'!T214)</f>
        <v>0</v>
      </c>
      <c r="D211" s="4">
        <f>'Total income package'!$D$80</f>
        <v>0</v>
      </c>
      <c r="E211" s="4">
        <f>'Total income package'!$H$61+'Total income package'!$F$66</f>
        <v>400</v>
      </c>
      <c r="F211" s="4">
        <f t="shared" si="36"/>
        <v>1900</v>
      </c>
      <c r="G211" s="181" t="str">
        <f t="shared" si="37"/>
        <v>Yes</v>
      </c>
      <c r="H211" s="3">
        <f t="shared" si="38"/>
        <v>80</v>
      </c>
      <c r="I211" s="3">
        <f t="shared" si="35"/>
        <v>33.33</v>
      </c>
      <c r="J211" s="3">
        <f>IF(F211-H211-I211&lt;0,0,F211-H211-I211)</f>
        <v>1786.67</v>
      </c>
      <c r="K211" s="3">
        <f>J211*0.3</f>
        <v>536.00099999999998</v>
      </c>
      <c r="L211" s="3">
        <f>F211*0.1</f>
        <v>190</v>
      </c>
      <c r="M211" s="3">
        <v>50</v>
      </c>
      <c r="N211" s="3">
        <f>MAX(K211:M211)</f>
        <v>536.00099999999998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813.99900000000002</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5</v>
      </c>
      <c r="C2" s="77">
        <f>'Total income package'!B30</f>
        <v>3</v>
      </c>
      <c r="D2" s="77">
        <f>COUNTIF('Total income package'!B37:B44,"&gt;64")</f>
        <v>2</v>
      </c>
      <c r="E2" s="77">
        <f>'Total income package'!F61</f>
        <v>1</v>
      </c>
      <c r="F2" s="77">
        <f>'Total income package'!B31</f>
        <v>2</v>
      </c>
      <c r="G2" s="77">
        <f>'Total income package'!D66</f>
        <v>0</v>
      </c>
      <c r="H2" s="127">
        <f>VLOOKUP(Medicaid!B2,'Program specific data'!A5:J13,7,FALSE)</f>
        <v>162</v>
      </c>
      <c r="I2" s="155">
        <f>IF(A3=1,VLOOKUP(B2,'Program specific data'!A124:D131,2),IF(A3=2,VLOOKUP(B2,'Program specific data'!A124:D131,3),VLOOKUP(B2,'Program specific data'!A124:D131,4)))</f>
        <v>896</v>
      </c>
      <c r="J2" s="155">
        <f>VLOOKUP(B2,'Program specific data'!A5:N13,6,FALSE)</f>
        <v>4288</v>
      </c>
      <c r="K2" s="151">
        <f>VLOOKUP(B2,'Program specific data'!A5:M13,11,FALSE)</f>
        <v>4610</v>
      </c>
      <c r="L2" s="155">
        <f>VLOOKUP(B2,'Program specific data'!A5:N13,13,FALSE)</f>
        <v>6275</v>
      </c>
      <c r="M2" s="78">
        <f>C2*'Program specific data'!C148</f>
        <v>1551.75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1551.75</v>
      </c>
      <c r="M9" s="179">
        <f>IF(AND('Total income package'!$A$16=TRUE,E9&lt;$L$2),$P$2,0)</f>
        <v>637</v>
      </c>
      <c r="N9" s="204">
        <f>L9+M9</f>
        <v>2188.75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1551.75</v>
      </c>
      <c r="M10" s="179">
        <f>IF(AND('Total income package'!$A$16=TRUE,E10&lt;$L$2),$P$2,0)</f>
        <v>637</v>
      </c>
      <c r="N10" s="204">
        <f t="shared" ref="N10:N73" si="8">L10+M10</f>
        <v>2188.75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1551.75</v>
      </c>
      <c r="M11" s="179">
        <f>IF(AND('Total income package'!$A$16=TRUE,E11&lt;$L$2),$P$2,0)</f>
        <v>637</v>
      </c>
      <c r="N11" s="204">
        <f t="shared" si="8"/>
        <v>2188.75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Yes</v>
      </c>
      <c r="J12" t="str">
        <f t="shared" si="1"/>
        <v>Yes</v>
      </c>
      <c r="K12" t="str">
        <f t="shared" si="2"/>
        <v>Yes</v>
      </c>
      <c r="L12" s="203">
        <f>IF(AND('Total income package'!$A$16=TRUE,E12&lt;$J$2),$M$2,0)</f>
        <v>1551.75</v>
      </c>
      <c r="M12" s="179">
        <f>IF(AND('Total income package'!$A$16=TRUE,E12&lt;$L$2),$P$2,0)</f>
        <v>637</v>
      </c>
      <c r="N12" s="204">
        <f t="shared" si="8"/>
        <v>2188.75</v>
      </c>
    </row>
    <row r="13" spans="1:18" x14ac:dyDescent="0.25">
      <c r="A13" s="105">
        <v>2000</v>
      </c>
      <c r="B13" s="4">
        <f t="shared" si="0"/>
        <v>166.66666666666666</v>
      </c>
      <c r="C13" s="4">
        <f>'Total income package'!$D$80</f>
        <v>0</v>
      </c>
      <c r="D13" s="4">
        <f t="shared" si="3"/>
        <v>166.66666666666666</v>
      </c>
      <c r="E13" s="4">
        <f t="shared" si="4"/>
        <v>4.6666666666666572</v>
      </c>
      <c r="F13" t="str">
        <f t="shared" si="5"/>
        <v>Yes</v>
      </c>
      <c r="G13" t="str">
        <f t="shared" si="6"/>
        <v>Yes</v>
      </c>
      <c r="I13" t="str">
        <f t="shared" si="7"/>
        <v>Yes</v>
      </c>
      <c r="J13" t="str">
        <f t="shared" si="1"/>
        <v>Yes</v>
      </c>
      <c r="K13" t="str">
        <f t="shared" si="2"/>
        <v>Yes</v>
      </c>
      <c r="L13" s="203">
        <f>IF(AND('Total income package'!$A$16=TRUE,E13&lt;$J$2),$M$2,0)</f>
        <v>1551.75</v>
      </c>
      <c r="M13" s="179">
        <f>IF(AND('Total income package'!$A$16=TRUE,E13&lt;$L$2),$P$2,0)</f>
        <v>637</v>
      </c>
      <c r="N13" s="204">
        <f t="shared" si="8"/>
        <v>2188.75</v>
      </c>
    </row>
    <row r="14" spans="1:18" x14ac:dyDescent="0.25">
      <c r="A14" s="105">
        <v>2500</v>
      </c>
      <c r="B14" s="4">
        <f t="shared" si="0"/>
        <v>208.33333333333334</v>
      </c>
      <c r="C14" s="4">
        <f>'Total income package'!$D$80</f>
        <v>0</v>
      </c>
      <c r="D14" s="4">
        <f t="shared" si="3"/>
        <v>208.33333333333334</v>
      </c>
      <c r="E14" s="4">
        <f t="shared" si="4"/>
        <v>46.333333333333343</v>
      </c>
      <c r="F14" t="str">
        <f t="shared" si="5"/>
        <v>Yes</v>
      </c>
      <c r="G14" t="str">
        <f t="shared" si="6"/>
        <v>Yes</v>
      </c>
      <c r="I14" t="str">
        <f t="shared" si="7"/>
        <v>Yes</v>
      </c>
      <c r="J14" t="str">
        <f t="shared" si="1"/>
        <v>Yes</v>
      </c>
      <c r="K14" t="str">
        <f t="shared" si="2"/>
        <v>Yes</v>
      </c>
      <c r="L14" s="203">
        <f>IF(AND('Total income package'!$A$16=TRUE,E14&lt;$J$2),$M$2,0)</f>
        <v>1551.75</v>
      </c>
      <c r="M14" s="179">
        <f>IF(AND('Total income package'!$A$16=TRUE,E14&lt;$L$2),$P$2,0)</f>
        <v>637</v>
      </c>
      <c r="N14" s="204">
        <f t="shared" si="8"/>
        <v>2188.75</v>
      </c>
    </row>
    <row r="15" spans="1:18" x14ac:dyDescent="0.25">
      <c r="A15" s="105">
        <v>3000</v>
      </c>
      <c r="B15" s="4">
        <f t="shared" si="0"/>
        <v>250</v>
      </c>
      <c r="C15" s="4">
        <f>'Total income package'!$D$80</f>
        <v>0</v>
      </c>
      <c r="D15" s="4">
        <f t="shared" si="3"/>
        <v>250</v>
      </c>
      <c r="E15" s="4">
        <f t="shared" si="4"/>
        <v>88</v>
      </c>
      <c r="F15" t="str">
        <f t="shared" si="5"/>
        <v>Yes</v>
      </c>
      <c r="G15" t="str">
        <f t="shared" si="6"/>
        <v>Yes</v>
      </c>
      <c r="I15" t="str">
        <f t="shared" si="7"/>
        <v>Yes</v>
      </c>
      <c r="J15" t="str">
        <f t="shared" si="1"/>
        <v>Yes</v>
      </c>
      <c r="K15" t="str">
        <f t="shared" si="2"/>
        <v>Yes</v>
      </c>
      <c r="L15" s="203">
        <f>IF(AND('Total income package'!$A$16=TRUE,E15&lt;$J$2),$M$2,0)</f>
        <v>1551.75</v>
      </c>
      <c r="M15" s="179">
        <f>IF(AND('Total income package'!$A$16=TRUE,E15&lt;$L$2),$P$2,0)</f>
        <v>637</v>
      </c>
      <c r="N15" s="204">
        <f t="shared" si="8"/>
        <v>2188.75</v>
      </c>
    </row>
    <row r="16" spans="1:18" x14ac:dyDescent="0.25">
      <c r="A16" s="105">
        <v>3500</v>
      </c>
      <c r="B16" s="4">
        <f t="shared" si="0"/>
        <v>291.66666666666669</v>
      </c>
      <c r="C16" s="4">
        <f>'Total income package'!$D$80</f>
        <v>0</v>
      </c>
      <c r="D16" s="4">
        <f t="shared" si="3"/>
        <v>291.66666666666669</v>
      </c>
      <c r="E16" s="4">
        <f t="shared" si="4"/>
        <v>129.66666666666669</v>
      </c>
      <c r="F16" t="str">
        <f t="shared" si="5"/>
        <v>Yes</v>
      </c>
      <c r="G16" t="str">
        <f t="shared" si="6"/>
        <v>Yes</v>
      </c>
      <c r="I16" t="str">
        <f t="shared" si="7"/>
        <v>Yes</v>
      </c>
      <c r="J16" t="str">
        <f t="shared" si="1"/>
        <v>Yes</v>
      </c>
      <c r="K16" t="str">
        <f t="shared" si="2"/>
        <v>Yes</v>
      </c>
      <c r="L16" s="203">
        <f>IF(AND('Total income package'!$A$16=TRUE,E16&lt;$J$2),$M$2,0)</f>
        <v>1551.75</v>
      </c>
      <c r="M16" s="179">
        <f>IF(AND('Total income package'!$A$16=TRUE,E16&lt;$L$2),$P$2,0)</f>
        <v>637</v>
      </c>
      <c r="N16" s="204">
        <f t="shared" si="8"/>
        <v>2188.75</v>
      </c>
    </row>
    <row r="17" spans="1:14" x14ac:dyDescent="0.25">
      <c r="A17" s="105">
        <v>4000</v>
      </c>
      <c r="B17" s="4">
        <f t="shared" si="0"/>
        <v>333.33333333333331</v>
      </c>
      <c r="C17" s="4">
        <f>'Total income package'!$D$80</f>
        <v>0</v>
      </c>
      <c r="D17" s="4">
        <f t="shared" si="3"/>
        <v>333.33333333333331</v>
      </c>
      <c r="E17" s="4">
        <f t="shared" si="4"/>
        <v>171.33333333333331</v>
      </c>
      <c r="F17" t="str">
        <f t="shared" si="5"/>
        <v>Yes</v>
      </c>
      <c r="G17" t="str">
        <f t="shared" si="6"/>
        <v>Yes</v>
      </c>
      <c r="I17" t="str">
        <f t="shared" si="7"/>
        <v>Yes</v>
      </c>
      <c r="J17" t="str">
        <f t="shared" si="1"/>
        <v>Yes</v>
      </c>
      <c r="K17" t="str">
        <f t="shared" si="2"/>
        <v>Yes</v>
      </c>
      <c r="L17" s="203">
        <f>IF(AND('Total income package'!$A$16=TRUE,E17&lt;$J$2),$M$2,0)</f>
        <v>1551.75</v>
      </c>
      <c r="M17" s="179">
        <f>IF(AND('Total income package'!$A$16=TRUE,E17&lt;$L$2),$P$2,0)</f>
        <v>637</v>
      </c>
      <c r="N17" s="204">
        <f t="shared" si="8"/>
        <v>2188.75</v>
      </c>
    </row>
    <row r="18" spans="1:14" x14ac:dyDescent="0.25">
      <c r="A18" s="105">
        <v>4500</v>
      </c>
      <c r="B18" s="4">
        <f t="shared" si="0"/>
        <v>375</v>
      </c>
      <c r="C18" s="4">
        <f>'Total income package'!$D$80</f>
        <v>0</v>
      </c>
      <c r="D18" s="4">
        <f t="shared" si="3"/>
        <v>375</v>
      </c>
      <c r="E18" s="4">
        <f t="shared" si="4"/>
        <v>213</v>
      </c>
      <c r="F18" t="str">
        <f t="shared" si="5"/>
        <v>Yes</v>
      </c>
      <c r="G18" t="str">
        <f t="shared" si="6"/>
        <v>Yes</v>
      </c>
      <c r="I18" t="str">
        <f t="shared" si="7"/>
        <v>Yes</v>
      </c>
      <c r="J18" t="str">
        <f t="shared" si="1"/>
        <v>Yes</v>
      </c>
      <c r="K18" t="str">
        <f t="shared" si="2"/>
        <v>Yes</v>
      </c>
      <c r="L18" s="203">
        <f>IF(AND('Total income package'!$A$16=TRUE,E18&lt;$J$2),$M$2,0)</f>
        <v>1551.75</v>
      </c>
      <c r="M18" s="179">
        <f>IF(AND('Total income package'!$A$16=TRUE,E18&lt;$L$2),$P$2,0)</f>
        <v>637</v>
      </c>
      <c r="N18" s="204">
        <f t="shared" si="8"/>
        <v>2188.75</v>
      </c>
    </row>
    <row r="19" spans="1:14" x14ac:dyDescent="0.25">
      <c r="A19" s="105">
        <v>5000</v>
      </c>
      <c r="B19" s="4">
        <f t="shared" si="0"/>
        <v>416.66666666666669</v>
      </c>
      <c r="C19" s="4">
        <f>'Total income package'!$D$80</f>
        <v>0</v>
      </c>
      <c r="D19" s="4">
        <f t="shared" si="3"/>
        <v>416.66666666666669</v>
      </c>
      <c r="E19" s="4">
        <f t="shared" si="4"/>
        <v>254.66666666666669</v>
      </c>
      <c r="F19" t="str">
        <f t="shared" si="5"/>
        <v>Yes</v>
      </c>
      <c r="G19" t="str">
        <f t="shared" si="6"/>
        <v>Yes</v>
      </c>
      <c r="I19" t="str">
        <f t="shared" si="7"/>
        <v>Yes</v>
      </c>
      <c r="J19" t="str">
        <f t="shared" si="1"/>
        <v>Yes</v>
      </c>
      <c r="K19" t="str">
        <f t="shared" si="2"/>
        <v>Yes</v>
      </c>
      <c r="L19" s="203">
        <f>IF(AND('Total income package'!$A$16=TRUE,E19&lt;$J$2),$M$2,0)</f>
        <v>1551.75</v>
      </c>
      <c r="M19" s="179">
        <f>IF(AND('Total income package'!$A$16=TRUE,E19&lt;$L$2),$P$2,0)</f>
        <v>637</v>
      </c>
      <c r="N19" s="204">
        <f t="shared" si="8"/>
        <v>2188.75</v>
      </c>
    </row>
    <row r="20" spans="1:14" x14ac:dyDescent="0.25">
      <c r="A20" s="105">
        <v>5500</v>
      </c>
      <c r="B20" s="4">
        <f t="shared" si="0"/>
        <v>458.33333333333331</v>
      </c>
      <c r="C20" s="4">
        <f>'Total income package'!$D$80</f>
        <v>0</v>
      </c>
      <c r="D20" s="4">
        <f t="shared" si="3"/>
        <v>458.33333333333331</v>
      </c>
      <c r="E20" s="4">
        <f t="shared" si="4"/>
        <v>296.33333333333331</v>
      </c>
      <c r="F20" t="str">
        <f t="shared" si="5"/>
        <v>Yes</v>
      </c>
      <c r="G20" t="str">
        <f t="shared" si="6"/>
        <v>Yes</v>
      </c>
      <c r="I20" t="str">
        <f t="shared" si="7"/>
        <v>Yes</v>
      </c>
      <c r="J20" t="str">
        <f t="shared" si="1"/>
        <v>Yes</v>
      </c>
      <c r="K20" t="str">
        <f t="shared" si="2"/>
        <v>Yes</v>
      </c>
      <c r="L20" s="203">
        <f>IF(AND('Total income package'!$A$16=TRUE,E20&lt;$J$2),$M$2,0)</f>
        <v>1551.75</v>
      </c>
      <c r="M20" s="179">
        <f>IF(AND('Total income package'!$A$16=TRUE,E20&lt;$L$2),$P$2,0)</f>
        <v>637</v>
      </c>
      <c r="N20" s="204">
        <f t="shared" si="8"/>
        <v>2188.75</v>
      </c>
    </row>
    <row r="21" spans="1:14" x14ac:dyDescent="0.25">
      <c r="A21" s="105">
        <v>6000</v>
      </c>
      <c r="B21" s="4">
        <f t="shared" si="0"/>
        <v>500</v>
      </c>
      <c r="C21" s="4">
        <f>'Total income package'!$D$80</f>
        <v>0</v>
      </c>
      <c r="D21" s="4">
        <f t="shared" si="3"/>
        <v>500</v>
      </c>
      <c r="E21" s="4">
        <f t="shared" si="4"/>
        <v>338</v>
      </c>
      <c r="F21" t="str">
        <f t="shared" si="5"/>
        <v>Yes</v>
      </c>
      <c r="G21" t="str">
        <f t="shared" si="6"/>
        <v>Yes</v>
      </c>
      <c r="I21" t="str">
        <f t="shared" si="7"/>
        <v>Yes</v>
      </c>
      <c r="J21" t="str">
        <f t="shared" si="1"/>
        <v>Yes</v>
      </c>
      <c r="K21" t="str">
        <f t="shared" si="2"/>
        <v>Yes</v>
      </c>
      <c r="L21" s="203">
        <f>IF(AND('Total income package'!$A$16=TRUE,E21&lt;$J$2),$M$2,0)</f>
        <v>1551.75</v>
      </c>
      <c r="M21" s="179">
        <f>IF(AND('Total income package'!$A$16=TRUE,E21&lt;$L$2),$P$2,0)</f>
        <v>637</v>
      </c>
      <c r="N21" s="204">
        <f t="shared" si="8"/>
        <v>2188.75</v>
      </c>
    </row>
    <row r="22" spans="1:14" x14ac:dyDescent="0.25">
      <c r="A22" s="105">
        <v>6500</v>
      </c>
      <c r="B22" s="4">
        <f t="shared" si="0"/>
        <v>541.66666666666663</v>
      </c>
      <c r="C22" s="4">
        <f>'Total income package'!$D$80</f>
        <v>0</v>
      </c>
      <c r="D22" s="4">
        <f t="shared" si="3"/>
        <v>541.66666666666663</v>
      </c>
      <c r="E22" s="4">
        <f t="shared" si="4"/>
        <v>379.66666666666663</v>
      </c>
      <c r="F22" t="str">
        <f t="shared" si="5"/>
        <v>Yes</v>
      </c>
      <c r="G22" t="str">
        <f t="shared" si="6"/>
        <v>Yes</v>
      </c>
      <c r="I22" t="str">
        <f t="shared" si="7"/>
        <v>Yes</v>
      </c>
      <c r="J22" t="str">
        <f t="shared" si="1"/>
        <v>Yes</v>
      </c>
      <c r="K22" t="str">
        <f t="shared" si="2"/>
        <v>Yes</v>
      </c>
      <c r="L22" s="203">
        <f>IF(AND('Total income package'!$A$16=TRUE,E22&lt;$J$2),$M$2,0)</f>
        <v>1551.75</v>
      </c>
      <c r="M22" s="179">
        <f>IF(AND('Total income package'!$A$16=TRUE,E22&lt;$L$2),$P$2,0)</f>
        <v>637</v>
      </c>
      <c r="N22" s="204">
        <f t="shared" si="8"/>
        <v>2188.75</v>
      </c>
    </row>
    <row r="23" spans="1:14" x14ac:dyDescent="0.25">
      <c r="A23" s="105">
        <v>7000</v>
      </c>
      <c r="B23" s="4">
        <f t="shared" si="0"/>
        <v>583.33333333333337</v>
      </c>
      <c r="C23" s="4">
        <f>'Total income package'!$D$80</f>
        <v>0</v>
      </c>
      <c r="D23" s="4">
        <f t="shared" si="3"/>
        <v>583.33333333333337</v>
      </c>
      <c r="E23" s="4">
        <f t="shared" si="4"/>
        <v>421.33333333333337</v>
      </c>
      <c r="F23" t="str">
        <f t="shared" si="5"/>
        <v>Yes</v>
      </c>
      <c r="G23" t="str">
        <f t="shared" si="6"/>
        <v>Yes</v>
      </c>
      <c r="I23" t="str">
        <f t="shared" si="7"/>
        <v>Yes</v>
      </c>
      <c r="J23" t="str">
        <f t="shared" si="1"/>
        <v>Yes</v>
      </c>
      <c r="K23" t="str">
        <f t="shared" si="2"/>
        <v>Yes</v>
      </c>
      <c r="L23" s="203">
        <f>IF(AND('Total income package'!$A$16=TRUE,E23&lt;$J$2),$M$2,0)</f>
        <v>1551.75</v>
      </c>
      <c r="M23" s="179">
        <f>IF(AND('Total income package'!$A$16=TRUE,E23&lt;$L$2),$P$2,0)</f>
        <v>637</v>
      </c>
      <c r="N23" s="204">
        <f t="shared" si="8"/>
        <v>2188.75</v>
      </c>
    </row>
    <row r="24" spans="1:14" x14ac:dyDescent="0.25">
      <c r="A24" s="105">
        <v>7500</v>
      </c>
      <c r="B24" s="4">
        <f t="shared" si="0"/>
        <v>625</v>
      </c>
      <c r="C24" s="4">
        <f>'Total income package'!$D$80</f>
        <v>0</v>
      </c>
      <c r="D24" s="4">
        <f t="shared" si="3"/>
        <v>625</v>
      </c>
      <c r="E24" s="4">
        <f t="shared" si="4"/>
        <v>463</v>
      </c>
      <c r="F24" t="str">
        <f t="shared" si="5"/>
        <v>Yes</v>
      </c>
      <c r="G24" t="str">
        <f t="shared" si="6"/>
        <v>Yes</v>
      </c>
      <c r="I24" t="str">
        <f t="shared" si="7"/>
        <v>Yes</v>
      </c>
      <c r="J24" t="str">
        <f t="shared" si="1"/>
        <v>Yes</v>
      </c>
      <c r="K24" t="str">
        <f t="shared" si="2"/>
        <v>Yes</v>
      </c>
      <c r="L24" s="203">
        <f>IF(AND('Total income package'!$A$16=TRUE,E24&lt;$J$2),$M$2,0)</f>
        <v>1551.75</v>
      </c>
      <c r="M24" s="179">
        <f>IF(AND('Total income package'!$A$16=TRUE,E24&lt;$L$2),$P$2,0)</f>
        <v>637</v>
      </c>
      <c r="N24" s="204">
        <f t="shared" si="8"/>
        <v>2188.75</v>
      </c>
    </row>
    <row r="25" spans="1:14" x14ac:dyDescent="0.25">
      <c r="A25" s="105">
        <v>8000</v>
      </c>
      <c r="B25" s="4">
        <f t="shared" si="0"/>
        <v>666.66666666666663</v>
      </c>
      <c r="C25" s="4">
        <f>'Total income package'!$D$80</f>
        <v>0</v>
      </c>
      <c r="D25" s="4">
        <f t="shared" si="3"/>
        <v>666.66666666666663</v>
      </c>
      <c r="E25" s="4">
        <f t="shared" si="4"/>
        <v>504.66666666666663</v>
      </c>
      <c r="F25" t="str">
        <f t="shared" si="5"/>
        <v>Yes</v>
      </c>
      <c r="G25" t="str">
        <f t="shared" si="6"/>
        <v>Yes</v>
      </c>
      <c r="I25" t="str">
        <f t="shared" si="7"/>
        <v>Yes</v>
      </c>
      <c r="J25" t="str">
        <f t="shared" si="1"/>
        <v>Yes</v>
      </c>
      <c r="K25" t="str">
        <f t="shared" si="2"/>
        <v>Yes</v>
      </c>
      <c r="L25" s="203">
        <f>IF(AND('Total income package'!$A$16=TRUE,E25&lt;$J$2),$M$2,0)</f>
        <v>1551.75</v>
      </c>
      <c r="M25" s="179">
        <f>IF(AND('Total income package'!$A$16=TRUE,E25&lt;$L$2),$P$2,0)</f>
        <v>637</v>
      </c>
      <c r="N25" s="204">
        <f t="shared" si="8"/>
        <v>2188.75</v>
      </c>
    </row>
    <row r="26" spans="1:14" x14ac:dyDescent="0.25">
      <c r="A26" s="105">
        <v>8500</v>
      </c>
      <c r="B26" s="4">
        <f t="shared" si="0"/>
        <v>708.33333333333337</v>
      </c>
      <c r="C26" s="4">
        <f>'Total income package'!$D$80</f>
        <v>0</v>
      </c>
      <c r="D26" s="4">
        <f t="shared" si="3"/>
        <v>708.33333333333337</v>
      </c>
      <c r="E26" s="4">
        <f t="shared" si="4"/>
        <v>546.33333333333337</v>
      </c>
      <c r="F26" t="str">
        <f t="shared" si="5"/>
        <v>Yes</v>
      </c>
      <c r="G26" t="str">
        <f t="shared" si="6"/>
        <v>Yes</v>
      </c>
      <c r="I26" t="str">
        <f t="shared" si="7"/>
        <v>Yes</v>
      </c>
      <c r="J26" t="str">
        <f t="shared" si="1"/>
        <v>Yes</v>
      </c>
      <c r="K26" t="str">
        <f t="shared" si="2"/>
        <v>Yes</v>
      </c>
      <c r="L26" s="203">
        <f>IF(AND('Total income package'!$A$16=TRUE,E26&lt;$J$2),$M$2,0)</f>
        <v>1551.75</v>
      </c>
      <c r="M26" s="179">
        <f>IF(AND('Total income package'!$A$16=TRUE,E26&lt;$L$2),$P$2,0)</f>
        <v>637</v>
      </c>
      <c r="N26" s="204">
        <f t="shared" si="8"/>
        <v>2188.75</v>
      </c>
    </row>
    <row r="27" spans="1:14" x14ac:dyDescent="0.25">
      <c r="A27" s="105">
        <v>9000</v>
      </c>
      <c r="B27" s="4">
        <f t="shared" si="0"/>
        <v>750</v>
      </c>
      <c r="C27" s="4">
        <f>'Total income package'!$D$80</f>
        <v>0</v>
      </c>
      <c r="D27" s="4">
        <f t="shared" si="3"/>
        <v>750</v>
      </c>
      <c r="E27" s="4">
        <f t="shared" si="4"/>
        <v>588</v>
      </c>
      <c r="F27" t="str">
        <f t="shared" si="5"/>
        <v>Yes</v>
      </c>
      <c r="G27" t="str">
        <f t="shared" si="6"/>
        <v>Yes</v>
      </c>
      <c r="I27" t="str">
        <f t="shared" si="7"/>
        <v>Yes</v>
      </c>
      <c r="J27" t="str">
        <f t="shared" si="1"/>
        <v>Yes</v>
      </c>
      <c r="K27" t="str">
        <f t="shared" si="2"/>
        <v>Yes</v>
      </c>
      <c r="L27" s="203">
        <f>IF(AND('Total income package'!$A$16=TRUE,E27&lt;$J$2),$M$2,0)</f>
        <v>1551.75</v>
      </c>
      <c r="M27" s="179">
        <f>IF(AND('Total income package'!$A$16=TRUE,E27&lt;$L$2),$P$2,0)</f>
        <v>637</v>
      </c>
      <c r="N27" s="204">
        <f t="shared" si="8"/>
        <v>2188.75</v>
      </c>
    </row>
    <row r="28" spans="1:14" x14ac:dyDescent="0.25">
      <c r="A28" s="105">
        <v>9500</v>
      </c>
      <c r="B28" s="4">
        <f t="shared" si="0"/>
        <v>791.66666666666663</v>
      </c>
      <c r="C28" s="4">
        <f>'Total income package'!$D$80</f>
        <v>0</v>
      </c>
      <c r="D28" s="4">
        <f t="shared" si="3"/>
        <v>791.66666666666663</v>
      </c>
      <c r="E28" s="4">
        <f t="shared" si="4"/>
        <v>629.66666666666663</v>
      </c>
      <c r="F28" t="str">
        <f t="shared" si="5"/>
        <v>Yes</v>
      </c>
      <c r="G28" t="str">
        <f t="shared" si="6"/>
        <v>Yes</v>
      </c>
      <c r="I28" t="str">
        <f t="shared" si="7"/>
        <v>Yes</v>
      </c>
      <c r="J28" t="str">
        <f t="shared" si="1"/>
        <v>Yes</v>
      </c>
      <c r="K28" t="str">
        <f t="shared" si="2"/>
        <v>Yes</v>
      </c>
      <c r="L28" s="203">
        <f>IF(AND('Total income package'!$A$16=TRUE,E28&lt;$J$2),$M$2,0)</f>
        <v>1551.75</v>
      </c>
      <c r="M28" s="179">
        <f>IF(AND('Total income package'!$A$16=TRUE,E28&lt;$L$2),$P$2,0)</f>
        <v>637</v>
      </c>
      <c r="N28" s="204">
        <f t="shared" si="8"/>
        <v>2188.75</v>
      </c>
    </row>
    <row r="29" spans="1:14" x14ac:dyDescent="0.25">
      <c r="A29" s="105">
        <v>10000</v>
      </c>
      <c r="B29" s="4">
        <f t="shared" si="0"/>
        <v>833.33333333333337</v>
      </c>
      <c r="C29" s="4">
        <f>'Total income package'!$D$80</f>
        <v>0</v>
      </c>
      <c r="D29" s="4">
        <f t="shared" si="3"/>
        <v>833.33333333333337</v>
      </c>
      <c r="E29" s="4">
        <f t="shared" si="4"/>
        <v>671.33333333333337</v>
      </c>
      <c r="F29" t="str">
        <f t="shared" si="5"/>
        <v>Yes</v>
      </c>
      <c r="G29" t="str">
        <f t="shared" si="6"/>
        <v>Yes</v>
      </c>
      <c r="I29" t="str">
        <f t="shared" si="7"/>
        <v>Yes</v>
      </c>
      <c r="J29" t="str">
        <f t="shared" si="1"/>
        <v>Yes</v>
      </c>
      <c r="K29" t="str">
        <f t="shared" si="2"/>
        <v>Yes</v>
      </c>
      <c r="L29" s="203">
        <f>IF(AND('Total income package'!$A$16=TRUE,E29&lt;$J$2),$M$2,0)</f>
        <v>1551.75</v>
      </c>
      <c r="M29" s="179">
        <f>IF(AND('Total income package'!$A$16=TRUE,E29&lt;$L$2),$P$2,0)</f>
        <v>637</v>
      </c>
      <c r="N29" s="204">
        <f t="shared" si="8"/>
        <v>2188.75</v>
      </c>
    </row>
    <row r="30" spans="1:14" x14ac:dyDescent="0.25">
      <c r="A30" s="105">
        <v>10500</v>
      </c>
      <c r="B30" s="4">
        <f t="shared" si="0"/>
        <v>875</v>
      </c>
      <c r="C30" s="4">
        <f>'Total income package'!$D$80</f>
        <v>0</v>
      </c>
      <c r="D30" s="4">
        <f t="shared" si="3"/>
        <v>875</v>
      </c>
      <c r="E30" s="4">
        <f t="shared" si="4"/>
        <v>713</v>
      </c>
      <c r="F30" t="str">
        <f t="shared" si="5"/>
        <v>Yes</v>
      </c>
      <c r="G30" t="str">
        <f t="shared" si="6"/>
        <v>Yes</v>
      </c>
      <c r="I30" t="str">
        <f t="shared" si="7"/>
        <v>Yes</v>
      </c>
      <c r="J30" t="str">
        <f t="shared" si="1"/>
        <v>Yes</v>
      </c>
      <c r="K30" t="str">
        <f t="shared" si="2"/>
        <v>Yes</v>
      </c>
      <c r="L30" s="203">
        <f>IF(AND('Total income package'!$A$16=TRUE,E30&lt;$J$2),$M$2,0)</f>
        <v>1551.75</v>
      </c>
      <c r="M30" s="179">
        <f>IF(AND('Total income package'!$A$16=TRUE,E30&lt;$L$2),$P$2,0)</f>
        <v>637</v>
      </c>
      <c r="N30" s="204">
        <f t="shared" si="8"/>
        <v>2188.75</v>
      </c>
    </row>
    <row r="31" spans="1:14" x14ac:dyDescent="0.25">
      <c r="A31" s="105">
        <v>11000</v>
      </c>
      <c r="B31" s="4">
        <f t="shared" si="0"/>
        <v>916.66666666666663</v>
      </c>
      <c r="C31" s="4">
        <f>'Total income package'!$D$80</f>
        <v>0</v>
      </c>
      <c r="D31" s="4">
        <f t="shared" si="3"/>
        <v>916.66666666666663</v>
      </c>
      <c r="E31" s="4">
        <f t="shared" si="4"/>
        <v>754.66666666666663</v>
      </c>
      <c r="F31" t="str">
        <f t="shared" si="5"/>
        <v>Yes</v>
      </c>
      <c r="G31" t="str">
        <f t="shared" si="6"/>
        <v>Yes</v>
      </c>
      <c r="I31" t="str">
        <f t="shared" si="7"/>
        <v>Yes</v>
      </c>
      <c r="J31" t="str">
        <f t="shared" si="1"/>
        <v>Yes</v>
      </c>
      <c r="K31" t="str">
        <f t="shared" si="2"/>
        <v>Yes</v>
      </c>
      <c r="L31" s="203">
        <f>IF(AND('Total income package'!$A$16=TRUE,E31&lt;$J$2),$M$2,0)</f>
        <v>1551.75</v>
      </c>
      <c r="M31" s="179">
        <f>IF(AND('Total income package'!$A$16=TRUE,E31&lt;$L$2),$P$2,0)</f>
        <v>637</v>
      </c>
      <c r="N31" s="204">
        <f t="shared" si="8"/>
        <v>2188.75</v>
      </c>
    </row>
    <row r="32" spans="1:14" x14ac:dyDescent="0.25">
      <c r="A32" s="105">
        <v>11500</v>
      </c>
      <c r="B32" s="4">
        <f t="shared" si="0"/>
        <v>958.33333333333337</v>
      </c>
      <c r="C32" s="4">
        <f>'Total income package'!$D$80</f>
        <v>0</v>
      </c>
      <c r="D32" s="4">
        <f t="shared" si="3"/>
        <v>958.33333333333337</v>
      </c>
      <c r="E32" s="4">
        <f t="shared" si="4"/>
        <v>796.33333333333337</v>
      </c>
      <c r="F32" t="str">
        <f t="shared" si="5"/>
        <v>Yes</v>
      </c>
      <c r="G32" t="str">
        <f t="shared" si="6"/>
        <v>Yes</v>
      </c>
      <c r="I32" t="str">
        <f t="shared" si="7"/>
        <v>Yes</v>
      </c>
      <c r="J32" t="str">
        <f t="shared" si="1"/>
        <v>Yes</v>
      </c>
      <c r="K32" t="str">
        <f t="shared" si="2"/>
        <v>Yes</v>
      </c>
      <c r="L32" s="203">
        <f>IF(AND('Total income package'!$A$16=TRUE,E32&lt;$J$2),$M$2,0)</f>
        <v>1551.75</v>
      </c>
      <c r="M32" s="179">
        <f>IF(AND('Total income package'!$A$16=TRUE,E32&lt;$L$2),$P$2,0)</f>
        <v>637</v>
      </c>
      <c r="N32" s="204">
        <f t="shared" si="8"/>
        <v>2188.75</v>
      </c>
    </row>
    <row r="33" spans="1:17" x14ac:dyDescent="0.25">
      <c r="A33" s="105">
        <v>12000</v>
      </c>
      <c r="B33" s="4">
        <f t="shared" si="0"/>
        <v>1000</v>
      </c>
      <c r="C33" s="4">
        <f>'Total income package'!$D$80</f>
        <v>0</v>
      </c>
      <c r="D33" s="4">
        <f t="shared" si="3"/>
        <v>1000</v>
      </c>
      <c r="E33" s="4">
        <f t="shared" si="4"/>
        <v>838</v>
      </c>
      <c r="F33" t="str">
        <f t="shared" si="5"/>
        <v>Yes</v>
      </c>
      <c r="G33" t="str">
        <f t="shared" si="6"/>
        <v>Yes</v>
      </c>
      <c r="I33" t="str">
        <f t="shared" si="7"/>
        <v>Yes</v>
      </c>
      <c r="J33" t="str">
        <f t="shared" si="1"/>
        <v>Yes</v>
      </c>
      <c r="K33" t="str">
        <f t="shared" si="2"/>
        <v>Yes</v>
      </c>
      <c r="L33" s="203">
        <f>IF(AND('Total income package'!$A$16=TRUE,E33&lt;$J$2),$M$2,0)</f>
        <v>1551.75</v>
      </c>
      <c r="M33" s="179">
        <f>IF(AND('Total income package'!$A$16=TRUE,E33&lt;$L$2),$P$2,0)</f>
        <v>637</v>
      </c>
      <c r="N33" s="204">
        <f t="shared" si="8"/>
        <v>2188.75</v>
      </c>
    </row>
    <row r="34" spans="1:17" x14ac:dyDescent="0.25">
      <c r="A34" s="105">
        <v>12500</v>
      </c>
      <c r="B34" s="4">
        <f t="shared" si="0"/>
        <v>1041.6666666666667</v>
      </c>
      <c r="C34" s="4">
        <f>'Total income package'!$D$80</f>
        <v>0</v>
      </c>
      <c r="D34" s="4">
        <f t="shared" si="3"/>
        <v>1041.6666666666667</v>
      </c>
      <c r="E34" s="4">
        <f t="shared" si="4"/>
        <v>879.66666666666674</v>
      </c>
      <c r="F34" t="str">
        <f t="shared" si="5"/>
        <v>Yes</v>
      </c>
      <c r="G34" t="str">
        <f t="shared" si="6"/>
        <v>Yes</v>
      </c>
      <c r="I34" t="str">
        <f t="shared" si="7"/>
        <v>Yes</v>
      </c>
      <c r="J34" t="str">
        <f t="shared" si="1"/>
        <v>Yes</v>
      </c>
      <c r="K34" t="str">
        <f t="shared" si="2"/>
        <v>Yes</v>
      </c>
      <c r="L34" s="203">
        <f>IF(AND('Total income package'!$A$16=TRUE,E34&lt;$J$2),$M$2,0)</f>
        <v>1551.75</v>
      </c>
      <c r="M34" s="179">
        <f>IF(AND('Total income package'!$A$16=TRUE,E34&lt;$L$2),$P$2,0)</f>
        <v>637</v>
      </c>
      <c r="N34" s="204">
        <f t="shared" si="8"/>
        <v>2188.75</v>
      </c>
    </row>
    <row r="35" spans="1:17" x14ac:dyDescent="0.25">
      <c r="A35" s="105">
        <v>13000</v>
      </c>
      <c r="B35" s="4">
        <f t="shared" si="0"/>
        <v>1083.3333333333333</v>
      </c>
      <c r="C35" s="4">
        <f>'Total income package'!$D$80</f>
        <v>0</v>
      </c>
      <c r="D35" s="4">
        <f t="shared" si="3"/>
        <v>1083.3333333333333</v>
      </c>
      <c r="E35" s="4">
        <f t="shared" si="4"/>
        <v>921.33333333333326</v>
      </c>
      <c r="F35" t="str">
        <f t="shared" si="5"/>
        <v>No</v>
      </c>
      <c r="G35" t="str">
        <f t="shared" si="6"/>
        <v>Yes</v>
      </c>
      <c r="I35" t="str">
        <f t="shared" si="7"/>
        <v>Yes</v>
      </c>
      <c r="J35" t="str">
        <f t="shared" si="1"/>
        <v>Yes</v>
      </c>
      <c r="K35" t="str">
        <f t="shared" si="2"/>
        <v>Yes</v>
      </c>
      <c r="L35" s="203">
        <f>IF(AND('Total income package'!$A$16=TRUE,E35&lt;$J$2),$M$2,0)</f>
        <v>1551.75</v>
      </c>
      <c r="M35" s="179">
        <f>IF(AND('Total income package'!$A$16=TRUE,E35&lt;$L$2),$P$2,0)</f>
        <v>637</v>
      </c>
      <c r="N35" s="204">
        <f t="shared" si="8"/>
        <v>2188.75</v>
      </c>
    </row>
    <row r="36" spans="1:17" x14ac:dyDescent="0.25">
      <c r="A36" s="105">
        <v>13500</v>
      </c>
      <c r="B36" s="4">
        <f t="shared" si="0"/>
        <v>1125</v>
      </c>
      <c r="C36" s="4">
        <f>'Total income package'!$D$80</f>
        <v>0</v>
      </c>
      <c r="D36" s="4">
        <f t="shared" si="3"/>
        <v>1125</v>
      </c>
      <c r="E36" s="4">
        <f t="shared" si="4"/>
        <v>963</v>
      </c>
      <c r="F36" t="str">
        <f t="shared" si="5"/>
        <v>No</v>
      </c>
      <c r="G36" t="str">
        <f t="shared" si="6"/>
        <v>Yes</v>
      </c>
      <c r="I36" t="str">
        <f t="shared" si="7"/>
        <v>Yes</v>
      </c>
      <c r="J36" t="str">
        <f t="shared" si="1"/>
        <v>Yes</v>
      </c>
      <c r="K36" t="str">
        <f t="shared" si="2"/>
        <v>Yes</v>
      </c>
      <c r="L36" s="203">
        <f>IF(AND('Total income package'!$A$16=TRUE,E36&lt;$J$2),$M$2,0)</f>
        <v>1551.75</v>
      </c>
      <c r="M36" s="179">
        <f>IF(AND('Total income package'!$A$16=TRUE,E36&lt;$L$2),$P$2,0)</f>
        <v>637</v>
      </c>
      <c r="N36" s="204">
        <f t="shared" si="8"/>
        <v>2188.75</v>
      </c>
    </row>
    <row r="37" spans="1:17" x14ac:dyDescent="0.25">
      <c r="A37" s="105">
        <v>14000</v>
      </c>
      <c r="B37" s="4">
        <f t="shared" si="0"/>
        <v>1166.6666666666667</v>
      </c>
      <c r="C37" s="4">
        <f>'Total income package'!$D$80</f>
        <v>0</v>
      </c>
      <c r="D37" s="4">
        <f t="shared" si="3"/>
        <v>1166.6666666666667</v>
      </c>
      <c r="E37" s="4">
        <f t="shared" si="4"/>
        <v>1004.6666666666667</v>
      </c>
      <c r="F37" t="str">
        <f t="shared" si="5"/>
        <v>No</v>
      </c>
      <c r="G37" t="str">
        <f t="shared" si="6"/>
        <v>Yes</v>
      </c>
      <c r="I37" t="str">
        <f t="shared" si="7"/>
        <v>Yes</v>
      </c>
      <c r="J37" t="str">
        <f t="shared" si="1"/>
        <v>Yes</v>
      </c>
      <c r="K37" t="str">
        <f t="shared" si="2"/>
        <v>Yes</v>
      </c>
      <c r="L37" s="203">
        <f>IF(AND('Total income package'!$A$16=TRUE,E37&lt;$J$2),$M$2,0)</f>
        <v>1551.75</v>
      </c>
      <c r="M37" s="179">
        <f>IF(AND('Total income package'!$A$16=TRUE,E37&lt;$L$2),$P$2,0)</f>
        <v>637</v>
      </c>
      <c r="N37" s="204">
        <f t="shared" si="8"/>
        <v>2188.75</v>
      </c>
    </row>
    <row r="38" spans="1:17" x14ac:dyDescent="0.25">
      <c r="A38" s="105">
        <v>14500</v>
      </c>
      <c r="B38" s="4">
        <f t="shared" si="0"/>
        <v>1208.3333333333333</v>
      </c>
      <c r="C38" s="4">
        <f>'Total income package'!$D$80</f>
        <v>0</v>
      </c>
      <c r="D38" s="4">
        <f t="shared" si="3"/>
        <v>1208.3333333333333</v>
      </c>
      <c r="E38" s="4">
        <f t="shared" si="4"/>
        <v>1046.3333333333333</v>
      </c>
      <c r="F38" t="str">
        <f t="shared" si="5"/>
        <v>No</v>
      </c>
      <c r="G38" t="str">
        <f t="shared" si="6"/>
        <v>Yes</v>
      </c>
      <c r="I38" t="str">
        <f t="shared" si="7"/>
        <v>Yes</v>
      </c>
      <c r="J38" t="str">
        <f t="shared" si="1"/>
        <v>Yes</v>
      </c>
      <c r="K38" t="str">
        <f t="shared" si="2"/>
        <v>Yes</v>
      </c>
      <c r="L38" s="203">
        <f>IF(AND('Total income package'!$A$16=TRUE,E38&lt;$J$2),$M$2,0)</f>
        <v>1551.75</v>
      </c>
      <c r="M38" s="179">
        <f>IF(AND('Total income package'!$A$16=TRUE,E38&lt;$L$2),$P$2,0)</f>
        <v>637</v>
      </c>
      <c r="N38" s="204">
        <f t="shared" si="8"/>
        <v>2188.75</v>
      </c>
    </row>
    <row r="39" spans="1:17" x14ac:dyDescent="0.25">
      <c r="A39" s="105">
        <v>15000</v>
      </c>
      <c r="B39" s="4">
        <f t="shared" si="0"/>
        <v>1250</v>
      </c>
      <c r="C39" s="4">
        <f>'Total income package'!$D$80</f>
        <v>0</v>
      </c>
      <c r="D39" s="4">
        <f t="shared" si="3"/>
        <v>1250</v>
      </c>
      <c r="E39" s="4">
        <f t="shared" si="4"/>
        <v>1088</v>
      </c>
      <c r="F39" t="str">
        <f t="shared" si="5"/>
        <v>No</v>
      </c>
      <c r="G39" t="str">
        <f t="shared" si="6"/>
        <v>Yes</v>
      </c>
      <c r="I39" t="str">
        <f t="shared" si="7"/>
        <v>Yes</v>
      </c>
      <c r="J39" t="str">
        <f t="shared" si="1"/>
        <v>Yes</v>
      </c>
      <c r="K39" t="str">
        <f t="shared" si="2"/>
        <v>Yes</v>
      </c>
      <c r="L39" s="203">
        <f>IF(AND('Total income package'!$A$16=TRUE,E39&lt;$J$2),$M$2,0)</f>
        <v>1551.75</v>
      </c>
      <c r="M39" s="179">
        <f>IF(AND('Total income package'!$A$16=TRUE,E39&lt;$L$2),$P$2,0)</f>
        <v>637</v>
      </c>
      <c r="N39" s="204">
        <f t="shared" si="8"/>
        <v>2188.75</v>
      </c>
    </row>
    <row r="40" spans="1:17" x14ac:dyDescent="0.25">
      <c r="A40" s="105">
        <v>15500</v>
      </c>
      <c r="B40" s="4">
        <f t="shared" si="0"/>
        <v>1291.6666666666667</v>
      </c>
      <c r="C40" s="4">
        <f>'Total income package'!$D$80</f>
        <v>0</v>
      </c>
      <c r="D40" s="4">
        <f t="shared" si="3"/>
        <v>1291.6666666666667</v>
      </c>
      <c r="E40" s="4">
        <f t="shared" si="4"/>
        <v>1129.6666666666667</v>
      </c>
      <c r="F40" t="str">
        <f t="shared" si="5"/>
        <v>No</v>
      </c>
      <c r="G40" t="str">
        <f t="shared" si="6"/>
        <v>Yes</v>
      </c>
      <c r="I40" t="str">
        <f t="shared" si="7"/>
        <v>Yes</v>
      </c>
      <c r="J40" t="str">
        <f t="shared" si="1"/>
        <v>Yes</v>
      </c>
      <c r="K40" t="str">
        <f t="shared" si="2"/>
        <v>Yes</v>
      </c>
      <c r="L40" s="203">
        <f>IF(AND('Total income package'!$A$16=TRUE,E40&lt;$J$2),$M$2,0)</f>
        <v>1551.75</v>
      </c>
      <c r="M40" s="179">
        <f>IF(AND('Total income package'!$A$16=TRUE,E40&lt;$L$2),$P$2,0)</f>
        <v>637</v>
      </c>
      <c r="N40" s="204">
        <f t="shared" si="8"/>
        <v>2188.75</v>
      </c>
    </row>
    <row r="41" spans="1:17" x14ac:dyDescent="0.25">
      <c r="A41" s="105">
        <v>16000</v>
      </c>
      <c r="B41" s="4">
        <f t="shared" si="0"/>
        <v>1333.3333333333333</v>
      </c>
      <c r="C41" s="4">
        <f>'Total income package'!$D$80</f>
        <v>0</v>
      </c>
      <c r="D41" s="4">
        <f t="shared" si="3"/>
        <v>1333.3333333333333</v>
      </c>
      <c r="E41" s="4">
        <f t="shared" si="4"/>
        <v>1171.3333333333333</v>
      </c>
      <c r="F41" t="str">
        <f t="shared" si="5"/>
        <v>No</v>
      </c>
      <c r="G41" t="str">
        <f t="shared" si="6"/>
        <v>Yes</v>
      </c>
      <c r="I41" t="str">
        <f t="shared" si="7"/>
        <v>Yes</v>
      </c>
      <c r="J41" t="str">
        <f t="shared" si="1"/>
        <v>Yes</v>
      </c>
      <c r="K41" t="str">
        <f t="shared" si="2"/>
        <v>Yes</v>
      </c>
      <c r="L41" s="203">
        <f>IF(AND('Total income package'!$A$16=TRUE,E41&lt;$J$2),$M$2,0)</f>
        <v>1551.75</v>
      </c>
      <c r="M41" s="179">
        <f>IF(AND('Total income package'!$A$16=TRUE,E41&lt;$L$2),$P$2,0)</f>
        <v>637</v>
      </c>
      <c r="N41" s="204">
        <f t="shared" si="8"/>
        <v>2188.75</v>
      </c>
    </row>
    <row r="42" spans="1:17" x14ac:dyDescent="0.25">
      <c r="A42" s="105">
        <v>16500</v>
      </c>
      <c r="B42" s="4">
        <f t="shared" si="0"/>
        <v>1375</v>
      </c>
      <c r="C42" s="4">
        <f>'Total income package'!$D$80</f>
        <v>0</v>
      </c>
      <c r="D42" s="4">
        <f t="shared" si="3"/>
        <v>1375</v>
      </c>
      <c r="E42" s="4">
        <f t="shared" si="4"/>
        <v>1213</v>
      </c>
      <c r="F42" t="str">
        <f t="shared" si="5"/>
        <v>No</v>
      </c>
      <c r="G42" t="str">
        <f t="shared" si="6"/>
        <v>Yes</v>
      </c>
      <c r="I42" t="str">
        <f t="shared" si="7"/>
        <v>Yes</v>
      </c>
      <c r="J42" t="str">
        <f t="shared" si="1"/>
        <v>Yes</v>
      </c>
      <c r="K42" t="str">
        <f t="shared" si="2"/>
        <v>Yes</v>
      </c>
      <c r="L42" s="203">
        <f>IF(AND('Total income package'!$A$16=TRUE,E42&lt;$J$2),$M$2,0)</f>
        <v>1551.75</v>
      </c>
      <c r="M42" s="179">
        <f>IF(AND('Total income package'!$A$16=TRUE,E42&lt;$L$2),$P$2,0)</f>
        <v>637</v>
      </c>
      <c r="N42" s="204">
        <f t="shared" si="8"/>
        <v>2188.75</v>
      </c>
    </row>
    <row r="43" spans="1:17" x14ac:dyDescent="0.25">
      <c r="A43" s="105">
        <v>17000</v>
      </c>
      <c r="B43" s="4">
        <f t="shared" si="0"/>
        <v>1416.6666666666667</v>
      </c>
      <c r="C43" s="4">
        <f>'Total income package'!$D$80</f>
        <v>0</v>
      </c>
      <c r="D43" s="4">
        <f t="shared" si="3"/>
        <v>1416.6666666666667</v>
      </c>
      <c r="E43" s="4">
        <f t="shared" si="4"/>
        <v>1254.6666666666667</v>
      </c>
      <c r="F43" t="str">
        <f t="shared" si="5"/>
        <v>No</v>
      </c>
      <c r="G43" t="str">
        <f t="shared" si="6"/>
        <v>Yes</v>
      </c>
      <c r="I43" t="str">
        <f t="shared" si="7"/>
        <v>Yes</v>
      </c>
      <c r="J43" t="str">
        <f t="shared" si="1"/>
        <v>Yes</v>
      </c>
      <c r="K43" t="str">
        <f t="shared" si="2"/>
        <v>Yes</v>
      </c>
      <c r="L43" s="203">
        <f>IF(AND('Total income package'!$A$16=TRUE,E43&lt;$J$2),$M$2,0)</f>
        <v>1551.75</v>
      </c>
      <c r="M43" s="179">
        <f>IF(AND('Total income package'!$A$16=TRUE,E43&lt;$L$2),$P$2,0)</f>
        <v>637</v>
      </c>
      <c r="N43" s="204">
        <f t="shared" si="8"/>
        <v>2188.75</v>
      </c>
    </row>
    <row r="44" spans="1:17" x14ac:dyDescent="0.25">
      <c r="A44" s="105">
        <v>17500</v>
      </c>
      <c r="B44" s="4">
        <f t="shared" si="0"/>
        <v>1458.3333333333333</v>
      </c>
      <c r="C44" s="4">
        <f>'Total income package'!$D$80</f>
        <v>0</v>
      </c>
      <c r="D44" s="4">
        <f t="shared" si="3"/>
        <v>1458.3333333333333</v>
      </c>
      <c r="E44" s="4">
        <f t="shared" si="4"/>
        <v>1296.3333333333333</v>
      </c>
      <c r="F44" t="str">
        <f t="shared" si="5"/>
        <v>No</v>
      </c>
      <c r="G44" t="str">
        <f t="shared" si="6"/>
        <v>Yes</v>
      </c>
      <c r="I44" t="str">
        <f t="shared" si="7"/>
        <v>Yes</v>
      </c>
      <c r="J44" t="str">
        <f t="shared" si="1"/>
        <v>Yes</v>
      </c>
      <c r="K44" t="str">
        <f t="shared" si="2"/>
        <v>Yes</v>
      </c>
      <c r="L44" s="203">
        <f>IF(AND('Total income package'!$A$16=TRUE,E44&lt;$J$2),$M$2,0)</f>
        <v>1551.75</v>
      </c>
      <c r="M44" s="179">
        <f>IF(AND('Total income package'!$A$16=TRUE,E44&lt;$L$2),$P$2,0)</f>
        <v>637</v>
      </c>
      <c r="N44" s="204">
        <f t="shared" si="8"/>
        <v>2188.75</v>
      </c>
    </row>
    <row r="45" spans="1:17" x14ac:dyDescent="0.25">
      <c r="A45" s="105">
        <v>18000</v>
      </c>
      <c r="B45" s="4">
        <f t="shared" si="0"/>
        <v>1500</v>
      </c>
      <c r="C45" s="4">
        <f>'Total income package'!$D$80</f>
        <v>0</v>
      </c>
      <c r="D45" s="4">
        <f t="shared" si="3"/>
        <v>1500</v>
      </c>
      <c r="E45" s="4">
        <f t="shared" si="4"/>
        <v>1338</v>
      </c>
      <c r="F45" t="str">
        <f t="shared" si="5"/>
        <v>No</v>
      </c>
      <c r="G45" t="str">
        <f t="shared" si="6"/>
        <v>Yes</v>
      </c>
      <c r="I45" t="str">
        <f t="shared" si="7"/>
        <v>Yes</v>
      </c>
      <c r="J45" t="str">
        <f t="shared" si="1"/>
        <v>Yes</v>
      </c>
      <c r="K45" t="str">
        <f t="shared" si="2"/>
        <v>Yes</v>
      </c>
      <c r="L45" s="203">
        <f>IF(AND('Total income package'!$A$16=TRUE,E45&lt;$J$2),$M$2,0)</f>
        <v>1551.75</v>
      </c>
      <c r="M45" s="179">
        <f>IF(AND('Total income package'!$A$16=TRUE,E45&lt;$L$2),$P$2,0)</f>
        <v>637</v>
      </c>
      <c r="N45" s="204">
        <f t="shared" si="8"/>
        <v>2188.75</v>
      </c>
      <c r="Q45" s="4"/>
    </row>
    <row r="46" spans="1:17" x14ac:dyDescent="0.25">
      <c r="A46" s="105">
        <v>18500</v>
      </c>
      <c r="B46" s="4">
        <f t="shared" si="0"/>
        <v>1541.6666666666667</v>
      </c>
      <c r="C46" s="4">
        <f>'Total income package'!$D$80</f>
        <v>0</v>
      </c>
      <c r="D46" s="4">
        <f t="shared" si="3"/>
        <v>1541.6666666666667</v>
      </c>
      <c r="E46" s="4">
        <f t="shared" si="4"/>
        <v>1379.6666666666667</v>
      </c>
      <c r="F46" t="str">
        <f t="shared" si="5"/>
        <v>No</v>
      </c>
      <c r="G46" t="str">
        <f t="shared" si="6"/>
        <v>Yes</v>
      </c>
      <c r="I46" t="str">
        <f t="shared" si="7"/>
        <v>Yes</v>
      </c>
      <c r="J46" t="str">
        <f t="shared" si="1"/>
        <v>Yes</v>
      </c>
      <c r="K46" t="str">
        <f t="shared" si="2"/>
        <v>Yes</v>
      </c>
      <c r="L46" s="203">
        <f>IF(AND('Total income package'!$A$16=TRUE,E46&lt;$J$2),$M$2,0)</f>
        <v>1551.75</v>
      </c>
      <c r="M46" s="179">
        <f>IF(AND('Total income package'!$A$16=TRUE,E46&lt;$L$2),$P$2,0)</f>
        <v>637</v>
      </c>
      <c r="N46" s="204">
        <f t="shared" si="8"/>
        <v>2188.75</v>
      </c>
      <c r="Q46" s="4"/>
    </row>
    <row r="47" spans="1:17" x14ac:dyDescent="0.25">
      <c r="A47" s="105">
        <v>19000</v>
      </c>
      <c r="B47" s="4">
        <f t="shared" si="0"/>
        <v>1583.3333333333333</v>
      </c>
      <c r="C47" s="4">
        <f>'Total income package'!$D$80</f>
        <v>0</v>
      </c>
      <c r="D47" s="4">
        <f t="shared" si="3"/>
        <v>1583.3333333333333</v>
      </c>
      <c r="E47" s="4">
        <f t="shared" si="4"/>
        <v>1421.3333333333333</v>
      </c>
      <c r="F47" t="str">
        <f t="shared" si="5"/>
        <v>No</v>
      </c>
      <c r="G47" t="str">
        <f t="shared" si="6"/>
        <v>Yes</v>
      </c>
      <c r="I47" t="str">
        <f t="shared" si="7"/>
        <v>Yes</v>
      </c>
      <c r="J47" t="str">
        <f t="shared" si="1"/>
        <v>Yes</v>
      </c>
      <c r="K47" t="str">
        <f t="shared" si="2"/>
        <v>Yes</v>
      </c>
      <c r="L47" s="203">
        <f>IF(AND('Total income package'!$A$16=TRUE,E47&lt;$J$2),$M$2,0)</f>
        <v>1551.75</v>
      </c>
      <c r="M47" s="179">
        <f>IF(AND('Total income package'!$A$16=TRUE,E47&lt;$L$2),$P$2,0)</f>
        <v>637</v>
      </c>
      <c r="N47" s="204">
        <f t="shared" si="8"/>
        <v>2188.75</v>
      </c>
      <c r="Q47" s="4"/>
    </row>
    <row r="48" spans="1:17" x14ac:dyDescent="0.25">
      <c r="A48" s="105">
        <v>19500</v>
      </c>
      <c r="B48" s="4">
        <f t="shared" si="0"/>
        <v>1625</v>
      </c>
      <c r="C48" s="4">
        <f>'Total income package'!$D$80</f>
        <v>0</v>
      </c>
      <c r="D48" s="4">
        <f t="shared" si="3"/>
        <v>1625</v>
      </c>
      <c r="E48" s="4">
        <f t="shared" si="4"/>
        <v>1463</v>
      </c>
      <c r="F48" t="str">
        <f t="shared" si="5"/>
        <v>No</v>
      </c>
      <c r="G48" t="str">
        <f t="shared" si="6"/>
        <v>Yes</v>
      </c>
      <c r="I48" t="str">
        <f t="shared" si="7"/>
        <v>Yes</v>
      </c>
      <c r="J48" t="str">
        <f t="shared" si="1"/>
        <v>Yes</v>
      </c>
      <c r="K48" t="str">
        <f t="shared" si="2"/>
        <v>Yes</v>
      </c>
      <c r="L48" s="203">
        <f>IF(AND('Total income package'!$A$16=TRUE,E48&lt;$J$2),$M$2,0)</f>
        <v>1551.75</v>
      </c>
      <c r="M48" s="179">
        <f>IF(AND('Total income package'!$A$16=TRUE,E48&lt;$L$2),$P$2,0)</f>
        <v>637</v>
      </c>
      <c r="N48" s="204">
        <f t="shared" si="8"/>
        <v>2188.75</v>
      </c>
    </row>
    <row r="49" spans="1:14" x14ac:dyDescent="0.25">
      <c r="A49" s="105">
        <v>20000</v>
      </c>
      <c r="B49" s="4">
        <f t="shared" si="0"/>
        <v>1666.6666666666667</v>
      </c>
      <c r="C49" s="4">
        <f>'Total income package'!$D$80</f>
        <v>0</v>
      </c>
      <c r="D49" s="4">
        <f t="shared" si="3"/>
        <v>1666.6666666666667</v>
      </c>
      <c r="E49" s="4">
        <f t="shared" si="4"/>
        <v>1504.6666666666667</v>
      </c>
      <c r="F49" t="str">
        <f t="shared" si="5"/>
        <v>No</v>
      </c>
      <c r="G49" t="str">
        <f t="shared" si="6"/>
        <v>Yes</v>
      </c>
      <c r="I49" t="str">
        <f t="shared" si="7"/>
        <v>Yes</v>
      </c>
      <c r="J49" t="str">
        <f t="shared" si="1"/>
        <v>Yes</v>
      </c>
      <c r="K49" t="str">
        <f t="shared" si="2"/>
        <v>Yes</v>
      </c>
      <c r="L49" s="203">
        <f>IF(AND('Total income package'!$A$16=TRUE,E49&lt;$J$2),$M$2,0)</f>
        <v>1551.75</v>
      </c>
      <c r="M49" s="179">
        <f>IF(AND('Total income package'!$A$16=TRUE,E49&lt;$L$2),$P$2,0)</f>
        <v>637</v>
      </c>
      <c r="N49" s="204">
        <f t="shared" si="8"/>
        <v>2188.75</v>
      </c>
    </row>
    <row r="50" spans="1:14" x14ac:dyDescent="0.25">
      <c r="A50" s="105">
        <v>20500</v>
      </c>
      <c r="B50" s="4">
        <f t="shared" si="0"/>
        <v>1708.3333333333333</v>
      </c>
      <c r="C50" s="4">
        <f>'Total income package'!$D$80</f>
        <v>0</v>
      </c>
      <c r="D50" s="4">
        <f t="shared" si="3"/>
        <v>1708.3333333333333</v>
      </c>
      <c r="E50" s="4">
        <f t="shared" si="4"/>
        <v>1546.3333333333333</v>
      </c>
      <c r="F50" t="str">
        <f t="shared" si="5"/>
        <v>No</v>
      </c>
      <c r="G50" t="str">
        <f t="shared" si="6"/>
        <v>Yes</v>
      </c>
      <c r="I50" t="str">
        <f t="shared" si="7"/>
        <v>Yes</v>
      </c>
      <c r="J50" t="str">
        <f t="shared" si="1"/>
        <v>Yes</v>
      </c>
      <c r="K50" t="str">
        <f t="shared" si="2"/>
        <v>Yes</v>
      </c>
      <c r="L50" s="203">
        <f>IF(AND('Total income package'!$A$16=TRUE,E50&lt;$J$2),$M$2,0)</f>
        <v>1551.75</v>
      </c>
      <c r="M50" s="179">
        <f>IF(AND('Total income package'!$A$16=TRUE,E50&lt;$L$2),$P$2,0)</f>
        <v>637</v>
      </c>
      <c r="N50" s="204">
        <f t="shared" si="8"/>
        <v>2188.75</v>
      </c>
    </row>
    <row r="51" spans="1:14" x14ac:dyDescent="0.25">
      <c r="A51" s="105">
        <v>21000</v>
      </c>
      <c r="B51" s="4">
        <f t="shared" si="0"/>
        <v>1750</v>
      </c>
      <c r="C51" s="4">
        <f>'Total income package'!$D$80</f>
        <v>0</v>
      </c>
      <c r="D51" s="4">
        <f t="shared" si="3"/>
        <v>1750</v>
      </c>
      <c r="E51" s="4">
        <f t="shared" si="4"/>
        <v>1588</v>
      </c>
      <c r="F51" t="str">
        <f t="shared" si="5"/>
        <v>No</v>
      </c>
      <c r="G51" t="str">
        <f t="shared" si="6"/>
        <v>Yes</v>
      </c>
      <c r="I51" t="str">
        <f t="shared" si="7"/>
        <v>Yes</v>
      </c>
      <c r="J51" t="str">
        <f t="shared" si="1"/>
        <v>Yes</v>
      </c>
      <c r="K51" t="str">
        <f t="shared" si="2"/>
        <v>Yes</v>
      </c>
      <c r="L51" s="203">
        <f>IF(AND('Total income package'!$A$16=TRUE,E51&lt;$J$2),$M$2,0)</f>
        <v>1551.75</v>
      </c>
      <c r="M51" s="179">
        <f>IF(AND('Total income package'!$A$16=TRUE,E51&lt;$L$2),$P$2,0)</f>
        <v>637</v>
      </c>
      <c r="N51" s="204">
        <f t="shared" si="8"/>
        <v>2188.75</v>
      </c>
    </row>
    <row r="52" spans="1:14" x14ac:dyDescent="0.25">
      <c r="A52" s="105">
        <v>21500</v>
      </c>
      <c r="B52" s="4">
        <f t="shared" si="0"/>
        <v>1791.6666666666667</v>
      </c>
      <c r="C52" s="4">
        <f>'Total income package'!$D$80</f>
        <v>0</v>
      </c>
      <c r="D52" s="4">
        <f t="shared" si="3"/>
        <v>1791.6666666666667</v>
      </c>
      <c r="E52" s="4">
        <f t="shared" si="4"/>
        <v>1629.6666666666667</v>
      </c>
      <c r="F52" t="str">
        <f t="shared" si="5"/>
        <v>No</v>
      </c>
      <c r="G52" t="str">
        <f t="shared" si="6"/>
        <v>Yes</v>
      </c>
      <c r="I52" t="str">
        <f t="shared" si="7"/>
        <v>Yes</v>
      </c>
      <c r="J52" t="str">
        <f t="shared" si="1"/>
        <v>Yes</v>
      </c>
      <c r="K52" t="str">
        <f t="shared" si="2"/>
        <v>Yes</v>
      </c>
      <c r="L52" s="203">
        <f>IF(AND('Total income package'!$A$16=TRUE,E52&lt;$J$2),$M$2,0)</f>
        <v>1551.75</v>
      </c>
      <c r="M52" s="179">
        <f>IF(AND('Total income package'!$A$16=TRUE,E52&lt;$L$2),$P$2,0)</f>
        <v>637</v>
      </c>
      <c r="N52" s="204">
        <f t="shared" si="8"/>
        <v>2188.75</v>
      </c>
    </row>
    <row r="53" spans="1:14" x14ac:dyDescent="0.25">
      <c r="A53" s="105">
        <v>22000</v>
      </c>
      <c r="B53" s="4">
        <f t="shared" si="0"/>
        <v>1833.3333333333333</v>
      </c>
      <c r="C53" s="4">
        <f>'Total income package'!$D$80</f>
        <v>0</v>
      </c>
      <c r="D53" s="4">
        <f t="shared" si="3"/>
        <v>1833.3333333333333</v>
      </c>
      <c r="E53" s="4">
        <f t="shared" si="4"/>
        <v>1671.3333333333333</v>
      </c>
      <c r="F53" t="str">
        <f t="shared" si="5"/>
        <v>No</v>
      </c>
      <c r="G53" t="str">
        <f t="shared" si="6"/>
        <v>Yes</v>
      </c>
      <c r="I53" t="str">
        <f t="shared" si="7"/>
        <v>Yes</v>
      </c>
      <c r="J53" t="str">
        <f t="shared" si="1"/>
        <v>Yes</v>
      </c>
      <c r="K53" t="str">
        <f t="shared" si="2"/>
        <v>Yes</v>
      </c>
      <c r="L53" s="203">
        <f>IF(AND('Total income package'!$A$16=TRUE,E53&lt;$J$2),$M$2,0)</f>
        <v>1551.75</v>
      </c>
      <c r="M53" s="179">
        <f>IF(AND('Total income package'!$A$16=TRUE,E53&lt;$L$2),$P$2,0)</f>
        <v>637</v>
      </c>
      <c r="N53" s="204">
        <f t="shared" si="8"/>
        <v>2188.75</v>
      </c>
    </row>
    <row r="54" spans="1:14" x14ac:dyDescent="0.25">
      <c r="A54" s="105">
        <v>22500</v>
      </c>
      <c r="B54" s="4">
        <f t="shared" si="0"/>
        <v>1875</v>
      </c>
      <c r="C54" s="4">
        <f>'Total income package'!$D$80</f>
        <v>0</v>
      </c>
      <c r="D54" s="4">
        <f t="shared" si="3"/>
        <v>1875</v>
      </c>
      <c r="E54" s="4">
        <f t="shared" si="4"/>
        <v>1713</v>
      </c>
      <c r="F54" t="str">
        <f t="shared" si="5"/>
        <v>No</v>
      </c>
      <c r="G54" t="str">
        <f t="shared" si="6"/>
        <v>Yes</v>
      </c>
      <c r="I54" t="str">
        <f t="shared" si="7"/>
        <v>Yes</v>
      </c>
      <c r="J54" t="str">
        <f t="shared" si="1"/>
        <v>Yes</v>
      </c>
      <c r="K54" t="str">
        <f t="shared" si="2"/>
        <v>Yes</v>
      </c>
      <c r="L54" s="203">
        <f>IF(AND('Total income package'!$A$16=TRUE,E54&lt;$J$2),$M$2,0)</f>
        <v>1551.75</v>
      </c>
      <c r="M54" s="179">
        <f>IF(AND('Total income package'!$A$16=TRUE,E54&lt;$L$2),$P$2,0)</f>
        <v>637</v>
      </c>
      <c r="N54" s="204">
        <f t="shared" si="8"/>
        <v>2188.75</v>
      </c>
    </row>
    <row r="55" spans="1:14" x14ac:dyDescent="0.25">
      <c r="A55" s="105">
        <v>23000</v>
      </c>
      <c r="B55" s="4">
        <f t="shared" si="0"/>
        <v>1916.6666666666667</v>
      </c>
      <c r="C55" s="4">
        <f>'Total income package'!$D$80</f>
        <v>0</v>
      </c>
      <c r="D55" s="4">
        <f t="shared" si="3"/>
        <v>1916.6666666666667</v>
      </c>
      <c r="E55" s="4">
        <f t="shared" si="4"/>
        <v>1754.6666666666667</v>
      </c>
      <c r="F55" t="str">
        <f t="shared" si="5"/>
        <v>No</v>
      </c>
      <c r="G55" t="str">
        <f t="shared" si="6"/>
        <v>Yes</v>
      </c>
      <c r="I55" t="str">
        <f t="shared" si="7"/>
        <v>Yes</v>
      </c>
      <c r="J55" t="str">
        <f t="shared" si="1"/>
        <v>Yes</v>
      </c>
      <c r="K55" t="str">
        <f t="shared" si="2"/>
        <v>Yes</v>
      </c>
      <c r="L55" s="203">
        <f>IF(AND('Total income package'!$A$16=TRUE,E55&lt;$J$2),$M$2,0)</f>
        <v>1551.75</v>
      </c>
      <c r="M55" s="179">
        <f>IF(AND('Total income package'!$A$16=TRUE,E55&lt;$L$2),$P$2,0)</f>
        <v>637</v>
      </c>
      <c r="N55" s="204">
        <f t="shared" si="8"/>
        <v>2188.75</v>
      </c>
    </row>
    <row r="56" spans="1:14" x14ac:dyDescent="0.25">
      <c r="A56" s="105">
        <v>23500</v>
      </c>
      <c r="B56" s="4">
        <f t="shared" si="0"/>
        <v>1958.3333333333333</v>
      </c>
      <c r="C56" s="4">
        <f>'Total income package'!$D$80</f>
        <v>0</v>
      </c>
      <c r="D56" s="4">
        <f t="shared" si="3"/>
        <v>1958.3333333333333</v>
      </c>
      <c r="E56" s="4">
        <f t="shared" si="4"/>
        <v>1796.3333333333333</v>
      </c>
      <c r="F56" t="str">
        <f t="shared" si="5"/>
        <v>No</v>
      </c>
      <c r="G56" t="str">
        <f t="shared" si="6"/>
        <v>Yes</v>
      </c>
      <c r="I56" t="str">
        <f t="shared" si="7"/>
        <v>Yes</v>
      </c>
      <c r="J56" t="str">
        <f t="shared" si="1"/>
        <v>Yes</v>
      </c>
      <c r="K56" t="str">
        <f t="shared" si="2"/>
        <v>Yes</v>
      </c>
      <c r="L56" s="203">
        <f>IF(AND('Total income package'!$A$16=TRUE,E56&lt;$J$2),$M$2,0)</f>
        <v>1551.75</v>
      </c>
      <c r="M56" s="179">
        <f>IF(AND('Total income package'!$A$16=TRUE,E56&lt;$L$2),$P$2,0)</f>
        <v>637</v>
      </c>
      <c r="N56" s="204">
        <f t="shared" si="8"/>
        <v>2188.75</v>
      </c>
    </row>
    <row r="57" spans="1:14" x14ac:dyDescent="0.25">
      <c r="A57" s="105">
        <v>24000</v>
      </c>
      <c r="B57" s="4">
        <f t="shared" si="0"/>
        <v>2000</v>
      </c>
      <c r="C57" s="4">
        <f>'Total income package'!$D$80</f>
        <v>0</v>
      </c>
      <c r="D57" s="4">
        <f t="shared" si="3"/>
        <v>2000</v>
      </c>
      <c r="E57" s="4">
        <f t="shared" si="4"/>
        <v>1838</v>
      </c>
      <c r="F57" t="str">
        <f t="shared" si="5"/>
        <v>No</v>
      </c>
      <c r="G57" t="str">
        <f t="shared" si="6"/>
        <v>Yes</v>
      </c>
      <c r="I57" t="str">
        <f t="shared" si="7"/>
        <v>Yes</v>
      </c>
      <c r="J57" t="str">
        <f t="shared" si="1"/>
        <v>Yes</v>
      </c>
      <c r="K57" t="str">
        <f t="shared" si="2"/>
        <v>Yes</v>
      </c>
      <c r="L57" s="203">
        <f>IF(AND('Total income package'!$A$16=TRUE,E57&lt;$J$2),$M$2,0)</f>
        <v>1551.75</v>
      </c>
      <c r="M57" s="179">
        <f>IF(AND('Total income package'!$A$16=TRUE,E57&lt;$L$2),$P$2,0)</f>
        <v>637</v>
      </c>
      <c r="N57" s="204">
        <f t="shared" si="8"/>
        <v>2188.75</v>
      </c>
    </row>
    <row r="58" spans="1:14" x14ac:dyDescent="0.25">
      <c r="A58" s="105">
        <v>24500</v>
      </c>
      <c r="B58" s="4">
        <f t="shared" si="0"/>
        <v>2041.6666666666667</v>
      </c>
      <c r="C58" s="4">
        <f>'Total income package'!$D$80</f>
        <v>0</v>
      </c>
      <c r="D58" s="4">
        <f t="shared" si="3"/>
        <v>2041.6666666666667</v>
      </c>
      <c r="E58" s="4">
        <f t="shared" si="4"/>
        <v>1879.6666666666667</v>
      </c>
      <c r="F58" t="str">
        <f t="shared" si="5"/>
        <v>No</v>
      </c>
      <c r="G58" t="str">
        <f t="shared" si="6"/>
        <v>Yes</v>
      </c>
      <c r="I58" t="str">
        <f t="shared" si="7"/>
        <v>Yes</v>
      </c>
      <c r="J58" t="str">
        <f t="shared" si="1"/>
        <v>Yes</v>
      </c>
      <c r="K58" t="str">
        <f t="shared" si="2"/>
        <v>Yes</v>
      </c>
      <c r="L58" s="203">
        <f>IF(AND('Total income package'!$A$16=TRUE,E58&lt;$J$2),$M$2,0)</f>
        <v>1551.75</v>
      </c>
      <c r="M58" s="179">
        <f>IF(AND('Total income package'!$A$16=TRUE,E58&lt;$L$2),$P$2,0)</f>
        <v>637</v>
      </c>
      <c r="N58" s="204">
        <f t="shared" si="8"/>
        <v>2188.75</v>
      </c>
    </row>
    <row r="59" spans="1:14" x14ac:dyDescent="0.25">
      <c r="A59" s="105">
        <v>25000</v>
      </c>
      <c r="B59" s="4">
        <f t="shared" si="0"/>
        <v>2083.3333333333335</v>
      </c>
      <c r="C59" s="4">
        <f>'Total income package'!$D$80</f>
        <v>0</v>
      </c>
      <c r="D59" s="4">
        <f t="shared" si="3"/>
        <v>2083.3333333333335</v>
      </c>
      <c r="E59" s="4">
        <f t="shared" si="4"/>
        <v>1921.3333333333335</v>
      </c>
      <c r="F59" t="str">
        <f t="shared" si="5"/>
        <v>No</v>
      </c>
      <c r="G59" t="str">
        <f t="shared" si="6"/>
        <v>Yes</v>
      </c>
      <c r="I59" t="str">
        <f t="shared" si="7"/>
        <v>Yes</v>
      </c>
      <c r="J59" t="str">
        <f t="shared" si="1"/>
        <v>Yes</v>
      </c>
      <c r="K59" t="str">
        <f t="shared" si="2"/>
        <v>Yes</v>
      </c>
      <c r="L59" s="203">
        <f>IF(AND('Total income package'!$A$16=TRUE,E59&lt;$J$2),$M$2,0)</f>
        <v>1551.75</v>
      </c>
      <c r="M59" s="179">
        <f>IF(AND('Total income package'!$A$16=TRUE,E59&lt;$L$2),$P$2,0)</f>
        <v>637</v>
      </c>
      <c r="N59" s="204">
        <f t="shared" si="8"/>
        <v>2188.75</v>
      </c>
    </row>
    <row r="60" spans="1:14" x14ac:dyDescent="0.25">
      <c r="A60" s="105">
        <v>25500</v>
      </c>
      <c r="B60" s="4">
        <f t="shared" si="0"/>
        <v>2125</v>
      </c>
      <c r="C60" s="4">
        <f>'Total income package'!$D$80</f>
        <v>0</v>
      </c>
      <c r="D60" s="4">
        <f t="shared" si="3"/>
        <v>2125</v>
      </c>
      <c r="E60" s="4">
        <f t="shared" si="4"/>
        <v>1963</v>
      </c>
      <c r="F60" t="str">
        <f t="shared" si="5"/>
        <v>No</v>
      </c>
      <c r="G60" t="str">
        <f t="shared" si="6"/>
        <v>Yes</v>
      </c>
      <c r="I60" t="str">
        <f t="shared" si="7"/>
        <v>Yes</v>
      </c>
      <c r="J60" t="str">
        <f t="shared" si="1"/>
        <v>Yes</v>
      </c>
      <c r="K60" t="str">
        <f t="shared" si="2"/>
        <v>Yes</v>
      </c>
      <c r="L60" s="203">
        <f>IF(AND('Total income package'!$A$16=TRUE,E60&lt;$J$2),$M$2,0)</f>
        <v>1551.75</v>
      </c>
      <c r="M60" s="179">
        <f>IF(AND('Total income package'!$A$16=TRUE,E60&lt;$L$2),$P$2,0)</f>
        <v>637</v>
      </c>
      <c r="N60" s="204">
        <f t="shared" si="8"/>
        <v>2188.75</v>
      </c>
    </row>
    <row r="61" spans="1:14" x14ac:dyDescent="0.25">
      <c r="A61" s="105">
        <v>26000</v>
      </c>
      <c r="B61" s="4">
        <f t="shared" si="0"/>
        <v>2166.6666666666665</v>
      </c>
      <c r="C61" s="4">
        <f>'Total income package'!$D$80</f>
        <v>0</v>
      </c>
      <c r="D61" s="4">
        <f t="shared" si="3"/>
        <v>2166.6666666666665</v>
      </c>
      <c r="E61" s="4">
        <f t="shared" si="4"/>
        <v>2004.6666666666665</v>
      </c>
      <c r="F61" t="str">
        <f t="shared" si="5"/>
        <v>No</v>
      </c>
      <c r="G61" t="str">
        <f t="shared" si="6"/>
        <v>Yes</v>
      </c>
      <c r="I61" t="str">
        <f t="shared" si="7"/>
        <v>Yes</v>
      </c>
      <c r="J61" t="str">
        <f t="shared" si="1"/>
        <v>Yes</v>
      </c>
      <c r="K61" t="str">
        <f t="shared" si="2"/>
        <v>Yes</v>
      </c>
      <c r="L61" s="203">
        <f>IF(AND('Total income package'!$A$16=TRUE,E61&lt;$J$2),$M$2,0)</f>
        <v>1551.75</v>
      </c>
      <c r="M61" s="179">
        <f>IF(AND('Total income package'!$A$16=TRUE,E61&lt;$L$2),$P$2,0)</f>
        <v>637</v>
      </c>
      <c r="N61" s="204">
        <f t="shared" si="8"/>
        <v>2188.75</v>
      </c>
    </row>
    <row r="62" spans="1:14" x14ac:dyDescent="0.25">
      <c r="A62" s="105">
        <v>26500</v>
      </c>
      <c r="B62" s="4">
        <f t="shared" si="0"/>
        <v>2208.3333333333335</v>
      </c>
      <c r="C62" s="4">
        <f>'Total income package'!$D$80</f>
        <v>0</v>
      </c>
      <c r="D62" s="4">
        <f t="shared" si="3"/>
        <v>2208.3333333333335</v>
      </c>
      <c r="E62" s="4">
        <f t="shared" si="4"/>
        <v>2046.3333333333335</v>
      </c>
      <c r="F62" t="str">
        <f t="shared" si="5"/>
        <v>No</v>
      </c>
      <c r="G62" t="str">
        <f t="shared" si="6"/>
        <v>Yes</v>
      </c>
      <c r="I62" t="str">
        <f t="shared" si="7"/>
        <v>Yes</v>
      </c>
      <c r="J62" t="str">
        <f t="shared" si="1"/>
        <v>Yes</v>
      </c>
      <c r="K62" t="str">
        <f t="shared" si="2"/>
        <v>Yes</v>
      </c>
      <c r="L62" s="203">
        <f>IF(AND('Total income package'!$A$16=TRUE,E62&lt;$J$2),$M$2,0)</f>
        <v>1551.75</v>
      </c>
      <c r="M62" s="179">
        <f>IF(AND('Total income package'!$A$16=TRUE,E62&lt;$L$2),$P$2,0)</f>
        <v>637</v>
      </c>
      <c r="N62" s="204">
        <f t="shared" si="8"/>
        <v>2188.75</v>
      </c>
    </row>
    <row r="63" spans="1:14" x14ac:dyDescent="0.25">
      <c r="A63" s="105">
        <v>27000</v>
      </c>
      <c r="B63" s="4">
        <f t="shared" si="0"/>
        <v>2250</v>
      </c>
      <c r="C63" s="4">
        <f>'Total income package'!$D$80</f>
        <v>0</v>
      </c>
      <c r="D63" s="4">
        <f t="shared" si="3"/>
        <v>2250</v>
      </c>
      <c r="E63" s="4">
        <f t="shared" si="4"/>
        <v>2088</v>
      </c>
      <c r="F63" t="str">
        <f t="shared" si="5"/>
        <v>No</v>
      </c>
      <c r="G63" t="str">
        <f t="shared" si="6"/>
        <v>Yes</v>
      </c>
      <c r="I63" t="str">
        <f t="shared" si="7"/>
        <v>Yes</v>
      </c>
      <c r="J63" t="str">
        <f t="shared" si="1"/>
        <v>Yes</v>
      </c>
      <c r="K63" t="str">
        <f t="shared" si="2"/>
        <v>Yes</v>
      </c>
      <c r="L63" s="203">
        <f>IF(AND('Total income package'!$A$16=TRUE,E63&lt;$J$2),$M$2,0)</f>
        <v>1551.75</v>
      </c>
      <c r="M63" s="179">
        <f>IF(AND('Total income package'!$A$16=TRUE,E63&lt;$L$2),$P$2,0)</f>
        <v>637</v>
      </c>
      <c r="N63" s="204">
        <f t="shared" si="8"/>
        <v>2188.75</v>
      </c>
    </row>
    <row r="64" spans="1:14" x14ac:dyDescent="0.25">
      <c r="A64" s="105">
        <v>27500</v>
      </c>
      <c r="B64" s="4">
        <f t="shared" si="0"/>
        <v>2291.6666666666665</v>
      </c>
      <c r="C64" s="4">
        <f>'Total income package'!$D$80</f>
        <v>0</v>
      </c>
      <c r="D64" s="4">
        <f t="shared" si="3"/>
        <v>2291.6666666666665</v>
      </c>
      <c r="E64" s="4">
        <f t="shared" si="4"/>
        <v>2129.6666666666665</v>
      </c>
      <c r="F64" t="str">
        <f t="shared" si="5"/>
        <v>No</v>
      </c>
      <c r="G64" t="str">
        <f t="shared" si="6"/>
        <v>Yes</v>
      </c>
      <c r="I64" t="str">
        <f t="shared" si="7"/>
        <v>Yes</v>
      </c>
      <c r="J64" t="str">
        <f t="shared" si="1"/>
        <v>Yes</v>
      </c>
      <c r="K64" t="str">
        <f t="shared" si="2"/>
        <v>Yes</v>
      </c>
      <c r="L64" s="203">
        <f>IF(AND('Total income package'!$A$16=TRUE,E64&lt;$J$2),$M$2,0)</f>
        <v>1551.75</v>
      </c>
      <c r="M64" s="179">
        <f>IF(AND('Total income package'!$A$16=TRUE,E64&lt;$L$2),$P$2,0)</f>
        <v>637</v>
      </c>
      <c r="N64" s="204">
        <f t="shared" si="8"/>
        <v>2188.75</v>
      </c>
    </row>
    <row r="65" spans="1:14" x14ac:dyDescent="0.25">
      <c r="A65" s="105">
        <v>28000</v>
      </c>
      <c r="B65" s="4">
        <f t="shared" si="0"/>
        <v>2333.3333333333335</v>
      </c>
      <c r="C65" s="4">
        <f>'Total income package'!$D$80</f>
        <v>0</v>
      </c>
      <c r="D65" s="4">
        <f t="shared" si="3"/>
        <v>2333.3333333333335</v>
      </c>
      <c r="E65" s="4">
        <f t="shared" si="4"/>
        <v>2171.3333333333335</v>
      </c>
      <c r="F65" t="str">
        <f t="shared" si="5"/>
        <v>No</v>
      </c>
      <c r="G65" t="str">
        <f t="shared" si="6"/>
        <v>Yes</v>
      </c>
      <c r="I65" t="str">
        <f t="shared" si="7"/>
        <v>Yes</v>
      </c>
      <c r="J65" t="str">
        <f t="shared" si="1"/>
        <v>Yes</v>
      </c>
      <c r="K65" t="str">
        <f t="shared" si="2"/>
        <v>Yes</v>
      </c>
      <c r="L65" s="203">
        <f>IF(AND('Total income package'!$A$16=TRUE,E65&lt;$J$2),$M$2,0)</f>
        <v>1551.75</v>
      </c>
      <c r="M65" s="179">
        <f>IF(AND('Total income package'!$A$16=TRUE,E65&lt;$L$2),$P$2,0)</f>
        <v>637</v>
      </c>
      <c r="N65" s="204">
        <f t="shared" si="8"/>
        <v>2188.75</v>
      </c>
    </row>
    <row r="66" spans="1:14" x14ac:dyDescent="0.25">
      <c r="A66" s="105">
        <v>28500</v>
      </c>
      <c r="B66" s="4">
        <f t="shared" si="0"/>
        <v>2375</v>
      </c>
      <c r="C66" s="4">
        <f>'Total income package'!$D$80</f>
        <v>0</v>
      </c>
      <c r="D66" s="4">
        <f t="shared" si="3"/>
        <v>2375</v>
      </c>
      <c r="E66" s="4">
        <f t="shared" si="4"/>
        <v>2213</v>
      </c>
      <c r="F66" t="str">
        <f t="shared" si="5"/>
        <v>No</v>
      </c>
      <c r="G66" t="str">
        <f t="shared" si="6"/>
        <v>Yes</v>
      </c>
      <c r="I66" t="str">
        <f t="shared" si="7"/>
        <v>Yes</v>
      </c>
      <c r="J66" t="str">
        <f t="shared" si="1"/>
        <v>Yes</v>
      </c>
      <c r="K66" t="str">
        <f t="shared" si="2"/>
        <v>Yes</v>
      </c>
      <c r="L66" s="203">
        <f>IF(AND('Total income package'!$A$16=TRUE,E66&lt;$J$2),$M$2,0)</f>
        <v>1551.75</v>
      </c>
      <c r="M66" s="179">
        <f>IF(AND('Total income package'!$A$16=TRUE,E66&lt;$L$2),$P$2,0)</f>
        <v>637</v>
      </c>
      <c r="N66" s="204">
        <f t="shared" si="8"/>
        <v>2188.75</v>
      </c>
    </row>
    <row r="67" spans="1:14" x14ac:dyDescent="0.25">
      <c r="A67" s="105">
        <v>29000</v>
      </c>
      <c r="B67" s="4">
        <f t="shared" si="0"/>
        <v>2416.6666666666665</v>
      </c>
      <c r="C67" s="4">
        <f>'Total income package'!$D$80</f>
        <v>0</v>
      </c>
      <c r="D67" s="4">
        <f t="shared" si="3"/>
        <v>2416.6666666666665</v>
      </c>
      <c r="E67" s="4">
        <f t="shared" si="4"/>
        <v>2254.6666666666665</v>
      </c>
      <c r="F67" t="str">
        <f t="shared" si="5"/>
        <v>No</v>
      </c>
      <c r="G67" t="str">
        <f t="shared" si="6"/>
        <v>Yes</v>
      </c>
      <c r="I67" t="str">
        <f t="shared" si="7"/>
        <v>Yes</v>
      </c>
      <c r="J67" t="str">
        <f t="shared" si="1"/>
        <v>Yes</v>
      </c>
      <c r="K67" t="str">
        <f t="shared" si="2"/>
        <v>Yes</v>
      </c>
      <c r="L67" s="203">
        <f>IF(AND('Total income package'!$A$16=TRUE,E67&lt;$J$2),$M$2,0)</f>
        <v>1551.75</v>
      </c>
      <c r="M67" s="179">
        <f>IF(AND('Total income package'!$A$16=TRUE,E67&lt;$L$2),$P$2,0)</f>
        <v>637</v>
      </c>
      <c r="N67" s="204">
        <f t="shared" si="8"/>
        <v>2188.75</v>
      </c>
    </row>
    <row r="68" spans="1:14" x14ac:dyDescent="0.25">
      <c r="A68" s="105">
        <v>29500</v>
      </c>
      <c r="B68" s="4">
        <f t="shared" si="0"/>
        <v>2458.3333333333335</v>
      </c>
      <c r="C68" s="4">
        <f>'Total income package'!$D$80</f>
        <v>0</v>
      </c>
      <c r="D68" s="4">
        <f t="shared" si="3"/>
        <v>2458.3333333333335</v>
      </c>
      <c r="E68" s="4">
        <f t="shared" si="4"/>
        <v>2296.3333333333335</v>
      </c>
      <c r="F68" t="str">
        <f t="shared" si="5"/>
        <v>No</v>
      </c>
      <c r="G68" t="str">
        <f t="shared" si="6"/>
        <v>Yes</v>
      </c>
      <c r="I68" t="str">
        <f t="shared" si="7"/>
        <v>Yes</v>
      </c>
      <c r="J68" t="str">
        <f t="shared" si="1"/>
        <v>Yes</v>
      </c>
      <c r="K68" t="str">
        <f t="shared" si="2"/>
        <v>Yes</v>
      </c>
      <c r="L68" s="203">
        <f>IF(AND('Total income package'!$A$16=TRUE,E68&lt;$J$2),$M$2,0)</f>
        <v>1551.75</v>
      </c>
      <c r="M68" s="179">
        <f>IF(AND('Total income package'!$A$16=TRUE,E68&lt;$L$2),$P$2,0)</f>
        <v>637</v>
      </c>
      <c r="N68" s="204">
        <f t="shared" si="8"/>
        <v>2188.75</v>
      </c>
    </row>
    <row r="69" spans="1:14" x14ac:dyDescent="0.25">
      <c r="A69" s="105">
        <v>30000</v>
      </c>
      <c r="B69" s="4">
        <f t="shared" si="0"/>
        <v>2500</v>
      </c>
      <c r="C69" s="4">
        <f>'Total income package'!$D$80</f>
        <v>0</v>
      </c>
      <c r="D69" s="4">
        <f t="shared" si="3"/>
        <v>2500</v>
      </c>
      <c r="E69" s="4">
        <f t="shared" si="4"/>
        <v>2338</v>
      </c>
      <c r="F69" t="str">
        <f t="shared" si="5"/>
        <v>No</v>
      </c>
      <c r="G69" t="str">
        <f t="shared" si="6"/>
        <v>Yes</v>
      </c>
      <c r="I69" t="str">
        <f t="shared" si="7"/>
        <v>Yes</v>
      </c>
      <c r="J69" t="str">
        <f t="shared" si="1"/>
        <v>Yes</v>
      </c>
      <c r="K69" t="str">
        <f t="shared" si="2"/>
        <v>Yes</v>
      </c>
      <c r="L69" s="203">
        <f>IF(AND('Total income package'!$A$16=TRUE,E69&lt;$J$2),$M$2,0)</f>
        <v>1551.75</v>
      </c>
      <c r="M69" s="179">
        <f>IF(AND('Total income package'!$A$16=TRUE,E69&lt;$L$2),$P$2,0)</f>
        <v>637</v>
      </c>
      <c r="N69" s="204">
        <f t="shared" si="8"/>
        <v>2188.75</v>
      </c>
    </row>
    <row r="70" spans="1:14" x14ac:dyDescent="0.25">
      <c r="A70" s="105">
        <v>30500</v>
      </c>
      <c r="B70" s="4">
        <f t="shared" si="0"/>
        <v>2541.6666666666665</v>
      </c>
      <c r="C70" s="4">
        <f>'Total income package'!$D$80</f>
        <v>0</v>
      </c>
      <c r="D70" s="4">
        <f t="shared" si="3"/>
        <v>2541.6666666666665</v>
      </c>
      <c r="E70" s="4">
        <f t="shared" si="4"/>
        <v>2379.6666666666665</v>
      </c>
      <c r="F70" t="str">
        <f t="shared" si="5"/>
        <v>No</v>
      </c>
      <c r="G70" t="str">
        <f t="shared" si="6"/>
        <v>Yes</v>
      </c>
      <c r="I70" t="str">
        <f t="shared" si="7"/>
        <v>Yes</v>
      </c>
      <c r="J70" t="str">
        <f t="shared" si="1"/>
        <v>Yes</v>
      </c>
      <c r="K70" t="str">
        <f t="shared" si="2"/>
        <v>Yes</v>
      </c>
      <c r="L70" s="203">
        <f>IF(AND('Total income package'!$A$16=TRUE,E70&lt;$J$2),$M$2,0)</f>
        <v>1551.75</v>
      </c>
      <c r="M70" s="179">
        <f>IF(AND('Total income package'!$A$16=TRUE,E70&lt;$L$2),$P$2,0)</f>
        <v>637</v>
      </c>
      <c r="N70" s="204">
        <f t="shared" si="8"/>
        <v>2188.75</v>
      </c>
    </row>
    <row r="71" spans="1:14" x14ac:dyDescent="0.25">
      <c r="A71" s="105">
        <v>31000</v>
      </c>
      <c r="B71" s="4">
        <f t="shared" si="0"/>
        <v>2583.3333333333335</v>
      </c>
      <c r="C71" s="4">
        <f>'Total income package'!$D$80</f>
        <v>0</v>
      </c>
      <c r="D71" s="4">
        <f t="shared" si="3"/>
        <v>2583.3333333333335</v>
      </c>
      <c r="E71" s="4">
        <f t="shared" si="4"/>
        <v>2421.3333333333335</v>
      </c>
      <c r="F71" t="str">
        <f t="shared" si="5"/>
        <v>No</v>
      </c>
      <c r="G71" t="str">
        <f t="shared" si="6"/>
        <v>Yes</v>
      </c>
      <c r="I71" t="str">
        <f t="shared" si="7"/>
        <v>Yes</v>
      </c>
      <c r="J71" t="str">
        <f t="shared" si="1"/>
        <v>Yes</v>
      </c>
      <c r="K71" t="str">
        <f t="shared" si="2"/>
        <v>Yes</v>
      </c>
      <c r="L71" s="203">
        <f>IF(AND('Total income package'!$A$16=TRUE,E71&lt;$J$2),$M$2,0)</f>
        <v>1551.75</v>
      </c>
      <c r="M71" s="179">
        <f>IF(AND('Total income package'!$A$16=TRUE,E71&lt;$L$2),$P$2,0)</f>
        <v>637</v>
      </c>
      <c r="N71" s="204">
        <f t="shared" si="8"/>
        <v>2188.75</v>
      </c>
    </row>
    <row r="72" spans="1:14" x14ac:dyDescent="0.25">
      <c r="A72" s="105">
        <v>31500</v>
      </c>
      <c r="B72" s="4">
        <f t="shared" si="0"/>
        <v>2625</v>
      </c>
      <c r="C72" s="4">
        <f>'Total income package'!$D$80</f>
        <v>0</v>
      </c>
      <c r="D72" s="4">
        <f t="shared" si="3"/>
        <v>2625</v>
      </c>
      <c r="E72" s="4">
        <f t="shared" si="4"/>
        <v>2463</v>
      </c>
      <c r="F72" t="str">
        <f t="shared" si="5"/>
        <v>No</v>
      </c>
      <c r="G72" t="str">
        <f t="shared" si="6"/>
        <v>Yes</v>
      </c>
      <c r="I72" t="str">
        <f t="shared" si="7"/>
        <v>Yes</v>
      </c>
      <c r="J72" t="str">
        <f t="shared" si="1"/>
        <v>Yes</v>
      </c>
      <c r="K72" t="str">
        <f t="shared" si="2"/>
        <v>Yes</v>
      </c>
      <c r="L72" s="203">
        <f>IF(AND('Total income package'!$A$16=TRUE,E72&lt;$J$2),$M$2,0)</f>
        <v>1551.75</v>
      </c>
      <c r="M72" s="179">
        <f>IF(AND('Total income package'!$A$16=TRUE,E72&lt;$L$2),$P$2,0)</f>
        <v>637</v>
      </c>
      <c r="N72" s="204">
        <f t="shared" si="8"/>
        <v>2188.75</v>
      </c>
    </row>
    <row r="73" spans="1:14" x14ac:dyDescent="0.25">
      <c r="A73" s="105">
        <v>32000</v>
      </c>
      <c r="B73" s="4">
        <f t="shared" si="0"/>
        <v>2666.6666666666665</v>
      </c>
      <c r="C73" s="4">
        <f>'Total income package'!$D$80</f>
        <v>0</v>
      </c>
      <c r="D73" s="4">
        <f t="shared" si="3"/>
        <v>2666.6666666666665</v>
      </c>
      <c r="E73" s="4">
        <f t="shared" si="4"/>
        <v>2504.6666666666665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1551.75</v>
      </c>
      <c r="M73" s="179">
        <f>IF(AND('Total income package'!$A$16=TRUE,E73&lt;$L$2),$P$2,0)</f>
        <v>637</v>
      </c>
      <c r="N73" s="204">
        <f t="shared" si="8"/>
        <v>2188.75</v>
      </c>
    </row>
    <row r="74" spans="1:14" x14ac:dyDescent="0.25">
      <c r="A74" s="105">
        <v>32500</v>
      </c>
      <c r="B74" s="4">
        <f t="shared" si="0"/>
        <v>2708.3333333333335</v>
      </c>
      <c r="C74" s="4">
        <f>'Total income package'!$D$80</f>
        <v>0</v>
      </c>
      <c r="D74" s="4">
        <f t="shared" ref="D74:D137" si="11">B74+C74</f>
        <v>2708.3333333333335</v>
      </c>
      <c r="E74" s="4">
        <f t="shared" ref="E74:E137" si="12">IF(D74-$H$2&lt;0,0,D74-$H$2)</f>
        <v>2546.3333333333335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1551.75</v>
      </c>
      <c r="M74" s="179">
        <f>IF(AND('Total income package'!$A$16=TRUE,E74&lt;$L$2),$P$2,0)</f>
        <v>637</v>
      </c>
      <c r="N74" s="204">
        <f t="shared" ref="N74:N137" si="16">L74+M74</f>
        <v>2188.75</v>
      </c>
    </row>
    <row r="75" spans="1:14" x14ac:dyDescent="0.25">
      <c r="A75" s="105">
        <v>33000</v>
      </c>
      <c r="B75" s="4">
        <f t="shared" ref="B75:B138" si="17">A75/12</f>
        <v>2750</v>
      </c>
      <c r="C75" s="4">
        <f>'Total income package'!$D$80</f>
        <v>0</v>
      </c>
      <c r="D75" s="4">
        <f t="shared" si="11"/>
        <v>2750</v>
      </c>
      <c r="E75" s="4">
        <f t="shared" si="12"/>
        <v>2588</v>
      </c>
      <c r="F75" t="str">
        <f t="shared" si="13"/>
        <v>No</v>
      </c>
      <c r="G75" t="str">
        <f t="shared" si="14"/>
        <v>Yes</v>
      </c>
      <c r="I75" t="str">
        <f t="shared" si="15"/>
        <v>Yes</v>
      </c>
      <c r="J75" t="str">
        <f t="shared" si="9"/>
        <v>Yes</v>
      </c>
      <c r="K75" t="str">
        <f t="shared" si="10"/>
        <v>Yes</v>
      </c>
      <c r="L75" s="203">
        <f>IF(AND('Total income package'!$A$16=TRUE,E75&lt;$J$2),$M$2,0)</f>
        <v>1551.75</v>
      </c>
      <c r="M75" s="179">
        <f>IF(AND('Total income package'!$A$16=TRUE,E75&lt;$L$2),$P$2,0)</f>
        <v>637</v>
      </c>
      <c r="N75" s="204">
        <f t="shared" si="16"/>
        <v>2188.75</v>
      </c>
    </row>
    <row r="76" spans="1:14" x14ac:dyDescent="0.25">
      <c r="A76" s="105">
        <v>33500</v>
      </c>
      <c r="B76" s="4">
        <f t="shared" si="17"/>
        <v>2791.6666666666665</v>
      </c>
      <c r="C76" s="4">
        <f>'Total income package'!$D$80</f>
        <v>0</v>
      </c>
      <c r="D76" s="4">
        <f t="shared" si="11"/>
        <v>2791.6666666666665</v>
      </c>
      <c r="E76" s="4">
        <f t="shared" si="12"/>
        <v>2629.6666666666665</v>
      </c>
      <c r="F76" t="str">
        <f t="shared" si="13"/>
        <v>No</v>
      </c>
      <c r="G76" t="str">
        <f t="shared" si="14"/>
        <v>Yes</v>
      </c>
      <c r="I76" t="str">
        <f t="shared" si="15"/>
        <v>Yes</v>
      </c>
      <c r="J76" t="str">
        <f t="shared" si="9"/>
        <v>Yes</v>
      </c>
      <c r="K76" t="str">
        <f t="shared" si="10"/>
        <v>Yes</v>
      </c>
      <c r="L76" s="203">
        <f>IF(AND('Total income package'!$A$16=TRUE,E76&lt;$J$2),$M$2,0)</f>
        <v>1551.75</v>
      </c>
      <c r="M76" s="179">
        <f>IF(AND('Total income package'!$A$16=TRUE,E76&lt;$L$2),$P$2,0)</f>
        <v>637</v>
      </c>
      <c r="N76" s="204">
        <f t="shared" si="16"/>
        <v>2188.75</v>
      </c>
    </row>
    <row r="77" spans="1:14" x14ac:dyDescent="0.25">
      <c r="A77" s="105">
        <v>34000</v>
      </c>
      <c r="B77" s="4">
        <f t="shared" si="17"/>
        <v>2833.3333333333335</v>
      </c>
      <c r="C77" s="4">
        <f>'Total income package'!$D$80</f>
        <v>0</v>
      </c>
      <c r="D77" s="4">
        <f t="shared" si="11"/>
        <v>2833.3333333333335</v>
      </c>
      <c r="E77" s="4">
        <f t="shared" si="12"/>
        <v>2671.3333333333335</v>
      </c>
      <c r="F77" t="str">
        <f t="shared" si="13"/>
        <v>No</v>
      </c>
      <c r="G77" t="str">
        <f t="shared" si="14"/>
        <v>Yes</v>
      </c>
      <c r="I77" t="str">
        <f t="shared" si="15"/>
        <v>Yes</v>
      </c>
      <c r="J77" t="str">
        <f t="shared" si="9"/>
        <v>Yes</v>
      </c>
      <c r="K77" t="str">
        <f t="shared" si="10"/>
        <v>Yes</v>
      </c>
      <c r="L77" s="203">
        <f>IF(AND('Total income package'!$A$16=TRUE,E77&lt;$J$2),$M$2,0)</f>
        <v>1551.75</v>
      </c>
      <c r="M77" s="179">
        <f>IF(AND('Total income package'!$A$16=TRUE,E77&lt;$L$2),$P$2,0)</f>
        <v>637</v>
      </c>
      <c r="N77" s="204">
        <f t="shared" si="16"/>
        <v>2188.75</v>
      </c>
    </row>
    <row r="78" spans="1:14" x14ac:dyDescent="0.25">
      <c r="A78" s="105">
        <v>34500</v>
      </c>
      <c r="B78" s="4">
        <f t="shared" si="17"/>
        <v>2875</v>
      </c>
      <c r="C78" s="4">
        <f>'Total income package'!$D$80</f>
        <v>0</v>
      </c>
      <c r="D78" s="4">
        <f t="shared" si="11"/>
        <v>2875</v>
      </c>
      <c r="E78" s="4">
        <f t="shared" si="12"/>
        <v>2713</v>
      </c>
      <c r="F78" t="str">
        <f t="shared" si="13"/>
        <v>No</v>
      </c>
      <c r="G78" t="str">
        <f t="shared" si="14"/>
        <v>Yes</v>
      </c>
      <c r="I78" t="str">
        <f t="shared" si="15"/>
        <v>Yes</v>
      </c>
      <c r="J78" t="str">
        <f t="shared" si="9"/>
        <v>Yes</v>
      </c>
      <c r="K78" t="str">
        <f t="shared" si="10"/>
        <v>Yes</v>
      </c>
      <c r="L78" s="203">
        <f>IF(AND('Total income package'!$A$16=TRUE,E78&lt;$J$2),$M$2,0)</f>
        <v>1551.75</v>
      </c>
      <c r="M78" s="179">
        <f>IF(AND('Total income package'!$A$16=TRUE,E78&lt;$L$2),$P$2,0)</f>
        <v>637</v>
      </c>
      <c r="N78" s="204">
        <f t="shared" si="16"/>
        <v>2188.75</v>
      </c>
    </row>
    <row r="79" spans="1:14" x14ac:dyDescent="0.25">
      <c r="A79" s="105">
        <v>35000</v>
      </c>
      <c r="B79" s="4">
        <f t="shared" si="17"/>
        <v>2916.6666666666665</v>
      </c>
      <c r="C79" s="4">
        <f>'Total income package'!$D$80</f>
        <v>0</v>
      </c>
      <c r="D79" s="4">
        <f t="shared" si="11"/>
        <v>2916.6666666666665</v>
      </c>
      <c r="E79" s="4">
        <f t="shared" si="12"/>
        <v>2754.6666666666665</v>
      </c>
      <c r="F79" t="str">
        <f t="shared" si="13"/>
        <v>No</v>
      </c>
      <c r="G79" t="str">
        <f t="shared" si="14"/>
        <v>Yes</v>
      </c>
      <c r="I79" t="str">
        <f t="shared" si="15"/>
        <v>Yes</v>
      </c>
      <c r="J79" t="str">
        <f t="shared" si="9"/>
        <v>Yes</v>
      </c>
      <c r="K79" t="str">
        <f t="shared" si="10"/>
        <v>Yes</v>
      </c>
      <c r="L79" s="203">
        <f>IF(AND('Total income package'!$A$16=TRUE,E79&lt;$J$2),$M$2,0)</f>
        <v>1551.75</v>
      </c>
      <c r="M79" s="179">
        <f>IF(AND('Total income package'!$A$16=TRUE,E79&lt;$L$2),$P$2,0)</f>
        <v>637</v>
      </c>
      <c r="N79" s="204">
        <f t="shared" si="16"/>
        <v>2188.75</v>
      </c>
    </row>
    <row r="80" spans="1:14" x14ac:dyDescent="0.25">
      <c r="A80" s="105">
        <v>35500</v>
      </c>
      <c r="B80" s="4">
        <f t="shared" si="17"/>
        <v>2958.3333333333335</v>
      </c>
      <c r="C80" s="4">
        <f>'Total income package'!$D$80</f>
        <v>0</v>
      </c>
      <c r="D80" s="4">
        <f t="shared" si="11"/>
        <v>2958.3333333333335</v>
      </c>
      <c r="E80" s="4">
        <f t="shared" si="12"/>
        <v>2796.3333333333335</v>
      </c>
      <c r="F80" t="str">
        <f t="shared" si="13"/>
        <v>No</v>
      </c>
      <c r="G80" t="str">
        <f t="shared" si="14"/>
        <v>Yes</v>
      </c>
      <c r="I80" t="str">
        <f t="shared" si="15"/>
        <v>Yes</v>
      </c>
      <c r="J80" t="str">
        <f t="shared" si="9"/>
        <v>Yes</v>
      </c>
      <c r="K80" t="str">
        <f t="shared" si="10"/>
        <v>Yes</v>
      </c>
      <c r="L80" s="203">
        <f>IF(AND('Total income package'!$A$16=TRUE,E80&lt;$J$2),$M$2,0)</f>
        <v>1551.75</v>
      </c>
      <c r="M80" s="179">
        <f>IF(AND('Total income package'!$A$16=TRUE,E80&lt;$L$2),$P$2,0)</f>
        <v>637</v>
      </c>
      <c r="N80" s="204">
        <f t="shared" si="16"/>
        <v>2188.75</v>
      </c>
    </row>
    <row r="81" spans="1:14" x14ac:dyDescent="0.25">
      <c r="A81" s="105">
        <v>36000</v>
      </c>
      <c r="B81" s="4">
        <f t="shared" si="17"/>
        <v>3000</v>
      </c>
      <c r="C81" s="4">
        <f>'Total income package'!$D$80</f>
        <v>0</v>
      </c>
      <c r="D81" s="4">
        <f t="shared" si="11"/>
        <v>3000</v>
      </c>
      <c r="E81" s="4">
        <f t="shared" si="12"/>
        <v>2838</v>
      </c>
      <c r="F81" t="str">
        <f t="shared" si="13"/>
        <v>No</v>
      </c>
      <c r="G81" t="str">
        <f t="shared" si="14"/>
        <v>Yes</v>
      </c>
      <c r="I81" t="str">
        <f t="shared" si="15"/>
        <v>Yes</v>
      </c>
      <c r="J81" t="str">
        <f t="shared" si="9"/>
        <v>Yes</v>
      </c>
      <c r="K81" t="str">
        <f t="shared" si="10"/>
        <v>Yes</v>
      </c>
      <c r="L81" s="203">
        <f>IF(AND('Total income package'!$A$16=TRUE,E81&lt;$J$2),$M$2,0)</f>
        <v>1551.75</v>
      </c>
      <c r="M81" s="179">
        <f>IF(AND('Total income package'!$A$16=TRUE,E81&lt;$L$2),$P$2,0)</f>
        <v>637</v>
      </c>
      <c r="N81" s="204">
        <f t="shared" si="16"/>
        <v>2188.75</v>
      </c>
    </row>
    <row r="82" spans="1:14" x14ac:dyDescent="0.25">
      <c r="A82" s="105">
        <v>36500</v>
      </c>
      <c r="B82" s="4">
        <f t="shared" si="17"/>
        <v>3041.6666666666665</v>
      </c>
      <c r="C82" s="4">
        <f>'Total income package'!$D$80</f>
        <v>0</v>
      </c>
      <c r="D82" s="4">
        <f t="shared" si="11"/>
        <v>3041.6666666666665</v>
      </c>
      <c r="E82" s="4">
        <f t="shared" si="12"/>
        <v>2879.6666666666665</v>
      </c>
      <c r="F82" t="str">
        <f t="shared" si="13"/>
        <v>No</v>
      </c>
      <c r="G82" t="str">
        <f t="shared" si="14"/>
        <v>Yes</v>
      </c>
      <c r="I82" t="str">
        <f t="shared" si="15"/>
        <v>Yes</v>
      </c>
      <c r="J82" t="str">
        <f t="shared" si="9"/>
        <v>Yes</v>
      </c>
      <c r="K82" t="str">
        <f t="shared" si="10"/>
        <v>Yes</v>
      </c>
      <c r="L82" s="203">
        <f>IF(AND('Total income package'!$A$16=TRUE,E82&lt;$J$2),$M$2,0)</f>
        <v>1551.75</v>
      </c>
      <c r="M82" s="179">
        <f>IF(AND('Total income package'!$A$16=TRUE,E82&lt;$L$2),$P$2,0)</f>
        <v>637</v>
      </c>
      <c r="N82" s="204">
        <f t="shared" si="16"/>
        <v>2188.75</v>
      </c>
    </row>
    <row r="83" spans="1:14" x14ac:dyDescent="0.25">
      <c r="A83" s="105">
        <v>37000</v>
      </c>
      <c r="B83" s="4">
        <f t="shared" si="17"/>
        <v>3083.3333333333335</v>
      </c>
      <c r="C83" s="4">
        <f>'Total income package'!$D$80</f>
        <v>0</v>
      </c>
      <c r="D83" s="4">
        <f t="shared" si="11"/>
        <v>3083.3333333333335</v>
      </c>
      <c r="E83" s="4">
        <f t="shared" si="12"/>
        <v>2921.3333333333335</v>
      </c>
      <c r="F83" t="str">
        <f t="shared" si="13"/>
        <v>No</v>
      </c>
      <c r="G83" t="str">
        <f t="shared" si="14"/>
        <v>Yes</v>
      </c>
      <c r="I83" t="str">
        <f t="shared" si="15"/>
        <v>Yes</v>
      </c>
      <c r="J83" t="str">
        <f t="shared" si="9"/>
        <v>Yes</v>
      </c>
      <c r="K83" t="str">
        <f t="shared" si="10"/>
        <v>Yes</v>
      </c>
      <c r="L83" s="203">
        <f>IF(AND('Total income package'!$A$16=TRUE,E83&lt;$J$2),$M$2,0)</f>
        <v>1551.75</v>
      </c>
      <c r="M83" s="179">
        <f>IF(AND('Total income package'!$A$16=TRUE,E83&lt;$L$2),$P$2,0)</f>
        <v>637</v>
      </c>
      <c r="N83" s="204">
        <f t="shared" si="16"/>
        <v>2188.75</v>
      </c>
    </row>
    <row r="84" spans="1:14" x14ac:dyDescent="0.25">
      <c r="A84" s="105">
        <v>37500</v>
      </c>
      <c r="B84" s="4">
        <f t="shared" si="17"/>
        <v>3125</v>
      </c>
      <c r="C84" s="4">
        <f>'Total income package'!$D$80</f>
        <v>0</v>
      </c>
      <c r="D84" s="4">
        <f t="shared" si="11"/>
        <v>3125</v>
      </c>
      <c r="E84" s="4">
        <f t="shared" si="12"/>
        <v>2963</v>
      </c>
      <c r="F84" t="str">
        <f t="shared" si="13"/>
        <v>No</v>
      </c>
      <c r="G84" t="str">
        <f t="shared" si="14"/>
        <v>Yes</v>
      </c>
      <c r="I84" t="str">
        <f t="shared" si="15"/>
        <v>Yes</v>
      </c>
      <c r="J84" t="str">
        <f t="shared" si="9"/>
        <v>Yes</v>
      </c>
      <c r="K84" t="str">
        <f t="shared" si="10"/>
        <v>Yes</v>
      </c>
      <c r="L84" s="203">
        <f>IF(AND('Total income package'!$A$16=TRUE,E84&lt;$J$2),$M$2,0)</f>
        <v>1551.75</v>
      </c>
      <c r="M84" s="179">
        <f>IF(AND('Total income package'!$A$16=TRUE,E84&lt;$L$2),$P$2,0)</f>
        <v>637</v>
      </c>
      <c r="N84" s="204">
        <f t="shared" si="16"/>
        <v>2188.75</v>
      </c>
    </row>
    <row r="85" spans="1:14" x14ac:dyDescent="0.25">
      <c r="A85" s="105">
        <v>38000</v>
      </c>
      <c r="B85" s="4">
        <f t="shared" si="17"/>
        <v>3166.6666666666665</v>
      </c>
      <c r="C85" s="4">
        <f>'Total income package'!$D$80</f>
        <v>0</v>
      </c>
      <c r="D85" s="4">
        <f t="shared" si="11"/>
        <v>3166.6666666666665</v>
      </c>
      <c r="E85" s="4">
        <f t="shared" si="12"/>
        <v>3004.6666666666665</v>
      </c>
      <c r="F85" t="str">
        <f t="shared" si="13"/>
        <v>No</v>
      </c>
      <c r="G85" t="str">
        <f t="shared" si="14"/>
        <v>Yes</v>
      </c>
      <c r="I85" t="str">
        <f t="shared" si="15"/>
        <v>Yes</v>
      </c>
      <c r="J85" t="str">
        <f t="shared" si="9"/>
        <v>Yes</v>
      </c>
      <c r="K85" t="str">
        <f t="shared" si="10"/>
        <v>Yes</v>
      </c>
      <c r="L85" s="203">
        <f>IF(AND('Total income package'!$A$16=TRUE,E85&lt;$J$2),$M$2,0)</f>
        <v>1551.75</v>
      </c>
      <c r="M85" s="179">
        <f>IF(AND('Total income package'!$A$16=TRUE,E85&lt;$L$2),$P$2,0)</f>
        <v>637</v>
      </c>
      <c r="N85" s="204">
        <f t="shared" si="16"/>
        <v>2188.75</v>
      </c>
    </row>
    <row r="86" spans="1:14" x14ac:dyDescent="0.25">
      <c r="A86" s="105">
        <v>38500</v>
      </c>
      <c r="B86" s="4">
        <f t="shared" si="17"/>
        <v>3208.3333333333335</v>
      </c>
      <c r="C86" s="4">
        <f>'Total income package'!$D$80</f>
        <v>0</v>
      </c>
      <c r="D86" s="4">
        <f t="shared" si="11"/>
        <v>3208.3333333333335</v>
      </c>
      <c r="E86" s="4">
        <f t="shared" si="12"/>
        <v>3046.3333333333335</v>
      </c>
      <c r="F86" t="str">
        <f t="shared" si="13"/>
        <v>No</v>
      </c>
      <c r="G86" t="str">
        <f t="shared" si="14"/>
        <v>Yes</v>
      </c>
      <c r="I86" t="str">
        <f t="shared" si="15"/>
        <v>Yes</v>
      </c>
      <c r="J86" t="str">
        <f t="shared" si="9"/>
        <v>Yes</v>
      </c>
      <c r="K86" t="str">
        <f t="shared" si="10"/>
        <v>Yes</v>
      </c>
      <c r="L86" s="203">
        <f>IF(AND('Total income package'!$A$16=TRUE,E86&lt;$J$2),$M$2,0)</f>
        <v>1551.75</v>
      </c>
      <c r="M86" s="179">
        <f>IF(AND('Total income package'!$A$16=TRUE,E86&lt;$L$2),$P$2,0)</f>
        <v>637</v>
      </c>
      <c r="N86" s="204">
        <f t="shared" si="16"/>
        <v>2188.75</v>
      </c>
    </row>
    <row r="87" spans="1:14" x14ac:dyDescent="0.25">
      <c r="A87" s="105">
        <v>39000</v>
      </c>
      <c r="B87" s="4">
        <f t="shared" si="17"/>
        <v>3250</v>
      </c>
      <c r="C87" s="4">
        <f>'Total income package'!$D$80</f>
        <v>0</v>
      </c>
      <c r="D87" s="4">
        <f t="shared" si="11"/>
        <v>3250</v>
      </c>
      <c r="E87" s="4">
        <f t="shared" si="12"/>
        <v>3088</v>
      </c>
      <c r="F87" t="str">
        <f t="shared" si="13"/>
        <v>No</v>
      </c>
      <c r="G87" t="str">
        <f t="shared" si="14"/>
        <v>Yes</v>
      </c>
      <c r="I87" t="str">
        <f t="shared" si="15"/>
        <v>Yes</v>
      </c>
      <c r="J87" t="str">
        <f t="shared" si="9"/>
        <v>Yes</v>
      </c>
      <c r="K87" t="str">
        <f t="shared" si="10"/>
        <v>Yes</v>
      </c>
      <c r="L87" s="203">
        <f>IF(AND('Total income package'!$A$16=TRUE,E87&lt;$J$2),$M$2,0)</f>
        <v>1551.75</v>
      </c>
      <c r="M87" s="179">
        <f>IF(AND('Total income package'!$A$16=TRUE,E87&lt;$L$2),$P$2,0)</f>
        <v>637</v>
      </c>
      <c r="N87" s="204">
        <f t="shared" si="16"/>
        <v>2188.75</v>
      </c>
    </row>
    <row r="88" spans="1:14" x14ac:dyDescent="0.25">
      <c r="A88" s="105">
        <v>39500</v>
      </c>
      <c r="B88" s="4">
        <f t="shared" si="17"/>
        <v>3291.6666666666665</v>
      </c>
      <c r="C88" s="4">
        <f>'Total income package'!$D$80</f>
        <v>0</v>
      </c>
      <c r="D88" s="4">
        <f t="shared" si="11"/>
        <v>3291.6666666666665</v>
      </c>
      <c r="E88" s="4">
        <f t="shared" si="12"/>
        <v>3129.6666666666665</v>
      </c>
      <c r="F88" t="str">
        <f t="shared" si="13"/>
        <v>No</v>
      </c>
      <c r="G88" t="str">
        <f t="shared" si="14"/>
        <v>Yes</v>
      </c>
      <c r="I88" t="str">
        <f t="shared" si="15"/>
        <v>Yes</v>
      </c>
      <c r="J88" t="str">
        <f t="shared" si="9"/>
        <v>Yes</v>
      </c>
      <c r="K88" t="str">
        <f t="shared" si="10"/>
        <v>Yes</v>
      </c>
      <c r="L88" s="203">
        <f>IF(AND('Total income package'!$A$16=TRUE,E88&lt;$J$2),$M$2,0)</f>
        <v>1551.75</v>
      </c>
      <c r="M88" s="179">
        <f>IF(AND('Total income package'!$A$16=TRUE,E88&lt;$L$2),$P$2,0)</f>
        <v>637</v>
      </c>
      <c r="N88" s="204">
        <f t="shared" si="16"/>
        <v>2188.75</v>
      </c>
    </row>
    <row r="89" spans="1:14" x14ac:dyDescent="0.25">
      <c r="A89" s="105">
        <v>40000</v>
      </c>
      <c r="B89" s="4">
        <f t="shared" si="17"/>
        <v>3333.3333333333335</v>
      </c>
      <c r="C89" s="4">
        <f>'Total income package'!$D$80</f>
        <v>0</v>
      </c>
      <c r="D89" s="4">
        <f t="shared" si="11"/>
        <v>3333.3333333333335</v>
      </c>
      <c r="E89" s="4">
        <f t="shared" si="12"/>
        <v>3171.3333333333335</v>
      </c>
      <c r="F89" t="str">
        <f t="shared" si="13"/>
        <v>No</v>
      </c>
      <c r="G89" t="str">
        <f t="shared" si="14"/>
        <v>Yes</v>
      </c>
      <c r="I89" t="str">
        <f t="shared" si="15"/>
        <v>Yes</v>
      </c>
      <c r="J89" t="str">
        <f t="shared" si="9"/>
        <v>Yes</v>
      </c>
      <c r="K89" t="str">
        <f t="shared" si="10"/>
        <v>Yes</v>
      </c>
      <c r="L89" s="203">
        <f>IF(AND('Total income package'!$A$16=TRUE,E89&lt;$J$2),$M$2,0)</f>
        <v>1551.75</v>
      </c>
      <c r="M89" s="179">
        <f>IF(AND('Total income package'!$A$16=TRUE,E89&lt;$L$2),$P$2,0)</f>
        <v>637</v>
      </c>
      <c r="N89" s="204">
        <f t="shared" si="16"/>
        <v>2188.75</v>
      </c>
    </row>
    <row r="90" spans="1:14" x14ac:dyDescent="0.25">
      <c r="A90" s="105">
        <v>40500</v>
      </c>
      <c r="B90" s="4">
        <f t="shared" si="17"/>
        <v>3375</v>
      </c>
      <c r="C90" s="4">
        <f>'Total income package'!$D$80</f>
        <v>0</v>
      </c>
      <c r="D90" s="4">
        <f t="shared" si="11"/>
        <v>3375</v>
      </c>
      <c r="E90" s="4">
        <f t="shared" si="12"/>
        <v>3213</v>
      </c>
      <c r="F90" t="str">
        <f t="shared" si="13"/>
        <v>No</v>
      </c>
      <c r="G90" t="str">
        <f t="shared" si="14"/>
        <v>Yes</v>
      </c>
      <c r="I90" t="str">
        <f t="shared" si="15"/>
        <v>Yes</v>
      </c>
      <c r="J90" t="str">
        <f t="shared" si="9"/>
        <v>Yes</v>
      </c>
      <c r="K90" t="str">
        <f t="shared" si="10"/>
        <v>Yes</v>
      </c>
      <c r="L90" s="203">
        <f>IF(AND('Total income package'!$A$16=TRUE,E90&lt;$J$2),$M$2,0)</f>
        <v>1551.75</v>
      </c>
      <c r="M90" s="179">
        <f>IF(AND('Total income package'!$A$16=TRUE,E90&lt;$L$2),$P$2,0)</f>
        <v>637</v>
      </c>
      <c r="N90" s="204">
        <f t="shared" si="16"/>
        <v>2188.75</v>
      </c>
    </row>
    <row r="91" spans="1:14" x14ac:dyDescent="0.25">
      <c r="A91" s="105">
        <v>41000</v>
      </c>
      <c r="B91" s="4">
        <f t="shared" si="17"/>
        <v>3416.6666666666665</v>
      </c>
      <c r="C91" s="4">
        <f>'Total income package'!$D$80</f>
        <v>0</v>
      </c>
      <c r="D91" s="4">
        <f t="shared" si="11"/>
        <v>3416.6666666666665</v>
      </c>
      <c r="E91" s="4">
        <f t="shared" si="12"/>
        <v>3254.6666666666665</v>
      </c>
      <c r="F91" t="str">
        <f t="shared" si="13"/>
        <v>No</v>
      </c>
      <c r="G91" t="str">
        <f t="shared" si="14"/>
        <v>Yes</v>
      </c>
      <c r="I91" t="str">
        <f t="shared" si="15"/>
        <v>Yes</v>
      </c>
      <c r="J91" t="str">
        <f t="shared" si="9"/>
        <v>Yes</v>
      </c>
      <c r="K91" t="str">
        <f t="shared" si="10"/>
        <v>Yes</v>
      </c>
      <c r="L91" s="203">
        <f>IF(AND('Total income package'!$A$16=TRUE,E91&lt;$J$2),$M$2,0)</f>
        <v>1551.75</v>
      </c>
      <c r="M91" s="179">
        <f>IF(AND('Total income package'!$A$16=TRUE,E91&lt;$L$2),$P$2,0)</f>
        <v>637</v>
      </c>
      <c r="N91" s="204">
        <f t="shared" si="16"/>
        <v>2188.75</v>
      </c>
    </row>
    <row r="92" spans="1:14" x14ac:dyDescent="0.25">
      <c r="A92" s="105">
        <v>41500</v>
      </c>
      <c r="B92" s="4">
        <f t="shared" si="17"/>
        <v>3458.3333333333335</v>
      </c>
      <c r="C92" s="4">
        <f>'Total income package'!$D$80</f>
        <v>0</v>
      </c>
      <c r="D92" s="4">
        <f t="shared" si="11"/>
        <v>3458.3333333333335</v>
      </c>
      <c r="E92" s="4">
        <f t="shared" si="12"/>
        <v>3296.3333333333335</v>
      </c>
      <c r="F92" t="str">
        <f t="shared" si="13"/>
        <v>No</v>
      </c>
      <c r="G92" t="str">
        <f t="shared" si="14"/>
        <v>Yes</v>
      </c>
      <c r="I92" t="str">
        <f t="shared" si="15"/>
        <v>Yes</v>
      </c>
      <c r="J92" t="str">
        <f t="shared" si="9"/>
        <v>Yes</v>
      </c>
      <c r="K92" t="str">
        <f t="shared" si="10"/>
        <v>Yes</v>
      </c>
      <c r="L92" s="203">
        <f>IF(AND('Total income package'!$A$16=TRUE,E92&lt;$J$2),$M$2,0)</f>
        <v>1551.75</v>
      </c>
      <c r="M92" s="179">
        <f>IF(AND('Total income package'!$A$16=TRUE,E92&lt;$L$2),$P$2,0)</f>
        <v>637</v>
      </c>
      <c r="N92" s="204">
        <f t="shared" si="16"/>
        <v>2188.75</v>
      </c>
    </row>
    <row r="93" spans="1:14" x14ac:dyDescent="0.25">
      <c r="A93" s="105">
        <v>42000</v>
      </c>
      <c r="B93" s="4">
        <f t="shared" si="17"/>
        <v>3500</v>
      </c>
      <c r="C93" s="4">
        <f>'Total income package'!$D$80</f>
        <v>0</v>
      </c>
      <c r="D93" s="4">
        <f t="shared" si="11"/>
        <v>3500</v>
      </c>
      <c r="E93" s="4">
        <f t="shared" si="12"/>
        <v>3338</v>
      </c>
      <c r="F93" t="str">
        <f t="shared" si="13"/>
        <v>No</v>
      </c>
      <c r="G93" t="str">
        <f t="shared" si="14"/>
        <v>Yes</v>
      </c>
      <c r="I93" t="str">
        <f t="shared" si="15"/>
        <v>Yes</v>
      </c>
      <c r="J93" t="str">
        <f t="shared" si="9"/>
        <v>Yes</v>
      </c>
      <c r="K93" t="str">
        <f t="shared" si="10"/>
        <v>Yes</v>
      </c>
      <c r="L93" s="203">
        <f>IF(AND('Total income package'!$A$16=TRUE,E93&lt;$J$2),$M$2,0)</f>
        <v>1551.75</v>
      </c>
      <c r="M93" s="179">
        <f>IF(AND('Total income package'!$A$16=TRUE,E93&lt;$L$2),$P$2,0)</f>
        <v>637</v>
      </c>
      <c r="N93" s="204">
        <f t="shared" si="16"/>
        <v>2188.75</v>
      </c>
    </row>
    <row r="94" spans="1:14" x14ac:dyDescent="0.25">
      <c r="A94" s="105">
        <v>42500</v>
      </c>
      <c r="B94" s="4">
        <f t="shared" si="17"/>
        <v>3541.6666666666665</v>
      </c>
      <c r="C94" s="4">
        <f>'Total income package'!$D$80</f>
        <v>0</v>
      </c>
      <c r="D94" s="4">
        <f t="shared" si="11"/>
        <v>3541.6666666666665</v>
      </c>
      <c r="E94" s="4">
        <f t="shared" si="12"/>
        <v>3379.6666666666665</v>
      </c>
      <c r="F94" t="str">
        <f t="shared" si="13"/>
        <v>No</v>
      </c>
      <c r="G94" t="str">
        <f t="shared" si="14"/>
        <v>Yes</v>
      </c>
      <c r="I94" t="str">
        <f t="shared" si="15"/>
        <v>Yes</v>
      </c>
      <c r="J94" t="str">
        <f t="shared" si="9"/>
        <v>Yes</v>
      </c>
      <c r="K94" t="str">
        <f t="shared" si="10"/>
        <v>Yes</v>
      </c>
      <c r="L94" s="203">
        <f>IF(AND('Total income package'!$A$16=TRUE,E94&lt;$J$2),$M$2,0)</f>
        <v>1551.75</v>
      </c>
      <c r="M94" s="179">
        <f>IF(AND('Total income package'!$A$16=TRUE,E94&lt;$L$2),$P$2,0)</f>
        <v>637</v>
      </c>
      <c r="N94" s="204">
        <f t="shared" si="16"/>
        <v>2188.75</v>
      </c>
    </row>
    <row r="95" spans="1:14" x14ac:dyDescent="0.25">
      <c r="A95" s="105">
        <v>43000</v>
      </c>
      <c r="B95" s="4">
        <f t="shared" si="17"/>
        <v>3583.3333333333335</v>
      </c>
      <c r="C95" s="4">
        <f>'Total income package'!$D$80</f>
        <v>0</v>
      </c>
      <c r="D95" s="4">
        <f t="shared" si="11"/>
        <v>3583.3333333333335</v>
      </c>
      <c r="E95" s="4">
        <f t="shared" si="12"/>
        <v>3421.3333333333335</v>
      </c>
      <c r="F95" t="str">
        <f t="shared" si="13"/>
        <v>No</v>
      </c>
      <c r="G95" t="str">
        <f t="shared" si="14"/>
        <v>Yes</v>
      </c>
      <c r="I95" t="str">
        <f t="shared" si="15"/>
        <v>Yes</v>
      </c>
      <c r="J95" t="str">
        <f t="shared" si="9"/>
        <v>Yes</v>
      </c>
      <c r="K95" t="str">
        <f t="shared" si="10"/>
        <v>Yes</v>
      </c>
      <c r="L95" s="203">
        <f>IF(AND('Total income package'!$A$16=TRUE,E95&lt;$J$2),$M$2,0)</f>
        <v>1551.75</v>
      </c>
      <c r="M95" s="179">
        <f>IF(AND('Total income package'!$A$16=TRUE,E95&lt;$L$2),$P$2,0)</f>
        <v>637</v>
      </c>
      <c r="N95" s="204">
        <f t="shared" si="16"/>
        <v>2188.75</v>
      </c>
    </row>
    <row r="96" spans="1:14" x14ac:dyDescent="0.25">
      <c r="A96" s="105">
        <v>43500</v>
      </c>
      <c r="B96" s="4">
        <f t="shared" si="17"/>
        <v>3625</v>
      </c>
      <c r="C96" s="4">
        <f>'Total income package'!$D$80</f>
        <v>0</v>
      </c>
      <c r="D96" s="4">
        <f t="shared" si="11"/>
        <v>3625</v>
      </c>
      <c r="E96" s="4">
        <f t="shared" si="12"/>
        <v>3463</v>
      </c>
      <c r="F96" t="str">
        <f t="shared" si="13"/>
        <v>No</v>
      </c>
      <c r="G96" t="str">
        <f t="shared" si="14"/>
        <v>Yes</v>
      </c>
      <c r="I96" t="str">
        <f t="shared" si="15"/>
        <v>Yes</v>
      </c>
      <c r="J96" t="str">
        <f t="shared" si="9"/>
        <v>Yes</v>
      </c>
      <c r="K96" t="str">
        <f t="shared" si="10"/>
        <v>Yes</v>
      </c>
      <c r="L96" s="203">
        <f>IF(AND('Total income package'!$A$16=TRUE,E96&lt;$J$2),$M$2,0)</f>
        <v>1551.75</v>
      </c>
      <c r="M96" s="179">
        <f>IF(AND('Total income package'!$A$16=TRUE,E96&lt;$L$2),$P$2,0)</f>
        <v>637</v>
      </c>
      <c r="N96" s="204">
        <f t="shared" si="16"/>
        <v>2188.75</v>
      </c>
    </row>
    <row r="97" spans="1:14" x14ac:dyDescent="0.25">
      <c r="A97" s="105">
        <v>44000</v>
      </c>
      <c r="B97" s="4">
        <f t="shared" si="17"/>
        <v>3666.6666666666665</v>
      </c>
      <c r="C97" s="4">
        <f>'Total income package'!$D$80</f>
        <v>0</v>
      </c>
      <c r="D97" s="4">
        <f t="shared" si="11"/>
        <v>3666.6666666666665</v>
      </c>
      <c r="E97" s="4">
        <f t="shared" si="12"/>
        <v>3504.6666666666665</v>
      </c>
      <c r="F97" t="str">
        <f t="shared" si="13"/>
        <v>No</v>
      </c>
      <c r="G97" t="str">
        <f t="shared" si="14"/>
        <v>Yes</v>
      </c>
      <c r="I97" t="str">
        <f t="shared" si="15"/>
        <v>Yes</v>
      </c>
      <c r="J97" t="str">
        <f t="shared" si="9"/>
        <v>Yes</v>
      </c>
      <c r="K97" t="str">
        <f t="shared" si="10"/>
        <v>Yes</v>
      </c>
      <c r="L97" s="203">
        <f>IF(AND('Total income package'!$A$16=TRUE,E97&lt;$J$2),$M$2,0)</f>
        <v>1551.75</v>
      </c>
      <c r="M97" s="179">
        <f>IF(AND('Total income package'!$A$16=TRUE,E97&lt;$L$2),$P$2,0)</f>
        <v>637</v>
      </c>
      <c r="N97" s="204">
        <f t="shared" si="16"/>
        <v>2188.75</v>
      </c>
    </row>
    <row r="98" spans="1:14" x14ac:dyDescent="0.25">
      <c r="A98" s="105">
        <v>44500</v>
      </c>
      <c r="B98" s="4">
        <f t="shared" si="17"/>
        <v>3708.3333333333335</v>
      </c>
      <c r="C98" s="4">
        <f>'Total income package'!$D$80</f>
        <v>0</v>
      </c>
      <c r="D98" s="4">
        <f t="shared" si="11"/>
        <v>3708.3333333333335</v>
      </c>
      <c r="E98" s="4">
        <f t="shared" si="12"/>
        <v>3546.3333333333335</v>
      </c>
      <c r="F98" t="str">
        <f t="shared" si="13"/>
        <v>No</v>
      </c>
      <c r="G98" t="str">
        <f t="shared" si="14"/>
        <v>Yes</v>
      </c>
      <c r="I98" t="str">
        <f t="shared" si="15"/>
        <v>Yes</v>
      </c>
      <c r="J98" t="str">
        <f t="shared" si="9"/>
        <v>Yes</v>
      </c>
      <c r="K98" t="str">
        <f t="shared" si="10"/>
        <v>Yes</v>
      </c>
      <c r="L98" s="203">
        <f>IF(AND('Total income package'!$A$16=TRUE,E98&lt;$J$2),$M$2,0)</f>
        <v>1551.75</v>
      </c>
      <c r="M98" s="179">
        <f>IF(AND('Total income package'!$A$16=TRUE,E98&lt;$L$2),$P$2,0)</f>
        <v>637</v>
      </c>
      <c r="N98" s="204">
        <f t="shared" si="16"/>
        <v>2188.75</v>
      </c>
    </row>
    <row r="99" spans="1:14" x14ac:dyDescent="0.25">
      <c r="A99" s="105">
        <v>45000</v>
      </c>
      <c r="B99" s="4">
        <f t="shared" si="17"/>
        <v>3750</v>
      </c>
      <c r="C99" s="4">
        <f>'Total income package'!$D$80</f>
        <v>0</v>
      </c>
      <c r="D99" s="4">
        <f t="shared" si="11"/>
        <v>3750</v>
      </c>
      <c r="E99" s="4">
        <f t="shared" si="12"/>
        <v>3588</v>
      </c>
      <c r="F99" t="str">
        <f t="shared" si="13"/>
        <v>No</v>
      </c>
      <c r="G99" t="str">
        <f t="shared" si="14"/>
        <v>Yes</v>
      </c>
      <c r="I99" t="str">
        <f t="shared" si="15"/>
        <v>Yes</v>
      </c>
      <c r="J99" t="str">
        <f t="shared" si="9"/>
        <v>Yes</v>
      </c>
      <c r="K99" t="str">
        <f t="shared" si="10"/>
        <v>Yes</v>
      </c>
      <c r="L99" s="203">
        <f>IF(AND('Total income package'!$A$16=TRUE,E99&lt;$J$2),$M$2,0)</f>
        <v>1551.75</v>
      </c>
      <c r="M99" s="179">
        <f>IF(AND('Total income package'!$A$16=TRUE,E99&lt;$L$2),$P$2,0)</f>
        <v>637</v>
      </c>
      <c r="N99" s="204">
        <f t="shared" si="16"/>
        <v>2188.75</v>
      </c>
    </row>
    <row r="100" spans="1:14" x14ac:dyDescent="0.25">
      <c r="A100" s="105">
        <v>45500</v>
      </c>
      <c r="B100" s="4">
        <f t="shared" si="17"/>
        <v>3791.6666666666665</v>
      </c>
      <c r="C100" s="4">
        <f>'Total income package'!$D$80</f>
        <v>0</v>
      </c>
      <c r="D100" s="4">
        <f t="shared" si="11"/>
        <v>3791.6666666666665</v>
      </c>
      <c r="E100" s="4">
        <f t="shared" si="12"/>
        <v>3629.6666666666665</v>
      </c>
      <c r="F100" t="str">
        <f t="shared" si="13"/>
        <v>No</v>
      </c>
      <c r="G100" t="str">
        <f t="shared" si="14"/>
        <v>Yes</v>
      </c>
      <c r="I100" t="str">
        <f t="shared" si="15"/>
        <v>Yes</v>
      </c>
      <c r="J100" t="str">
        <f t="shared" si="9"/>
        <v>Yes</v>
      </c>
      <c r="K100" t="str">
        <f t="shared" si="10"/>
        <v>Yes</v>
      </c>
      <c r="L100" s="203">
        <f>IF(AND('Total income package'!$A$16=TRUE,E100&lt;$J$2),$M$2,0)</f>
        <v>1551.75</v>
      </c>
      <c r="M100" s="179">
        <f>IF(AND('Total income package'!$A$16=TRUE,E100&lt;$L$2),$P$2,0)</f>
        <v>637</v>
      </c>
      <c r="N100" s="204">
        <f t="shared" si="16"/>
        <v>2188.75</v>
      </c>
    </row>
    <row r="101" spans="1:14" x14ac:dyDescent="0.25">
      <c r="A101" s="105">
        <v>46000</v>
      </c>
      <c r="B101" s="4">
        <f t="shared" si="17"/>
        <v>3833.3333333333335</v>
      </c>
      <c r="C101" s="4">
        <f>'Total income package'!$D$80</f>
        <v>0</v>
      </c>
      <c r="D101" s="4">
        <f t="shared" si="11"/>
        <v>3833.3333333333335</v>
      </c>
      <c r="E101" s="4">
        <f t="shared" si="12"/>
        <v>3671.3333333333335</v>
      </c>
      <c r="F101" t="str">
        <f t="shared" si="13"/>
        <v>No</v>
      </c>
      <c r="G101" t="str">
        <f t="shared" si="14"/>
        <v>Yes</v>
      </c>
      <c r="I101" t="str">
        <f t="shared" si="15"/>
        <v>Yes</v>
      </c>
      <c r="J101" t="str">
        <f t="shared" si="9"/>
        <v>Yes</v>
      </c>
      <c r="K101" t="str">
        <f t="shared" si="10"/>
        <v>Yes</v>
      </c>
      <c r="L101" s="203">
        <f>IF(AND('Total income package'!$A$16=TRUE,E101&lt;$J$2),$M$2,0)</f>
        <v>1551.75</v>
      </c>
      <c r="M101" s="179">
        <f>IF(AND('Total income package'!$A$16=TRUE,E101&lt;$L$2),$P$2,0)</f>
        <v>637</v>
      </c>
      <c r="N101" s="204">
        <f t="shared" si="16"/>
        <v>2188.75</v>
      </c>
    </row>
    <row r="102" spans="1:14" x14ac:dyDescent="0.25">
      <c r="A102" s="105">
        <v>46500</v>
      </c>
      <c r="B102" s="4">
        <f t="shared" si="17"/>
        <v>3875</v>
      </c>
      <c r="C102" s="4">
        <f>'Total income package'!$D$80</f>
        <v>0</v>
      </c>
      <c r="D102" s="4">
        <f t="shared" si="11"/>
        <v>3875</v>
      </c>
      <c r="E102" s="4">
        <f t="shared" si="12"/>
        <v>3713</v>
      </c>
      <c r="F102" t="str">
        <f t="shared" si="13"/>
        <v>No</v>
      </c>
      <c r="G102" t="str">
        <f t="shared" si="14"/>
        <v>Yes</v>
      </c>
      <c r="I102" t="str">
        <f t="shared" si="15"/>
        <v>Yes</v>
      </c>
      <c r="J102" t="str">
        <f t="shared" si="9"/>
        <v>Yes</v>
      </c>
      <c r="K102" t="str">
        <f t="shared" si="10"/>
        <v>Yes</v>
      </c>
      <c r="L102" s="203">
        <f>IF(AND('Total income package'!$A$16=TRUE,E102&lt;$J$2),$M$2,0)</f>
        <v>1551.75</v>
      </c>
      <c r="M102" s="179">
        <f>IF(AND('Total income package'!$A$16=TRUE,E102&lt;$L$2),$P$2,0)</f>
        <v>637</v>
      </c>
      <c r="N102" s="204">
        <f t="shared" si="16"/>
        <v>2188.75</v>
      </c>
    </row>
    <row r="103" spans="1:14" x14ac:dyDescent="0.25">
      <c r="A103" s="105">
        <v>47000</v>
      </c>
      <c r="B103" s="4">
        <f t="shared" si="17"/>
        <v>3916.6666666666665</v>
      </c>
      <c r="C103" s="4">
        <f>'Total income package'!$D$80</f>
        <v>0</v>
      </c>
      <c r="D103" s="4">
        <f t="shared" si="11"/>
        <v>3916.6666666666665</v>
      </c>
      <c r="E103" s="4">
        <f t="shared" si="12"/>
        <v>3754.6666666666665</v>
      </c>
      <c r="F103" t="str">
        <f t="shared" si="13"/>
        <v>No</v>
      </c>
      <c r="G103" t="str">
        <f t="shared" si="14"/>
        <v>Yes</v>
      </c>
      <c r="I103" t="str">
        <f t="shared" si="15"/>
        <v>Yes</v>
      </c>
      <c r="J103" t="str">
        <f t="shared" si="9"/>
        <v>Yes</v>
      </c>
      <c r="K103" t="str">
        <f t="shared" si="10"/>
        <v>Yes</v>
      </c>
      <c r="L103" s="203">
        <f>IF(AND('Total income package'!$A$16=TRUE,E103&lt;$J$2),$M$2,0)</f>
        <v>1551.75</v>
      </c>
      <c r="M103" s="179">
        <f>IF(AND('Total income package'!$A$16=TRUE,E103&lt;$L$2),$P$2,0)</f>
        <v>637</v>
      </c>
      <c r="N103" s="204">
        <f t="shared" si="16"/>
        <v>2188.75</v>
      </c>
    </row>
    <row r="104" spans="1:14" x14ac:dyDescent="0.25">
      <c r="A104" s="105">
        <v>47500</v>
      </c>
      <c r="B104" s="4">
        <f t="shared" si="17"/>
        <v>3958.3333333333335</v>
      </c>
      <c r="C104" s="4">
        <f>'Total income package'!$D$80</f>
        <v>0</v>
      </c>
      <c r="D104" s="4">
        <f t="shared" si="11"/>
        <v>3958.3333333333335</v>
      </c>
      <c r="E104" s="4">
        <f t="shared" si="12"/>
        <v>3796.3333333333335</v>
      </c>
      <c r="F104" t="str">
        <f t="shared" si="13"/>
        <v>No</v>
      </c>
      <c r="G104" t="str">
        <f t="shared" si="14"/>
        <v>Yes</v>
      </c>
      <c r="I104" t="str">
        <f t="shared" si="15"/>
        <v>Yes</v>
      </c>
      <c r="J104" t="str">
        <f t="shared" si="9"/>
        <v>Yes</v>
      </c>
      <c r="K104" t="str">
        <f t="shared" si="10"/>
        <v>Yes</v>
      </c>
      <c r="L104" s="203">
        <f>IF(AND('Total income package'!$A$16=TRUE,E104&lt;$J$2),$M$2,0)</f>
        <v>1551.75</v>
      </c>
      <c r="M104" s="179">
        <f>IF(AND('Total income package'!$A$16=TRUE,E104&lt;$L$2),$P$2,0)</f>
        <v>637</v>
      </c>
      <c r="N104" s="204">
        <f t="shared" si="16"/>
        <v>2188.75</v>
      </c>
    </row>
    <row r="105" spans="1:14" x14ac:dyDescent="0.25">
      <c r="A105" s="105">
        <v>48000</v>
      </c>
      <c r="B105" s="4">
        <f t="shared" si="17"/>
        <v>4000</v>
      </c>
      <c r="C105" s="4">
        <f>'Total income package'!$D$80</f>
        <v>0</v>
      </c>
      <c r="D105" s="4">
        <f t="shared" si="11"/>
        <v>4000</v>
      </c>
      <c r="E105" s="4">
        <f t="shared" si="12"/>
        <v>3838</v>
      </c>
      <c r="F105" t="str">
        <f t="shared" si="13"/>
        <v>No</v>
      </c>
      <c r="G105" t="str">
        <f t="shared" si="14"/>
        <v>Yes</v>
      </c>
      <c r="I105" t="str">
        <f t="shared" si="15"/>
        <v>Yes</v>
      </c>
      <c r="J105" t="str">
        <f t="shared" si="9"/>
        <v>Yes</v>
      </c>
      <c r="K105" t="str">
        <f t="shared" si="10"/>
        <v>Yes</v>
      </c>
      <c r="L105" s="203">
        <f>IF(AND('Total income package'!$A$16=TRUE,E105&lt;$J$2),$M$2,0)</f>
        <v>1551.75</v>
      </c>
      <c r="M105" s="179">
        <f>IF(AND('Total income package'!$A$16=TRUE,E105&lt;$L$2),$P$2,0)</f>
        <v>637</v>
      </c>
      <c r="N105" s="204">
        <f t="shared" si="16"/>
        <v>2188.75</v>
      </c>
    </row>
    <row r="106" spans="1:14" x14ac:dyDescent="0.25">
      <c r="A106" s="105">
        <v>48500</v>
      </c>
      <c r="B106" s="4">
        <f t="shared" si="17"/>
        <v>4041.6666666666665</v>
      </c>
      <c r="C106" s="4">
        <f>'Total income package'!$D$80</f>
        <v>0</v>
      </c>
      <c r="D106" s="4">
        <f t="shared" si="11"/>
        <v>4041.6666666666665</v>
      </c>
      <c r="E106" s="4">
        <f t="shared" si="12"/>
        <v>3879.6666666666665</v>
      </c>
      <c r="F106" t="str">
        <f t="shared" si="13"/>
        <v>No</v>
      </c>
      <c r="G106" t="str">
        <f t="shared" si="14"/>
        <v>Yes</v>
      </c>
      <c r="I106" t="str">
        <f t="shared" si="15"/>
        <v>Yes</v>
      </c>
      <c r="J106" t="str">
        <f t="shared" si="9"/>
        <v>Yes</v>
      </c>
      <c r="K106" t="str">
        <f t="shared" si="10"/>
        <v>Yes</v>
      </c>
      <c r="L106" s="203">
        <f>IF(AND('Total income package'!$A$16=TRUE,E106&lt;$J$2),$M$2,0)</f>
        <v>1551.75</v>
      </c>
      <c r="M106" s="179">
        <f>IF(AND('Total income package'!$A$16=TRUE,E106&lt;$L$2),$P$2,0)</f>
        <v>637</v>
      </c>
      <c r="N106" s="204">
        <f t="shared" si="16"/>
        <v>2188.75</v>
      </c>
    </row>
    <row r="107" spans="1:14" x14ac:dyDescent="0.25">
      <c r="A107" s="105">
        <v>49000</v>
      </c>
      <c r="B107" s="4">
        <f t="shared" si="17"/>
        <v>4083.3333333333335</v>
      </c>
      <c r="C107" s="4">
        <f>'Total income package'!$D$80</f>
        <v>0</v>
      </c>
      <c r="D107" s="4">
        <f t="shared" si="11"/>
        <v>4083.3333333333335</v>
      </c>
      <c r="E107" s="4">
        <f t="shared" si="12"/>
        <v>3921.3333333333335</v>
      </c>
      <c r="F107" t="str">
        <f t="shared" si="13"/>
        <v>No</v>
      </c>
      <c r="G107" t="str">
        <f t="shared" si="14"/>
        <v>Yes</v>
      </c>
      <c r="I107" t="str">
        <f t="shared" si="15"/>
        <v>Yes</v>
      </c>
      <c r="J107" t="str">
        <f t="shared" si="9"/>
        <v>Yes</v>
      </c>
      <c r="K107" t="str">
        <f t="shared" si="10"/>
        <v>Yes</v>
      </c>
      <c r="L107" s="203">
        <f>IF(AND('Total income package'!$A$16=TRUE,E107&lt;$J$2),$M$2,0)</f>
        <v>1551.75</v>
      </c>
      <c r="M107" s="179">
        <f>IF(AND('Total income package'!$A$16=TRUE,E107&lt;$L$2),$P$2,0)</f>
        <v>637</v>
      </c>
      <c r="N107" s="204">
        <f t="shared" si="16"/>
        <v>2188.75</v>
      </c>
    </row>
    <row r="108" spans="1:14" x14ac:dyDescent="0.25">
      <c r="A108" s="105">
        <v>49500</v>
      </c>
      <c r="B108" s="4">
        <f t="shared" si="17"/>
        <v>4125</v>
      </c>
      <c r="C108" s="4">
        <f>'Total income package'!$D$80</f>
        <v>0</v>
      </c>
      <c r="D108" s="4">
        <f t="shared" si="11"/>
        <v>4125</v>
      </c>
      <c r="E108" s="4">
        <f t="shared" si="12"/>
        <v>3963</v>
      </c>
      <c r="F108" t="str">
        <f t="shared" si="13"/>
        <v>No</v>
      </c>
      <c r="G108" t="str">
        <f t="shared" si="14"/>
        <v>Yes</v>
      </c>
      <c r="I108" t="str">
        <f t="shared" si="15"/>
        <v>Yes</v>
      </c>
      <c r="J108" t="str">
        <f t="shared" si="9"/>
        <v>Yes</v>
      </c>
      <c r="K108" t="str">
        <f t="shared" si="10"/>
        <v>Yes</v>
      </c>
      <c r="L108" s="203">
        <f>IF(AND('Total income package'!$A$16=TRUE,E108&lt;$J$2),$M$2,0)</f>
        <v>1551.75</v>
      </c>
      <c r="M108" s="179">
        <f>IF(AND('Total income package'!$A$16=TRUE,E108&lt;$L$2),$P$2,0)</f>
        <v>637</v>
      </c>
      <c r="N108" s="204">
        <f t="shared" si="16"/>
        <v>2188.75</v>
      </c>
    </row>
    <row r="109" spans="1:14" x14ac:dyDescent="0.25">
      <c r="A109" s="105">
        <v>50000</v>
      </c>
      <c r="B109" s="4">
        <f t="shared" si="17"/>
        <v>4166.666666666667</v>
      </c>
      <c r="C109" s="4">
        <f>'Total income package'!$D$80</f>
        <v>0</v>
      </c>
      <c r="D109" s="4">
        <f t="shared" si="11"/>
        <v>4166.666666666667</v>
      </c>
      <c r="E109" s="4">
        <f t="shared" si="12"/>
        <v>4004.666666666667</v>
      </c>
      <c r="F109" t="str">
        <f t="shared" si="13"/>
        <v>No</v>
      </c>
      <c r="G109" t="str">
        <f t="shared" si="14"/>
        <v>Yes</v>
      </c>
      <c r="I109" t="str">
        <f t="shared" si="15"/>
        <v>Yes</v>
      </c>
      <c r="J109" t="str">
        <f t="shared" si="9"/>
        <v>Yes</v>
      </c>
      <c r="K109" t="str">
        <f t="shared" si="10"/>
        <v>Yes</v>
      </c>
      <c r="L109" s="203">
        <f>IF(AND('Total income package'!$A$16=TRUE,E109&lt;$J$2),$M$2,0)</f>
        <v>1551.75</v>
      </c>
      <c r="M109" s="179">
        <f>IF(AND('Total income package'!$A$16=TRUE,E109&lt;$L$2),$P$2,0)</f>
        <v>637</v>
      </c>
      <c r="N109" s="204">
        <f t="shared" si="16"/>
        <v>2188.75</v>
      </c>
    </row>
    <row r="110" spans="1:14" x14ac:dyDescent="0.25">
      <c r="A110" s="105">
        <v>50500</v>
      </c>
      <c r="B110" s="4">
        <f t="shared" si="17"/>
        <v>4208.333333333333</v>
      </c>
      <c r="C110" s="4">
        <f>'Total income package'!$D$80</f>
        <v>0</v>
      </c>
      <c r="D110" s="4">
        <f t="shared" si="11"/>
        <v>4208.333333333333</v>
      </c>
      <c r="E110" s="4">
        <f t="shared" si="12"/>
        <v>4046.333333333333</v>
      </c>
      <c r="F110" t="str">
        <f t="shared" si="13"/>
        <v>No</v>
      </c>
      <c r="G110" t="str">
        <f t="shared" si="14"/>
        <v>Yes</v>
      </c>
      <c r="I110" t="str">
        <f t="shared" si="15"/>
        <v>Yes</v>
      </c>
      <c r="J110" t="str">
        <f t="shared" si="9"/>
        <v>Yes</v>
      </c>
      <c r="K110" t="str">
        <f t="shared" si="10"/>
        <v>Yes</v>
      </c>
      <c r="L110" s="203">
        <f>IF(AND('Total income package'!$A$16=TRUE,E110&lt;$J$2),$M$2,0)</f>
        <v>1551.75</v>
      </c>
      <c r="M110" s="179">
        <f>IF(AND('Total income package'!$A$16=TRUE,E110&lt;$L$2),$P$2,0)</f>
        <v>637</v>
      </c>
      <c r="N110" s="204">
        <f t="shared" si="16"/>
        <v>2188.75</v>
      </c>
    </row>
    <row r="111" spans="1:14" x14ac:dyDescent="0.25">
      <c r="A111" s="105">
        <v>51000</v>
      </c>
      <c r="B111" s="4">
        <f t="shared" si="17"/>
        <v>4250</v>
      </c>
      <c r="C111" s="4">
        <f>'Total income package'!$D$80</f>
        <v>0</v>
      </c>
      <c r="D111" s="4">
        <f t="shared" si="11"/>
        <v>4250</v>
      </c>
      <c r="E111" s="4">
        <f t="shared" si="12"/>
        <v>4088</v>
      </c>
      <c r="F111" t="str">
        <f t="shared" si="13"/>
        <v>No</v>
      </c>
      <c r="G111" t="str">
        <f t="shared" si="14"/>
        <v>Yes</v>
      </c>
      <c r="I111" t="str">
        <f t="shared" si="15"/>
        <v>Yes</v>
      </c>
      <c r="J111" t="str">
        <f t="shared" si="9"/>
        <v>Yes</v>
      </c>
      <c r="K111" t="str">
        <f t="shared" si="10"/>
        <v>Yes</v>
      </c>
      <c r="L111" s="203">
        <f>IF(AND('Total income package'!$A$16=TRUE,E111&lt;$J$2),$M$2,0)</f>
        <v>1551.75</v>
      </c>
      <c r="M111" s="179">
        <f>IF(AND('Total income package'!$A$16=TRUE,E111&lt;$L$2),$P$2,0)</f>
        <v>637</v>
      </c>
      <c r="N111" s="204">
        <f t="shared" si="16"/>
        <v>2188.75</v>
      </c>
    </row>
    <row r="112" spans="1:14" x14ac:dyDescent="0.25">
      <c r="A112" s="105">
        <v>51500</v>
      </c>
      <c r="B112" s="4">
        <f t="shared" si="17"/>
        <v>4291.666666666667</v>
      </c>
      <c r="C112" s="4">
        <f>'Total income package'!$D$80</f>
        <v>0</v>
      </c>
      <c r="D112" s="4">
        <f t="shared" si="11"/>
        <v>4291.666666666667</v>
      </c>
      <c r="E112" s="4">
        <f t="shared" si="12"/>
        <v>4129.666666666667</v>
      </c>
      <c r="F112" t="str">
        <f t="shared" si="13"/>
        <v>No</v>
      </c>
      <c r="G112" t="str">
        <f t="shared" si="14"/>
        <v>Yes</v>
      </c>
      <c r="I112" t="str">
        <f t="shared" si="15"/>
        <v>Yes</v>
      </c>
      <c r="J112" t="str">
        <f t="shared" si="9"/>
        <v>Yes</v>
      </c>
      <c r="K112" t="str">
        <f t="shared" si="10"/>
        <v>Yes</v>
      </c>
      <c r="L112" s="203">
        <f>IF(AND('Total income package'!$A$16=TRUE,E112&lt;$J$2),$M$2,0)</f>
        <v>1551.75</v>
      </c>
      <c r="M112" s="179">
        <f>IF(AND('Total income package'!$A$16=TRUE,E112&lt;$L$2),$P$2,0)</f>
        <v>637</v>
      </c>
      <c r="N112" s="204">
        <f t="shared" si="16"/>
        <v>2188.75</v>
      </c>
    </row>
    <row r="113" spans="1:14" x14ac:dyDescent="0.25">
      <c r="A113" s="105">
        <v>52000</v>
      </c>
      <c r="B113" s="4">
        <f t="shared" si="17"/>
        <v>4333.333333333333</v>
      </c>
      <c r="C113" s="4">
        <f>'Total income package'!$D$80</f>
        <v>0</v>
      </c>
      <c r="D113" s="4">
        <f t="shared" si="11"/>
        <v>4333.333333333333</v>
      </c>
      <c r="E113" s="4">
        <f t="shared" si="12"/>
        <v>4171.333333333333</v>
      </c>
      <c r="F113" t="str">
        <f t="shared" si="13"/>
        <v>No</v>
      </c>
      <c r="G113" t="str">
        <f t="shared" si="14"/>
        <v>Yes</v>
      </c>
      <c r="I113" t="str">
        <f t="shared" si="15"/>
        <v>Yes</v>
      </c>
      <c r="J113" t="str">
        <f t="shared" si="9"/>
        <v>Yes</v>
      </c>
      <c r="K113" t="str">
        <f t="shared" si="10"/>
        <v>Yes</v>
      </c>
      <c r="L113" s="203">
        <f>IF(AND('Total income package'!$A$16=TRUE,E113&lt;$J$2),$M$2,0)</f>
        <v>1551.75</v>
      </c>
      <c r="M113" s="179">
        <f>IF(AND('Total income package'!$A$16=TRUE,E113&lt;$L$2),$P$2,0)</f>
        <v>637</v>
      </c>
      <c r="N113" s="204">
        <f t="shared" si="16"/>
        <v>2188.75</v>
      </c>
    </row>
    <row r="114" spans="1:14" x14ac:dyDescent="0.25">
      <c r="A114" s="105">
        <v>52500</v>
      </c>
      <c r="B114" s="4">
        <f t="shared" si="17"/>
        <v>4375</v>
      </c>
      <c r="C114" s="4">
        <f>'Total income package'!$D$80</f>
        <v>0</v>
      </c>
      <c r="D114" s="4">
        <f t="shared" si="11"/>
        <v>4375</v>
      </c>
      <c r="E114" s="4">
        <f t="shared" si="12"/>
        <v>4213</v>
      </c>
      <c r="F114" t="str">
        <f t="shared" si="13"/>
        <v>No</v>
      </c>
      <c r="G114" t="str">
        <f t="shared" si="14"/>
        <v>Yes</v>
      </c>
      <c r="I114" t="str">
        <f t="shared" si="15"/>
        <v>Yes</v>
      </c>
      <c r="J114" t="str">
        <f t="shared" si="9"/>
        <v>Yes</v>
      </c>
      <c r="K114" t="str">
        <f t="shared" si="10"/>
        <v>Yes</v>
      </c>
      <c r="L114" s="203">
        <f>IF(AND('Total income package'!$A$16=TRUE,E114&lt;$J$2),$M$2,0)</f>
        <v>1551.75</v>
      </c>
      <c r="M114" s="179">
        <f>IF(AND('Total income package'!$A$16=TRUE,E114&lt;$L$2),$P$2,0)</f>
        <v>637</v>
      </c>
      <c r="N114" s="204">
        <f t="shared" si="16"/>
        <v>2188.75</v>
      </c>
    </row>
    <row r="115" spans="1:14" x14ac:dyDescent="0.25">
      <c r="A115" s="105">
        <v>53000</v>
      </c>
      <c r="B115" s="4">
        <f t="shared" si="17"/>
        <v>4416.666666666667</v>
      </c>
      <c r="C115" s="4">
        <f>'Total income package'!$D$80</f>
        <v>0</v>
      </c>
      <c r="D115" s="4">
        <f t="shared" si="11"/>
        <v>4416.666666666667</v>
      </c>
      <c r="E115" s="4">
        <f t="shared" si="12"/>
        <v>4254.666666666667</v>
      </c>
      <c r="F115" t="str">
        <f t="shared" si="13"/>
        <v>No</v>
      </c>
      <c r="G115" t="str">
        <f t="shared" si="14"/>
        <v>Yes</v>
      </c>
      <c r="I115" t="str">
        <f t="shared" si="15"/>
        <v>Yes</v>
      </c>
      <c r="J115" t="str">
        <f t="shared" si="9"/>
        <v>Yes</v>
      </c>
      <c r="K115" t="str">
        <f t="shared" si="10"/>
        <v>Yes</v>
      </c>
      <c r="L115" s="203">
        <f>IF(AND('Total income package'!$A$16=TRUE,E115&lt;$J$2),$M$2,0)</f>
        <v>1551.75</v>
      </c>
      <c r="M115" s="179">
        <f>IF(AND('Total income package'!$A$16=TRUE,E115&lt;$L$2),$P$2,0)</f>
        <v>637</v>
      </c>
      <c r="N115" s="204">
        <f t="shared" si="16"/>
        <v>2188.75</v>
      </c>
    </row>
    <row r="116" spans="1:14" x14ac:dyDescent="0.25">
      <c r="A116" s="105">
        <v>53500</v>
      </c>
      <c r="B116" s="4">
        <f t="shared" si="17"/>
        <v>4458.333333333333</v>
      </c>
      <c r="C116" s="4">
        <f>'Total income package'!$D$80</f>
        <v>0</v>
      </c>
      <c r="D116" s="4">
        <f t="shared" si="11"/>
        <v>4458.333333333333</v>
      </c>
      <c r="E116" s="4">
        <f t="shared" si="12"/>
        <v>4296.333333333333</v>
      </c>
      <c r="F116" t="str">
        <f t="shared" si="13"/>
        <v>No</v>
      </c>
      <c r="G116" t="str">
        <f t="shared" si="14"/>
        <v>No</v>
      </c>
      <c r="I116" t="str">
        <f t="shared" si="15"/>
        <v>Yes</v>
      </c>
      <c r="J116" t="str">
        <f t="shared" si="9"/>
        <v>Yes</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4338</v>
      </c>
      <c r="F117" t="str">
        <f t="shared" si="13"/>
        <v>No</v>
      </c>
      <c r="G117" t="str">
        <f t="shared" si="14"/>
        <v>No</v>
      </c>
      <c r="I117" t="str">
        <f t="shared" si="15"/>
        <v>Yes</v>
      </c>
      <c r="J117" t="str">
        <f t="shared" si="9"/>
        <v>Yes</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4379.666666666667</v>
      </c>
      <c r="F118" t="str">
        <f t="shared" si="13"/>
        <v>No</v>
      </c>
      <c r="G118" t="str">
        <f t="shared" si="14"/>
        <v>No</v>
      </c>
      <c r="I118" t="str">
        <f t="shared" si="15"/>
        <v>Yes</v>
      </c>
      <c r="J118" t="str">
        <f t="shared" si="9"/>
        <v>Yes</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4421.333333333333</v>
      </c>
      <c r="F119" t="str">
        <f t="shared" si="13"/>
        <v>No</v>
      </c>
      <c r="G119" t="str">
        <f t="shared" si="14"/>
        <v>No</v>
      </c>
      <c r="I119" t="str">
        <f t="shared" si="15"/>
        <v>Yes</v>
      </c>
      <c r="J119" t="str">
        <f t="shared" si="9"/>
        <v>Yes</v>
      </c>
      <c r="K119" t="str">
        <f t="shared" si="10"/>
        <v>Yes</v>
      </c>
      <c r="L119" s="203">
        <f>IF(AND('Total income package'!$A$16=TRUE,E119&lt;$J$2),$M$2,0)</f>
        <v>0</v>
      </c>
      <c r="M119" s="179">
        <f>IF(AND('Total income package'!$A$16=TRUE,E119&lt;$L$2),$P$2,0)</f>
        <v>637</v>
      </c>
      <c r="N119" s="204">
        <f t="shared" si="16"/>
        <v>637</v>
      </c>
    </row>
    <row r="120" spans="1:14" x14ac:dyDescent="0.25">
      <c r="A120" s="105">
        <v>55500</v>
      </c>
      <c r="B120" s="4">
        <f t="shared" si="17"/>
        <v>4625</v>
      </c>
      <c r="C120" s="4">
        <f>'Total income package'!$D$80</f>
        <v>0</v>
      </c>
      <c r="D120" s="4">
        <f t="shared" si="11"/>
        <v>4625</v>
      </c>
      <c r="E120" s="4">
        <f t="shared" si="12"/>
        <v>4463</v>
      </c>
      <c r="F120" t="str">
        <f t="shared" si="13"/>
        <v>No</v>
      </c>
      <c r="G120" t="str">
        <f t="shared" si="14"/>
        <v>No</v>
      </c>
      <c r="I120" t="str">
        <f t="shared" si="15"/>
        <v>Yes</v>
      </c>
      <c r="J120" t="str">
        <f t="shared" si="9"/>
        <v>Yes</v>
      </c>
      <c r="K120" t="str">
        <f t="shared" si="10"/>
        <v>Yes</v>
      </c>
      <c r="L120" s="203">
        <f>IF(AND('Total income package'!$A$16=TRUE,E120&lt;$J$2),$M$2,0)</f>
        <v>0</v>
      </c>
      <c r="M120" s="179">
        <f>IF(AND('Total income package'!$A$16=TRUE,E120&lt;$L$2),$P$2,0)</f>
        <v>637</v>
      </c>
      <c r="N120" s="204">
        <f t="shared" si="16"/>
        <v>637</v>
      </c>
    </row>
    <row r="121" spans="1:14" x14ac:dyDescent="0.25">
      <c r="A121" s="105">
        <v>56000</v>
      </c>
      <c r="B121" s="4">
        <f t="shared" si="17"/>
        <v>4666.666666666667</v>
      </c>
      <c r="C121" s="4">
        <f>'Total income package'!$D$80</f>
        <v>0</v>
      </c>
      <c r="D121" s="4">
        <f t="shared" si="11"/>
        <v>4666.666666666667</v>
      </c>
      <c r="E121" s="4">
        <f t="shared" si="12"/>
        <v>4504.666666666667</v>
      </c>
      <c r="F121" t="str">
        <f t="shared" si="13"/>
        <v>No</v>
      </c>
      <c r="G121" t="str">
        <f t="shared" si="14"/>
        <v>No</v>
      </c>
      <c r="I121" t="str">
        <f t="shared" si="15"/>
        <v>Yes</v>
      </c>
      <c r="J121" t="str">
        <f t="shared" si="9"/>
        <v>Yes</v>
      </c>
      <c r="K121" t="str">
        <f t="shared" si="10"/>
        <v>Yes</v>
      </c>
      <c r="L121" s="203">
        <f>IF(AND('Total income package'!$A$16=TRUE,E121&lt;$J$2),$M$2,0)</f>
        <v>0</v>
      </c>
      <c r="M121" s="179">
        <f>IF(AND('Total income package'!$A$16=TRUE,E121&lt;$L$2),$P$2,0)</f>
        <v>637</v>
      </c>
      <c r="N121" s="204">
        <f t="shared" si="16"/>
        <v>637</v>
      </c>
    </row>
    <row r="122" spans="1:14" x14ac:dyDescent="0.25">
      <c r="A122" s="105">
        <v>56500</v>
      </c>
      <c r="B122" s="4">
        <f t="shared" si="17"/>
        <v>4708.333333333333</v>
      </c>
      <c r="C122" s="4">
        <f>'Total income package'!$D$80</f>
        <v>0</v>
      </c>
      <c r="D122" s="4">
        <f t="shared" si="11"/>
        <v>4708.333333333333</v>
      </c>
      <c r="E122" s="4">
        <f t="shared" si="12"/>
        <v>4546.333333333333</v>
      </c>
      <c r="F122" t="str">
        <f t="shared" si="13"/>
        <v>No</v>
      </c>
      <c r="G122" t="str">
        <f t="shared" si="14"/>
        <v>No</v>
      </c>
      <c r="I122" t="str">
        <f t="shared" si="15"/>
        <v>Yes</v>
      </c>
      <c r="J122" t="str">
        <f t="shared" si="9"/>
        <v>Yes</v>
      </c>
      <c r="K122" t="str">
        <f t="shared" si="10"/>
        <v>Yes</v>
      </c>
      <c r="L122" s="203">
        <f>IF(AND('Total income package'!$A$16=TRUE,E122&lt;$J$2),$M$2,0)</f>
        <v>0</v>
      </c>
      <c r="M122" s="179">
        <f>IF(AND('Total income package'!$A$16=TRUE,E122&lt;$L$2),$P$2,0)</f>
        <v>637</v>
      </c>
      <c r="N122" s="204">
        <f t="shared" si="16"/>
        <v>637</v>
      </c>
    </row>
    <row r="123" spans="1:14" x14ac:dyDescent="0.25">
      <c r="A123" s="105">
        <v>57000</v>
      </c>
      <c r="B123" s="4">
        <f t="shared" si="17"/>
        <v>4750</v>
      </c>
      <c r="C123" s="4">
        <f>'Total income package'!$D$80</f>
        <v>0</v>
      </c>
      <c r="D123" s="4">
        <f t="shared" si="11"/>
        <v>4750</v>
      </c>
      <c r="E123" s="4">
        <f t="shared" si="12"/>
        <v>4588</v>
      </c>
      <c r="F123" t="str">
        <f t="shared" si="13"/>
        <v>No</v>
      </c>
      <c r="G123" t="str">
        <f t="shared" si="14"/>
        <v>No</v>
      </c>
      <c r="I123" t="str">
        <f t="shared" si="15"/>
        <v>Yes</v>
      </c>
      <c r="J123" t="str">
        <f t="shared" si="9"/>
        <v>Yes</v>
      </c>
      <c r="K123" t="str">
        <f t="shared" si="10"/>
        <v>Yes</v>
      </c>
      <c r="L123" s="203">
        <f>IF(AND('Total income package'!$A$16=TRUE,E123&lt;$J$2),$M$2,0)</f>
        <v>0</v>
      </c>
      <c r="M123" s="179">
        <f>IF(AND('Total income package'!$A$16=TRUE,E123&lt;$L$2),$P$2,0)</f>
        <v>637</v>
      </c>
      <c r="N123" s="204">
        <f t="shared" si="16"/>
        <v>637</v>
      </c>
    </row>
    <row r="124" spans="1:14" x14ac:dyDescent="0.25">
      <c r="A124" s="105">
        <v>57500</v>
      </c>
      <c r="B124" s="4">
        <f t="shared" si="17"/>
        <v>4791.666666666667</v>
      </c>
      <c r="C124" s="4">
        <f>'Total income package'!$D$80</f>
        <v>0</v>
      </c>
      <c r="D124" s="4">
        <f t="shared" si="11"/>
        <v>4791.666666666667</v>
      </c>
      <c r="E124" s="4">
        <f t="shared" si="12"/>
        <v>4629.666666666667</v>
      </c>
      <c r="F124" t="str">
        <f t="shared" si="13"/>
        <v>No</v>
      </c>
      <c r="G124" t="str">
        <f t="shared" si="14"/>
        <v>No</v>
      </c>
      <c r="I124" t="str">
        <f t="shared" si="15"/>
        <v>Yes</v>
      </c>
      <c r="J124" t="str">
        <f t="shared" si="9"/>
        <v>No</v>
      </c>
      <c r="K124" t="str">
        <f t="shared" si="10"/>
        <v>Yes</v>
      </c>
      <c r="L124" s="203">
        <f>IF(AND('Total income package'!$A$16=TRUE,E124&lt;$J$2),$M$2,0)</f>
        <v>0</v>
      </c>
      <c r="M124" s="179">
        <f>IF(AND('Total income package'!$A$16=TRUE,E124&lt;$L$2),$P$2,0)</f>
        <v>637</v>
      </c>
      <c r="N124" s="204">
        <f t="shared" si="16"/>
        <v>637</v>
      </c>
    </row>
    <row r="125" spans="1:14" x14ac:dyDescent="0.25">
      <c r="A125" s="105">
        <v>58000</v>
      </c>
      <c r="B125" s="4">
        <f t="shared" si="17"/>
        <v>4833.333333333333</v>
      </c>
      <c r="C125" s="4">
        <f>'Total income package'!$D$80</f>
        <v>0</v>
      </c>
      <c r="D125" s="4">
        <f t="shared" si="11"/>
        <v>4833.333333333333</v>
      </c>
      <c r="E125" s="4">
        <f t="shared" si="12"/>
        <v>4671.333333333333</v>
      </c>
      <c r="F125" t="str">
        <f t="shared" si="13"/>
        <v>No</v>
      </c>
      <c r="G125" t="str">
        <f t="shared" si="14"/>
        <v>No</v>
      </c>
      <c r="I125" t="str">
        <f t="shared" si="15"/>
        <v>Yes</v>
      </c>
      <c r="J125" t="str">
        <f t="shared" si="9"/>
        <v>No</v>
      </c>
      <c r="K125" t="str">
        <f t="shared" si="10"/>
        <v>Yes</v>
      </c>
      <c r="L125" s="203">
        <f>IF(AND('Total income package'!$A$16=TRUE,E125&lt;$J$2),$M$2,0)</f>
        <v>0</v>
      </c>
      <c r="M125" s="179">
        <f>IF(AND('Total income package'!$A$16=TRUE,E125&lt;$L$2),$P$2,0)</f>
        <v>637</v>
      </c>
      <c r="N125" s="204">
        <f t="shared" si="16"/>
        <v>637</v>
      </c>
    </row>
    <row r="126" spans="1:14" x14ac:dyDescent="0.25">
      <c r="A126" s="105">
        <v>58500</v>
      </c>
      <c r="B126" s="4">
        <f t="shared" si="17"/>
        <v>4875</v>
      </c>
      <c r="C126" s="4">
        <f>'Total income package'!$D$80</f>
        <v>0</v>
      </c>
      <c r="D126" s="4">
        <f t="shared" si="11"/>
        <v>4875</v>
      </c>
      <c r="E126" s="4">
        <f t="shared" si="12"/>
        <v>4713</v>
      </c>
      <c r="F126" t="str">
        <f t="shared" si="13"/>
        <v>No</v>
      </c>
      <c r="G126" t="str">
        <f t="shared" si="14"/>
        <v>No</v>
      </c>
      <c r="I126" t="str">
        <f t="shared" si="15"/>
        <v>Yes</v>
      </c>
      <c r="J126" t="str">
        <f t="shared" si="9"/>
        <v>No</v>
      </c>
      <c r="K126" t="str">
        <f t="shared" si="10"/>
        <v>Yes</v>
      </c>
      <c r="L126" s="203">
        <f>IF(AND('Total income package'!$A$16=TRUE,E126&lt;$J$2),$M$2,0)</f>
        <v>0</v>
      </c>
      <c r="M126" s="179">
        <f>IF(AND('Total income package'!$A$16=TRUE,E126&lt;$L$2),$P$2,0)</f>
        <v>637</v>
      </c>
      <c r="N126" s="204">
        <f t="shared" si="16"/>
        <v>637</v>
      </c>
    </row>
    <row r="127" spans="1:14" x14ac:dyDescent="0.25">
      <c r="A127" s="105">
        <v>59000</v>
      </c>
      <c r="B127" s="4">
        <f t="shared" si="17"/>
        <v>4916.666666666667</v>
      </c>
      <c r="C127" s="4">
        <f>'Total income package'!$D$80</f>
        <v>0</v>
      </c>
      <c r="D127" s="4">
        <f t="shared" si="11"/>
        <v>4916.666666666667</v>
      </c>
      <c r="E127" s="4">
        <f t="shared" si="12"/>
        <v>4754.666666666667</v>
      </c>
      <c r="F127" t="str">
        <f t="shared" si="13"/>
        <v>No</v>
      </c>
      <c r="G127" t="str">
        <f t="shared" si="14"/>
        <v>No</v>
      </c>
      <c r="I127" t="str">
        <f t="shared" si="15"/>
        <v>Yes</v>
      </c>
      <c r="J127" t="str">
        <f t="shared" si="9"/>
        <v>No</v>
      </c>
      <c r="K127" t="str">
        <f t="shared" si="10"/>
        <v>Yes</v>
      </c>
      <c r="L127" s="203">
        <f>IF(AND('Total income package'!$A$16=TRUE,E127&lt;$J$2),$M$2,0)</f>
        <v>0</v>
      </c>
      <c r="M127" s="179">
        <f>IF(AND('Total income package'!$A$16=TRUE,E127&lt;$L$2),$P$2,0)</f>
        <v>637</v>
      </c>
      <c r="N127" s="204">
        <f t="shared" si="16"/>
        <v>637</v>
      </c>
    </row>
    <row r="128" spans="1:14" x14ac:dyDescent="0.25">
      <c r="A128" s="105">
        <v>59500</v>
      </c>
      <c r="B128" s="4">
        <f t="shared" si="17"/>
        <v>4958.333333333333</v>
      </c>
      <c r="C128" s="4">
        <f>'Total income package'!$D$80</f>
        <v>0</v>
      </c>
      <c r="D128" s="4">
        <f t="shared" si="11"/>
        <v>4958.333333333333</v>
      </c>
      <c r="E128" s="4">
        <f t="shared" si="12"/>
        <v>4796.333333333333</v>
      </c>
      <c r="F128" t="str">
        <f t="shared" si="13"/>
        <v>No</v>
      </c>
      <c r="G128" t="str">
        <f t="shared" si="14"/>
        <v>No</v>
      </c>
      <c r="I128" t="str">
        <f t="shared" si="15"/>
        <v>Yes</v>
      </c>
      <c r="J128" t="str">
        <f t="shared" si="9"/>
        <v>No</v>
      </c>
      <c r="K128" t="str">
        <f t="shared" si="10"/>
        <v>Yes</v>
      </c>
      <c r="L128" s="203">
        <f>IF(AND('Total income package'!$A$16=TRUE,E128&lt;$J$2),$M$2,0)</f>
        <v>0</v>
      </c>
      <c r="M128" s="179">
        <f>IF(AND('Total income package'!$A$16=TRUE,E128&lt;$L$2),$P$2,0)</f>
        <v>637</v>
      </c>
      <c r="N128" s="204">
        <f t="shared" si="16"/>
        <v>637</v>
      </c>
    </row>
    <row r="129" spans="1:14" x14ac:dyDescent="0.25">
      <c r="A129" s="105">
        <v>60000</v>
      </c>
      <c r="B129" s="4">
        <f t="shared" si="17"/>
        <v>5000</v>
      </c>
      <c r="C129" s="4">
        <f>'Total income package'!$D$80</f>
        <v>0</v>
      </c>
      <c r="D129" s="4">
        <f t="shared" si="11"/>
        <v>5000</v>
      </c>
      <c r="E129" s="4">
        <f t="shared" si="12"/>
        <v>4838</v>
      </c>
      <c r="F129" t="str">
        <f t="shared" si="13"/>
        <v>No</v>
      </c>
      <c r="G129" t="str">
        <f t="shared" si="14"/>
        <v>No</v>
      </c>
      <c r="I129" t="str">
        <f t="shared" si="15"/>
        <v>Yes</v>
      </c>
      <c r="J129" t="str">
        <f t="shared" si="9"/>
        <v>No</v>
      </c>
      <c r="K129" t="str">
        <f t="shared" si="10"/>
        <v>Yes</v>
      </c>
      <c r="L129" s="203">
        <f>IF(AND('Total income package'!$A$16=TRUE,E129&lt;$J$2),$M$2,0)</f>
        <v>0</v>
      </c>
      <c r="M129" s="179">
        <f>IF(AND('Total income package'!$A$16=TRUE,E129&lt;$L$2),$P$2,0)</f>
        <v>637</v>
      </c>
      <c r="N129" s="204">
        <f t="shared" si="16"/>
        <v>637</v>
      </c>
    </row>
    <row r="130" spans="1:14" x14ac:dyDescent="0.25">
      <c r="A130" s="105">
        <v>60500</v>
      </c>
      <c r="B130" s="4">
        <f t="shared" si="17"/>
        <v>5041.666666666667</v>
      </c>
      <c r="C130" s="4">
        <f>'Total income package'!$D$80</f>
        <v>0</v>
      </c>
      <c r="D130" s="4">
        <f t="shared" si="11"/>
        <v>5041.666666666667</v>
      </c>
      <c r="E130" s="4">
        <f t="shared" si="12"/>
        <v>4879.666666666667</v>
      </c>
      <c r="F130" t="str">
        <f t="shared" si="13"/>
        <v>No</v>
      </c>
      <c r="G130" t="str">
        <f t="shared" si="14"/>
        <v>No</v>
      </c>
      <c r="I130" t="str">
        <f t="shared" si="15"/>
        <v>Yes</v>
      </c>
      <c r="J130" t="str">
        <f t="shared" si="9"/>
        <v>No</v>
      </c>
      <c r="K130" t="str">
        <f t="shared" si="10"/>
        <v>Yes</v>
      </c>
      <c r="L130" s="203">
        <f>IF(AND('Total income package'!$A$16=TRUE,E130&lt;$J$2),$M$2,0)</f>
        <v>0</v>
      </c>
      <c r="M130" s="179">
        <f>IF(AND('Total income package'!$A$16=TRUE,E130&lt;$L$2),$P$2,0)</f>
        <v>637</v>
      </c>
      <c r="N130" s="204">
        <f t="shared" si="16"/>
        <v>637</v>
      </c>
    </row>
    <row r="131" spans="1:14" x14ac:dyDescent="0.25">
      <c r="A131" s="105">
        <v>61000</v>
      </c>
      <c r="B131" s="4">
        <f t="shared" si="17"/>
        <v>5083.333333333333</v>
      </c>
      <c r="C131" s="4">
        <f>'Total income package'!$D$80</f>
        <v>0</v>
      </c>
      <c r="D131" s="4">
        <f t="shared" si="11"/>
        <v>5083.333333333333</v>
      </c>
      <c r="E131" s="4">
        <f t="shared" si="12"/>
        <v>4921.333333333333</v>
      </c>
      <c r="F131" t="str">
        <f t="shared" si="13"/>
        <v>No</v>
      </c>
      <c r="G131" t="str">
        <f t="shared" si="14"/>
        <v>No</v>
      </c>
      <c r="I131" t="str">
        <f t="shared" si="15"/>
        <v>Yes</v>
      </c>
      <c r="J131" t="str">
        <f t="shared" si="9"/>
        <v>No</v>
      </c>
      <c r="K131" t="str">
        <f t="shared" si="10"/>
        <v>Yes</v>
      </c>
      <c r="L131" s="203">
        <f>IF(AND('Total income package'!$A$16=TRUE,E131&lt;$J$2),$M$2,0)</f>
        <v>0</v>
      </c>
      <c r="M131" s="179">
        <f>IF(AND('Total income package'!$A$16=TRUE,E131&lt;$L$2),$P$2,0)</f>
        <v>637</v>
      </c>
      <c r="N131" s="204">
        <f t="shared" si="16"/>
        <v>637</v>
      </c>
    </row>
    <row r="132" spans="1:14" x14ac:dyDescent="0.25">
      <c r="A132" s="105">
        <v>61500</v>
      </c>
      <c r="B132" s="4">
        <f t="shared" si="17"/>
        <v>5125</v>
      </c>
      <c r="C132" s="4">
        <f>'Total income package'!$D$80</f>
        <v>0</v>
      </c>
      <c r="D132" s="4">
        <f t="shared" si="11"/>
        <v>5125</v>
      </c>
      <c r="E132" s="4">
        <f t="shared" si="12"/>
        <v>4963</v>
      </c>
      <c r="F132" t="str">
        <f t="shared" si="13"/>
        <v>No</v>
      </c>
      <c r="G132" t="str">
        <f t="shared" si="14"/>
        <v>No</v>
      </c>
      <c r="I132" t="str">
        <f t="shared" si="15"/>
        <v>Yes</v>
      </c>
      <c r="J132" t="str">
        <f t="shared" si="9"/>
        <v>No</v>
      </c>
      <c r="K132" t="str">
        <f t="shared" si="10"/>
        <v>Yes</v>
      </c>
      <c r="L132" s="203">
        <f>IF(AND('Total income package'!$A$16=TRUE,E132&lt;$J$2),$M$2,0)</f>
        <v>0</v>
      </c>
      <c r="M132" s="179">
        <f>IF(AND('Total income package'!$A$16=TRUE,E132&lt;$L$2),$P$2,0)</f>
        <v>637</v>
      </c>
      <c r="N132" s="204">
        <f t="shared" si="16"/>
        <v>637</v>
      </c>
    </row>
    <row r="133" spans="1:14" x14ac:dyDescent="0.25">
      <c r="A133" s="105">
        <v>62000</v>
      </c>
      <c r="B133" s="4">
        <f t="shared" si="17"/>
        <v>5166.666666666667</v>
      </c>
      <c r="C133" s="4">
        <f>'Total income package'!$D$80</f>
        <v>0</v>
      </c>
      <c r="D133" s="4">
        <f t="shared" si="11"/>
        <v>5166.666666666667</v>
      </c>
      <c r="E133" s="4">
        <f t="shared" si="12"/>
        <v>5004.666666666667</v>
      </c>
      <c r="F133" t="str">
        <f t="shared" si="13"/>
        <v>No</v>
      </c>
      <c r="G133" t="str">
        <f t="shared" si="14"/>
        <v>No</v>
      </c>
      <c r="I133" t="str">
        <f t="shared" si="15"/>
        <v>Yes</v>
      </c>
      <c r="J133" t="str">
        <f t="shared" si="9"/>
        <v>No</v>
      </c>
      <c r="K133" t="str">
        <f t="shared" si="10"/>
        <v>Yes</v>
      </c>
      <c r="L133" s="203">
        <f>IF(AND('Total income package'!$A$16=TRUE,E133&lt;$J$2),$M$2,0)</f>
        <v>0</v>
      </c>
      <c r="M133" s="179">
        <f>IF(AND('Total income package'!$A$16=TRUE,E133&lt;$L$2),$P$2,0)</f>
        <v>637</v>
      </c>
      <c r="N133" s="204">
        <f t="shared" si="16"/>
        <v>637</v>
      </c>
    </row>
    <row r="134" spans="1:14" x14ac:dyDescent="0.25">
      <c r="A134" s="105">
        <v>62500</v>
      </c>
      <c r="B134" s="4">
        <f t="shared" si="17"/>
        <v>5208.333333333333</v>
      </c>
      <c r="C134" s="4">
        <f>'Total income package'!$D$80</f>
        <v>0</v>
      </c>
      <c r="D134" s="4">
        <f t="shared" si="11"/>
        <v>5208.333333333333</v>
      </c>
      <c r="E134" s="4">
        <f t="shared" si="12"/>
        <v>5046.333333333333</v>
      </c>
      <c r="F134" t="str">
        <f t="shared" si="13"/>
        <v>No</v>
      </c>
      <c r="G134" t="str">
        <f t="shared" si="14"/>
        <v>No</v>
      </c>
      <c r="I134" t="str">
        <f t="shared" si="15"/>
        <v>Yes</v>
      </c>
      <c r="J134" t="str">
        <f t="shared" si="9"/>
        <v>No</v>
      </c>
      <c r="K134" t="str">
        <f t="shared" si="10"/>
        <v>Yes</v>
      </c>
      <c r="L134" s="203">
        <f>IF(AND('Total income package'!$A$16=TRUE,E134&lt;$J$2),$M$2,0)</f>
        <v>0</v>
      </c>
      <c r="M134" s="179">
        <f>IF(AND('Total income package'!$A$16=TRUE,E134&lt;$L$2),$P$2,0)</f>
        <v>637</v>
      </c>
      <c r="N134" s="204">
        <f t="shared" si="16"/>
        <v>637</v>
      </c>
    </row>
    <row r="135" spans="1:14" x14ac:dyDescent="0.25">
      <c r="A135" s="105">
        <v>63000</v>
      </c>
      <c r="B135" s="4">
        <f t="shared" si="17"/>
        <v>5250</v>
      </c>
      <c r="C135" s="4">
        <f>'Total income package'!$D$80</f>
        <v>0</v>
      </c>
      <c r="D135" s="4">
        <f t="shared" si="11"/>
        <v>5250</v>
      </c>
      <c r="E135" s="4">
        <f t="shared" si="12"/>
        <v>5088</v>
      </c>
      <c r="F135" t="str">
        <f t="shared" si="13"/>
        <v>No</v>
      </c>
      <c r="G135" t="str">
        <f t="shared" si="14"/>
        <v>No</v>
      </c>
      <c r="I135" t="str">
        <f t="shared" si="15"/>
        <v>Yes</v>
      </c>
      <c r="J135" t="str">
        <f t="shared" si="9"/>
        <v>No</v>
      </c>
      <c r="K135" t="str">
        <f t="shared" si="10"/>
        <v>Yes</v>
      </c>
      <c r="L135" s="203">
        <f>IF(AND('Total income package'!$A$16=TRUE,E135&lt;$J$2),$M$2,0)</f>
        <v>0</v>
      </c>
      <c r="M135" s="179">
        <f>IF(AND('Total income package'!$A$16=TRUE,E135&lt;$L$2),$P$2,0)</f>
        <v>637</v>
      </c>
      <c r="N135" s="204">
        <f t="shared" si="16"/>
        <v>637</v>
      </c>
    </row>
    <row r="136" spans="1:14" x14ac:dyDescent="0.25">
      <c r="A136" s="105">
        <v>63500</v>
      </c>
      <c r="B136" s="4">
        <f t="shared" si="17"/>
        <v>5291.666666666667</v>
      </c>
      <c r="C136" s="4">
        <f>'Total income package'!$D$80</f>
        <v>0</v>
      </c>
      <c r="D136" s="4">
        <f t="shared" si="11"/>
        <v>5291.666666666667</v>
      </c>
      <c r="E136" s="4">
        <f t="shared" si="12"/>
        <v>5129.666666666667</v>
      </c>
      <c r="F136" t="str">
        <f t="shared" si="13"/>
        <v>No</v>
      </c>
      <c r="G136" t="str">
        <f t="shared" si="14"/>
        <v>No</v>
      </c>
      <c r="I136" t="str">
        <f t="shared" si="15"/>
        <v>Yes</v>
      </c>
      <c r="J136" t="str">
        <f t="shared" si="9"/>
        <v>No</v>
      </c>
      <c r="K136" t="str">
        <f t="shared" si="10"/>
        <v>Yes</v>
      </c>
      <c r="L136" s="203">
        <f>IF(AND('Total income package'!$A$16=TRUE,E136&lt;$J$2),$M$2,0)</f>
        <v>0</v>
      </c>
      <c r="M136" s="179">
        <f>IF(AND('Total income package'!$A$16=TRUE,E136&lt;$L$2),$P$2,0)</f>
        <v>637</v>
      </c>
      <c r="N136" s="204">
        <f t="shared" si="16"/>
        <v>637</v>
      </c>
    </row>
    <row r="137" spans="1:14" x14ac:dyDescent="0.25">
      <c r="A137" s="105">
        <v>64000</v>
      </c>
      <c r="B137" s="4">
        <f t="shared" si="17"/>
        <v>5333.333333333333</v>
      </c>
      <c r="C137" s="4">
        <f>'Total income package'!$D$80</f>
        <v>0</v>
      </c>
      <c r="D137" s="4">
        <f t="shared" si="11"/>
        <v>5333.333333333333</v>
      </c>
      <c r="E137" s="4">
        <f t="shared" si="12"/>
        <v>5171.333333333333</v>
      </c>
      <c r="F137" t="str">
        <f t="shared" si="13"/>
        <v>No</v>
      </c>
      <c r="G137" t="str">
        <f t="shared" si="14"/>
        <v>No</v>
      </c>
      <c r="I137" t="str">
        <f t="shared" si="15"/>
        <v>Yes</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25">
      <c r="A138" s="105">
        <v>64500</v>
      </c>
      <c r="B138" s="4">
        <f t="shared" si="17"/>
        <v>5375</v>
      </c>
      <c r="C138" s="4">
        <f>'Total income package'!$D$80</f>
        <v>0</v>
      </c>
      <c r="D138" s="4">
        <f t="shared" ref="D138:D201" si="20">B138+C138</f>
        <v>5375</v>
      </c>
      <c r="E138" s="4">
        <f t="shared" ref="E138:E201" si="21">IF(D138-$H$2&lt;0,0,D138-$H$2)</f>
        <v>5213</v>
      </c>
      <c r="F138" t="str">
        <f t="shared" ref="F138:F201" si="22">IF(E138&lt;$I$2,"Yes","No")</f>
        <v>No</v>
      </c>
      <c r="G138" t="str">
        <f t="shared" ref="G138:G201" si="23">IF(E138&lt;$J$2,"Yes","No")</f>
        <v>No</v>
      </c>
      <c r="I138" t="str">
        <f t="shared" ref="I138:I201" si="24">IF($E$2&gt;0,"Yes","No")</f>
        <v>Yes</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25">
      <c r="A139" s="105">
        <v>65000</v>
      </c>
      <c r="B139" s="4">
        <f t="shared" ref="B139:B202" si="26">A139/12</f>
        <v>5416.666666666667</v>
      </c>
      <c r="C139" s="4">
        <f>'Total income package'!$D$80</f>
        <v>0</v>
      </c>
      <c r="D139" s="4">
        <f t="shared" si="20"/>
        <v>5416.666666666667</v>
      </c>
      <c r="E139" s="4">
        <f t="shared" si="21"/>
        <v>5254.666666666667</v>
      </c>
      <c r="F139" t="str">
        <f t="shared" si="22"/>
        <v>No</v>
      </c>
      <c r="G139" t="str">
        <f t="shared" si="23"/>
        <v>No</v>
      </c>
      <c r="I139" t="str">
        <f t="shared" si="24"/>
        <v>Yes</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25">
      <c r="A140" s="105">
        <v>65500</v>
      </c>
      <c r="B140" s="4">
        <f t="shared" si="26"/>
        <v>5458.333333333333</v>
      </c>
      <c r="C140" s="4">
        <f>'Total income package'!$D$80</f>
        <v>0</v>
      </c>
      <c r="D140" s="4">
        <f t="shared" si="20"/>
        <v>5458.333333333333</v>
      </c>
      <c r="E140" s="4">
        <f t="shared" si="21"/>
        <v>5296.333333333333</v>
      </c>
      <c r="F140" t="str">
        <f t="shared" si="22"/>
        <v>No</v>
      </c>
      <c r="G140" t="str">
        <f t="shared" si="23"/>
        <v>No</v>
      </c>
      <c r="I140" t="str">
        <f t="shared" si="24"/>
        <v>Yes</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25">
      <c r="A141" s="105">
        <v>66000</v>
      </c>
      <c r="B141" s="4">
        <f t="shared" si="26"/>
        <v>5500</v>
      </c>
      <c r="C141" s="4">
        <f>'Total income package'!$D$80</f>
        <v>0</v>
      </c>
      <c r="D141" s="4">
        <f t="shared" si="20"/>
        <v>5500</v>
      </c>
      <c r="E141" s="4">
        <f t="shared" si="21"/>
        <v>5338</v>
      </c>
      <c r="F141" t="str">
        <f t="shared" si="22"/>
        <v>No</v>
      </c>
      <c r="G141" t="str">
        <f t="shared" si="23"/>
        <v>No</v>
      </c>
      <c r="I141" t="str">
        <f t="shared" si="24"/>
        <v>Yes</v>
      </c>
      <c r="J141" t="str">
        <f t="shared" si="18"/>
        <v>No</v>
      </c>
      <c r="K141" t="str">
        <f t="shared" si="19"/>
        <v>Yes</v>
      </c>
      <c r="L141" s="203">
        <f>IF(AND('Total income package'!$A$16=TRUE,E141&lt;$J$2),$M$2,0)</f>
        <v>0</v>
      </c>
      <c r="M141" s="179">
        <f>IF(AND('Total income package'!$A$16=TRUE,E141&lt;$L$2),$P$2,0)</f>
        <v>637</v>
      </c>
      <c r="N141" s="204">
        <f t="shared" si="25"/>
        <v>637</v>
      </c>
    </row>
    <row r="142" spans="1:14" x14ac:dyDescent="0.25">
      <c r="A142" s="105">
        <v>66500</v>
      </c>
      <c r="B142" s="4">
        <f t="shared" si="26"/>
        <v>5541.666666666667</v>
      </c>
      <c r="C142" s="4">
        <f>'Total income package'!$D$80</f>
        <v>0</v>
      </c>
      <c r="D142" s="4">
        <f t="shared" si="20"/>
        <v>5541.666666666667</v>
      </c>
      <c r="E142" s="4">
        <f t="shared" si="21"/>
        <v>5379.666666666667</v>
      </c>
      <c r="F142" t="str">
        <f t="shared" si="22"/>
        <v>No</v>
      </c>
      <c r="G142" t="str">
        <f t="shared" si="23"/>
        <v>No</v>
      </c>
      <c r="I142" t="str">
        <f t="shared" si="24"/>
        <v>Yes</v>
      </c>
      <c r="J142" t="str">
        <f t="shared" si="18"/>
        <v>No</v>
      </c>
      <c r="K142" t="str">
        <f t="shared" si="19"/>
        <v>Yes</v>
      </c>
      <c r="L142" s="203">
        <f>IF(AND('Total income package'!$A$16=TRUE,E142&lt;$J$2),$M$2,0)</f>
        <v>0</v>
      </c>
      <c r="M142" s="179">
        <f>IF(AND('Total income package'!$A$16=TRUE,E142&lt;$L$2),$P$2,0)</f>
        <v>637</v>
      </c>
      <c r="N142" s="204">
        <f t="shared" si="25"/>
        <v>637</v>
      </c>
    </row>
    <row r="143" spans="1:14" x14ac:dyDescent="0.25">
      <c r="A143" s="105">
        <v>67000</v>
      </c>
      <c r="B143" s="4">
        <f t="shared" si="26"/>
        <v>5583.333333333333</v>
      </c>
      <c r="C143" s="4">
        <f>'Total income package'!$D$80</f>
        <v>0</v>
      </c>
      <c r="D143" s="4">
        <f t="shared" si="20"/>
        <v>5583.333333333333</v>
      </c>
      <c r="E143" s="4">
        <f t="shared" si="21"/>
        <v>5421.333333333333</v>
      </c>
      <c r="F143" t="str">
        <f t="shared" si="22"/>
        <v>No</v>
      </c>
      <c r="G143" t="str">
        <f t="shared" si="23"/>
        <v>No</v>
      </c>
      <c r="I143" t="str">
        <f t="shared" si="24"/>
        <v>Yes</v>
      </c>
      <c r="J143" t="str">
        <f t="shared" si="18"/>
        <v>No</v>
      </c>
      <c r="K143" t="str">
        <f t="shared" si="19"/>
        <v>Yes</v>
      </c>
      <c r="L143" s="203">
        <f>IF(AND('Total income package'!$A$16=TRUE,E143&lt;$J$2),$M$2,0)</f>
        <v>0</v>
      </c>
      <c r="M143" s="179">
        <f>IF(AND('Total income package'!$A$16=TRUE,E143&lt;$L$2),$P$2,0)</f>
        <v>637</v>
      </c>
      <c r="N143" s="204">
        <f t="shared" si="25"/>
        <v>637</v>
      </c>
    </row>
    <row r="144" spans="1:14" x14ac:dyDescent="0.25">
      <c r="A144" s="105">
        <v>67500</v>
      </c>
      <c r="B144" s="4">
        <f t="shared" si="26"/>
        <v>5625</v>
      </c>
      <c r="C144" s="4">
        <f>'Total income package'!$D$80</f>
        <v>0</v>
      </c>
      <c r="D144" s="4">
        <f t="shared" si="20"/>
        <v>5625</v>
      </c>
      <c r="E144" s="4">
        <f t="shared" si="21"/>
        <v>5463</v>
      </c>
      <c r="F144" t="str">
        <f t="shared" si="22"/>
        <v>No</v>
      </c>
      <c r="G144" t="str">
        <f t="shared" si="23"/>
        <v>No</v>
      </c>
      <c r="I144" t="str">
        <f t="shared" si="24"/>
        <v>Yes</v>
      </c>
      <c r="J144" t="str">
        <f t="shared" si="18"/>
        <v>No</v>
      </c>
      <c r="K144" t="str">
        <f t="shared" si="19"/>
        <v>Yes</v>
      </c>
      <c r="L144" s="203">
        <f>IF(AND('Total income package'!$A$16=TRUE,E144&lt;$J$2),$M$2,0)</f>
        <v>0</v>
      </c>
      <c r="M144" s="179">
        <f>IF(AND('Total income package'!$A$16=TRUE,E144&lt;$L$2),$P$2,0)</f>
        <v>637</v>
      </c>
      <c r="N144" s="204">
        <f t="shared" si="25"/>
        <v>637</v>
      </c>
    </row>
    <row r="145" spans="1:14" x14ac:dyDescent="0.25">
      <c r="A145" s="105">
        <v>68000</v>
      </c>
      <c r="B145" s="4">
        <f t="shared" si="26"/>
        <v>5666.666666666667</v>
      </c>
      <c r="C145" s="4">
        <f>'Total income package'!$D$80</f>
        <v>0</v>
      </c>
      <c r="D145" s="4">
        <f t="shared" si="20"/>
        <v>5666.666666666667</v>
      </c>
      <c r="E145" s="4">
        <f t="shared" si="21"/>
        <v>5504.666666666667</v>
      </c>
      <c r="F145" t="str">
        <f t="shared" si="22"/>
        <v>No</v>
      </c>
      <c r="G145" t="str">
        <f t="shared" si="23"/>
        <v>No</v>
      </c>
      <c r="I145" t="str">
        <f t="shared" si="24"/>
        <v>Yes</v>
      </c>
      <c r="J145" t="str">
        <f t="shared" si="18"/>
        <v>No</v>
      </c>
      <c r="K145" t="str">
        <f t="shared" si="19"/>
        <v>Yes</v>
      </c>
      <c r="L145" s="203">
        <f>IF(AND('Total income package'!$A$16=TRUE,E145&lt;$J$2),$M$2,0)</f>
        <v>0</v>
      </c>
      <c r="M145" s="179">
        <f>IF(AND('Total income package'!$A$16=TRUE,E145&lt;$L$2),$P$2,0)</f>
        <v>637</v>
      </c>
      <c r="N145" s="204">
        <f t="shared" si="25"/>
        <v>637</v>
      </c>
    </row>
    <row r="146" spans="1:14" x14ac:dyDescent="0.25">
      <c r="A146" s="105">
        <v>68500</v>
      </c>
      <c r="B146" s="4">
        <f t="shared" si="26"/>
        <v>5708.333333333333</v>
      </c>
      <c r="C146" s="4">
        <f>'Total income package'!$D$80</f>
        <v>0</v>
      </c>
      <c r="D146" s="4">
        <f t="shared" si="20"/>
        <v>5708.333333333333</v>
      </c>
      <c r="E146" s="4">
        <f t="shared" si="21"/>
        <v>5546.333333333333</v>
      </c>
      <c r="F146" t="str">
        <f t="shared" si="22"/>
        <v>No</v>
      </c>
      <c r="G146" t="str">
        <f t="shared" si="23"/>
        <v>No</v>
      </c>
      <c r="I146" t="str">
        <f t="shared" si="24"/>
        <v>Yes</v>
      </c>
      <c r="J146" t="str">
        <f t="shared" si="18"/>
        <v>No</v>
      </c>
      <c r="K146" t="str">
        <f t="shared" si="19"/>
        <v>Yes</v>
      </c>
      <c r="L146" s="203">
        <f>IF(AND('Total income package'!$A$16=TRUE,E146&lt;$J$2),$M$2,0)</f>
        <v>0</v>
      </c>
      <c r="M146" s="179">
        <f>IF(AND('Total income package'!$A$16=TRUE,E146&lt;$L$2),$P$2,0)</f>
        <v>637</v>
      </c>
      <c r="N146" s="204">
        <f t="shared" si="25"/>
        <v>637</v>
      </c>
    </row>
    <row r="147" spans="1:14" x14ac:dyDescent="0.25">
      <c r="A147" s="105">
        <v>69000</v>
      </c>
      <c r="B147" s="4">
        <f t="shared" si="26"/>
        <v>5750</v>
      </c>
      <c r="C147" s="4">
        <f>'Total income package'!$D$80</f>
        <v>0</v>
      </c>
      <c r="D147" s="4">
        <f t="shared" si="20"/>
        <v>5750</v>
      </c>
      <c r="E147" s="4">
        <f t="shared" si="21"/>
        <v>5588</v>
      </c>
      <c r="F147" t="str">
        <f t="shared" si="22"/>
        <v>No</v>
      </c>
      <c r="G147" t="str">
        <f t="shared" si="23"/>
        <v>No</v>
      </c>
      <c r="I147" t="str">
        <f t="shared" si="24"/>
        <v>Yes</v>
      </c>
      <c r="J147" t="str">
        <f t="shared" si="18"/>
        <v>No</v>
      </c>
      <c r="K147" t="str">
        <f t="shared" si="19"/>
        <v>Yes</v>
      </c>
      <c r="L147" s="203">
        <f>IF(AND('Total income package'!$A$16=TRUE,E147&lt;$J$2),$M$2,0)</f>
        <v>0</v>
      </c>
      <c r="M147" s="179">
        <f>IF(AND('Total income package'!$A$16=TRUE,E147&lt;$L$2),$P$2,0)</f>
        <v>637</v>
      </c>
      <c r="N147" s="204">
        <f t="shared" si="25"/>
        <v>637</v>
      </c>
    </row>
    <row r="148" spans="1:14" x14ac:dyDescent="0.25">
      <c r="A148" s="105">
        <v>69500</v>
      </c>
      <c r="B148" s="4">
        <f t="shared" si="26"/>
        <v>5791.666666666667</v>
      </c>
      <c r="C148" s="4">
        <f>'Total income package'!$D$80</f>
        <v>0</v>
      </c>
      <c r="D148" s="4">
        <f t="shared" si="20"/>
        <v>5791.666666666667</v>
      </c>
      <c r="E148" s="4">
        <f t="shared" si="21"/>
        <v>5629.666666666667</v>
      </c>
      <c r="F148" t="str">
        <f t="shared" si="22"/>
        <v>No</v>
      </c>
      <c r="G148" t="str">
        <f t="shared" si="23"/>
        <v>No</v>
      </c>
      <c r="I148" t="str">
        <f t="shared" si="24"/>
        <v>Yes</v>
      </c>
      <c r="J148" t="str">
        <f t="shared" si="18"/>
        <v>No</v>
      </c>
      <c r="K148" t="str">
        <f t="shared" si="19"/>
        <v>Yes</v>
      </c>
      <c r="L148" s="203">
        <f>IF(AND('Total income package'!$A$16=TRUE,E148&lt;$J$2),$M$2,0)</f>
        <v>0</v>
      </c>
      <c r="M148" s="179">
        <f>IF(AND('Total income package'!$A$16=TRUE,E148&lt;$L$2),$P$2,0)</f>
        <v>637</v>
      </c>
      <c r="N148" s="204">
        <f t="shared" si="25"/>
        <v>637</v>
      </c>
    </row>
    <row r="149" spans="1:14" x14ac:dyDescent="0.25">
      <c r="A149" s="105">
        <v>70000</v>
      </c>
      <c r="B149" s="4">
        <f t="shared" si="26"/>
        <v>5833.333333333333</v>
      </c>
      <c r="C149" s="4">
        <f>'Total income package'!$D$80</f>
        <v>0</v>
      </c>
      <c r="D149" s="4">
        <f t="shared" si="20"/>
        <v>5833.333333333333</v>
      </c>
      <c r="E149" s="4">
        <f t="shared" si="21"/>
        <v>5671.333333333333</v>
      </c>
      <c r="F149" t="str">
        <f t="shared" si="22"/>
        <v>No</v>
      </c>
      <c r="G149" t="str">
        <f t="shared" si="23"/>
        <v>No</v>
      </c>
      <c r="I149" t="str">
        <f t="shared" si="24"/>
        <v>Yes</v>
      </c>
      <c r="J149" t="str">
        <f t="shared" si="18"/>
        <v>No</v>
      </c>
      <c r="K149" t="str">
        <f t="shared" si="19"/>
        <v>Yes</v>
      </c>
      <c r="L149" s="203">
        <f>IF(AND('Total income package'!$A$16=TRUE,E149&lt;$J$2),$M$2,0)</f>
        <v>0</v>
      </c>
      <c r="M149" s="179">
        <f>IF(AND('Total income package'!$A$16=TRUE,E149&lt;$L$2),$P$2,0)</f>
        <v>637</v>
      </c>
      <c r="N149" s="204">
        <f t="shared" si="25"/>
        <v>637</v>
      </c>
    </row>
    <row r="150" spans="1:14" x14ac:dyDescent="0.25">
      <c r="A150" s="105">
        <v>70500</v>
      </c>
      <c r="B150" s="4">
        <f t="shared" si="26"/>
        <v>5875</v>
      </c>
      <c r="C150" s="4">
        <f>'Total income package'!$D$80</f>
        <v>0</v>
      </c>
      <c r="D150" s="4">
        <f t="shared" si="20"/>
        <v>5875</v>
      </c>
      <c r="E150" s="4">
        <f t="shared" si="21"/>
        <v>5713</v>
      </c>
      <c r="F150" t="str">
        <f t="shared" si="22"/>
        <v>No</v>
      </c>
      <c r="G150" t="str">
        <f t="shared" si="23"/>
        <v>No</v>
      </c>
      <c r="I150" t="str">
        <f t="shared" si="24"/>
        <v>Yes</v>
      </c>
      <c r="J150" t="str">
        <f t="shared" si="18"/>
        <v>No</v>
      </c>
      <c r="K150" t="str">
        <f t="shared" si="19"/>
        <v>Yes</v>
      </c>
      <c r="L150" s="203">
        <f>IF(AND('Total income package'!$A$16=TRUE,E150&lt;$J$2),$M$2,0)</f>
        <v>0</v>
      </c>
      <c r="M150" s="179">
        <f>IF(AND('Total income package'!$A$16=TRUE,E150&lt;$L$2),$P$2,0)</f>
        <v>637</v>
      </c>
      <c r="N150" s="204">
        <f t="shared" si="25"/>
        <v>637</v>
      </c>
    </row>
    <row r="151" spans="1:14" x14ac:dyDescent="0.25">
      <c r="A151" s="105">
        <v>71000</v>
      </c>
      <c r="B151" s="4">
        <f t="shared" si="26"/>
        <v>5916.666666666667</v>
      </c>
      <c r="C151" s="4">
        <f>'Total income package'!$D$80</f>
        <v>0</v>
      </c>
      <c r="D151" s="4">
        <f t="shared" si="20"/>
        <v>5916.666666666667</v>
      </c>
      <c r="E151" s="4">
        <f t="shared" si="21"/>
        <v>5754.666666666667</v>
      </c>
      <c r="F151" t="str">
        <f t="shared" si="22"/>
        <v>No</v>
      </c>
      <c r="G151" t="str">
        <f t="shared" si="23"/>
        <v>No</v>
      </c>
      <c r="I151" t="str">
        <f t="shared" si="24"/>
        <v>Yes</v>
      </c>
      <c r="J151" t="str">
        <f t="shared" si="18"/>
        <v>No</v>
      </c>
      <c r="K151" t="str">
        <f t="shared" si="19"/>
        <v>Yes</v>
      </c>
      <c r="L151" s="203">
        <f>IF(AND('Total income package'!$A$16=TRUE,E151&lt;$J$2),$M$2,0)</f>
        <v>0</v>
      </c>
      <c r="M151" s="179">
        <f>IF(AND('Total income package'!$A$16=TRUE,E151&lt;$L$2),$P$2,0)</f>
        <v>637</v>
      </c>
      <c r="N151" s="204">
        <f t="shared" si="25"/>
        <v>637</v>
      </c>
    </row>
    <row r="152" spans="1:14" x14ac:dyDescent="0.25">
      <c r="A152" s="105">
        <v>71500</v>
      </c>
      <c r="B152" s="4">
        <f t="shared" si="26"/>
        <v>5958.333333333333</v>
      </c>
      <c r="C152" s="4">
        <f>'Total income package'!$D$80</f>
        <v>0</v>
      </c>
      <c r="D152" s="4">
        <f t="shared" si="20"/>
        <v>5958.333333333333</v>
      </c>
      <c r="E152" s="4">
        <f t="shared" si="21"/>
        <v>5796.333333333333</v>
      </c>
      <c r="F152" t="str">
        <f t="shared" si="22"/>
        <v>No</v>
      </c>
      <c r="G152" t="str">
        <f t="shared" si="23"/>
        <v>No</v>
      </c>
      <c r="I152" t="str">
        <f t="shared" si="24"/>
        <v>Yes</v>
      </c>
      <c r="J152" t="str">
        <f t="shared" si="18"/>
        <v>No</v>
      </c>
      <c r="K152" t="str">
        <f t="shared" si="19"/>
        <v>Yes</v>
      </c>
      <c r="L152" s="203">
        <f>IF(AND('Total income package'!$A$16=TRUE,E152&lt;$J$2),$M$2,0)</f>
        <v>0</v>
      </c>
      <c r="M152" s="179">
        <f>IF(AND('Total income package'!$A$16=TRUE,E152&lt;$L$2),$P$2,0)</f>
        <v>637</v>
      </c>
      <c r="N152" s="204">
        <f t="shared" si="25"/>
        <v>637</v>
      </c>
    </row>
    <row r="153" spans="1:14" x14ac:dyDescent="0.25">
      <c r="A153" s="105">
        <v>72000</v>
      </c>
      <c r="B153" s="4">
        <f t="shared" si="26"/>
        <v>6000</v>
      </c>
      <c r="C153" s="4">
        <f>'Total income package'!$D$80</f>
        <v>0</v>
      </c>
      <c r="D153" s="4">
        <f t="shared" si="20"/>
        <v>6000</v>
      </c>
      <c r="E153" s="4">
        <f t="shared" si="21"/>
        <v>5838</v>
      </c>
      <c r="F153" t="str">
        <f t="shared" si="22"/>
        <v>No</v>
      </c>
      <c r="G153" t="str">
        <f t="shared" si="23"/>
        <v>No</v>
      </c>
      <c r="I153" t="str">
        <f t="shared" si="24"/>
        <v>Yes</v>
      </c>
      <c r="J153" t="str">
        <f t="shared" si="18"/>
        <v>No</v>
      </c>
      <c r="K153" t="str">
        <f t="shared" si="19"/>
        <v>Yes</v>
      </c>
      <c r="L153" s="203">
        <f>IF(AND('Total income package'!$A$16=TRUE,E153&lt;$J$2),$M$2,0)</f>
        <v>0</v>
      </c>
      <c r="M153" s="179">
        <f>IF(AND('Total income package'!$A$16=TRUE,E153&lt;$L$2),$P$2,0)</f>
        <v>637</v>
      </c>
      <c r="N153" s="204">
        <f t="shared" si="25"/>
        <v>637</v>
      </c>
    </row>
    <row r="154" spans="1:14" x14ac:dyDescent="0.25">
      <c r="A154" s="105">
        <v>72500</v>
      </c>
      <c r="B154" s="4">
        <f t="shared" si="26"/>
        <v>6041.666666666667</v>
      </c>
      <c r="C154" s="4">
        <f>'Total income package'!$D$80</f>
        <v>0</v>
      </c>
      <c r="D154" s="4">
        <f t="shared" si="20"/>
        <v>6041.666666666667</v>
      </c>
      <c r="E154" s="4">
        <f t="shared" si="21"/>
        <v>5879.666666666667</v>
      </c>
      <c r="F154" t="str">
        <f t="shared" si="22"/>
        <v>No</v>
      </c>
      <c r="G154" t="str">
        <f t="shared" si="23"/>
        <v>No</v>
      </c>
      <c r="I154" t="str">
        <f t="shared" si="24"/>
        <v>Yes</v>
      </c>
      <c r="J154" t="str">
        <f t="shared" si="18"/>
        <v>No</v>
      </c>
      <c r="K154" t="str">
        <f t="shared" si="19"/>
        <v>Yes</v>
      </c>
      <c r="L154" s="203">
        <f>IF(AND('Total income package'!$A$16=TRUE,E154&lt;$J$2),$M$2,0)</f>
        <v>0</v>
      </c>
      <c r="M154" s="179">
        <f>IF(AND('Total income package'!$A$16=TRUE,E154&lt;$L$2),$P$2,0)</f>
        <v>637</v>
      </c>
      <c r="N154" s="204">
        <f t="shared" si="25"/>
        <v>637</v>
      </c>
    </row>
    <row r="155" spans="1:14" x14ac:dyDescent="0.25">
      <c r="A155" s="105">
        <v>73000</v>
      </c>
      <c r="B155" s="4">
        <f t="shared" si="26"/>
        <v>6083.333333333333</v>
      </c>
      <c r="C155" s="4">
        <f>'Total income package'!$D$80</f>
        <v>0</v>
      </c>
      <c r="D155" s="4">
        <f t="shared" si="20"/>
        <v>6083.333333333333</v>
      </c>
      <c r="E155" s="4">
        <f t="shared" si="21"/>
        <v>5921.333333333333</v>
      </c>
      <c r="F155" t="str">
        <f t="shared" si="22"/>
        <v>No</v>
      </c>
      <c r="G155" t="str">
        <f t="shared" si="23"/>
        <v>No</v>
      </c>
      <c r="I155" t="str">
        <f t="shared" si="24"/>
        <v>Yes</v>
      </c>
      <c r="J155" t="str">
        <f t="shared" si="18"/>
        <v>No</v>
      </c>
      <c r="K155" t="str">
        <f t="shared" si="19"/>
        <v>Yes</v>
      </c>
      <c r="L155" s="203">
        <f>IF(AND('Total income package'!$A$16=TRUE,E155&lt;$J$2),$M$2,0)</f>
        <v>0</v>
      </c>
      <c r="M155" s="179">
        <f>IF(AND('Total income package'!$A$16=TRUE,E155&lt;$L$2),$P$2,0)</f>
        <v>637</v>
      </c>
      <c r="N155" s="204">
        <f t="shared" si="25"/>
        <v>637</v>
      </c>
    </row>
    <row r="156" spans="1:14" x14ac:dyDescent="0.25">
      <c r="A156" s="105">
        <v>73500</v>
      </c>
      <c r="B156" s="4">
        <f t="shared" si="26"/>
        <v>6125</v>
      </c>
      <c r="C156" s="4">
        <f>'Total income package'!$D$80</f>
        <v>0</v>
      </c>
      <c r="D156" s="4">
        <f t="shared" si="20"/>
        <v>6125</v>
      </c>
      <c r="E156" s="4">
        <f t="shared" si="21"/>
        <v>5963</v>
      </c>
      <c r="F156" t="str">
        <f t="shared" si="22"/>
        <v>No</v>
      </c>
      <c r="G156" t="str">
        <f t="shared" si="23"/>
        <v>No</v>
      </c>
      <c r="I156" t="str">
        <f t="shared" si="24"/>
        <v>Yes</v>
      </c>
      <c r="J156" t="str">
        <f t="shared" si="18"/>
        <v>No</v>
      </c>
      <c r="K156" t="str">
        <f t="shared" si="19"/>
        <v>Yes</v>
      </c>
      <c r="L156" s="203">
        <f>IF(AND('Total income package'!$A$16=TRUE,E156&lt;$J$2),$M$2,0)</f>
        <v>0</v>
      </c>
      <c r="M156" s="179">
        <f>IF(AND('Total income package'!$A$16=TRUE,E156&lt;$L$2),$P$2,0)</f>
        <v>637</v>
      </c>
      <c r="N156" s="204">
        <f t="shared" si="25"/>
        <v>637</v>
      </c>
    </row>
    <row r="157" spans="1:14" x14ac:dyDescent="0.25">
      <c r="A157" s="105">
        <v>74000</v>
      </c>
      <c r="B157" s="4">
        <f t="shared" si="26"/>
        <v>6166.666666666667</v>
      </c>
      <c r="C157" s="4">
        <f>'Total income package'!$D$80</f>
        <v>0</v>
      </c>
      <c r="D157" s="4">
        <f t="shared" si="20"/>
        <v>6166.666666666667</v>
      </c>
      <c r="E157" s="4">
        <f t="shared" si="21"/>
        <v>6004.666666666667</v>
      </c>
      <c r="F157" t="str">
        <f t="shared" si="22"/>
        <v>No</v>
      </c>
      <c r="G157" t="str">
        <f t="shared" si="23"/>
        <v>No</v>
      </c>
      <c r="I157" t="str">
        <f t="shared" si="24"/>
        <v>Yes</v>
      </c>
      <c r="J157" t="str">
        <f t="shared" si="18"/>
        <v>No</v>
      </c>
      <c r="K157" t="str">
        <f t="shared" si="19"/>
        <v>Yes</v>
      </c>
      <c r="L157" s="203">
        <f>IF(AND('Total income package'!$A$16=TRUE,E157&lt;$J$2),$M$2,0)</f>
        <v>0</v>
      </c>
      <c r="M157" s="179">
        <f>IF(AND('Total income package'!$A$16=TRUE,E157&lt;$L$2),$P$2,0)</f>
        <v>637</v>
      </c>
      <c r="N157" s="204">
        <f t="shared" si="25"/>
        <v>637</v>
      </c>
    </row>
    <row r="158" spans="1:14" x14ac:dyDescent="0.25">
      <c r="A158" s="105">
        <v>74500</v>
      </c>
      <c r="B158" s="4">
        <f t="shared" si="26"/>
        <v>6208.333333333333</v>
      </c>
      <c r="C158" s="4">
        <f>'Total income package'!$D$80</f>
        <v>0</v>
      </c>
      <c r="D158" s="4">
        <f t="shared" si="20"/>
        <v>6208.333333333333</v>
      </c>
      <c r="E158" s="4">
        <f t="shared" si="21"/>
        <v>6046.333333333333</v>
      </c>
      <c r="F158" t="str">
        <f t="shared" si="22"/>
        <v>No</v>
      </c>
      <c r="G158" t="str">
        <f t="shared" si="23"/>
        <v>No</v>
      </c>
      <c r="I158" t="str">
        <f t="shared" si="24"/>
        <v>Yes</v>
      </c>
      <c r="J158" t="str">
        <f t="shared" si="18"/>
        <v>No</v>
      </c>
      <c r="K158" t="str">
        <f t="shared" si="19"/>
        <v>Yes</v>
      </c>
      <c r="L158" s="203">
        <f>IF(AND('Total income package'!$A$16=TRUE,E158&lt;$J$2),$M$2,0)</f>
        <v>0</v>
      </c>
      <c r="M158" s="179">
        <f>IF(AND('Total income package'!$A$16=TRUE,E158&lt;$L$2),$P$2,0)</f>
        <v>637</v>
      </c>
      <c r="N158" s="204">
        <f t="shared" si="25"/>
        <v>637</v>
      </c>
    </row>
    <row r="159" spans="1:14" x14ac:dyDescent="0.25">
      <c r="A159" s="105">
        <v>75000</v>
      </c>
      <c r="B159" s="4">
        <f t="shared" si="26"/>
        <v>6250</v>
      </c>
      <c r="C159" s="4">
        <f>'Total income package'!$D$80</f>
        <v>0</v>
      </c>
      <c r="D159" s="4">
        <f t="shared" si="20"/>
        <v>6250</v>
      </c>
      <c r="E159" s="4">
        <f t="shared" si="21"/>
        <v>6088</v>
      </c>
      <c r="F159" t="str">
        <f t="shared" si="22"/>
        <v>No</v>
      </c>
      <c r="G159" t="str">
        <f t="shared" si="23"/>
        <v>No</v>
      </c>
      <c r="I159" t="str">
        <f t="shared" si="24"/>
        <v>Yes</v>
      </c>
      <c r="J159" t="str">
        <f t="shared" si="18"/>
        <v>No</v>
      </c>
      <c r="K159" t="str">
        <f t="shared" si="19"/>
        <v>Yes</v>
      </c>
      <c r="L159" s="203">
        <f>IF(AND('Total income package'!$A$16=TRUE,E159&lt;$J$2),$M$2,0)</f>
        <v>0</v>
      </c>
      <c r="M159" s="179">
        <f>IF(AND('Total income package'!$A$16=TRUE,E159&lt;$L$2),$P$2,0)</f>
        <v>637</v>
      </c>
      <c r="N159" s="204">
        <f t="shared" si="25"/>
        <v>637</v>
      </c>
    </row>
    <row r="160" spans="1:14" x14ac:dyDescent="0.25">
      <c r="A160" s="105">
        <v>75500</v>
      </c>
      <c r="B160" s="4">
        <f t="shared" si="26"/>
        <v>6291.666666666667</v>
      </c>
      <c r="C160" s="4">
        <f>'Total income package'!$D$80</f>
        <v>0</v>
      </c>
      <c r="D160" s="4">
        <f t="shared" si="20"/>
        <v>6291.666666666667</v>
      </c>
      <c r="E160" s="4">
        <f t="shared" si="21"/>
        <v>6129.666666666667</v>
      </c>
      <c r="F160" t="str">
        <f t="shared" si="22"/>
        <v>No</v>
      </c>
      <c r="G160" t="str">
        <f t="shared" si="23"/>
        <v>No</v>
      </c>
      <c r="I160" t="str">
        <f t="shared" si="24"/>
        <v>Yes</v>
      </c>
      <c r="J160" t="str">
        <f t="shared" si="18"/>
        <v>No</v>
      </c>
      <c r="K160" t="str">
        <f t="shared" si="19"/>
        <v>Yes</v>
      </c>
      <c r="L160" s="203">
        <f>IF(AND('Total income package'!$A$16=TRUE,E160&lt;$J$2),$M$2,0)</f>
        <v>0</v>
      </c>
      <c r="M160" s="179">
        <f>IF(AND('Total income package'!$A$16=TRUE,E160&lt;$L$2),$P$2,0)</f>
        <v>637</v>
      </c>
      <c r="N160" s="204">
        <f t="shared" si="25"/>
        <v>637</v>
      </c>
    </row>
    <row r="161" spans="1:14" x14ac:dyDescent="0.25">
      <c r="A161" s="105">
        <v>76000</v>
      </c>
      <c r="B161" s="4">
        <f t="shared" si="26"/>
        <v>6333.333333333333</v>
      </c>
      <c r="C161" s="4">
        <f>'Total income package'!$D$80</f>
        <v>0</v>
      </c>
      <c r="D161" s="4">
        <f t="shared" si="20"/>
        <v>6333.333333333333</v>
      </c>
      <c r="E161" s="4">
        <f t="shared" si="21"/>
        <v>6171.333333333333</v>
      </c>
      <c r="F161" t="str">
        <f t="shared" si="22"/>
        <v>No</v>
      </c>
      <c r="G161" t="str">
        <f t="shared" si="23"/>
        <v>No</v>
      </c>
      <c r="I161" t="str">
        <f t="shared" si="24"/>
        <v>Yes</v>
      </c>
      <c r="J161" t="str">
        <f t="shared" si="18"/>
        <v>No</v>
      </c>
      <c r="K161" t="str">
        <f t="shared" si="19"/>
        <v>Yes</v>
      </c>
      <c r="L161" s="203">
        <f>IF(AND('Total income package'!$A$16=TRUE,E161&lt;$J$2),$M$2,0)</f>
        <v>0</v>
      </c>
      <c r="M161" s="179">
        <f>IF(AND('Total income package'!$A$16=TRUE,E161&lt;$L$2),$P$2,0)</f>
        <v>637</v>
      </c>
      <c r="N161" s="204">
        <f t="shared" si="25"/>
        <v>637</v>
      </c>
    </row>
    <row r="162" spans="1:14" x14ac:dyDescent="0.25">
      <c r="A162" s="105">
        <v>76500</v>
      </c>
      <c r="B162" s="4">
        <f t="shared" si="26"/>
        <v>6375</v>
      </c>
      <c r="C162" s="4">
        <f>'Total income package'!$D$80</f>
        <v>0</v>
      </c>
      <c r="D162" s="4">
        <f t="shared" si="20"/>
        <v>6375</v>
      </c>
      <c r="E162" s="4">
        <f t="shared" si="21"/>
        <v>6213</v>
      </c>
      <c r="F162" t="str">
        <f t="shared" si="22"/>
        <v>No</v>
      </c>
      <c r="G162" t="str">
        <f t="shared" si="23"/>
        <v>No</v>
      </c>
      <c r="I162" t="str">
        <f t="shared" si="24"/>
        <v>Yes</v>
      </c>
      <c r="J162" t="str">
        <f t="shared" si="18"/>
        <v>No</v>
      </c>
      <c r="K162" t="str">
        <f t="shared" si="19"/>
        <v>Yes</v>
      </c>
      <c r="L162" s="203">
        <f>IF(AND('Total income package'!$A$16=TRUE,E162&lt;$J$2),$M$2,0)</f>
        <v>0</v>
      </c>
      <c r="M162" s="179">
        <f>IF(AND('Total income package'!$A$16=TRUE,E162&lt;$L$2),$P$2,0)</f>
        <v>637</v>
      </c>
      <c r="N162" s="204">
        <f t="shared" si="25"/>
        <v>637</v>
      </c>
    </row>
    <row r="163" spans="1:14" x14ac:dyDescent="0.25">
      <c r="A163" s="105">
        <v>77000</v>
      </c>
      <c r="B163" s="4">
        <f t="shared" si="26"/>
        <v>6416.666666666667</v>
      </c>
      <c r="C163" s="4">
        <f>'Total income package'!$D$80</f>
        <v>0</v>
      </c>
      <c r="D163" s="4">
        <f t="shared" si="20"/>
        <v>6416.666666666667</v>
      </c>
      <c r="E163" s="4">
        <f t="shared" si="21"/>
        <v>6254.666666666667</v>
      </c>
      <c r="F163" t="str">
        <f t="shared" si="22"/>
        <v>No</v>
      </c>
      <c r="G163" t="str">
        <f t="shared" si="23"/>
        <v>No</v>
      </c>
      <c r="I163" t="str">
        <f t="shared" si="24"/>
        <v>Yes</v>
      </c>
      <c r="J163" t="str">
        <f t="shared" si="18"/>
        <v>No</v>
      </c>
      <c r="K163" t="str">
        <f t="shared" si="19"/>
        <v>Yes</v>
      </c>
      <c r="L163" s="203">
        <f>IF(AND('Total income package'!$A$16=TRUE,E163&lt;$J$2),$M$2,0)</f>
        <v>0</v>
      </c>
      <c r="M163" s="179">
        <f>IF(AND('Total income package'!$A$16=TRUE,E163&lt;$L$2),$P$2,0)</f>
        <v>637</v>
      </c>
      <c r="N163" s="204">
        <f t="shared" si="25"/>
        <v>637</v>
      </c>
    </row>
    <row r="164" spans="1:14" x14ac:dyDescent="0.25">
      <c r="A164" s="105">
        <v>77500</v>
      </c>
      <c r="B164" s="4">
        <f t="shared" si="26"/>
        <v>6458.333333333333</v>
      </c>
      <c r="C164" s="4">
        <f>'Total income package'!$D$80</f>
        <v>0</v>
      </c>
      <c r="D164" s="4">
        <f t="shared" si="20"/>
        <v>6458.333333333333</v>
      </c>
      <c r="E164" s="4">
        <f t="shared" si="21"/>
        <v>6296.333333333333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6338</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6379.666666666667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6421.333333333333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6463</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6504.666666666667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6546.333333333333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6588</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6629.666666666667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6671.333333333333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6713</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6754.666666666667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6796.333333333333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6838</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6879.666666666667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6921.333333333333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6963</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7004.666666666667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7046.333333333333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7088</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7129.666666666667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7171.333333333333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7213</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7254.666666666667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7296.333333333333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7338</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7379.666666666667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7421.333333333333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7463</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7504.666666666667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7546.333333333333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7588</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7629.666666666667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7671.333333333333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7713</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7754.666666666667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7796.333333333333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7838</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7879.666666666667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7921.333333333333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7963</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8004.666666666667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8046.3333333333339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8088</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8129.6666666666661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8171.3333333333339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1500</v>
      </c>
      <c r="C212" s="4">
        <f>'Total income package'!$D$80</f>
        <v>0</v>
      </c>
      <c r="D212" s="4">
        <f t="shared" si="29"/>
        <v>1500</v>
      </c>
      <c r="E212" s="4">
        <f>IF(B212-$H$2&lt;0,0,B212-$H$2)</f>
        <v>1338</v>
      </c>
      <c r="F212" t="str">
        <f>IF(E212&lt;$I$2,"Yes","No")</f>
        <v>No</v>
      </c>
      <c r="G212" t="str">
        <f>IF(E212&lt;$J$2,"Yes","No")</f>
        <v>Yes</v>
      </c>
      <c r="I212" t="str">
        <f t="shared" si="33"/>
        <v>Yes</v>
      </c>
      <c r="J212" t="str">
        <f>IF(E212&lt;$K$2,"Yes","No")</f>
        <v>Yes</v>
      </c>
      <c r="K212" t="str">
        <f>IF(E212&lt;$L$2,"Yes","No")</f>
        <v>Yes</v>
      </c>
      <c r="L212" s="203">
        <f>IF(AND('Total income package'!$A$16=TRUE,E212&lt;$J$2),$M$2,0)</f>
        <v>1551.75</v>
      </c>
      <c r="M212" s="179">
        <f>IF(AND('Total income package'!$A$16=TRUE,E212&lt;$L$2),$P$2,0)</f>
        <v>637</v>
      </c>
      <c r="N212" s="204">
        <f>L212+M212</f>
        <v>2188.75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1500</v>
      </c>
      <c r="C214" s="4">
        <f>'Total income package'!$D$80</f>
        <v>0</v>
      </c>
      <c r="D214" s="4">
        <f t="shared" si="29"/>
        <v>1500</v>
      </c>
      <c r="E214" s="4">
        <f>IF(B214-$H$2&lt;0,0,B214-$H$2)</f>
        <v>1338</v>
      </c>
      <c r="F214" t="str">
        <f>IF(E214&lt;$I$2,"Yes","No")</f>
        <v>No</v>
      </c>
      <c r="G214" t="str">
        <f>IF(E214&lt;$J$2,"Yes","No")</f>
        <v>Yes</v>
      </c>
      <c r="I214" t="str">
        <f t="shared" si="33"/>
        <v>Yes</v>
      </c>
      <c r="J214" t="str">
        <f>IF(E214&lt;$K$2,"Yes","No")</f>
        <v>Yes</v>
      </c>
      <c r="K214" t="str">
        <f>IF(E214&lt;$L$2,"Yes","No")</f>
        <v>Yes</v>
      </c>
      <c r="L214" s="203">
        <f>IF(AND('Total income package'!$A$16=TRUE,E214&lt;$J$2),$M$2,0)</f>
        <v>1551.75</v>
      </c>
      <c r="M214" s="179">
        <f>IF(AND('Total income package'!$A$16=TRUE,E214&lt;$L$2),$P$2,0)</f>
        <v>637</v>
      </c>
      <c r="N214" s="204">
        <f>L214+M214</f>
        <v>2188.75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5</v>
      </c>
      <c r="D2" s="77">
        <f>COUNTIF('Total income package'!B37:B44,"&gt;59")</f>
        <v>2</v>
      </c>
      <c r="E2" s="77">
        <f>'Total income package'!F59+'Total income package'!D59+'Total income package'!H59+'Total income package'!D64</f>
        <v>1</v>
      </c>
      <c r="F2" s="78">
        <f>VLOOKUP($C$2,'Program specific data'!$A$85:$D$92,3)</f>
        <v>4079.4</v>
      </c>
      <c r="G2" s="78">
        <f>VLOOKUP($C$2,'Program specific data'!$A$85:$D$92,2)</f>
        <v>6276</v>
      </c>
      <c r="H2" s="78">
        <f>VLOOKUP($C$2,'Program specific data'!$A$72:$B$79,2)</f>
        <v>261</v>
      </c>
      <c r="I2" s="78">
        <f>IF('Total income package'!B70="Standard Utility Allowance (SUA)",VLOOKUP($C$2,'Program specific data'!$A$72:$C$79,3),'Total income package'!D70)</f>
        <v>500</v>
      </c>
      <c r="J2" s="78">
        <f>VLOOKUP($C$2,'Program specific data'!$A$85:$D$92,4)</f>
        <v>3138</v>
      </c>
      <c r="K2" s="78">
        <f>VLOOKUP($C$2,'Program specific data'!A97:B104,2)</f>
        <v>1183</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400</v>
      </c>
      <c r="G6" s="20">
        <f>D6+C6+E6+F6</f>
        <v>882</v>
      </c>
      <c r="H6" s="20" t="str">
        <f t="shared" ref="H6:H69" si="0">IF(G6&lt;$G$2,"Yes","No")</f>
        <v>Yes</v>
      </c>
      <c r="I6" s="20">
        <f t="shared" ref="I6:I69" si="1">D6*0.2</f>
        <v>0</v>
      </c>
      <c r="J6" s="20">
        <f t="shared" ref="J6:J69" si="2">$H$2</f>
        <v>261</v>
      </c>
      <c r="K6" s="20">
        <f>IF(G6-I6-J6&gt;0,G6-I6-J6,0)</f>
        <v>621</v>
      </c>
      <c r="L6" s="20">
        <f>$I$2</f>
        <v>500</v>
      </c>
      <c r="M6" s="20">
        <f>'Total income package'!$B$69</f>
        <v>500</v>
      </c>
      <c r="N6" s="20">
        <f>L6+M6</f>
        <v>1000</v>
      </c>
      <c r="O6" s="344" t="str">
        <f>IF(AND($D$2+$E$2&gt;0,K6&lt;$J$2),"Yes","No")</f>
        <v>Yes</v>
      </c>
      <c r="P6" s="20">
        <f>K6/2</f>
        <v>310.5</v>
      </c>
      <c r="Q6" s="346">
        <f>IF(AND(D$2+$E$2=0,N6&lt;$L$2,N6-P6&gt;0),N6-P6,IF(AND(D$2+$E$2=0,N6&gt;$L$2),$L$2,0))</f>
        <v>0</v>
      </c>
      <c r="R6" s="20">
        <f>IF(AND(D$2+$E$2&gt;0,N6-SNAP!P6&gt;0),N6-SNAP!P6,0)</f>
        <v>689.5</v>
      </c>
      <c r="S6" s="20">
        <f>IF(AND($D$2+$E$2&gt;0,K6-R6&gt;0),K6-R6,IF(AND($D$2+$E$2=0,K6-Q6&gt;0),K6-Q6,0))</f>
        <v>0</v>
      </c>
      <c r="T6" s="20">
        <f t="shared" ref="T6:T69" si="3">S6*0.3</f>
        <v>0</v>
      </c>
      <c r="U6" s="20">
        <f>IF(AND('Total income package'!$A$18=TRUE,OR(H6="Yes",O6="Yes"),G6&lt;$G$2,$K$2-T6&gt;10),ROUNDDOWN($K$2-T6,0),0)</f>
        <v>1183</v>
      </c>
      <c r="V6" s="176">
        <f>IF(AND(C2&lt;3,U6&gt;10,U6&lt;24),24,U6)</f>
        <v>1183</v>
      </c>
      <c r="W6" s="71"/>
      <c r="X6" s="24"/>
    </row>
    <row r="7" spans="2:25" x14ac:dyDescent="0.25">
      <c r="B7" s="72">
        <v>500</v>
      </c>
      <c r="C7" s="19">
        <f>MAX('TANF-VIEW'!L10,'TANF-VIEW'!T10)</f>
        <v>482</v>
      </c>
      <c r="D7" s="20">
        <f>B7/12</f>
        <v>41.666666666666664</v>
      </c>
      <c r="E7" s="20">
        <f>'Total income package'!$D$80</f>
        <v>0</v>
      </c>
      <c r="F7" s="20">
        <f>'Total income package'!$H$61+'Total income package'!$F$66</f>
        <v>400</v>
      </c>
      <c r="G7" s="20">
        <f t="shared" ref="G7:G70" si="4">D7+C7+E7+F7</f>
        <v>923.66666666666663</v>
      </c>
      <c r="H7" s="20" t="str">
        <f t="shared" si="0"/>
        <v>Yes</v>
      </c>
      <c r="I7" s="20">
        <f t="shared" si="1"/>
        <v>8.3333333333333339</v>
      </c>
      <c r="J7" s="20">
        <f t="shared" si="2"/>
        <v>261</v>
      </c>
      <c r="K7" s="20">
        <f t="shared" ref="K7:K69" si="5">IF(G7-I7-J7&gt;0,G7-I7-J7,0)</f>
        <v>654.33333333333326</v>
      </c>
      <c r="L7" s="20">
        <f t="shared" ref="L7:L70" si="6">$I$2</f>
        <v>500</v>
      </c>
      <c r="M7" s="20">
        <f>'Total income package'!$B$69</f>
        <v>500</v>
      </c>
      <c r="N7" s="20">
        <f t="shared" ref="N7:N70" si="7">L7+M7</f>
        <v>1000</v>
      </c>
      <c r="O7" s="344" t="str">
        <f t="shared" ref="O7:O70" si="8">IF(AND($D$2+$E$2&gt;0,K7&lt;$J$2),"Yes","No")</f>
        <v>Yes</v>
      </c>
      <c r="P7" s="20">
        <f t="shared" ref="P7:P70" si="9">K7/2</f>
        <v>327.16666666666663</v>
      </c>
      <c r="Q7" s="346">
        <f t="shared" ref="Q7:Q69" si="10">IF(AND(D$2+$E$2=0,N7&lt;$L$2,N7-P7&gt;0),N7-P7,IF(AND(D$2+$E$2=0,N7&gt;$L$2),$L$2,0))</f>
        <v>0</v>
      </c>
      <c r="R7" s="20">
        <f>IF(AND(D$2+$E$2&gt;0,N7-SNAP!P7&gt;0),N7-SNAP!P7,0)</f>
        <v>672.83333333333337</v>
      </c>
      <c r="S7" s="20">
        <f t="shared" ref="S7:S70" si="11">IF(AND($D$2+$E$2&gt;0,K7-R7&gt;0),K7-R7,IF(AND($D$2+$E$2=0,K7-Q7&gt;0),K7-Q7,0))</f>
        <v>0</v>
      </c>
      <c r="T7" s="20">
        <f t="shared" si="3"/>
        <v>0</v>
      </c>
      <c r="U7" s="20">
        <f>IF(AND('Total income package'!$A$18=TRUE,OR(H7="Yes",O7="Yes"),G7&lt;$G$2,$K$2-T7&gt;10),ROUNDDOWN($K$2-T7,0),0)</f>
        <v>1183</v>
      </c>
      <c r="V7" s="176">
        <f t="shared" ref="V7:V70" si="12">IF(AND(C3&lt;3,U7&gt;10,U7&lt;24),24,U7)</f>
        <v>1183</v>
      </c>
      <c r="W7" s="71"/>
      <c r="X7" s="24"/>
    </row>
    <row r="8" spans="2:25" x14ac:dyDescent="0.25">
      <c r="B8" s="72">
        <v>1000</v>
      </c>
      <c r="C8" s="19">
        <f>MAX('TANF-VIEW'!L11,'TANF-VIEW'!T11)</f>
        <v>482</v>
      </c>
      <c r="D8" s="20">
        <f>B8/12</f>
        <v>83.333333333333329</v>
      </c>
      <c r="E8" s="20">
        <f>'Total income package'!$D$80</f>
        <v>0</v>
      </c>
      <c r="F8" s="20">
        <f>'Total income package'!$H$61+'Total income package'!$F$66</f>
        <v>400</v>
      </c>
      <c r="G8" s="20">
        <f t="shared" si="4"/>
        <v>965.33333333333337</v>
      </c>
      <c r="H8" s="20" t="str">
        <f t="shared" si="0"/>
        <v>Yes</v>
      </c>
      <c r="I8" s="20">
        <f t="shared" si="1"/>
        <v>16.666666666666668</v>
      </c>
      <c r="J8" s="20">
        <f t="shared" si="2"/>
        <v>261</v>
      </c>
      <c r="K8" s="20">
        <f t="shared" si="5"/>
        <v>687.66666666666674</v>
      </c>
      <c r="L8" s="20">
        <f t="shared" si="6"/>
        <v>500</v>
      </c>
      <c r="M8" s="20">
        <f>'Total income package'!$B$69</f>
        <v>500</v>
      </c>
      <c r="N8" s="20">
        <f t="shared" si="7"/>
        <v>1000</v>
      </c>
      <c r="O8" s="344" t="str">
        <f t="shared" si="8"/>
        <v>Yes</v>
      </c>
      <c r="P8" s="20">
        <f t="shared" si="9"/>
        <v>343.83333333333337</v>
      </c>
      <c r="Q8" s="346">
        <f t="shared" si="10"/>
        <v>0</v>
      </c>
      <c r="R8" s="20">
        <f>IF(AND(D$2+$E$2&gt;0,N8-SNAP!P8&gt;0),N8-SNAP!P8,0)</f>
        <v>656.16666666666663</v>
      </c>
      <c r="S8" s="20">
        <f t="shared" si="11"/>
        <v>31.500000000000114</v>
      </c>
      <c r="T8" s="20">
        <f t="shared" si="3"/>
        <v>9.450000000000033</v>
      </c>
      <c r="U8" s="20">
        <f>IF(AND('Total income package'!$A$18=TRUE,OR(H8="Yes",O8="Yes"),G8&lt;$G$2,$K$2-T8&gt;10),ROUNDDOWN($K$2-T8,0),0)</f>
        <v>1173</v>
      </c>
      <c r="V8" s="176">
        <f t="shared" si="12"/>
        <v>1173</v>
      </c>
      <c r="W8" s="5"/>
    </row>
    <row r="9" spans="2:25" x14ac:dyDescent="0.25">
      <c r="B9" s="72">
        <v>1500</v>
      </c>
      <c r="C9" s="19">
        <f>MAX('TANF-VIEW'!L12,'TANF-VIEW'!T12)</f>
        <v>482</v>
      </c>
      <c r="D9" s="20">
        <f t="shared" ref="D9:D72" si="13">B9/12</f>
        <v>125</v>
      </c>
      <c r="E9" s="20">
        <f>'Total income package'!$D$80</f>
        <v>0</v>
      </c>
      <c r="F9" s="20">
        <f>'Total income package'!$H$61+'Total income package'!$F$66</f>
        <v>400</v>
      </c>
      <c r="G9" s="20">
        <f t="shared" si="4"/>
        <v>1007</v>
      </c>
      <c r="H9" s="20" t="str">
        <f t="shared" si="0"/>
        <v>Yes</v>
      </c>
      <c r="I9" s="20">
        <f t="shared" si="1"/>
        <v>25</v>
      </c>
      <c r="J9" s="20">
        <f t="shared" si="2"/>
        <v>261</v>
      </c>
      <c r="K9" s="20">
        <f t="shared" si="5"/>
        <v>721</v>
      </c>
      <c r="L9" s="20">
        <f t="shared" si="6"/>
        <v>500</v>
      </c>
      <c r="M9" s="20">
        <f>'Total income package'!$B$69</f>
        <v>500</v>
      </c>
      <c r="N9" s="20">
        <f t="shared" si="7"/>
        <v>1000</v>
      </c>
      <c r="O9" s="344" t="str">
        <f t="shared" si="8"/>
        <v>Yes</v>
      </c>
      <c r="P9" s="20">
        <f t="shared" si="9"/>
        <v>360.5</v>
      </c>
      <c r="Q9" s="346">
        <f t="shared" si="10"/>
        <v>0</v>
      </c>
      <c r="R9" s="20">
        <f>IF(AND(D$2+$E$2&gt;0,N9-SNAP!P9&gt;0),N9-SNAP!P9,0)</f>
        <v>639.5</v>
      </c>
      <c r="S9" s="20">
        <f t="shared" si="11"/>
        <v>81.5</v>
      </c>
      <c r="T9" s="20">
        <f t="shared" si="3"/>
        <v>24.45</v>
      </c>
      <c r="U9" s="20">
        <f>IF(AND('Total income package'!$A$18=TRUE,OR(H9="Yes",O9="Yes"),G9&lt;$G$2,$K$2-T9&gt;10),ROUNDDOWN($K$2-T9,0),0)</f>
        <v>1158</v>
      </c>
      <c r="V9" s="176">
        <f t="shared" si="12"/>
        <v>1158</v>
      </c>
      <c r="W9" s="5"/>
    </row>
    <row r="10" spans="2:25" x14ac:dyDescent="0.25">
      <c r="B10" s="72">
        <v>2000</v>
      </c>
      <c r="C10" s="19">
        <f>MAX('TANF-VIEW'!L13,'TANF-VIEW'!T13)</f>
        <v>482</v>
      </c>
      <c r="D10" s="20">
        <f t="shared" si="13"/>
        <v>166.66666666666666</v>
      </c>
      <c r="E10" s="20">
        <f>'Total income package'!$D$80</f>
        <v>0</v>
      </c>
      <c r="F10" s="20">
        <f>'Total income package'!$H$61+'Total income package'!$F$66</f>
        <v>400</v>
      </c>
      <c r="G10" s="20">
        <f t="shared" si="4"/>
        <v>1048.6666666666665</v>
      </c>
      <c r="H10" s="20" t="str">
        <f t="shared" si="0"/>
        <v>Yes</v>
      </c>
      <c r="I10" s="20">
        <f t="shared" si="1"/>
        <v>33.333333333333336</v>
      </c>
      <c r="J10" s="20">
        <f t="shared" si="2"/>
        <v>261</v>
      </c>
      <c r="K10" s="20">
        <f t="shared" si="5"/>
        <v>754.33333333333314</v>
      </c>
      <c r="L10" s="20">
        <f t="shared" si="6"/>
        <v>500</v>
      </c>
      <c r="M10" s="20">
        <f>'Total income package'!$B$69</f>
        <v>500</v>
      </c>
      <c r="N10" s="20">
        <f t="shared" si="7"/>
        <v>1000</v>
      </c>
      <c r="O10" s="344" t="str">
        <f t="shared" si="8"/>
        <v>Yes</v>
      </c>
      <c r="P10" s="20">
        <f t="shared" si="9"/>
        <v>377.16666666666657</v>
      </c>
      <c r="Q10" s="346">
        <f t="shared" si="10"/>
        <v>0</v>
      </c>
      <c r="R10" s="20">
        <f>IF(AND(D$2+$E$2&gt;0,N10-SNAP!P10&gt;0),N10-SNAP!P10,0)</f>
        <v>622.83333333333348</v>
      </c>
      <c r="S10" s="20">
        <f t="shared" si="11"/>
        <v>131.49999999999966</v>
      </c>
      <c r="T10" s="20">
        <f t="shared" si="3"/>
        <v>39.449999999999896</v>
      </c>
      <c r="U10" s="20">
        <f>IF(AND('Total income package'!$A$18=TRUE,OR(H10="Yes",O10="Yes"),G10&lt;$G$2,$K$2-T10&gt;10),ROUNDDOWN($K$2-T10,0),0)</f>
        <v>1143</v>
      </c>
      <c r="V10" s="176">
        <f t="shared" si="12"/>
        <v>1143</v>
      </c>
      <c r="W10" s="5"/>
    </row>
    <row r="11" spans="2:25" x14ac:dyDescent="0.25">
      <c r="B11" s="72">
        <v>2500</v>
      </c>
      <c r="C11" s="19">
        <f>MAX('TANF-VIEW'!L14,'TANF-VIEW'!T14)</f>
        <v>482</v>
      </c>
      <c r="D11" s="20">
        <f t="shared" si="13"/>
        <v>208.33333333333334</v>
      </c>
      <c r="E11" s="20">
        <f>'Total income package'!$D$80</f>
        <v>0</v>
      </c>
      <c r="F11" s="20">
        <f>'Total income package'!$H$61+'Total income package'!$F$66</f>
        <v>400</v>
      </c>
      <c r="G11" s="20">
        <f t="shared" si="4"/>
        <v>1090.3333333333335</v>
      </c>
      <c r="H11" s="20" t="str">
        <f t="shared" si="0"/>
        <v>Yes</v>
      </c>
      <c r="I11" s="20">
        <f t="shared" si="1"/>
        <v>41.666666666666671</v>
      </c>
      <c r="J11" s="20">
        <f t="shared" si="2"/>
        <v>261</v>
      </c>
      <c r="K11" s="20">
        <f t="shared" si="5"/>
        <v>787.66666666666674</v>
      </c>
      <c r="L11" s="20">
        <f t="shared" si="6"/>
        <v>500</v>
      </c>
      <c r="M11" s="20">
        <f>'Total income package'!$B$69</f>
        <v>500</v>
      </c>
      <c r="N11" s="20">
        <f t="shared" si="7"/>
        <v>1000</v>
      </c>
      <c r="O11" s="344" t="str">
        <f t="shared" si="8"/>
        <v>Yes</v>
      </c>
      <c r="P11" s="20">
        <f t="shared" si="9"/>
        <v>393.83333333333337</v>
      </c>
      <c r="Q11" s="346">
        <f t="shared" si="10"/>
        <v>0</v>
      </c>
      <c r="R11" s="20">
        <f>IF(AND(D$2+$E$2&gt;0,N11-SNAP!P11&gt;0),N11-SNAP!P11,0)</f>
        <v>606.16666666666663</v>
      </c>
      <c r="S11" s="20">
        <f t="shared" si="11"/>
        <v>181.50000000000011</v>
      </c>
      <c r="T11" s="20">
        <f t="shared" si="3"/>
        <v>54.450000000000031</v>
      </c>
      <c r="U11" s="20">
        <f>IF(AND('Total income package'!$A$18=TRUE,OR(H11="Yes",O11="Yes"),G11&lt;$G$2,$K$2-T11&gt;10),ROUNDDOWN($K$2-T11,0),0)</f>
        <v>1128</v>
      </c>
      <c r="V11" s="176">
        <f t="shared" si="12"/>
        <v>1128</v>
      </c>
      <c r="W11" s="5"/>
    </row>
    <row r="12" spans="2:25" x14ac:dyDescent="0.25">
      <c r="B12" s="72">
        <v>3000</v>
      </c>
      <c r="C12" s="19">
        <f>MAX('TANF-VIEW'!L15,'TANF-VIEW'!T15)</f>
        <v>449.2</v>
      </c>
      <c r="D12" s="20">
        <f t="shared" si="13"/>
        <v>250</v>
      </c>
      <c r="E12" s="20">
        <f>'Total income package'!$D$80</f>
        <v>0</v>
      </c>
      <c r="F12" s="20">
        <f>'Total income package'!$H$61+'Total income package'!$F$66</f>
        <v>400</v>
      </c>
      <c r="G12" s="20">
        <f t="shared" si="4"/>
        <v>1099.2</v>
      </c>
      <c r="H12" s="20" t="str">
        <f t="shared" si="0"/>
        <v>Yes</v>
      </c>
      <c r="I12" s="20">
        <f t="shared" si="1"/>
        <v>50</v>
      </c>
      <c r="J12" s="20">
        <f t="shared" si="2"/>
        <v>261</v>
      </c>
      <c r="K12" s="20">
        <f t="shared" si="5"/>
        <v>788.2</v>
      </c>
      <c r="L12" s="20">
        <f t="shared" si="6"/>
        <v>500</v>
      </c>
      <c r="M12" s="20">
        <f>'Total income package'!$B$69</f>
        <v>500</v>
      </c>
      <c r="N12" s="20">
        <f t="shared" si="7"/>
        <v>1000</v>
      </c>
      <c r="O12" s="344" t="str">
        <f t="shared" si="8"/>
        <v>Yes</v>
      </c>
      <c r="P12" s="20">
        <f t="shared" si="9"/>
        <v>394.1</v>
      </c>
      <c r="Q12" s="346">
        <f t="shared" si="10"/>
        <v>0</v>
      </c>
      <c r="R12" s="20">
        <f>IF(AND(D$2+$E$2&gt;0,N12-SNAP!P12&gt;0),N12-SNAP!P12,0)</f>
        <v>605.9</v>
      </c>
      <c r="S12" s="20">
        <f t="shared" si="11"/>
        <v>182.30000000000007</v>
      </c>
      <c r="T12" s="20">
        <f t="shared" si="3"/>
        <v>54.690000000000019</v>
      </c>
      <c r="U12" s="20">
        <f>IF(AND('Total income package'!$A$18=TRUE,OR(H12="Yes",O12="Yes"),G12&lt;$G$2,$K$2-T12&gt;10),ROUNDDOWN($K$2-T12,0),0)</f>
        <v>1128</v>
      </c>
      <c r="V12" s="176">
        <f t="shared" si="12"/>
        <v>1128</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400</v>
      </c>
      <c r="G13" s="20">
        <f t="shared" si="4"/>
        <v>1107.5333333333333</v>
      </c>
      <c r="H13" s="20" t="str">
        <f t="shared" si="0"/>
        <v>Yes</v>
      </c>
      <c r="I13" s="20">
        <f t="shared" si="1"/>
        <v>58.333333333333343</v>
      </c>
      <c r="J13" s="20">
        <f t="shared" si="2"/>
        <v>261</v>
      </c>
      <c r="K13" s="20">
        <f t="shared" si="5"/>
        <v>788.2</v>
      </c>
      <c r="L13" s="20">
        <f t="shared" si="6"/>
        <v>500</v>
      </c>
      <c r="M13" s="20">
        <f>'Total income package'!$B$69</f>
        <v>500</v>
      </c>
      <c r="N13" s="20">
        <f t="shared" si="7"/>
        <v>1000</v>
      </c>
      <c r="O13" s="344" t="str">
        <f t="shared" si="8"/>
        <v>Yes</v>
      </c>
      <c r="P13" s="20">
        <f t="shared" si="9"/>
        <v>394.1</v>
      </c>
      <c r="Q13" s="346">
        <f t="shared" si="10"/>
        <v>0</v>
      </c>
      <c r="R13" s="20">
        <f>IF(AND(D$2+$E$2&gt;0,N13-SNAP!P13&gt;0),N13-SNAP!P13,0)</f>
        <v>605.9</v>
      </c>
      <c r="S13" s="20">
        <f t="shared" si="11"/>
        <v>182.30000000000007</v>
      </c>
      <c r="T13" s="20">
        <f t="shared" si="3"/>
        <v>54.690000000000019</v>
      </c>
      <c r="U13" s="20">
        <f>IF(AND('Total income package'!$A$18=TRUE,OR(H13="Yes",O13="Yes"),G13&lt;$G$2,$K$2-T13&gt;10),ROUNDDOWN($K$2-T13,0),0)</f>
        <v>1128</v>
      </c>
      <c r="V13" s="176">
        <f t="shared" si="12"/>
        <v>1128</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400</v>
      </c>
      <c r="G14" s="20">
        <f t="shared" si="4"/>
        <v>1115.8666666666668</v>
      </c>
      <c r="H14" s="20" t="str">
        <f t="shared" si="0"/>
        <v>Yes</v>
      </c>
      <c r="I14" s="20">
        <f t="shared" si="1"/>
        <v>66.666666666666671</v>
      </c>
      <c r="J14" s="20">
        <f t="shared" si="2"/>
        <v>261</v>
      </c>
      <c r="K14" s="20">
        <f t="shared" si="5"/>
        <v>788.2</v>
      </c>
      <c r="L14" s="20">
        <f t="shared" si="6"/>
        <v>500</v>
      </c>
      <c r="M14" s="20">
        <f>'Total income package'!$B$69</f>
        <v>500</v>
      </c>
      <c r="N14" s="20">
        <f t="shared" si="7"/>
        <v>1000</v>
      </c>
      <c r="O14" s="344" t="str">
        <f t="shared" si="8"/>
        <v>Yes</v>
      </c>
      <c r="P14" s="20">
        <f t="shared" si="9"/>
        <v>394.1</v>
      </c>
      <c r="Q14" s="346">
        <f t="shared" si="10"/>
        <v>0</v>
      </c>
      <c r="R14" s="20">
        <f>IF(AND(D$2+$E$2&gt;0,N14-SNAP!P14&gt;0),N14-SNAP!P14,0)</f>
        <v>605.9</v>
      </c>
      <c r="S14" s="20">
        <f t="shared" si="11"/>
        <v>182.30000000000007</v>
      </c>
      <c r="T14" s="20">
        <f t="shared" si="3"/>
        <v>54.690000000000019</v>
      </c>
      <c r="U14" s="20">
        <f>IF(AND('Total income package'!$A$18=TRUE,OR(H14="Yes",O14="Yes"),G14&lt;$G$2,$K$2-T14&gt;10),ROUNDDOWN($K$2-T14,0),0)</f>
        <v>1128</v>
      </c>
      <c r="V14" s="176">
        <f t="shared" si="12"/>
        <v>1128</v>
      </c>
      <c r="W14" s="5"/>
    </row>
    <row r="15" spans="2:25" x14ac:dyDescent="0.25">
      <c r="B15" s="72">
        <v>4500</v>
      </c>
      <c r="C15" s="19">
        <f>MAX('TANF-VIEW'!L18,'TANF-VIEW'!T18)</f>
        <v>349.2</v>
      </c>
      <c r="D15" s="20">
        <f t="shared" si="13"/>
        <v>375</v>
      </c>
      <c r="E15" s="20">
        <f>'Total income package'!$D$80</f>
        <v>0</v>
      </c>
      <c r="F15" s="20">
        <f>'Total income package'!$H$61+'Total income package'!$F$66</f>
        <v>400</v>
      </c>
      <c r="G15" s="20">
        <f t="shared" si="4"/>
        <v>1124.2</v>
      </c>
      <c r="H15" s="20" t="str">
        <f t="shared" si="0"/>
        <v>Yes</v>
      </c>
      <c r="I15" s="20">
        <f t="shared" si="1"/>
        <v>75</v>
      </c>
      <c r="J15" s="20">
        <f t="shared" si="2"/>
        <v>261</v>
      </c>
      <c r="K15" s="20">
        <f t="shared" si="5"/>
        <v>788.2</v>
      </c>
      <c r="L15" s="20">
        <f t="shared" si="6"/>
        <v>500</v>
      </c>
      <c r="M15" s="20">
        <f>'Total income package'!$B$69</f>
        <v>500</v>
      </c>
      <c r="N15" s="20">
        <f t="shared" si="7"/>
        <v>1000</v>
      </c>
      <c r="O15" s="344" t="str">
        <f t="shared" si="8"/>
        <v>Yes</v>
      </c>
      <c r="P15" s="20">
        <f t="shared" si="9"/>
        <v>394.1</v>
      </c>
      <c r="Q15" s="346">
        <f t="shared" si="10"/>
        <v>0</v>
      </c>
      <c r="R15" s="20">
        <f>IF(AND(D$2+$E$2&gt;0,N15-SNAP!P15&gt;0),N15-SNAP!P15,0)</f>
        <v>605.9</v>
      </c>
      <c r="S15" s="20">
        <f t="shared" si="11"/>
        <v>182.30000000000007</v>
      </c>
      <c r="T15" s="20">
        <f t="shared" si="3"/>
        <v>54.690000000000019</v>
      </c>
      <c r="U15" s="20">
        <f>IF(AND('Total income package'!$A$18=TRUE,OR(H15="Yes",O15="Yes"),G15&lt;$G$2,$K$2-T15&gt;10),ROUNDDOWN($K$2-T15,0),0)</f>
        <v>1128</v>
      </c>
      <c r="V15" s="176">
        <f t="shared" si="12"/>
        <v>1128</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400</v>
      </c>
      <c r="G16" s="20">
        <f t="shared" si="4"/>
        <v>1132.5333333333333</v>
      </c>
      <c r="H16" s="20" t="str">
        <f t="shared" si="0"/>
        <v>Yes</v>
      </c>
      <c r="I16" s="20">
        <f t="shared" si="1"/>
        <v>83.333333333333343</v>
      </c>
      <c r="J16" s="20">
        <f t="shared" si="2"/>
        <v>261</v>
      </c>
      <c r="K16" s="20">
        <f t="shared" si="5"/>
        <v>788.2</v>
      </c>
      <c r="L16" s="20">
        <f t="shared" si="6"/>
        <v>500</v>
      </c>
      <c r="M16" s="20">
        <f>'Total income package'!$B$69</f>
        <v>500</v>
      </c>
      <c r="N16" s="20">
        <f t="shared" si="7"/>
        <v>1000</v>
      </c>
      <c r="O16" s="344" t="str">
        <f t="shared" si="8"/>
        <v>Yes</v>
      </c>
      <c r="P16" s="20">
        <f t="shared" si="9"/>
        <v>394.1</v>
      </c>
      <c r="Q16" s="346">
        <f t="shared" si="10"/>
        <v>0</v>
      </c>
      <c r="R16" s="20">
        <f>IF(AND(D$2+$E$2&gt;0,N16-SNAP!P16&gt;0),N16-SNAP!P16,0)</f>
        <v>605.9</v>
      </c>
      <c r="S16" s="20">
        <f t="shared" si="11"/>
        <v>182.30000000000007</v>
      </c>
      <c r="T16" s="20">
        <f t="shared" si="3"/>
        <v>54.690000000000019</v>
      </c>
      <c r="U16" s="20">
        <f>IF(AND('Total income package'!$A$18=TRUE,OR(H16="Yes",O16="Yes"),G16&lt;$G$2,$K$2-T16&gt;10),ROUNDDOWN($K$2-T16,0),0)</f>
        <v>1128</v>
      </c>
      <c r="V16" s="176">
        <f t="shared" si="12"/>
        <v>1128</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400</v>
      </c>
      <c r="G17" s="20">
        <f t="shared" si="4"/>
        <v>1140.8666666666668</v>
      </c>
      <c r="H17" s="20" t="str">
        <f t="shared" si="0"/>
        <v>Yes</v>
      </c>
      <c r="I17" s="20">
        <f t="shared" si="1"/>
        <v>91.666666666666671</v>
      </c>
      <c r="J17" s="20">
        <f t="shared" si="2"/>
        <v>261</v>
      </c>
      <c r="K17" s="20">
        <f t="shared" si="5"/>
        <v>788.2</v>
      </c>
      <c r="L17" s="20">
        <f t="shared" si="6"/>
        <v>500</v>
      </c>
      <c r="M17" s="20">
        <f>'Total income package'!$B$69</f>
        <v>500</v>
      </c>
      <c r="N17" s="20">
        <f t="shared" si="7"/>
        <v>1000</v>
      </c>
      <c r="O17" s="344" t="str">
        <f t="shared" si="8"/>
        <v>Yes</v>
      </c>
      <c r="P17" s="20">
        <f t="shared" si="9"/>
        <v>394.1</v>
      </c>
      <c r="Q17" s="346">
        <f t="shared" si="10"/>
        <v>0</v>
      </c>
      <c r="R17" s="20">
        <f>IF(AND(D$2+$E$2&gt;0,N17-SNAP!P17&gt;0),N17-SNAP!P17,0)</f>
        <v>605.9</v>
      </c>
      <c r="S17" s="20">
        <f t="shared" si="11"/>
        <v>182.30000000000007</v>
      </c>
      <c r="T17" s="20">
        <f t="shared" si="3"/>
        <v>54.690000000000019</v>
      </c>
      <c r="U17" s="20">
        <f>IF(AND('Total income package'!$A$18=TRUE,OR(H17="Yes",O17="Yes"),G17&lt;$G$2,$K$2-T17&gt;10),ROUNDDOWN($K$2-T17,0),0)</f>
        <v>1128</v>
      </c>
      <c r="V17" s="176">
        <f t="shared" si="12"/>
        <v>1128</v>
      </c>
      <c r="W17" s="5"/>
    </row>
    <row r="18" spans="2:23" x14ac:dyDescent="0.25">
      <c r="B18" s="72">
        <v>6000</v>
      </c>
      <c r="C18" s="19">
        <f>MAX('TANF-VIEW'!L21,'TANF-VIEW'!T21)</f>
        <v>249.2</v>
      </c>
      <c r="D18" s="20">
        <f t="shared" si="13"/>
        <v>500</v>
      </c>
      <c r="E18" s="20">
        <f>'Total income package'!$D$80</f>
        <v>0</v>
      </c>
      <c r="F18" s="20">
        <f>'Total income package'!$H$61+'Total income package'!$F$66</f>
        <v>400</v>
      </c>
      <c r="G18" s="20">
        <f t="shared" si="4"/>
        <v>1149.2</v>
      </c>
      <c r="H18" s="20" t="str">
        <f t="shared" si="0"/>
        <v>Yes</v>
      </c>
      <c r="I18" s="20">
        <f t="shared" si="1"/>
        <v>100</v>
      </c>
      <c r="J18" s="20">
        <f t="shared" si="2"/>
        <v>261</v>
      </c>
      <c r="K18" s="20">
        <f>IF(G18-I18-J18&gt;0,G18-I18-J18,0)</f>
        <v>788.2</v>
      </c>
      <c r="L18" s="20">
        <f t="shared" si="6"/>
        <v>500</v>
      </c>
      <c r="M18" s="20">
        <f>'Total income package'!$B$69</f>
        <v>500</v>
      </c>
      <c r="N18" s="20">
        <f t="shared" si="7"/>
        <v>1000</v>
      </c>
      <c r="O18" s="344" t="str">
        <f t="shared" si="8"/>
        <v>Yes</v>
      </c>
      <c r="P18" s="20">
        <f t="shared" si="9"/>
        <v>394.1</v>
      </c>
      <c r="Q18" s="346">
        <f t="shared" si="10"/>
        <v>0</v>
      </c>
      <c r="R18" s="20">
        <f>IF(AND(D$2+$E$2&gt;0,N18-SNAP!P18&gt;0),N18-SNAP!P18,0)</f>
        <v>605.9</v>
      </c>
      <c r="S18" s="20">
        <f t="shared" si="11"/>
        <v>182.30000000000007</v>
      </c>
      <c r="T18" s="20">
        <f t="shared" si="3"/>
        <v>54.690000000000019</v>
      </c>
      <c r="U18" s="20">
        <f>IF(AND('Total income package'!$A$18=TRUE,OR(H18="Yes",O18="Yes"),G18&lt;$G$2,$K$2-T18&gt;10),ROUNDDOWN($K$2-T18,0),0)</f>
        <v>1128</v>
      </c>
      <c r="V18" s="176">
        <f t="shared" si="12"/>
        <v>1128</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400</v>
      </c>
      <c r="G19" s="20">
        <f t="shared" si="4"/>
        <v>1157.5333333333333</v>
      </c>
      <c r="H19" s="20" t="str">
        <f t="shared" si="0"/>
        <v>Yes</v>
      </c>
      <c r="I19" s="20">
        <f t="shared" si="1"/>
        <v>108.33333333333333</v>
      </c>
      <c r="J19" s="20">
        <f t="shared" si="2"/>
        <v>261</v>
      </c>
      <c r="K19" s="20">
        <f t="shared" si="5"/>
        <v>788.2</v>
      </c>
      <c r="L19" s="20">
        <f t="shared" si="6"/>
        <v>500</v>
      </c>
      <c r="M19" s="20">
        <f>'Total income package'!$B$69</f>
        <v>500</v>
      </c>
      <c r="N19" s="20">
        <f t="shared" si="7"/>
        <v>1000</v>
      </c>
      <c r="O19" s="344" t="str">
        <f t="shared" si="8"/>
        <v>Yes</v>
      </c>
      <c r="P19" s="20">
        <f t="shared" si="9"/>
        <v>394.1</v>
      </c>
      <c r="Q19" s="346">
        <f t="shared" si="10"/>
        <v>0</v>
      </c>
      <c r="R19" s="20">
        <f>IF(AND(D$2+$E$2&gt;0,N19-SNAP!P19&gt;0),N19-SNAP!P19,0)</f>
        <v>605.9</v>
      </c>
      <c r="S19" s="20">
        <f t="shared" si="11"/>
        <v>182.30000000000007</v>
      </c>
      <c r="T19" s="20">
        <f t="shared" si="3"/>
        <v>54.690000000000019</v>
      </c>
      <c r="U19" s="20">
        <f>IF(AND('Total income package'!$A$18=TRUE,OR(H19="Yes",O19="Yes"),G19&lt;$G$2,$K$2-T19&gt;10),ROUNDDOWN($K$2-T19,0),0)</f>
        <v>1128</v>
      </c>
      <c r="V19" s="176">
        <f t="shared" si="12"/>
        <v>1128</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400</v>
      </c>
      <c r="G20" s="20">
        <f t="shared" si="4"/>
        <v>1165.8666666666668</v>
      </c>
      <c r="H20" s="20" t="str">
        <f t="shared" si="0"/>
        <v>Yes</v>
      </c>
      <c r="I20" s="20">
        <f t="shared" si="1"/>
        <v>116.66666666666669</v>
      </c>
      <c r="J20" s="20">
        <f t="shared" si="2"/>
        <v>261</v>
      </c>
      <c r="K20" s="20">
        <f t="shared" si="5"/>
        <v>788.2</v>
      </c>
      <c r="L20" s="20">
        <f t="shared" si="6"/>
        <v>500</v>
      </c>
      <c r="M20" s="20">
        <f>'Total income package'!$B$69</f>
        <v>500</v>
      </c>
      <c r="N20" s="20">
        <f t="shared" si="7"/>
        <v>1000</v>
      </c>
      <c r="O20" s="344" t="str">
        <f t="shared" si="8"/>
        <v>Yes</v>
      </c>
      <c r="P20" s="20">
        <f t="shared" si="9"/>
        <v>394.1</v>
      </c>
      <c r="Q20" s="346">
        <f t="shared" si="10"/>
        <v>0</v>
      </c>
      <c r="R20" s="20">
        <f>IF(AND(D$2+$E$2&gt;0,N20-SNAP!P20&gt;0),N20-SNAP!P20,0)</f>
        <v>605.9</v>
      </c>
      <c r="S20" s="20">
        <f t="shared" si="11"/>
        <v>182.30000000000007</v>
      </c>
      <c r="T20" s="20">
        <f t="shared" si="3"/>
        <v>54.690000000000019</v>
      </c>
      <c r="U20" s="20">
        <f>IF(AND('Total income package'!$A$18=TRUE,OR(H20="Yes",O20="Yes"),G20&lt;$G$2,$K$2-T20&gt;10),ROUNDDOWN($K$2-T20,0),0)</f>
        <v>1128</v>
      </c>
      <c r="V20" s="176">
        <f t="shared" si="12"/>
        <v>1128</v>
      </c>
      <c r="W20" s="5"/>
    </row>
    <row r="21" spans="2:23" x14ac:dyDescent="0.25">
      <c r="B21" s="72">
        <v>7500</v>
      </c>
      <c r="C21" s="19">
        <f>MAX('TANF-VIEW'!L24,'TANF-VIEW'!T24)</f>
        <v>149.19999999999999</v>
      </c>
      <c r="D21" s="20">
        <f t="shared" si="13"/>
        <v>625</v>
      </c>
      <c r="E21" s="20">
        <f>'Total income package'!$D$80</f>
        <v>0</v>
      </c>
      <c r="F21" s="20">
        <f>'Total income package'!$H$61+'Total income package'!$F$66</f>
        <v>400</v>
      </c>
      <c r="G21" s="20">
        <f t="shared" si="4"/>
        <v>1174.2</v>
      </c>
      <c r="H21" s="20" t="str">
        <f t="shared" si="0"/>
        <v>Yes</v>
      </c>
      <c r="I21" s="20">
        <f t="shared" si="1"/>
        <v>125</v>
      </c>
      <c r="J21" s="20">
        <f t="shared" si="2"/>
        <v>261</v>
      </c>
      <c r="K21" s="20">
        <f t="shared" si="5"/>
        <v>788.2</v>
      </c>
      <c r="L21" s="20">
        <f t="shared" si="6"/>
        <v>500</v>
      </c>
      <c r="M21" s="20">
        <f>'Total income package'!$B$69</f>
        <v>500</v>
      </c>
      <c r="N21" s="20">
        <f t="shared" si="7"/>
        <v>1000</v>
      </c>
      <c r="O21" s="344" t="str">
        <f t="shared" si="8"/>
        <v>Yes</v>
      </c>
      <c r="P21" s="20">
        <f t="shared" si="9"/>
        <v>394.1</v>
      </c>
      <c r="Q21" s="346">
        <f t="shared" si="10"/>
        <v>0</v>
      </c>
      <c r="R21" s="20">
        <f>IF(AND(D$2+$E$2&gt;0,N21-SNAP!P21&gt;0),N21-SNAP!P21,0)</f>
        <v>605.9</v>
      </c>
      <c r="S21" s="20">
        <f t="shared" si="11"/>
        <v>182.30000000000007</v>
      </c>
      <c r="T21" s="20">
        <f t="shared" si="3"/>
        <v>54.690000000000019</v>
      </c>
      <c r="U21" s="20">
        <f>IF(AND('Total income package'!$A$18=TRUE,OR(H21="Yes",O21="Yes"),G21&lt;$G$2,$K$2-T21&gt;10),ROUNDDOWN($K$2-T21,0),0)</f>
        <v>1128</v>
      </c>
      <c r="V21" s="176">
        <f t="shared" si="12"/>
        <v>1128</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400</v>
      </c>
      <c r="G22" s="20">
        <f t="shared" si="4"/>
        <v>1182.5333333333333</v>
      </c>
      <c r="H22" s="20" t="str">
        <f t="shared" si="0"/>
        <v>Yes</v>
      </c>
      <c r="I22" s="20">
        <f t="shared" si="1"/>
        <v>133.33333333333334</v>
      </c>
      <c r="J22" s="20">
        <f t="shared" si="2"/>
        <v>261</v>
      </c>
      <c r="K22" s="20">
        <f t="shared" si="5"/>
        <v>788.2</v>
      </c>
      <c r="L22" s="20">
        <f t="shared" si="6"/>
        <v>500</v>
      </c>
      <c r="M22" s="20">
        <f>'Total income package'!$B$69</f>
        <v>500</v>
      </c>
      <c r="N22" s="20">
        <f t="shared" si="7"/>
        <v>1000</v>
      </c>
      <c r="O22" s="344" t="str">
        <f t="shared" si="8"/>
        <v>Yes</v>
      </c>
      <c r="P22" s="20">
        <f t="shared" si="9"/>
        <v>394.1</v>
      </c>
      <c r="Q22" s="346">
        <f t="shared" si="10"/>
        <v>0</v>
      </c>
      <c r="R22" s="20">
        <f>IF(AND(D$2+$E$2&gt;0,N22-SNAP!P22&gt;0),N22-SNAP!P22,0)</f>
        <v>605.9</v>
      </c>
      <c r="S22" s="20">
        <f t="shared" si="11"/>
        <v>182.30000000000007</v>
      </c>
      <c r="T22" s="20">
        <f t="shared" si="3"/>
        <v>54.690000000000019</v>
      </c>
      <c r="U22" s="20">
        <f>IF(AND('Total income package'!$A$18=TRUE,OR(H22="Yes",O22="Yes"),G22&lt;$G$2,$K$2-T22&gt;10),ROUNDDOWN($K$2-T22,0),0)</f>
        <v>1128</v>
      </c>
      <c r="V22" s="176">
        <f t="shared" si="12"/>
        <v>1128</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400</v>
      </c>
      <c r="G23" s="20">
        <f t="shared" si="4"/>
        <v>1190.8666666666668</v>
      </c>
      <c r="H23" s="20" t="str">
        <f t="shared" si="0"/>
        <v>Yes</v>
      </c>
      <c r="I23" s="20">
        <f t="shared" si="1"/>
        <v>141.66666666666669</v>
      </c>
      <c r="J23" s="20">
        <f t="shared" si="2"/>
        <v>261</v>
      </c>
      <c r="K23" s="20">
        <f t="shared" si="5"/>
        <v>788.2</v>
      </c>
      <c r="L23" s="20">
        <f t="shared" si="6"/>
        <v>500</v>
      </c>
      <c r="M23" s="20">
        <f>'Total income package'!$B$69</f>
        <v>500</v>
      </c>
      <c r="N23" s="20">
        <f t="shared" si="7"/>
        <v>1000</v>
      </c>
      <c r="O23" s="344" t="str">
        <f t="shared" si="8"/>
        <v>Yes</v>
      </c>
      <c r="P23" s="20">
        <f t="shared" si="9"/>
        <v>394.1</v>
      </c>
      <c r="Q23" s="346">
        <f t="shared" si="10"/>
        <v>0</v>
      </c>
      <c r="R23" s="20">
        <f>IF(AND(D$2+$E$2&gt;0,N23-SNAP!P23&gt;0),N23-SNAP!P23,0)</f>
        <v>605.9</v>
      </c>
      <c r="S23" s="20">
        <f t="shared" si="11"/>
        <v>182.30000000000007</v>
      </c>
      <c r="T23" s="20">
        <f t="shared" si="3"/>
        <v>54.690000000000019</v>
      </c>
      <c r="U23" s="20">
        <f>IF(AND('Total income package'!$A$18=TRUE,OR(H23="Yes",O23="Yes"),G23&lt;$G$2,$K$2-T23&gt;10),ROUNDDOWN($K$2-T23,0),0)</f>
        <v>1128</v>
      </c>
      <c r="V23" s="176">
        <f t="shared" si="12"/>
        <v>1128</v>
      </c>
      <c r="W23" s="5"/>
    </row>
    <row r="24" spans="2:23" x14ac:dyDescent="0.25">
      <c r="B24" s="72">
        <v>9000</v>
      </c>
      <c r="C24" s="19">
        <f>MAX('TANF-VIEW'!L27,'TANF-VIEW'!T27)</f>
        <v>49.199999999999989</v>
      </c>
      <c r="D24" s="20">
        <f t="shared" si="13"/>
        <v>750</v>
      </c>
      <c r="E24" s="20">
        <f>'Total income package'!$D$80</f>
        <v>0</v>
      </c>
      <c r="F24" s="20">
        <f>'Total income package'!$H$61+'Total income package'!$F$66</f>
        <v>400</v>
      </c>
      <c r="G24" s="20">
        <f t="shared" si="4"/>
        <v>1199.2</v>
      </c>
      <c r="H24" s="20" t="str">
        <f t="shared" si="0"/>
        <v>Yes</v>
      </c>
      <c r="I24" s="20">
        <f t="shared" si="1"/>
        <v>150</v>
      </c>
      <c r="J24" s="20">
        <f t="shared" si="2"/>
        <v>261</v>
      </c>
      <c r="K24" s="20">
        <f t="shared" si="5"/>
        <v>788.2</v>
      </c>
      <c r="L24" s="20">
        <f t="shared" si="6"/>
        <v>500</v>
      </c>
      <c r="M24" s="20">
        <f>'Total income package'!$B$69</f>
        <v>500</v>
      </c>
      <c r="N24" s="20">
        <f t="shared" si="7"/>
        <v>1000</v>
      </c>
      <c r="O24" s="344" t="str">
        <f t="shared" si="8"/>
        <v>Yes</v>
      </c>
      <c r="P24" s="20">
        <f t="shared" si="9"/>
        <v>394.1</v>
      </c>
      <c r="Q24" s="346">
        <f t="shared" si="10"/>
        <v>0</v>
      </c>
      <c r="R24" s="20">
        <f>IF(AND(D$2+$E$2&gt;0,N24-SNAP!P24&gt;0),N24-SNAP!P24,0)</f>
        <v>605.9</v>
      </c>
      <c r="S24" s="20">
        <f t="shared" si="11"/>
        <v>182.30000000000007</v>
      </c>
      <c r="T24" s="20">
        <f t="shared" si="3"/>
        <v>54.690000000000019</v>
      </c>
      <c r="U24" s="20">
        <f>IF(AND('Total income package'!$A$18=TRUE,OR(H24="Yes",O24="Yes"),G24&lt;$G$2,$K$2-T24&gt;10),ROUNDDOWN($K$2-T24,0),0)</f>
        <v>1128</v>
      </c>
      <c r="V24" s="176">
        <f t="shared" si="12"/>
        <v>1128</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400</v>
      </c>
      <c r="G25" s="20">
        <f t="shared" si="4"/>
        <v>1207.5333333333333</v>
      </c>
      <c r="H25" s="20" t="str">
        <f t="shared" si="0"/>
        <v>Yes</v>
      </c>
      <c r="I25" s="20">
        <f t="shared" si="1"/>
        <v>158.33333333333334</v>
      </c>
      <c r="J25" s="20">
        <f t="shared" si="2"/>
        <v>261</v>
      </c>
      <c r="K25" s="20">
        <f t="shared" si="5"/>
        <v>788.2</v>
      </c>
      <c r="L25" s="20">
        <f t="shared" si="6"/>
        <v>500</v>
      </c>
      <c r="M25" s="20">
        <f>'Total income package'!$B$69</f>
        <v>500</v>
      </c>
      <c r="N25" s="20">
        <f t="shared" si="7"/>
        <v>1000</v>
      </c>
      <c r="O25" s="344" t="str">
        <f t="shared" si="8"/>
        <v>Yes</v>
      </c>
      <c r="P25" s="20">
        <f t="shared" si="9"/>
        <v>394.1</v>
      </c>
      <c r="Q25" s="346">
        <f t="shared" si="10"/>
        <v>0</v>
      </c>
      <c r="R25" s="20">
        <f>IF(AND(D$2+$E$2&gt;0,N25-SNAP!P25&gt;0),N25-SNAP!P25,0)</f>
        <v>605.9</v>
      </c>
      <c r="S25" s="20">
        <f t="shared" si="11"/>
        <v>182.30000000000007</v>
      </c>
      <c r="T25" s="20">
        <f t="shared" si="3"/>
        <v>54.690000000000019</v>
      </c>
      <c r="U25" s="20">
        <f>IF(AND('Total income package'!$A$18=TRUE,OR(H25="Yes",O25="Yes"),G25&lt;$G$2,$K$2-T25&gt;10),ROUNDDOWN($K$2-T25,0),0)</f>
        <v>1128</v>
      </c>
      <c r="V25" s="176">
        <f t="shared" si="12"/>
        <v>1128</v>
      </c>
      <c r="W25" s="5"/>
    </row>
    <row r="26" spans="2:23" x14ac:dyDescent="0.25">
      <c r="B26" s="72">
        <v>10000</v>
      </c>
      <c r="C26" s="19">
        <f>MAX('TANF-VIEW'!L29,'TANF-VIEW'!T29)</f>
        <v>0</v>
      </c>
      <c r="D26" s="20">
        <f t="shared" si="13"/>
        <v>833.33333333333337</v>
      </c>
      <c r="E26" s="20">
        <f>'Total income package'!$D$80</f>
        <v>0</v>
      </c>
      <c r="F26" s="20">
        <f>'Total income package'!$H$61+'Total income package'!$F$66</f>
        <v>400</v>
      </c>
      <c r="G26" s="20">
        <f t="shared" si="4"/>
        <v>1233.3333333333335</v>
      </c>
      <c r="H26" s="20" t="str">
        <f t="shared" si="0"/>
        <v>Yes</v>
      </c>
      <c r="I26" s="20">
        <f t="shared" si="1"/>
        <v>166.66666666666669</v>
      </c>
      <c r="J26" s="20">
        <f t="shared" si="2"/>
        <v>261</v>
      </c>
      <c r="K26" s="20">
        <f t="shared" si="5"/>
        <v>805.66666666666674</v>
      </c>
      <c r="L26" s="20">
        <f t="shared" si="6"/>
        <v>500</v>
      </c>
      <c r="M26" s="20">
        <f>'Total income package'!$B$69</f>
        <v>500</v>
      </c>
      <c r="N26" s="20">
        <f t="shared" si="7"/>
        <v>1000</v>
      </c>
      <c r="O26" s="344" t="str">
        <f t="shared" si="8"/>
        <v>Yes</v>
      </c>
      <c r="P26" s="20">
        <f t="shared" si="9"/>
        <v>402.83333333333337</v>
      </c>
      <c r="Q26" s="346">
        <f t="shared" si="10"/>
        <v>0</v>
      </c>
      <c r="R26" s="20">
        <f>IF(AND(D$2+$E$2&gt;0,N26-SNAP!P26&gt;0),N26-SNAP!P26,0)</f>
        <v>597.16666666666663</v>
      </c>
      <c r="S26" s="20">
        <f t="shared" si="11"/>
        <v>208.50000000000011</v>
      </c>
      <c r="T26" s="20">
        <f t="shared" si="3"/>
        <v>62.550000000000033</v>
      </c>
      <c r="U26" s="20">
        <f>IF(AND('Total income package'!$A$18=TRUE,OR(H26="Yes",O26="Yes"),G26&lt;$G$2,$K$2-T26&gt;10),ROUNDDOWN($K$2-T26,0),0)</f>
        <v>1120</v>
      </c>
      <c r="V26" s="176">
        <f t="shared" si="12"/>
        <v>1120</v>
      </c>
      <c r="W26" s="5"/>
    </row>
    <row r="27" spans="2:23" x14ac:dyDescent="0.25">
      <c r="B27" s="72">
        <v>10500</v>
      </c>
      <c r="C27" s="19">
        <f>MAX('TANF-VIEW'!L30,'TANF-VIEW'!T30)</f>
        <v>0</v>
      </c>
      <c r="D27" s="20">
        <f t="shared" si="13"/>
        <v>875</v>
      </c>
      <c r="E27" s="20">
        <f>'Total income package'!$D$80</f>
        <v>0</v>
      </c>
      <c r="F27" s="20">
        <f>'Total income package'!$H$61+'Total income package'!$F$66</f>
        <v>400</v>
      </c>
      <c r="G27" s="20">
        <f t="shared" si="4"/>
        <v>1275</v>
      </c>
      <c r="H27" s="20" t="str">
        <f t="shared" si="0"/>
        <v>Yes</v>
      </c>
      <c r="I27" s="20">
        <f t="shared" si="1"/>
        <v>175</v>
      </c>
      <c r="J27" s="20">
        <f t="shared" si="2"/>
        <v>261</v>
      </c>
      <c r="K27" s="20">
        <f t="shared" si="5"/>
        <v>839</v>
      </c>
      <c r="L27" s="20">
        <f t="shared" si="6"/>
        <v>500</v>
      </c>
      <c r="M27" s="20">
        <f>'Total income package'!$B$69</f>
        <v>500</v>
      </c>
      <c r="N27" s="20">
        <f t="shared" si="7"/>
        <v>1000</v>
      </c>
      <c r="O27" s="344" t="str">
        <f t="shared" si="8"/>
        <v>Yes</v>
      </c>
      <c r="P27" s="20">
        <f t="shared" si="9"/>
        <v>419.5</v>
      </c>
      <c r="Q27" s="346">
        <f t="shared" si="10"/>
        <v>0</v>
      </c>
      <c r="R27" s="20">
        <f>IF(AND(D$2+$E$2&gt;0,N27-SNAP!P27&gt;0),N27-SNAP!P27,0)</f>
        <v>580.5</v>
      </c>
      <c r="S27" s="20">
        <f t="shared" si="11"/>
        <v>258.5</v>
      </c>
      <c r="T27" s="20">
        <f t="shared" si="3"/>
        <v>77.55</v>
      </c>
      <c r="U27" s="20">
        <f>IF(AND('Total income package'!$A$18=TRUE,OR(H27="Yes",O27="Yes"),G27&lt;$G$2,$K$2-T27&gt;10),ROUNDDOWN($K$2-T27,0),0)</f>
        <v>1105</v>
      </c>
      <c r="V27" s="176">
        <f t="shared" si="12"/>
        <v>1105</v>
      </c>
      <c r="W27" s="5"/>
    </row>
    <row r="28" spans="2:23" x14ac:dyDescent="0.25">
      <c r="B28" s="72">
        <v>11000</v>
      </c>
      <c r="C28" s="19">
        <f>MAX('TANF-VIEW'!L31,'TANF-VIEW'!T31)</f>
        <v>0</v>
      </c>
      <c r="D28" s="20">
        <f t="shared" si="13"/>
        <v>916.66666666666663</v>
      </c>
      <c r="E28" s="20">
        <f>'Total income package'!$D$80</f>
        <v>0</v>
      </c>
      <c r="F28" s="20">
        <f>'Total income package'!$H$61+'Total income package'!$F$66</f>
        <v>400</v>
      </c>
      <c r="G28" s="20">
        <f t="shared" si="4"/>
        <v>1316.6666666666665</v>
      </c>
      <c r="H28" s="20" t="str">
        <f t="shared" si="0"/>
        <v>Yes</v>
      </c>
      <c r="I28" s="20">
        <f t="shared" si="1"/>
        <v>183.33333333333334</v>
      </c>
      <c r="J28" s="20">
        <f t="shared" si="2"/>
        <v>261</v>
      </c>
      <c r="K28" s="20">
        <f t="shared" si="5"/>
        <v>872.33333333333326</v>
      </c>
      <c r="L28" s="20">
        <f t="shared" si="6"/>
        <v>500</v>
      </c>
      <c r="M28" s="20">
        <f>'Total income package'!$B$69</f>
        <v>500</v>
      </c>
      <c r="N28" s="20">
        <f t="shared" si="7"/>
        <v>1000</v>
      </c>
      <c r="O28" s="344" t="str">
        <f t="shared" si="8"/>
        <v>Yes</v>
      </c>
      <c r="P28" s="20">
        <f t="shared" si="9"/>
        <v>436.16666666666663</v>
      </c>
      <c r="Q28" s="346">
        <f t="shared" si="10"/>
        <v>0</v>
      </c>
      <c r="R28" s="20">
        <f>IF(AND(D$2+$E$2&gt;0,N28-SNAP!P28&gt;0),N28-SNAP!P28,0)</f>
        <v>563.83333333333337</v>
      </c>
      <c r="S28" s="20">
        <f t="shared" si="11"/>
        <v>308.49999999999989</v>
      </c>
      <c r="T28" s="20">
        <f t="shared" si="3"/>
        <v>92.549999999999969</v>
      </c>
      <c r="U28" s="20">
        <f>IF(AND('Total income package'!$A$18=TRUE,OR(H28="Yes",O28="Yes"),G28&lt;$G$2,$K$2-T28&gt;10),ROUNDDOWN($K$2-T28,0),0)</f>
        <v>1090</v>
      </c>
      <c r="V28" s="176">
        <f t="shared" si="12"/>
        <v>1090</v>
      </c>
      <c r="W28" s="5"/>
    </row>
    <row r="29" spans="2:23" x14ac:dyDescent="0.25">
      <c r="B29" s="72">
        <v>11500</v>
      </c>
      <c r="C29" s="19">
        <f>MAX('TANF-VIEW'!L32,'TANF-VIEW'!T32)</f>
        <v>0</v>
      </c>
      <c r="D29" s="20">
        <f t="shared" si="13"/>
        <v>958.33333333333337</v>
      </c>
      <c r="E29" s="20">
        <f>'Total income package'!$D$80</f>
        <v>0</v>
      </c>
      <c r="F29" s="20">
        <f>'Total income package'!$H$61+'Total income package'!$F$66</f>
        <v>400</v>
      </c>
      <c r="G29" s="20">
        <f t="shared" si="4"/>
        <v>1358.3333333333335</v>
      </c>
      <c r="H29" s="20" t="str">
        <f t="shared" si="0"/>
        <v>Yes</v>
      </c>
      <c r="I29" s="20">
        <f t="shared" si="1"/>
        <v>191.66666666666669</v>
      </c>
      <c r="J29" s="20">
        <f t="shared" si="2"/>
        <v>261</v>
      </c>
      <c r="K29" s="20">
        <f t="shared" si="5"/>
        <v>905.66666666666674</v>
      </c>
      <c r="L29" s="20">
        <f t="shared" si="6"/>
        <v>500</v>
      </c>
      <c r="M29" s="20">
        <f>'Total income package'!$B$69</f>
        <v>500</v>
      </c>
      <c r="N29" s="20">
        <f t="shared" si="7"/>
        <v>1000</v>
      </c>
      <c r="O29" s="344" t="str">
        <f t="shared" si="8"/>
        <v>Yes</v>
      </c>
      <c r="P29" s="20">
        <f t="shared" si="9"/>
        <v>452.83333333333337</v>
      </c>
      <c r="Q29" s="346">
        <f t="shared" si="10"/>
        <v>0</v>
      </c>
      <c r="R29" s="20">
        <f>IF(AND(D$2+$E$2&gt;0,N29-SNAP!P29&gt;0),N29-SNAP!P29,0)</f>
        <v>547.16666666666663</v>
      </c>
      <c r="S29" s="20">
        <f t="shared" si="11"/>
        <v>358.50000000000011</v>
      </c>
      <c r="T29" s="20">
        <f t="shared" si="3"/>
        <v>107.55000000000003</v>
      </c>
      <c r="U29" s="20">
        <f>IF(AND('Total income package'!$A$18=TRUE,OR(H29="Yes",O29="Yes"),G29&lt;$G$2,$K$2-T29&gt;10),ROUNDDOWN($K$2-T29,0),0)</f>
        <v>1075</v>
      </c>
      <c r="V29" s="176">
        <f t="shared" si="12"/>
        <v>1075</v>
      </c>
      <c r="W29" s="5"/>
    </row>
    <row r="30" spans="2:23" x14ac:dyDescent="0.25">
      <c r="B30" s="72">
        <v>12000</v>
      </c>
      <c r="C30" s="19">
        <f>MAX('TANF-VIEW'!L33,'TANF-VIEW'!T33)</f>
        <v>0</v>
      </c>
      <c r="D30" s="20">
        <f t="shared" si="13"/>
        <v>1000</v>
      </c>
      <c r="E30" s="20">
        <f>'Total income package'!$D$80</f>
        <v>0</v>
      </c>
      <c r="F30" s="20">
        <f>'Total income package'!$H$61+'Total income package'!$F$66</f>
        <v>400</v>
      </c>
      <c r="G30" s="20">
        <f t="shared" si="4"/>
        <v>1400</v>
      </c>
      <c r="H30" s="20" t="str">
        <f t="shared" si="0"/>
        <v>Yes</v>
      </c>
      <c r="I30" s="20">
        <f t="shared" si="1"/>
        <v>200</v>
      </c>
      <c r="J30" s="20">
        <f t="shared" si="2"/>
        <v>261</v>
      </c>
      <c r="K30" s="20">
        <f t="shared" si="5"/>
        <v>939</v>
      </c>
      <c r="L30" s="20">
        <f t="shared" si="6"/>
        <v>500</v>
      </c>
      <c r="M30" s="20">
        <f>'Total income package'!$B$69</f>
        <v>500</v>
      </c>
      <c r="N30" s="20">
        <f t="shared" si="7"/>
        <v>1000</v>
      </c>
      <c r="O30" s="344" t="str">
        <f t="shared" si="8"/>
        <v>Yes</v>
      </c>
      <c r="P30" s="20">
        <f t="shared" si="9"/>
        <v>469.5</v>
      </c>
      <c r="Q30" s="346">
        <f t="shared" si="10"/>
        <v>0</v>
      </c>
      <c r="R30" s="20">
        <f>IF(AND(D$2+$E$2&gt;0,N30-SNAP!P30&gt;0),N30-SNAP!P30,0)</f>
        <v>530.5</v>
      </c>
      <c r="S30" s="20">
        <f t="shared" si="11"/>
        <v>408.5</v>
      </c>
      <c r="T30" s="20">
        <f t="shared" si="3"/>
        <v>122.55</v>
      </c>
      <c r="U30" s="20">
        <f>IF(AND('Total income package'!$A$18=TRUE,OR(H30="Yes",O30="Yes"),G30&lt;$G$2,$K$2-T30&gt;10),ROUNDDOWN($K$2-T30,0),0)</f>
        <v>1060</v>
      </c>
      <c r="V30" s="176">
        <f t="shared" si="12"/>
        <v>1060</v>
      </c>
      <c r="W30" s="5"/>
    </row>
    <row r="31" spans="2:23" x14ac:dyDescent="0.25">
      <c r="B31" s="72">
        <v>12500</v>
      </c>
      <c r="C31" s="19">
        <f>MAX('TANF-VIEW'!L34,'TANF-VIEW'!T34)</f>
        <v>0</v>
      </c>
      <c r="D31" s="20">
        <f t="shared" si="13"/>
        <v>1041.6666666666667</v>
      </c>
      <c r="E31" s="20">
        <f>'Total income package'!$D$80</f>
        <v>0</v>
      </c>
      <c r="F31" s="20">
        <f>'Total income package'!$H$61+'Total income package'!$F$66</f>
        <v>400</v>
      </c>
      <c r="G31" s="20">
        <f t="shared" si="4"/>
        <v>1441.6666666666667</v>
      </c>
      <c r="H31" s="20" t="str">
        <f t="shared" si="0"/>
        <v>Yes</v>
      </c>
      <c r="I31" s="20">
        <f t="shared" si="1"/>
        <v>208.33333333333337</v>
      </c>
      <c r="J31" s="20">
        <f t="shared" si="2"/>
        <v>261</v>
      </c>
      <c r="K31" s="20">
        <f t="shared" si="5"/>
        <v>972.33333333333348</v>
      </c>
      <c r="L31" s="20">
        <f t="shared" si="6"/>
        <v>500</v>
      </c>
      <c r="M31" s="20">
        <f>'Total income package'!$B$69</f>
        <v>500</v>
      </c>
      <c r="N31" s="20">
        <f t="shared" si="7"/>
        <v>1000</v>
      </c>
      <c r="O31" s="344" t="str">
        <f t="shared" si="8"/>
        <v>Yes</v>
      </c>
      <c r="P31" s="20">
        <f t="shared" si="9"/>
        <v>486.16666666666674</v>
      </c>
      <c r="Q31" s="346">
        <f t="shared" si="10"/>
        <v>0</v>
      </c>
      <c r="R31" s="20">
        <f>IF(AND(D$2+$E$2&gt;0,N31-SNAP!P31&gt;0),N31-SNAP!P31,0)</f>
        <v>513.83333333333326</v>
      </c>
      <c r="S31" s="20">
        <f t="shared" si="11"/>
        <v>458.50000000000023</v>
      </c>
      <c r="T31" s="20">
        <f t="shared" si="3"/>
        <v>137.55000000000007</v>
      </c>
      <c r="U31" s="20">
        <f>IF(AND('Total income package'!$A$18=TRUE,OR(H31="Yes",O31="Yes"),G31&lt;$G$2,$K$2-T31&gt;10),ROUNDDOWN($K$2-T31,0),0)</f>
        <v>1045</v>
      </c>
      <c r="V31" s="176">
        <f t="shared" si="12"/>
        <v>1045</v>
      </c>
      <c r="W31" s="5"/>
    </row>
    <row r="32" spans="2:23" x14ac:dyDescent="0.25">
      <c r="B32" s="72">
        <v>13000</v>
      </c>
      <c r="C32" s="19">
        <f>MAX('TANF-VIEW'!L35,'TANF-VIEW'!T35)</f>
        <v>0</v>
      </c>
      <c r="D32" s="20">
        <f t="shared" si="13"/>
        <v>1083.3333333333333</v>
      </c>
      <c r="E32" s="20">
        <f>'Total income package'!$D$80</f>
        <v>0</v>
      </c>
      <c r="F32" s="20">
        <f>'Total income package'!$H$61+'Total income package'!$F$66</f>
        <v>400</v>
      </c>
      <c r="G32" s="20">
        <f t="shared" si="4"/>
        <v>1483.3333333333333</v>
      </c>
      <c r="H32" s="20" t="str">
        <f t="shared" si="0"/>
        <v>Yes</v>
      </c>
      <c r="I32" s="20">
        <f t="shared" si="1"/>
        <v>216.66666666666666</v>
      </c>
      <c r="J32" s="20">
        <f t="shared" si="2"/>
        <v>261</v>
      </c>
      <c r="K32" s="20">
        <f t="shared" si="5"/>
        <v>1005.6666666666665</v>
      </c>
      <c r="L32" s="20">
        <f t="shared" si="6"/>
        <v>500</v>
      </c>
      <c r="M32" s="20">
        <f>'Total income package'!$B$69</f>
        <v>500</v>
      </c>
      <c r="N32" s="20">
        <f t="shared" si="7"/>
        <v>1000</v>
      </c>
      <c r="O32" s="344" t="str">
        <f t="shared" si="8"/>
        <v>Yes</v>
      </c>
      <c r="P32" s="20">
        <f t="shared" si="9"/>
        <v>502.83333333333326</v>
      </c>
      <c r="Q32" s="346">
        <f t="shared" si="10"/>
        <v>0</v>
      </c>
      <c r="R32" s="20">
        <f>IF(AND(D$2+$E$2&gt;0,N32-SNAP!P32&gt;0),N32-SNAP!P32,0)</f>
        <v>497.16666666666674</v>
      </c>
      <c r="S32" s="20">
        <f t="shared" si="11"/>
        <v>508.49999999999977</v>
      </c>
      <c r="T32" s="20">
        <f t="shared" si="3"/>
        <v>152.54999999999993</v>
      </c>
      <c r="U32" s="20">
        <f>IF(AND('Total income package'!$A$18=TRUE,OR(H32="Yes",O32="Yes"),G32&lt;$G$2,$K$2-T32&gt;10),ROUNDDOWN($K$2-T32,0),0)</f>
        <v>1030</v>
      </c>
      <c r="V32" s="176">
        <f t="shared" si="12"/>
        <v>1030</v>
      </c>
      <c r="W32" s="5"/>
    </row>
    <row r="33" spans="2:23" x14ac:dyDescent="0.25">
      <c r="B33" s="72">
        <v>13500</v>
      </c>
      <c r="C33" s="19">
        <f>MAX('TANF-VIEW'!L36,'TANF-VIEW'!T36)</f>
        <v>0</v>
      </c>
      <c r="D33" s="20">
        <f t="shared" si="13"/>
        <v>1125</v>
      </c>
      <c r="E33" s="20">
        <f>'Total income package'!$D$80</f>
        <v>0</v>
      </c>
      <c r="F33" s="20">
        <f>'Total income package'!$H$61+'Total income package'!$F$66</f>
        <v>400</v>
      </c>
      <c r="G33" s="20">
        <f t="shared" si="4"/>
        <v>1525</v>
      </c>
      <c r="H33" s="20" t="str">
        <f t="shared" si="0"/>
        <v>Yes</v>
      </c>
      <c r="I33" s="20">
        <f t="shared" si="1"/>
        <v>225</v>
      </c>
      <c r="J33" s="20">
        <f t="shared" si="2"/>
        <v>261</v>
      </c>
      <c r="K33" s="20">
        <f t="shared" si="5"/>
        <v>1039</v>
      </c>
      <c r="L33" s="20">
        <f t="shared" si="6"/>
        <v>500</v>
      </c>
      <c r="M33" s="20">
        <f>'Total income package'!$B$69</f>
        <v>500</v>
      </c>
      <c r="N33" s="20">
        <f t="shared" si="7"/>
        <v>1000</v>
      </c>
      <c r="O33" s="344" t="str">
        <f t="shared" si="8"/>
        <v>Yes</v>
      </c>
      <c r="P33" s="20">
        <f t="shared" si="9"/>
        <v>519.5</v>
      </c>
      <c r="Q33" s="346">
        <f t="shared" si="10"/>
        <v>0</v>
      </c>
      <c r="R33" s="20">
        <f>IF(AND(D$2+$E$2&gt;0,N33-SNAP!P33&gt;0),N33-SNAP!P33,0)</f>
        <v>480.5</v>
      </c>
      <c r="S33" s="20">
        <f t="shared" si="11"/>
        <v>558.5</v>
      </c>
      <c r="T33" s="20">
        <f t="shared" si="3"/>
        <v>167.54999999999998</v>
      </c>
      <c r="U33" s="20">
        <f>IF(AND('Total income package'!$A$18=TRUE,OR(H33="Yes",O33="Yes"),G33&lt;$G$2,$K$2-T33&gt;10),ROUNDDOWN($K$2-T33,0),0)</f>
        <v>1015</v>
      </c>
      <c r="V33" s="176">
        <f t="shared" si="12"/>
        <v>1015</v>
      </c>
      <c r="W33" s="5"/>
    </row>
    <row r="34" spans="2:23" x14ac:dyDescent="0.25">
      <c r="B34" s="72">
        <v>14000</v>
      </c>
      <c r="C34" s="19">
        <f>MAX('TANF-VIEW'!L37,'TANF-VIEW'!T37)</f>
        <v>0</v>
      </c>
      <c r="D34" s="20">
        <f t="shared" si="13"/>
        <v>1166.6666666666667</v>
      </c>
      <c r="E34" s="20">
        <f>'Total income package'!$D$80</f>
        <v>0</v>
      </c>
      <c r="F34" s="20">
        <f>'Total income package'!$H$61+'Total income package'!$F$66</f>
        <v>400</v>
      </c>
      <c r="G34" s="20">
        <f t="shared" si="4"/>
        <v>1566.6666666666667</v>
      </c>
      <c r="H34" s="20" t="str">
        <f t="shared" si="0"/>
        <v>Yes</v>
      </c>
      <c r="I34" s="20">
        <f t="shared" si="1"/>
        <v>233.33333333333337</v>
      </c>
      <c r="J34" s="20">
        <f t="shared" si="2"/>
        <v>261</v>
      </c>
      <c r="K34" s="20">
        <f t="shared" si="5"/>
        <v>1072.3333333333335</v>
      </c>
      <c r="L34" s="20">
        <f t="shared" si="6"/>
        <v>500</v>
      </c>
      <c r="M34" s="20">
        <f>'Total income package'!$B$69</f>
        <v>500</v>
      </c>
      <c r="N34" s="20">
        <f t="shared" si="7"/>
        <v>1000</v>
      </c>
      <c r="O34" s="344" t="str">
        <f t="shared" si="8"/>
        <v>Yes</v>
      </c>
      <c r="P34" s="20">
        <f t="shared" si="9"/>
        <v>536.16666666666674</v>
      </c>
      <c r="Q34" s="346">
        <f t="shared" si="10"/>
        <v>0</v>
      </c>
      <c r="R34" s="20">
        <f>IF(AND(D$2+$E$2&gt;0,N34-SNAP!P34&gt;0),N34-SNAP!P34,0)</f>
        <v>463.83333333333326</v>
      </c>
      <c r="S34" s="20">
        <f t="shared" si="11"/>
        <v>608.50000000000023</v>
      </c>
      <c r="T34" s="20">
        <f t="shared" si="3"/>
        <v>182.55000000000007</v>
      </c>
      <c r="U34" s="20">
        <f>IF(AND('Total income package'!$A$18=TRUE,OR(H34="Yes",O34="Yes"),G34&lt;$G$2,$K$2-T34&gt;10),ROUNDDOWN($K$2-T34,0),0)</f>
        <v>1000</v>
      </c>
      <c r="V34" s="176">
        <f t="shared" si="12"/>
        <v>1000</v>
      </c>
      <c r="W34" s="5"/>
    </row>
    <row r="35" spans="2:23" x14ac:dyDescent="0.25">
      <c r="B35" s="72">
        <v>14500</v>
      </c>
      <c r="C35" s="19">
        <f>MAX('TANF-VIEW'!L38,'TANF-VIEW'!T38)</f>
        <v>0</v>
      </c>
      <c r="D35" s="20">
        <f t="shared" si="13"/>
        <v>1208.3333333333333</v>
      </c>
      <c r="E35" s="20">
        <f>'Total income package'!$D$80</f>
        <v>0</v>
      </c>
      <c r="F35" s="20">
        <f>'Total income package'!$H$61+'Total income package'!$F$66</f>
        <v>400</v>
      </c>
      <c r="G35" s="20">
        <f t="shared" si="4"/>
        <v>1608.3333333333333</v>
      </c>
      <c r="H35" s="20" t="str">
        <f t="shared" si="0"/>
        <v>Yes</v>
      </c>
      <c r="I35" s="20">
        <f t="shared" si="1"/>
        <v>241.66666666666666</v>
      </c>
      <c r="J35" s="20">
        <f t="shared" si="2"/>
        <v>261</v>
      </c>
      <c r="K35" s="20">
        <f t="shared" si="5"/>
        <v>1105.6666666666665</v>
      </c>
      <c r="L35" s="20">
        <f t="shared" si="6"/>
        <v>500</v>
      </c>
      <c r="M35" s="20">
        <f>'Total income package'!$B$69</f>
        <v>500</v>
      </c>
      <c r="N35" s="20">
        <f t="shared" si="7"/>
        <v>1000</v>
      </c>
      <c r="O35" s="344" t="str">
        <f t="shared" si="8"/>
        <v>Yes</v>
      </c>
      <c r="P35" s="20">
        <f t="shared" si="9"/>
        <v>552.83333333333326</v>
      </c>
      <c r="Q35" s="346">
        <f t="shared" si="10"/>
        <v>0</v>
      </c>
      <c r="R35" s="20">
        <f>IF(AND(D$2+$E$2&gt;0,N35-SNAP!P35&gt;0),N35-SNAP!P35,0)</f>
        <v>447.16666666666674</v>
      </c>
      <c r="S35" s="20">
        <f t="shared" si="11"/>
        <v>658.49999999999977</v>
      </c>
      <c r="T35" s="20">
        <f t="shared" si="3"/>
        <v>197.54999999999993</v>
      </c>
      <c r="U35" s="20">
        <f>IF(AND('Total income package'!$A$18=TRUE,OR(H35="Yes",O35="Yes"),G35&lt;$G$2,$K$2-T35&gt;10),ROUNDDOWN($K$2-T35,0),0)</f>
        <v>985</v>
      </c>
      <c r="V35" s="176">
        <f t="shared" si="12"/>
        <v>985</v>
      </c>
      <c r="W35" s="5"/>
    </row>
    <row r="36" spans="2:23" x14ac:dyDescent="0.25">
      <c r="B36" s="72">
        <v>15000</v>
      </c>
      <c r="C36" s="19">
        <f>MAX('TANF-VIEW'!L39,'TANF-VIEW'!T39)</f>
        <v>0</v>
      </c>
      <c r="D36" s="20">
        <f t="shared" si="13"/>
        <v>1250</v>
      </c>
      <c r="E36" s="20">
        <f>'Total income package'!$D$80</f>
        <v>0</v>
      </c>
      <c r="F36" s="20">
        <f>'Total income package'!$H$61+'Total income package'!$F$66</f>
        <v>400</v>
      </c>
      <c r="G36" s="20">
        <f t="shared" si="4"/>
        <v>1650</v>
      </c>
      <c r="H36" s="20" t="str">
        <f t="shared" si="0"/>
        <v>Yes</v>
      </c>
      <c r="I36" s="20">
        <f t="shared" si="1"/>
        <v>250</v>
      </c>
      <c r="J36" s="20">
        <f t="shared" si="2"/>
        <v>261</v>
      </c>
      <c r="K36" s="20">
        <f t="shared" si="5"/>
        <v>1139</v>
      </c>
      <c r="L36" s="20">
        <f t="shared" si="6"/>
        <v>500</v>
      </c>
      <c r="M36" s="20">
        <f>'Total income package'!$B$69</f>
        <v>500</v>
      </c>
      <c r="N36" s="20">
        <f t="shared" si="7"/>
        <v>1000</v>
      </c>
      <c r="O36" s="344" t="str">
        <f t="shared" si="8"/>
        <v>Yes</v>
      </c>
      <c r="P36" s="20">
        <f t="shared" si="9"/>
        <v>569.5</v>
      </c>
      <c r="Q36" s="346">
        <f t="shared" si="10"/>
        <v>0</v>
      </c>
      <c r="R36" s="20">
        <f>IF(AND(D$2+$E$2&gt;0,N36-SNAP!P36&gt;0),N36-SNAP!P36,0)</f>
        <v>430.5</v>
      </c>
      <c r="S36" s="20">
        <f t="shared" si="11"/>
        <v>708.5</v>
      </c>
      <c r="T36" s="20">
        <f t="shared" si="3"/>
        <v>212.54999999999998</v>
      </c>
      <c r="U36" s="20">
        <f>IF(AND('Total income package'!$A$18=TRUE,OR(H36="Yes",O36="Yes"),G36&lt;$G$2,$K$2-T36&gt;10),ROUNDDOWN($K$2-T36,0),0)</f>
        <v>970</v>
      </c>
      <c r="V36" s="176">
        <f t="shared" si="12"/>
        <v>970</v>
      </c>
      <c r="W36" s="5"/>
    </row>
    <row r="37" spans="2:23" x14ac:dyDescent="0.25">
      <c r="B37" s="72">
        <v>15500</v>
      </c>
      <c r="C37" s="19">
        <f>MAX('TANF-VIEW'!L40,'TANF-VIEW'!T40)</f>
        <v>0</v>
      </c>
      <c r="D37" s="20">
        <f t="shared" si="13"/>
        <v>1291.6666666666667</v>
      </c>
      <c r="E37" s="20">
        <f>'Total income package'!$D$80</f>
        <v>0</v>
      </c>
      <c r="F37" s="20">
        <f>'Total income package'!$H$61+'Total income package'!$F$66</f>
        <v>400</v>
      </c>
      <c r="G37" s="20">
        <f t="shared" si="4"/>
        <v>1691.6666666666667</v>
      </c>
      <c r="H37" s="20" t="str">
        <f t="shared" si="0"/>
        <v>Yes</v>
      </c>
      <c r="I37" s="20">
        <f t="shared" si="1"/>
        <v>258.33333333333337</v>
      </c>
      <c r="J37" s="20">
        <f t="shared" si="2"/>
        <v>261</v>
      </c>
      <c r="K37" s="20">
        <f t="shared" si="5"/>
        <v>1172.3333333333335</v>
      </c>
      <c r="L37" s="20">
        <f t="shared" si="6"/>
        <v>500</v>
      </c>
      <c r="M37" s="20">
        <f>'Total income package'!$B$69</f>
        <v>500</v>
      </c>
      <c r="N37" s="20">
        <f t="shared" si="7"/>
        <v>1000</v>
      </c>
      <c r="O37" s="344" t="str">
        <f t="shared" si="8"/>
        <v>Yes</v>
      </c>
      <c r="P37" s="20">
        <f t="shared" si="9"/>
        <v>586.16666666666674</v>
      </c>
      <c r="Q37" s="346">
        <f t="shared" si="10"/>
        <v>0</v>
      </c>
      <c r="R37" s="20">
        <f>IF(AND(D$2+$E$2&gt;0,N37-SNAP!P37&gt;0),N37-SNAP!P37,0)</f>
        <v>413.83333333333326</v>
      </c>
      <c r="S37" s="20">
        <f t="shared" si="11"/>
        <v>758.50000000000023</v>
      </c>
      <c r="T37" s="20">
        <f t="shared" si="3"/>
        <v>227.55000000000007</v>
      </c>
      <c r="U37" s="20">
        <f>IF(AND('Total income package'!$A$18=TRUE,OR(H37="Yes",O37="Yes"),G37&lt;$G$2,$K$2-T37&gt;10),ROUNDDOWN($K$2-T37,0),0)</f>
        <v>955</v>
      </c>
      <c r="V37" s="176">
        <f t="shared" si="12"/>
        <v>955</v>
      </c>
      <c r="W37" s="5"/>
    </row>
    <row r="38" spans="2:23" x14ac:dyDescent="0.25">
      <c r="B38" s="72">
        <v>16000</v>
      </c>
      <c r="C38" s="19">
        <f>MAX('TANF-VIEW'!L41,'TANF-VIEW'!T41)</f>
        <v>0</v>
      </c>
      <c r="D38" s="20">
        <f t="shared" si="13"/>
        <v>1333.3333333333333</v>
      </c>
      <c r="E38" s="20">
        <f>'Total income package'!$D$80</f>
        <v>0</v>
      </c>
      <c r="F38" s="20">
        <f>'Total income package'!$H$61+'Total income package'!$F$66</f>
        <v>400</v>
      </c>
      <c r="G38" s="20">
        <f t="shared" si="4"/>
        <v>1733.3333333333333</v>
      </c>
      <c r="H38" s="20" t="str">
        <f t="shared" si="0"/>
        <v>Yes</v>
      </c>
      <c r="I38" s="20">
        <f t="shared" si="1"/>
        <v>266.66666666666669</v>
      </c>
      <c r="J38" s="20">
        <f t="shared" si="2"/>
        <v>261</v>
      </c>
      <c r="K38" s="20">
        <f t="shared" si="5"/>
        <v>1205.6666666666665</v>
      </c>
      <c r="L38" s="20">
        <f t="shared" si="6"/>
        <v>500</v>
      </c>
      <c r="M38" s="20">
        <f>'Total income package'!$B$69</f>
        <v>500</v>
      </c>
      <c r="N38" s="20">
        <f t="shared" si="7"/>
        <v>1000</v>
      </c>
      <c r="O38" s="344" t="str">
        <f t="shared" si="8"/>
        <v>Yes</v>
      </c>
      <c r="P38" s="20">
        <f t="shared" si="9"/>
        <v>602.83333333333326</v>
      </c>
      <c r="Q38" s="346">
        <f t="shared" si="10"/>
        <v>0</v>
      </c>
      <c r="R38" s="20">
        <f>IF(AND(D$2+$E$2&gt;0,N38-SNAP!P38&gt;0),N38-SNAP!P38,0)</f>
        <v>397.16666666666674</v>
      </c>
      <c r="S38" s="20">
        <f t="shared" si="11"/>
        <v>808.49999999999977</v>
      </c>
      <c r="T38" s="20">
        <f t="shared" si="3"/>
        <v>242.54999999999993</v>
      </c>
      <c r="U38" s="20">
        <f>IF(AND('Total income package'!$A$18=TRUE,OR(H38="Yes",O38="Yes"),G38&lt;$G$2,$K$2-T38&gt;10),ROUNDDOWN($K$2-T38,0),0)</f>
        <v>940</v>
      </c>
      <c r="V38" s="176">
        <f t="shared" si="12"/>
        <v>940</v>
      </c>
      <c r="W38" s="5"/>
    </row>
    <row r="39" spans="2:23" x14ac:dyDescent="0.25">
      <c r="B39" s="72">
        <v>16500</v>
      </c>
      <c r="C39" s="19">
        <f>MAX('TANF-VIEW'!L42,'TANF-VIEW'!T42)</f>
        <v>0</v>
      </c>
      <c r="D39" s="20">
        <f t="shared" si="13"/>
        <v>1375</v>
      </c>
      <c r="E39" s="20">
        <f>'Total income package'!$D$80</f>
        <v>0</v>
      </c>
      <c r="F39" s="20">
        <f>'Total income package'!$H$61+'Total income package'!$F$66</f>
        <v>400</v>
      </c>
      <c r="G39" s="20">
        <f t="shared" si="4"/>
        <v>1775</v>
      </c>
      <c r="H39" s="20" t="str">
        <f t="shared" si="0"/>
        <v>Yes</v>
      </c>
      <c r="I39" s="20">
        <f t="shared" si="1"/>
        <v>275</v>
      </c>
      <c r="J39" s="20">
        <f t="shared" si="2"/>
        <v>261</v>
      </c>
      <c r="K39" s="20">
        <f t="shared" si="5"/>
        <v>1239</v>
      </c>
      <c r="L39" s="20">
        <f t="shared" si="6"/>
        <v>500</v>
      </c>
      <c r="M39" s="20">
        <f>'Total income package'!$B$69</f>
        <v>500</v>
      </c>
      <c r="N39" s="20">
        <f t="shared" si="7"/>
        <v>1000</v>
      </c>
      <c r="O39" s="344" t="str">
        <f t="shared" si="8"/>
        <v>Yes</v>
      </c>
      <c r="P39" s="20">
        <f t="shared" si="9"/>
        <v>619.5</v>
      </c>
      <c r="Q39" s="346">
        <f t="shared" si="10"/>
        <v>0</v>
      </c>
      <c r="R39" s="20">
        <f>IF(AND(D$2+$E$2&gt;0,N39-SNAP!P39&gt;0),N39-SNAP!P39,0)</f>
        <v>380.5</v>
      </c>
      <c r="S39" s="20">
        <f t="shared" si="11"/>
        <v>858.5</v>
      </c>
      <c r="T39" s="20">
        <f t="shared" si="3"/>
        <v>257.55</v>
      </c>
      <c r="U39" s="20">
        <f>IF(AND('Total income package'!$A$18=TRUE,OR(H39="Yes",O39="Yes"),G39&lt;$G$2,$K$2-T39&gt;10),ROUNDDOWN($K$2-T39,0),0)</f>
        <v>925</v>
      </c>
      <c r="V39" s="176">
        <f t="shared" si="12"/>
        <v>925</v>
      </c>
      <c r="W39" s="5"/>
    </row>
    <row r="40" spans="2:23" x14ac:dyDescent="0.25">
      <c r="B40" s="72">
        <v>17000</v>
      </c>
      <c r="C40" s="19">
        <f>MAX('TANF-VIEW'!L43,'TANF-VIEW'!T43)</f>
        <v>0</v>
      </c>
      <c r="D40" s="20">
        <f t="shared" si="13"/>
        <v>1416.6666666666667</v>
      </c>
      <c r="E40" s="20">
        <f>'Total income package'!$D$80</f>
        <v>0</v>
      </c>
      <c r="F40" s="20">
        <f>'Total income package'!$H$61+'Total income package'!$F$66</f>
        <v>400</v>
      </c>
      <c r="G40" s="20">
        <f t="shared" si="4"/>
        <v>1816.6666666666667</v>
      </c>
      <c r="H40" s="20" t="str">
        <f t="shared" si="0"/>
        <v>Yes</v>
      </c>
      <c r="I40" s="20">
        <f t="shared" si="1"/>
        <v>283.33333333333337</v>
      </c>
      <c r="J40" s="20">
        <f t="shared" si="2"/>
        <v>261</v>
      </c>
      <c r="K40" s="20">
        <f t="shared" si="5"/>
        <v>1272.3333333333335</v>
      </c>
      <c r="L40" s="20">
        <f t="shared" si="6"/>
        <v>500</v>
      </c>
      <c r="M40" s="20">
        <f>'Total income package'!$B$69</f>
        <v>500</v>
      </c>
      <c r="N40" s="20">
        <f t="shared" si="7"/>
        <v>1000</v>
      </c>
      <c r="O40" s="344" t="str">
        <f t="shared" si="8"/>
        <v>Yes</v>
      </c>
      <c r="P40" s="20">
        <f t="shared" si="9"/>
        <v>636.16666666666674</v>
      </c>
      <c r="Q40" s="346">
        <f t="shared" si="10"/>
        <v>0</v>
      </c>
      <c r="R40" s="20">
        <f>IF(AND(D$2+$E$2&gt;0,N40-SNAP!P40&gt;0),N40-SNAP!P40,0)</f>
        <v>363.83333333333326</v>
      </c>
      <c r="S40" s="20">
        <f t="shared" si="11"/>
        <v>908.50000000000023</v>
      </c>
      <c r="T40" s="20">
        <f t="shared" si="3"/>
        <v>272.55000000000007</v>
      </c>
      <c r="U40" s="20">
        <f>IF(AND('Total income package'!$A$18=TRUE,OR(H40="Yes",O40="Yes"),G40&lt;$G$2,$K$2-T40&gt;10),ROUNDDOWN($K$2-T40,0),0)</f>
        <v>910</v>
      </c>
      <c r="V40" s="176">
        <f t="shared" si="12"/>
        <v>910</v>
      </c>
      <c r="W40" s="5"/>
    </row>
    <row r="41" spans="2:23" x14ac:dyDescent="0.25">
      <c r="B41" s="72">
        <v>17500</v>
      </c>
      <c r="C41" s="19">
        <f>MAX('TANF-VIEW'!L44,'TANF-VIEW'!T44)</f>
        <v>0</v>
      </c>
      <c r="D41" s="20">
        <f t="shared" si="13"/>
        <v>1458.3333333333333</v>
      </c>
      <c r="E41" s="20">
        <f>'Total income package'!$D$80</f>
        <v>0</v>
      </c>
      <c r="F41" s="20">
        <f>'Total income package'!$H$61+'Total income package'!$F$66</f>
        <v>400</v>
      </c>
      <c r="G41" s="20">
        <f t="shared" si="4"/>
        <v>1858.3333333333333</v>
      </c>
      <c r="H41" s="20" t="str">
        <f t="shared" si="0"/>
        <v>Yes</v>
      </c>
      <c r="I41" s="20">
        <f t="shared" si="1"/>
        <v>291.66666666666669</v>
      </c>
      <c r="J41" s="20">
        <f t="shared" si="2"/>
        <v>261</v>
      </c>
      <c r="K41" s="20">
        <f t="shared" si="5"/>
        <v>1305.6666666666665</v>
      </c>
      <c r="L41" s="20">
        <f t="shared" si="6"/>
        <v>500</v>
      </c>
      <c r="M41" s="20">
        <f>'Total income package'!$B$69</f>
        <v>500</v>
      </c>
      <c r="N41" s="20">
        <f t="shared" si="7"/>
        <v>1000</v>
      </c>
      <c r="O41" s="344" t="str">
        <f t="shared" si="8"/>
        <v>Yes</v>
      </c>
      <c r="P41" s="20">
        <f t="shared" si="9"/>
        <v>652.83333333333326</v>
      </c>
      <c r="Q41" s="346">
        <f t="shared" si="10"/>
        <v>0</v>
      </c>
      <c r="R41" s="20">
        <f>IF(AND(D$2+$E$2&gt;0,N41-SNAP!P41&gt;0),N41-SNAP!P41,0)</f>
        <v>347.16666666666674</v>
      </c>
      <c r="S41" s="20">
        <f t="shared" si="11"/>
        <v>958.49999999999977</v>
      </c>
      <c r="T41" s="20">
        <f t="shared" si="3"/>
        <v>287.5499999999999</v>
      </c>
      <c r="U41" s="20">
        <f>IF(AND('Total income package'!$A$18=TRUE,OR(H41="Yes",O41="Yes"),G41&lt;$G$2,$K$2-T41&gt;10),ROUNDDOWN($K$2-T41,0),0)</f>
        <v>895</v>
      </c>
      <c r="V41" s="176">
        <f t="shared" si="12"/>
        <v>895</v>
      </c>
      <c r="W41" s="5"/>
    </row>
    <row r="42" spans="2:23" x14ac:dyDescent="0.25">
      <c r="B42" s="72">
        <v>18000</v>
      </c>
      <c r="C42" s="19">
        <f>MAX('TANF-VIEW'!L45,'TANF-VIEW'!T45)</f>
        <v>0</v>
      </c>
      <c r="D42" s="20">
        <f t="shared" si="13"/>
        <v>1500</v>
      </c>
      <c r="E42" s="20">
        <f>'Total income package'!$D$80</f>
        <v>0</v>
      </c>
      <c r="F42" s="20">
        <f>'Total income package'!$H$61+'Total income package'!$F$66</f>
        <v>400</v>
      </c>
      <c r="G42" s="20">
        <f t="shared" si="4"/>
        <v>1900</v>
      </c>
      <c r="H42" s="20" t="str">
        <f t="shared" si="0"/>
        <v>Yes</v>
      </c>
      <c r="I42" s="20">
        <f t="shared" si="1"/>
        <v>300</v>
      </c>
      <c r="J42" s="20">
        <f t="shared" si="2"/>
        <v>261</v>
      </c>
      <c r="K42" s="20">
        <f t="shared" si="5"/>
        <v>1339</v>
      </c>
      <c r="L42" s="20">
        <f t="shared" si="6"/>
        <v>500</v>
      </c>
      <c r="M42" s="20">
        <f>'Total income package'!$B$69</f>
        <v>500</v>
      </c>
      <c r="N42" s="20">
        <f t="shared" si="7"/>
        <v>1000</v>
      </c>
      <c r="O42" s="344" t="str">
        <f t="shared" si="8"/>
        <v>Yes</v>
      </c>
      <c r="P42" s="20">
        <f t="shared" si="9"/>
        <v>669.5</v>
      </c>
      <c r="Q42" s="346">
        <f t="shared" si="10"/>
        <v>0</v>
      </c>
      <c r="R42" s="20">
        <f>IF(AND(D$2+$E$2&gt;0,N42-SNAP!P42&gt;0),N42-SNAP!P42,0)</f>
        <v>330.5</v>
      </c>
      <c r="S42" s="20">
        <f t="shared" si="11"/>
        <v>1008.5</v>
      </c>
      <c r="T42" s="20">
        <f t="shared" si="3"/>
        <v>302.55</v>
      </c>
      <c r="U42" s="20">
        <f>IF(AND('Total income package'!$A$18=TRUE,OR(H42="Yes",O42="Yes"),G42&lt;$G$2,$K$2-T42&gt;10),ROUNDDOWN($K$2-T42,0),0)</f>
        <v>880</v>
      </c>
      <c r="V42" s="176">
        <f t="shared" si="12"/>
        <v>880</v>
      </c>
      <c r="W42" s="5"/>
    </row>
    <row r="43" spans="2:23" x14ac:dyDescent="0.25">
      <c r="B43" s="72">
        <v>18500</v>
      </c>
      <c r="C43" s="19">
        <f>MAX('TANF-VIEW'!L46,'TANF-VIEW'!T46)</f>
        <v>0</v>
      </c>
      <c r="D43" s="20">
        <f t="shared" si="13"/>
        <v>1541.6666666666667</v>
      </c>
      <c r="E43" s="20">
        <f>'Total income package'!$D$80</f>
        <v>0</v>
      </c>
      <c r="F43" s="20">
        <f>'Total income package'!$H$61+'Total income package'!$F$66</f>
        <v>400</v>
      </c>
      <c r="G43" s="20">
        <f t="shared" si="4"/>
        <v>1941.6666666666667</v>
      </c>
      <c r="H43" s="20" t="str">
        <f t="shared" si="0"/>
        <v>Yes</v>
      </c>
      <c r="I43" s="20">
        <f t="shared" si="1"/>
        <v>308.33333333333337</v>
      </c>
      <c r="J43" s="20">
        <f t="shared" si="2"/>
        <v>261</v>
      </c>
      <c r="K43" s="20">
        <f t="shared" si="5"/>
        <v>1372.3333333333335</v>
      </c>
      <c r="L43" s="20">
        <f t="shared" si="6"/>
        <v>500</v>
      </c>
      <c r="M43" s="20">
        <f>'Total income package'!$B$69</f>
        <v>500</v>
      </c>
      <c r="N43" s="20">
        <f t="shared" si="7"/>
        <v>1000</v>
      </c>
      <c r="O43" s="344" t="str">
        <f t="shared" si="8"/>
        <v>Yes</v>
      </c>
      <c r="P43" s="20">
        <f t="shared" si="9"/>
        <v>686.16666666666674</v>
      </c>
      <c r="Q43" s="346">
        <f t="shared" si="10"/>
        <v>0</v>
      </c>
      <c r="R43" s="20">
        <f>IF(AND(D$2+$E$2&gt;0,N43-SNAP!P43&gt;0),N43-SNAP!P43,0)</f>
        <v>313.83333333333326</v>
      </c>
      <c r="S43" s="20">
        <f t="shared" si="11"/>
        <v>1058.5000000000002</v>
      </c>
      <c r="T43" s="20">
        <f t="shared" si="3"/>
        <v>317.55000000000007</v>
      </c>
      <c r="U43" s="20">
        <f>IF(AND('Total income package'!$A$18=TRUE,OR(H43="Yes",O43="Yes"),G43&lt;$G$2,$K$2-T43&gt;10),ROUNDDOWN($K$2-T43,0),0)</f>
        <v>865</v>
      </c>
      <c r="V43" s="176">
        <f t="shared" si="12"/>
        <v>865</v>
      </c>
      <c r="W43" s="5"/>
    </row>
    <row r="44" spans="2:23" x14ac:dyDescent="0.25">
      <c r="B44" s="72">
        <v>19000</v>
      </c>
      <c r="C44" s="19">
        <f>MAX('TANF-VIEW'!L47,'TANF-VIEW'!T47)</f>
        <v>0</v>
      </c>
      <c r="D44" s="20">
        <f t="shared" si="13"/>
        <v>1583.3333333333333</v>
      </c>
      <c r="E44" s="20">
        <f>'Total income package'!$D$80</f>
        <v>0</v>
      </c>
      <c r="F44" s="20">
        <f>'Total income package'!$H$61+'Total income package'!$F$66</f>
        <v>400</v>
      </c>
      <c r="G44" s="20">
        <f t="shared" si="4"/>
        <v>1983.3333333333333</v>
      </c>
      <c r="H44" s="20" t="str">
        <f t="shared" si="0"/>
        <v>Yes</v>
      </c>
      <c r="I44" s="20">
        <f t="shared" si="1"/>
        <v>316.66666666666669</v>
      </c>
      <c r="J44" s="20">
        <f t="shared" si="2"/>
        <v>261</v>
      </c>
      <c r="K44" s="20">
        <f t="shared" si="5"/>
        <v>1405.6666666666665</v>
      </c>
      <c r="L44" s="20">
        <f t="shared" si="6"/>
        <v>500</v>
      </c>
      <c r="M44" s="20">
        <f>'Total income package'!$B$69</f>
        <v>500</v>
      </c>
      <c r="N44" s="20">
        <f t="shared" si="7"/>
        <v>1000</v>
      </c>
      <c r="O44" s="344" t="str">
        <f t="shared" si="8"/>
        <v>Yes</v>
      </c>
      <c r="P44" s="20">
        <f t="shared" si="9"/>
        <v>702.83333333333326</v>
      </c>
      <c r="Q44" s="346">
        <f t="shared" si="10"/>
        <v>0</v>
      </c>
      <c r="R44" s="20">
        <f>IF(AND(D$2+$E$2&gt;0,N44-SNAP!P44&gt;0),N44-SNAP!P44,0)</f>
        <v>297.16666666666674</v>
      </c>
      <c r="S44" s="20">
        <f t="shared" si="11"/>
        <v>1108.4999999999998</v>
      </c>
      <c r="T44" s="20">
        <f t="shared" si="3"/>
        <v>332.5499999999999</v>
      </c>
      <c r="U44" s="20">
        <f>IF(AND('Total income package'!$A$18=TRUE,OR(H44="Yes",O44="Yes"),G44&lt;$G$2,$K$2-T44&gt;10),ROUNDDOWN($K$2-T44,0),0)</f>
        <v>850</v>
      </c>
      <c r="V44" s="176">
        <f t="shared" si="12"/>
        <v>850</v>
      </c>
      <c r="W44" s="5"/>
    </row>
    <row r="45" spans="2:23" x14ac:dyDescent="0.25">
      <c r="B45" s="72">
        <v>19500</v>
      </c>
      <c r="C45" s="19">
        <f>MAX('TANF-VIEW'!L48,'TANF-VIEW'!T48)</f>
        <v>0</v>
      </c>
      <c r="D45" s="20">
        <f t="shared" si="13"/>
        <v>1625</v>
      </c>
      <c r="E45" s="20">
        <f>'Total income package'!$D$80</f>
        <v>0</v>
      </c>
      <c r="F45" s="20">
        <f>'Total income package'!$H$61+'Total income package'!$F$66</f>
        <v>400</v>
      </c>
      <c r="G45" s="20">
        <f t="shared" si="4"/>
        <v>2025</v>
      </c>
      <c r="H45" s="20" t="str">
        <f t="shared" si="0"/>
        <v>Yes</v>
      </c>
      <c r="I45" s="20">
        <f t="shared" si="1"/>
        <v>325</v>
      </c>
      <c r="J45" s="20">
        <f t="shared" si="2"/>
        <v>261</v>
      </c>
      <c r="K45" s="20">
        <f t="shared" si="5"/>
        <v>1439</v>
      </c>
      <c r="L45" s="20">
        <f t="shared" si="6"/>
        <v>500</v>
      </c>
      <c r="M45" s="20">
        <f>'Total income package'!$B$69</f>
        <v>500</v>
      </c>
      <c r="N45" s="20">
        <f t="shared" si="7"/>
        <v>1000</v>
      </c>
      <c r="O45" s="344" t="str">
        <f t="shared" si="8"/>
        <v>Yes</v>
      </c>
      <c r="P45" s="20">
        <f t="shared" si="9"/>
        <v>719.5</v>
      </c>
      <c r="Q45" s="346">
        <f t="shared" si="10"/>
        <v>0</v>
      </c>
      <c r="R45" s="20">
        <f>IF(AND(D$2+$E$2&gt;0,N45-SNAP!P45&gt;0),N45-SNAP!P45,0)</f>
        <v>280.5</v>
      </c>
      <c r="S45" s="20">
        <f t="shared" si="11"/>
        <v>1158.5</v>
      </c>
      <c r="T45" s="20">
        <f t="shared" si="3"/>
        <v>347.55</v>
      </c>
      <c r="U45" s="20">
        <f>IF(AND('Total income package'!$A$18=TRUE,OR(H45="Yes",O45="Yes"),G45&lt;$G$2,$K$2-T45&gt;10),ROUNDDOWN($K$2-T45,0),0)</f>
        <v>835</v>
      </c>
      <c r="V45" s="176">
        <f t="shared" si="12"/>
        <v>835</v>
      </c>
      <c r="W45" s="5"/>
    </row>
    <row r="46" spans="2:23" x14ac:dyDescent="0.25">
      <c r="B46" s="72">
        <v>20000</v>
      </c>
      <c r="C46" s="19">
        <f>MAX('TANF-VIEW'!L49,'TANF-VIEW'!T49)</f>
        <v>0</v>
      </c>
      <c r="D46" s="20">
        <f t="shared" si="13"/>
        <v>1666.6666666666667</v>
      </c>
      <c r="E46" s="20">
        <f>'Total income package'!$D$80</f>
        <v>0</v>
      </c>
      <c r="F46" s="20">
        <f>'Total income package'!$H$61+'Total income package'!$F$66</f>
        <v>400</v>
      </c>
      <c r="G46" s="20">
        <f t="shared" si="4"/>
        <v>2066.666666666667</v>
      </c>
      <c r="H46" s="20" t="str">
        <f t="shared" si="0"/>
        <v>Yes</v>
      </c>
      <c r="I46" s="20">
        <f t="shared" si="1"/>
        <v>333.33333333333337</v>
      </c>
      <c r="J46" s="20">
        <f t="shared" si="2"/>
        <v>261</v>
      </c>
      <c r="K46" s="20">
        <f t="shared" si="5"/>
        <v>1472.3333333333335</v>
      </c>
      <c r="L46" s="20">
        <f t="shared" si="6"/>
        <v>500</v>
      </c>
      <c r="M46" s="20">
        <f>'Total income package'!$B$69</f>
        <v>500</v>
      </c>
      <c r="N46" s="20">
        <f t="shared" si="7"/>
        <v>1000</v>
      </c>
      <c r="O46" s="344" t="str">
        <f t="shared" si="8"/>
        <v>Yes</v>
      </c>
      <c r="P46" s="20">
        <f t="shared" si="9"/>
        <v>736.16666666666674</v>
      </c>
      <c r="Q46" s="346">
        <f t="shared" si="10"/>
        <v>0</v>
      </c>
      <c r="R46" s="20">
        <f>IF(AND(D$2+$E$2&gt;0,N46-SNAP!P46&gt;0),N46-SNAP!P46,0)</f>
        <v>263.83333333333326</v>
      </c>
      <c r="S46" s="20">
        <f t="shared" si="11"/>
        <v>1208.5000000000002</v>
      </c>
      <c r="T46" s="20">
        <f t="shared" si="3"/>
        <v>362.55000000000007</v>
      </c>
      <c r="U46" s="20">
        <f>IF(AND('Total income package'!$A$18=TRUE,OR(H46="Yes",O46="Yes"),G46&lt;$G$2,$K$2-T46&gt;10),ROUNDDOWN($K$2-T46,0),0)</f>
        <v>820</v>
      </c>
      <c r="V46" s="176">
        <f t="shared" si="12"/>
        <v>820</v>
      </c>
      <c r="W46" s="5"/>
    </row>
    <row r="47" spans="2:23" x14ac:dyDescent="0.25">
      <c r="B47" s="72">
        <v>20500</v>
      </c>
      <c r="C47" s="19">
        <f>MAX('TANF-VIEW'!L50,'TANF-VIEW'!T50)</f>
        <v>0</v>
      </c>
      <c r="D47" s="20">
        <f t="shared" si="13"/>
        <v>1708.3333333333333</v>
      </c>
      <c r="E47" s="20">
        <f>'Total income package'!$D$80</f>
        <v>0</v>
      </c>
      <c r="F47" s="20">
        <f>'Total income package'!$H$61+'Total income package'!$F$66</f>
        <v>400</v>
      </c>
      <c r="G47" s="20">
        <f t="shared" si="4"/>
        <v>2108.333333333333</v>
      </c>
      <c r="H47" s="20" t="str">
        <f t="shared" si="0"/>
        <v>Yes</v>
      </c>
      <c r="I47" s="20">
        <f t="shared" si="1"/>
        <v>341.66666666666669</v>
      </c>
      <c r="J47" s="20">
        <f t="shared" si="2"/>
        <v>261</v>
      </c>
      <c r="K47" s="20">
        <f t="shared" si="5"/>
        <v>1505.6666666666663</v>
      </c>
      <c r="L47" s="20">
        <f t="shared" si="6"/>
        <v>500</v>
      </c>
      <c r="M47" s="20">
        <f>'Total income package'!$B$69</f>
        <v>500</v>
      </c>
      <c r="N47" s="20">
        <f t="shared" si="7"/>
        <v>1000</v>
      </c>
      <c r="O47" s="344" t="str">
        <f t="shared" si="8"/>
        <v>Yes</v>
      </c>
      <c r="P47" s="20">
        <f t="shared" si="9"/>
        <v>752.83333333333314</v>
      </c>
      <c r="Q47" s="346">
        <f t="shared" si="10"/>
        <v>0</v>
      </c>
      <c r="R47" s="20">
        <f>IF(AND(D$2+$E$2&gt;0,N47-SNAP!P47&gt;0),N47-SNAP!P47,0)</f>
        <v>247.16666666666686</v>
      </c>
      <c r="S47" s="20">
        <f t="shared" si="11"/>
        <v>1258.4999999999995</v>
      </c>
      <c r="T47" s="20">
        <f t="shared" si="3"/>
        <v>377.54999999999984</v>
      </c>
      <c r="U47" s="20">
        <f>IF(AND('Total income package'!$A$18=TRUE,OR(H47="Yes",O47="Yes"),G47&lt;$G$2,$K$2-T47&gt;10),ROUNDDOWN($K$2-T47,0),0)</f>
        <v>805</v>
      </c>
      <c r="V47" s="176">
        <f t="shared" si="12"/>
        <v>805</v>
      </c>
      <c r="W47" s="5"/>
    </row>
    <row r="48" spans="2:23" x14ac:dyDescent="0.25">
      <c r="B48" s="72">
        <v>21000</v>
      </c>
      <c r="C48" s="19">
        <f>MAX('TANF-VIEW'!L51,'TANF-VIEW'!T51)</f>
        <v>0</v>
      </c>
      <c r="D48" s="20">
        <f t="shared" si="13"/>
        <v>1750</v>
      </c>
      <c r="E48" s="20">
        <f>'Total income package'!$D$80</f>
        <v>0</v>
      </c>
      <c r="F48" s="20">
        <f>'Total income package'!$H$61+'Total income package'!$F$66</f>
        <v>400</v>
      </c>
      <c r="G48" s="20">
        <f t="shared" si="4"/>
        <v>2150</v>
      </c>
      <c r="H48" s="20" t="str">
        <f t="shared" si="0"/>
        <v>Yes</v>
      </c>
      <c r="I48" s="20">
        <f t="shared" si="1"/>
        <v>350</v>
      </c>
      <c r="J48" s="20">
        <f t="shared" si="2"/>
        <v>261</v>
      </c>
      <c r="K48" s="20">
        <f t="shared" si="5"/>
        <v>1539</v>
      </c>
      <c r="L48" s="20">
        <f t="shared" si="6"/>
        <v>500</v>
      </c>
      <c r="M48" s="20">
        <f>'Total income package'!$B$69</f>
        <v>500</v>
      </c>
      <c r="N48" s="20">
        <f t="shared" si="7"/>
        <v>1000</v>
      </c>
      <c r="O48" s="344" t="str">
        <f t="shared" si="8"/>
        <v>Yes</v>
      </c>
      <c r="P48" s="20">
        <f t="shared" si="9"/>
        <v>769.5</v>
      </c>
      <c r="Q48" s="346">
        <f t="shared" si="10"/>
        <v>0</v>
      </c>
      <c r="R48" s="20">
        <f>IF(AND(D$2+$E$2&gt;0,N48-SNAP!P48&gt;0),N48-SNAP!P48,0)</f>
        <v>230.5</v>
      </c>
      <c r="S48" s="20">
        <f t="shared" si="11"/>
        <v>1308.5</v>
      </c>
      <c r="T48" s="20">
        <f t="shared" si="3"/>
        <v>392.55</v>
      </c>
      <c r="U48" s="20">
        <f>IF(AND('Total income package'!$A$18=TRUE,OR(H48="Yes",O48="Yes"),G48&lt;$G$2,$K$2-T48&gt;10),ROUNDDOWN($K$2-T48,0),0)</f>
        <v>790</v>
      </c>
      <c r="V48" s="176">
        <f t="shared" si="12"/>
        <v>790</v>
      </c>
      <c r="W48" s="25"/>
    </row>
    <row r="49" spans="2:23" x14ac:dyDescent="0.25">
      <c r="B49" s="72">
        <v>21500</v>
      </c>
      <c r="C49" s="19">
        <f>MAX('TANF-VIEW'!L52,'TANF-VIEW'!T52)</f>
        <v>0</v>
      </c>
      <c r="D49" s="20">
        <f t="shared" si="13"/>
        <v>1791.6666666666667</v>
      </c>
      <c r="E49" s="20">
        <f>'Total income package'!$D$80</f>
        <v>0</v>
      </c>
      <c r="F49" s="20">
        <f>'Total income package'!$H$61+'Total income package'!$F$66</f>
        <v>400</v>
      </c>
      <c r="G49" s="20">
        <f t="shared" si="4"/>
        <v>2191.666666666667</v>
      </c>
      <c r="H49" s="20" t="str">
        <f t="shared" si="0"/>
        <v>Yes</v>
      </c>
      <c r="I49" s="20">
        <f t="shared" si="1"/>
        <v>358.33333333333337</v>
      </c>
      <c r="J49" s="20">
        <f t="shared" si="2"/>
        <v>261</v>
      </c>
      <c r="K49" s="20">
        <f t="shared" si="5"/>
        <v>1572.3333333333335</v>
      </c>
      <c r="L49" s="20">
        <f t="shared" si="6"/>
        <v>500</v>
      </c>
      <c r="M49" s="20">
        <f>'Total income package'!$B$69</f>
        <v>500</v>
      </c>
      <c r="N49" s="20">
        <f t="shared" si="7"/>
        <v>1000</v>
      </c>
      <c r="O49" s="344" t="str">
        <f t="shared" si="8"/>
        <v>Yes</v>
      </c>
      <c r="P49" s="20">
        <f t="shared" si="9"/>
        <v>786.16666666666674</v>
      </c>
      <c r="Q49" s="346">
        <f t="shared" si="10"/>
        <v>0</v>
      </c>
      <c r="R49" s="20">
        <f>IF(AND(D$2+$E$2&gt;0,N49-SNAP!P49&gt;0),N49-SNAP!P49,0)</f>
        <v>213.83333333333326</v>
      </c>
      <c r="S49" s="20">
        <f t="shared" si="11"/>
        <v>1358.5000000000002</v>
      </c>
      <c r="T49" s="20">
        <f t="shared" si="3"/>
        <v>407.55000000000007</v>
      </c>
      <c r="U49" s="20">
        <f>IF(AND('Total income package'!$A$18=TRUE,OR(H49="Yes",O49="Yes"),G49&lt;$G$2,$K$2-T49&gt;10),ROUNDDOWN($K$2-T49,0),0)</f>
        <v>775</v>
      </c>
      <c r="V49" s="176">
        <f t="shared" si="12"/>
        <v>775</v>
      </c>
      <c r="W49" s="5"/>
    </row>
    <row r="50" spans="2:23" x14ac:dyDescent="0.25">
      <c r="B50" s="72">
        <v>22000</v>
      </c>
      <c r="C50" s="19">
        <f>MAX('TANF-VIEW'!L53,'TANF-VIEW'!T53)</f>
        <v>0</v>
      </c>
      <c r="D50" s="20">
        <f t="shared" si="13"/>
        <v>1833.3333333333333</v>
      </c>
      <c r="E50" s="20">
        <f>'Total income package'!$D$80</f>
        <v>0</v>
      </c>
      <c r="F50" s="20">
        <f>'Total income package'!$H$61+'Total income package'!$F$66</f>
        <v>400</v>
      </c>
      <c r="G50" s="20">
        <f t="shared" si="4"/>
        <v>2233.333333333333</v>
      </c>
      <c r="H50" s="20" t="str">
        <f t="shared" si="0"/>
        <v>Yes</v>
      </c>
      <c r="I50" s="20">
        <f t="shared" si="1"/>
        <v>366.66666666666669</v>
      </c>
      <c r="J50" s="20">
        <f t="shared" si="2"/>
        <v>261</v>
      </c>
      <c r="K50" s="20">
        <f t="shared" si="5"/>
        <v>1605.6666666666663</v>
      </c>
      <c r="L50" s="20">
        <f t="shared" si="6"/>
        <v>500</v>
      </c>
      <c r="M50" s="20">
        <f>'Total income package'!$B$69</f>
        <v>500</v>
      </c>
      <c r="N50" s="20">
        <f t="shared" si="7"/>
        <v>1000</v>
      </c>
      <c r="O50" s="344" t="str">
        <f t="shared" si="8"/>
        <v>Yes</v>
      </c>
      <c r="P50" s="20">
        <f t="shared" si="9"/>
        <v>802.83333333333314</v>
      </c>
      <c r="Q50" s="346">
        <f t="shared" si="10"/>
        <v>0</v>
      </c>
      <c r="R50" s="20">
        <f>IF(AND(D$2+$E$2&gt;0,N50-SNAP!P50&gt;0),N50-SNAP!P50,0)</f>
        <v>197.16666666666686</v>
      </c>
      <c r="S50" s="20">
        <f t="shared" si="11"/>
        <v>1408.4999999999995</v>
      </c>
      <c r="T50" s="20">
        <f t="shared" si="3"/>
        <v>422.54999999999984</v>
      </c>
      <c r="U50" s="20">
        <f>IF(AND('Total income package'!$A$18=TRUE,OR(H50="Yes",O50="Yes"),G50&lt;$G$2,$K$2-T50&gt;10),ROUNDDOWN($K$2-T50,0),0)</f>
        <v>760</v>
      </c>
      <c r="V50" s="176">
        <f t="shared" si="12"/>
        <v>760</v>
      </c>
      <c r="W50" s="5"/>
    </row>
    <row r="51" spans="2:23" x14ac:dyDescent="0.25">
      <c r="B51" s="72">
        <v>22500</v>
      </c>
      <c r="C51" s="19">
        <f>MAX('TANF-VIEW'!L54,'TANF-VIEW'!T54)</f>
        <v>0</v>
      </c>
      <c r="D51" s="20">
        <f t="shared" si="13"/>
        <v>1875</v>
      </c>
      <c r="E51" s="20">
        <f>'Total income package'!$D$80</f>
        <v>0</v>
      </c>
      <c r="F51" s="20">
        <f>'Total income package'!$H$61+'Total income package'!$F$66</f>
        <v>400</v>
      </c>
      <c r="G51" s="20">
        <f t="shared" si="4"/>
        <v>2275</v>
      </c>
      <c r="H51" s="20" t="str">
        <f t="shared" si="0"/>
        <v>Yes</v>
      </c>
      <c r="I51" s="20">
        <f t="shared" si="1"/>
        <v>375</v>
      </c>
      <c r="J51" s="20">
        <f t="shared" si="2"/>
        <v>261</v>
      </c>
      <c r="K51" s="20">
        <f t="shared" si="5"/>
        <v>1639</v>
      </c>
      <c r="L51" s="20">
        <f t="shared" si="6"/>
        <v>500</v>
      </c>
      <c r="M51" s="20">
        <f>'Total income package'!$B$69</f>
        <v>500</v>
      </c>
      <c r="N51" s="20">
        <f t="shared" si="7"/>
        <v>1000</v>
      </c>
      <c r="O51" s="344" t="str">
        <f t="shared" si="8"/>
        <v>Yes</v>
      </c>
      <c r="P51" s="20">
        <f t="shared" si="9"/>
        <v>819.5</v>
      </c>
      <c r="Q51" s="346">
        <f t="shared" si="10"/>
        <v>0</v>
      </c>
      <c r="R51" s="20">
        <f>IF(AND(D$2+$E$2&gt;0,N51-SNAP!P51&gt;0),N51-SNAP!P51,0)</f>
        <v>180.5</v>
      </c>
      <c r="S51" s="20">
        <f t="shared" si="11"/>
        <v>1458.5</v>
      </c>
      <c r="T51" s="20">
        <f t="shared" si="3"/>
        <v>437.55</v>
      </c>
      <c r="U51" s="20">
        <f>IF(AND('Total income package'!$A$18=TRUE,OR(H51="Yes",O51="Yes"),G51&lt;$G$2,$K$2-T51&gt;10),ROUNDDOWN($K$2-T51,0),0)</f>
        <v>745</v>
      </c>
      <c r="V51" s="176">
        <f t="shared" si="12"/>
        <v>745</v>
      </c>
      <c r="W51" s="5"/>
    </row>
    <row r="52" spans="2:23" x14ac:dyDescent="0.25">
      <c r="B52" s="72">
        <v>23000</v>
      </c>
      <c r="C52" s="19">
        <f>MAX('TANF-VIEW'!L55,'TANF-VIEW'!T55)</f>
        <v>0</v>
      </c>
      <c r="D52" s="20">
        <f t="shared" si="13"/>
        <v>1916.6666666666667</v>
      </c>
      <c r="E52" s="20">
        <f>'Total income package'!$D$80</f>
        <v>0</v>
      </c>
      <c r="F52" s="20">
        <f>'Total income package'!$H$61+'Total income package'!$F$66</f>
        <v>400</v>
      </c>
      <c r="G52" s="20">
        <f t="shared" si="4"/>
        <v>2316.666666666667</v>
      </c>
      <c r="H52" s="20" t="str">
        <f t="shared" si="0"/>
        <v>Yes</v>
      </c>
      <c r="I52" s="20">
        <f t="shared" si="1"/>
        <v>383.33333333333337</v>
      </c>
      <c r="J52" s="20">
        <f t="shared" si="2"/>
        <v>261</v>
      </c>
      <c r="K52" s="20">
        <f t="shared" si="5"/>
        <v>1672.3333333333335</v>
      </c>
      <c r="L52" s="20">
        <f t="shared" si="6"/>
        <v>500</v>
      </c>
      <c r="M52" s="20">
        <f>'Total income package'!$B$69</f>
        <v>500</v>
      </c>
      <c r="N52" s="20">
        <f t="shared" si="7"/>
        <v>1000</v>
      </c>
      <c r="O52" s="344" t="str">
        <f t="shared" si="8"/>
        <v>Yes</v>
      </c>
      <c r="P52" s="20">
        <f t="shared" si="9"/>
        <v>836.16666666666674</v>
      </c>
      <c r="Q52" s="346">
        <f t="shared" si="10"/>
        <v>0</v>
      </c>
      <c r="R52" s="20">
        <f>IF(AND(D$2+$E$2&gt;0,N52-SNAP!P52&gt;0),N52-SNAP!P52,0)</f>
        <v>163.83333333333326</v>
      </c>
      <c r="S52" s="20">
        <f t="shared" si="11"/>
        <v>1508.5000000000002</v>
      </c>
      <c r="T52" s="20">
        <f t="shared" si="3"/>
        <v>452.55000000000007</v>
      </c>
      <c r="U52" s="20">
        <f>IF(AND('Total income package'!$A$18=TRUE,OR(H52="Yes",O52="Yes"),G52&lt;$G$2,$K$2-T52&gt;10),ROUNDDOWN($K$2-T52,0),0)</f>
        <v>730</v>
      </c>
      <c r="V52" s="176">
        <f t="shared" si="12"/>
        <v>730</v>
      </c>
      <c r="W52" s="5"/>
    </row>
    <row r="53" spans="2:23" x14ac:dyDescent="0.25">
      <c r="B53" s="72">
        <v>23500</v>
      </c>
      <c r="C53" s="19">
        <f>MAX('TANF-VIEW'!L56,'TANF-VIEW'!T56)</f>
        <v>0</v>
      </c>
      <c r="D53" s="20">
        <f t="shared" si="13"/>
        <v>1958.3333333333333</v>
      </c>
      <c r="E53" s="20">
        <f>'Total income package'!$D$80</f>
        <v>0</v>
      </c>
      <c r="F53" s="20">
        <f>'Total income package'!$H$61+'Total income package'!$F$66</f>
        <v>400</v>
      </c>
      <c r="G53" s="20">
        <f t="shared" si="4"/>
        <v>2358.333333333333</v>
      </c>
      <c r="H53" s="20" t="str">
        <f t="shared" si="0"/>
        <v>Yes</v>
      </c>
      <c r="I53" s="20">
        <f t="shared" si="1"/>
        <v>391.66666666666669</v>
      </c>
      <c r="J53" s="20">
        <f t="shared" si="2"/>
        <v>261</v>
      </c>
      <c r="K53" s="20">
        <f t="shared" si="5"/>
        <v>1705.6666666666663</v>
      </c>
      <c r="L53" s="20">
        <f t="shared" si="6"/>
        <v>500</v>
      </c>
      <c r="M53" s="20">
        <f>'Total income package'!$B$69</f>
        <v>500</v>
      </c>
      <c r="N53" s="20">
        <f t="shared" si="7"/>
        <v>1000</v>
      </c>
      <c r="O53" s="344" t="str">
        <f t="shared" si="8"/>
        <v>Yes</v>
      </c>
      <c r="P53" s="20">
        <f t="shared" si="9"/>
        <v>852.83333333333314</v>
      </c>
      <c r="Q53" s="346">
        <f t="shared" si="10"/>
        <v>0</v>
      </c>
      <c r="R53" s="20">
        <f>IF(AND(D$2+$E$2&gt;0,N53-SNAP!P53&gt;0),N53-SNAP!P53,0)</f>
        <v>147.16666666666686</v>
      </c>
      <c r="S53" s="20">
        <f t="shared" si="11"/>
        <v>1558.4999999999995</v>
      </c>
      <c r="T53" s="20">
        <f t="shared" si="3"/>
        <v>467.54999999999984</v>
      </c>
      <c r="U53" s="20">
        <f>IF(AND('Total income package'!$A$18=TRUE,OR(H53="Yes",O53="Yes"),G53&lt;$G$2,$K$2-T53&gt;10),ROUNDDOWN($K$2-T53,0),0)</f>
        <v>715</v>
      </c>
      <c r="V53" s="176">
        <f t="shared" si="12"/>
        <v>715</v>
      </c>
      <c r="W53" s="5"/>
    </row>
    <row r="54" spans="2:23" x14ac:dyDescent="0.25">
      <c r="B54" s="72">
        <v>24000</v>
      </c>
      <c r="C54" s="19">
        <f>MAX('TANF-VIEW'!L57,'TANF-VIEW'!T57)</f>
        <v>0</v>
      </c>
      <c r="D54" s="20">
        <f t="shared" si="13"/>
        <v>2000</v>
      </c>
      <c r="E54" s="20">
        <f>'Total income package'!$D$80</f>
        <v>0</v>
      </c>
      <c r="F54" s="20">
        <f>'Total income package'!$H$61+'Total income package'!$F$66</f>
        <v>400</v>
      </c>
      <c r="G54" s="20">
        <f t="shared" si="4"/>
        <v>2400</v>
      </c>
      <c r="H54" s="20" t="str">
        <f t="shared" si="0"/>
        <v>Yes</v>
      </c>
      <c r="I54" s="20">
        <f t="shared" si="1"/>
        <v>400</v>
      </c>
      <c r="J54" s="20">
        <f t="shared" si="2"/>
        <v>261</v>
      </c>
      <c r="K54" s="20">
        <f t="shared" si="5"/>
        <v>1739</v>
      </c>
      <c r="L54" s="20">
        <f t="shared" si="6"/>
        <v>500</v>
      </c>
      <c r="M54" s="20">
        <f>'Total income package'!$B$69</f>
        <v>500</v>
      </c>
      <c r="N54" s="20">
        <f t="shared" si="7"/>
        <v>1000</v>
      </c>
      <c r="O54" s="344" t="str">
        <f t="shared" si="8"/>
        <v>Yes</v>
      </c>
      <c r="P54" s="20">
        <f t="shared" si="9"/>
        <v>869.5</v>
      </c>
      <c r="Q54" s="346">
        <f t="shared" si="10"/>
        <v>0</v>
      </c>
      <c r="R54" s="20">
        <f>IF(AND(D$2+$E$2&gt;0,N54-SNAP!P54&gt;0),N54-SNAP!P54,0)</f>
        <v>130.5</v>
      </c>
      <c r="S54" s="20">
        <f t="shared" si="11"/>
        <v>1608.5</v>
      </c>
      <c r="T54" s="20">
        <f t="shared" si="3"/>
        <v>482.54999999999995</v>
      </c>
      <c r="U54" s="20">
        <f>IF(AND('Total income package'!$A$18=TRUE,OR(H54="Yes",O54="Yes"),G54&lt;$G$2,$K$2-T54&gt;10),ROUNDDOWN($K$2-T54,0),0)</f>
        <v>700</v>
      </c>
      <c r="V54" s="176">
        <f t="shared" si="12"/>
        <v>700</v>
      </c>
      <c r="W54" s="5"/>
    </row>
    <row r="55" spans="2:23" x14ac:dyDescent="0.25">
      <c r="B55" s="72">
        <v>24500</v>
      </c>
      <c r="C55" s="19">
        <f>MAX('TANF-VIEW'!L58,'TANF-VIEW'!T58)</f>
        <v>0</v>
      </c>
      <c r="D55" s="20">
        <f t="shared" si="13"/>
        <v>2041.6666666666667</v>
      </c>
      <c r="E55" s="20">
        <f>'Total income package'!$D$80</f>
        <v>0</v>
      </c>
      <c r="F55" s="20">
        <f>'Total income package'!$H$61+'Total income package'!$F$66</f>
        <v>400</v>
      </c>
      <c r="G55" s="20">
        <f t="shared" si="4"/>
        <v>2441.666666666667</v>
      </c>
      <c r="H55" s="20" t="str">
        <f t="shared" si="0"/>
        <v>Yes</v>
      </c>
      <c r="I55" s="20">
        <f t="shared" si="1"/>
        <v>408.33333333333337</v>
      </c>
      <c r="J55" s="20">
        <f t="shared" si="2"/>
        <v>261</v>
      </c>
      <c r="K55" s="20">
        <f t="shared" si="5"/>
        <v>1772.3333333333335</v>
      </c>
      <c r="L55" s="20">
        <f t="shared" si="6"/>
        <v>500</v>
      </c>
      <c r="M55" s="20">
        <f>'Total income package'!$B$69</f>
        <v>500</v>
      </c>
      <c r="N55" s="20">
        <f t="shared" si="7"/>
        <v>1000</v>
      </c>
      <c r="O55" s="344" t="str">
        <f t="shared" si="8"/>
        <v>Yes</v>
      </c>
      <c r="P55" s="20">
        <f t="shared" si="9"/>
        <v>886.16666666666674</v>
      </c>
      <c r="Q55" s="346">
        <f t="shared" si="10"/>
        <v>0</v>
      </c>
      <c r="R55" s="20">
        <f>IF(AND(D$2+$E$2&gt;0,N55-SNAP!P55&gt;0),N55-SNAP!P55,0)</f>
        <v>113.83333333333326</v>
      </c>
      <c r="S55" s="20">
        <f t="shared" si="11"/>
        <v>1658.5000000000002</v>
      </c>
      <c r="T55" s="20">
        <f t="shared" si="3"/>
        <v>497.55000000000007</v>
      </c>
      <c r="U55" s="20">
        <f>IF(AND('Total income package'!$A$18=TRUE,OR(H55="Yes",O55="Yes"),G55&lt;$G$2,$K$2-T55&gt;10),ROUNDDOWN($K$2-T55,0),0)</f>
        <v>685</v>
      </c>
      <c r="V55" s="176">
        <f t="shared" si="12"/>
        <v>685</v>
      </c>
      <c r="W55" s="5"/>
    </row>
    <row r="56" spans="2:23" x14ac:dyDescent="0.25">
      <c r="B56" s="72">
        <v>25000</v>
      </c>
      <c r="C56" s="19">
        <f>MAX('TANF-VIEW'!L59,'TANF-VIEW'!T59)</f>
        <v>0</v>
      </c>
      <c r="D56" s="20">
        <f t="shared" si="13"/>
        <v>2083.3333333333335</v>
      </c>
      <c r="E56" s="20">
        <f>'Total income package'!$D$80</f>
        <v>0</v>
      </c>
      <c r="F56" s="20">
        <f>'Total income package'!$H$61+'Total income package'!$F$66</f>
        <v>400</v>
      </c>
      <c r="G56" s="20">
        <f t="shared" si="4"/>
        <v>2483.3333333333335</v>
      </c>
      <c r="H56" s="20" t="str">
        <f t="shared" si="0"/>
        <v>Yes</v>
      </c>
      <c r="I56" s="20">
        <f t="shared" si="1"/>
        <v>416.66666666666674</v>
      </c>
      <c r="J56" s="20">
        <f t="shared" si="2"/>
        <v>261</v>
      </c>
      <c r="K56" s="20">
        <f t="shared" si="5"/>
        <v>1805.666666666667</v>
      </c>
      <c r="L56" s="20">
        <f t="shared" si="6"/>
        <v>500</v>
      </c>
      <c r="M56" s="20">
        <f>'Total income package'!$B$69</f>
        <v>500</v>
      </c>
      <c r="N56" s="20">
        <f t="shared" si="7"/>
        <v>1000</v>
      </c>
      <c r="O56" s="344" t="str">
        <f t="shared" si="8"/>
        <v>Yes</v>
      </c>
      <c r="P56" s="20">
        <f t="shared" si="9"/>
        <v>902.83333333333348</v>
      </c>
      <c r="Q56" s="346">
        <f t="shared" si="10"/>
        <v>0</v>
      </c>
      <c r="R56" s="20">
        <f>IF(AND(D$2+$E$2&gt;0,N56-SNAP!P56&gt;0),N56-SNAP!P56,0)</f>
        <v>97.166666666666515</v>
      </c>
      <c r="S56" s="20">
        <f t="shared" si="11"/>
        <v>1708.5000000000005</v>
      </c>
      <c r="T56" s="20">
        <f t="shared" si="3"/>
        <v>512.55000000000007</v>
      </c>
      <c r="U56" s="20">
        <f>IF(AND('Total income package'!$A$18=TRUE,OR(H56="Yes",O56="Yes"),G56&lt;$G$2,$K$2-T56&gt;10),ROUNDDOWN($K$2-T56,0),0)</f>
        <v>670</v>
      </c>
      <c r="V56" s="176">
        <f t="shared" si="12"/>
        <v>670</v>
      </c>
      <c r="W56" s="5"/>
    </row>
    <row r="57" spans="2:23" x14ac:dyDescent="0.25">
      <c r="B57" s="72">
        <v>25500</v>
      </c>
      <c r="C57" s="19">
        <f>MAX('TANF-VIEW'!L60,'TANF-VIEW'!T60)</f>
        <v>0</v>
      </c>
      <c r="D57" s="20">
        <f t="shared" si="13"/>
        <v>2125</v>
      </c>
      <c r="E57" s="20">
        <f>'Total income package'!$D$80</f>
        <v>0</v>
      </c>
      <c r="F57" s="20">
        <f>'Total income package'!$H$61+'Total income package'!$F$66</f>
        <v>400</v>
      </c>
      <c r="G57" s="20">
        <f t="shared" si="4"/>
        <v>2525</v>
      </c>
      <c r="H57" s="20" t="str">
        <f t="shared" si="0"/>
        <v>Yes</v>
      </c>
      <c r="I57" s="20">
        <f t="shared" si="1"/>
        <v>425</v>
      </c>
      <c r="J57" s="20">
        <f t="shared" si="2"/>
        <v>261</v>
      </c>
      <c r="K57" s="20">
        <f t="shared" si="5"/>
        <v>1839</v>
      </c>
      <c r="L57" s="20">
        <f t="shared" si="6"/>
        <v>500</v>
      </c>
      <c r="M57" s="20">
        <f>'Total income package'!$B$69</f>
        <v>500</v>
      </c>
      <c r="N57" s="20">
        <f t="shared" si="7"/>
        <v>1000</v>
      </c>
      <c r="O57" s="344" t="str">
        <f t="shared" si="8"/>
        <v>Yes</v>
      </c>
      <c r="P57" s="20">
        <f t="shared" si="9"/>
        <v>919.5</v>
      </c>
      <c r="Q57" s="346">
        <f t="shared" si="10"/>
        <v>0</v>
      </c>
      <c r="R57" s="20">
        <f>IF(AND(D$2+$E$2&gt;0,N57-SNAP!P57&gt;0),N57-SNAP!P57,0)</f>
        <v>80.5</v>
      </c>
      <c r="S57" s="20">
        <f t="shared" si="11"/>
        <v>1758.5</v>
      </c>
      <c r="T57" s="20">
        <f t="shared" si="3"/>
        <v>527.54999999999995</v>
      </c>
      <c r="U57" s="20">
        <f>IF(AND('Total income package'!$A$18=TRUE,OR(H57="Yes",O57="Yes"),G57&lt;$G$2,$K$2-T57&gt;10),ROUNDDOWN($K$2-T57,0),0)</f>
        <v>655</v>
      </c>
      <c r="V57" s="176">
        <f t="shared" si="12"/>
        <v>655</v>
      </c>
      <c r="W57" s="5"/>
    </row>
    <row r="58" spans="2:23" x14ac:dyDescent="0.25">
      <c r="B58" s="72">
        <v>26000</v>
      </c>
      <c r="C58" s="19">
        <f>MAX('TANF-VIEW'!L61,'TANF-VIEW'!T61)</f>
        <v>0</v>
      </c>
      <c r="D58" s="20">
        <f t="shared" si="13"/>
        <v>2166.6666666666665</v>
      </c>
      <c r="E58" s="20">
        <f>'Total income package'!$D$80</f>
        <v>0</v>
      </c>
      <c r="F58" s="20">
        <f>'Total income package'!$H$61+'Total income package'!$F$66</f>
        <v>400</v>
      </c>
      <c r="G58" s="20">
        <f t="shared" si="4"/>
        <v>2566.6666666666665</v>
      </c>
      <c r="H58" s="20" t="str">
        <f t="shared" si="0"/>
        <v>Yes</v>
      </c>
      <c r="I58" s="20">
        <f t="shared" si="1"/>
        <v>433.33333333333331</v>
      </c>
      <c r="J58" s="20">
        <f t="shared" si="2"/>
        <v>261</v>
      </c>
      <c r="K58" s="20">
        <f t="shared" si="5"/>
        <v>1872.333333333333</v>
      </c>
      <c r="L58" s="20">
        <f t="shared" si="6"/>
        <v>500</v>
      </c>
      <c r="M58" s="20">
        <f>'Total income package'!$B$69</f>
        <v>500</v>
      </c>
      <c r="N58" s="20">
        <f t="shared" si="7"/>
        <v>1000</v>
      </c>
      <c r="O58" s="344" t="str">
        <f t="shared" si="8"/>
        <v>Yes</v>
      </c>
      <c r="P58" s="20">
        <f t="shared" si="9"/>
        <v>936.16666666666652</v>
      </c>
      <c r="Q58" s="346">
        <f t="shared" si="10"/>
        <v>0</v>
      </c>
      <c r="R58" s="20">
        <f>IF(AND(D$2+$E$2&gt;0,N58-SNAP!P58&gt;0),N58-SNAP!P58,0)</f>
        <v>63.833333333333485</v>
      </c>
      <c r="S58" s="20">
        <f t="shared" si="11"/>
        <v>1808.4999999999995</v>
      </c>
      <c r="T58" s="20">
        <f t="shared" si="3"/>
        <v>542.54999999999984</v>
      </c>
      <c r="U58" s="20">
        <f>IF(AND('Total income package'!$A$18=TRUE,OR(H58="Yes",O58="Yes"),G58&lt;$G$2,$K$2-T58&gt;10),ROUNDDOWN($K$2-T58,0),0)</f>
        <v>640</v>
      </c>
      <c r="V58" s="176">
        <f t="shared" si="12"/>
        <v>640</v>
      </c>
      <c r="W58" s="5"/>
    </row>
    <row r="59" spans="2:23" x14ac:dyDescent="0.25">
      <c r="B59" s="72">
        <v>26500</v>
      </c>
      <c r="C59" s="19">
        <f>MAX('TANF-VIEW'!L62,'TANF-VIEW'!T62)</f>
        <v>0</v>
      </c>
      <c r="D59" s="20">
        <f t="shared" si="13"/>
        <v>2208.3333333333335</v>
      </c>
      <c r="E59" s="20">
        <f>'Total income package'!$D$80</f>
        <v>0</v>
      </c>
      <c r="F59" s="20">
        <f>'Total income package'!$H$61+'Total income package'!$F$66</f>
        <v>400</v>
      </c>
      <c r="G59" s="20">
        <f t="shared" si="4"/>
        <v>2608.3333333333335</v>
      </c>
      <c r="H59" s="20" t="str">
        <f t="shared" si="0"/>
        <v>Yes</v>
      </c>
      <c r="I59" s="20">
        <f t="shared" si="1"/>
        <v>441.66666666666674</v>
      </c>
      <c r="J59" s="20">
        <f t="shared" si="2"/>
        <v>261</v>
      </c>
      <c r="K59" s="20">
        <f t="shared" si="5"/>
        <v>1905.666666666667</v>
      </c>
      <c r="L59" s="20">
        <f t="shared" si="6"/>
        <v>500</v>
      </c>
      <c r="M59" s="20">
        <f>'Total income package'!$B$69</f>
        <v>500</v>
      </c>
      <c r="N59" s="20">
        <f t="shared" si="7"/>
        <v>1000</v>
      </c>
      <c r="O59" s="344" t="str">
        <f t="shared" si="8"/>
        <v>Yes</v>
      </c>
      <c r="P59" s="20">
        <f t="shared" si="9"/>
        <v>952.83333333333348</v>
      </c>
      <c r="Q59" s="346">
        <f t="shared" si="10"/>
        <v>0</v>
      </c>
      <c r="R59" s="20">
        <f>IF(AND(D$2+$E$2&gt;0,N59-SNAP!P59&gt;0),N59-SNAP!P59,0)</f>
        <v>47.166666666666515</v>
      </c>
      <c r="S59" s="20">
        <f t="shared" si="11"/>
        <v>1858.5000000000005</v>
      </c>
      <c r="T59" s="20">
        <f t="shared" si="3"/>
        <v>557.55000000000007</v>
      </c>
      <c r="U59" s="20">
        <f>IF(AND('Total income package'!$A$18=TRUE,OR(H59="Yes",O59="Yes"),G59&lt;$G$2,$K$2-T59&gt;10),ROUNDDOWN($K$2-T59,0),0)</f>
        <v>625</v>
      </c>
      <c r="V59" s="176">
        <f t="shared" si="12"/>
        <v>625</v>
      </c>
      <c r="W59" s="5"/>
    </row>
    <row r="60" spans="2:23" x14ac:dyDescent="0.25">
      <c r="B60" s="72">
        <v>27000</v>
      </c>
      <c r="C60" s="19">
        <f>MAX('TANF-VIEW'!L63,'TANF-VIEW'!T63)</f>
        <v>0</v>
      </c>
      <c r="D60" s="20">
        <f t="shared" si="13"/>
        <v>2250</v>
      </c>
      <c r="E60" s="20">
        <f>'Total income package'!$D$80</f>
        <v>0</v>
      </c>
      <c r="F60" s="20">
        <f>'Total income package'!$H$61+'Total income package'!$F$66</f>
        <v>400</v>
      </c>
      <c r="G60" s="20">
        <f t="shared" si="4"/>
        <v>2650</v>
      </c>
      <c r="H60" s="20" t="str">
        <f t="shared" si="0"/>
        <v>Yes</v>
      </c>
      <c r="I60" s="20">
        <f t="shared" si="1"/>
        <v>450</v>
      </c>
      <c r="J60" s="20">
        <f t="shared" si="2"/>
        <v>261</v>
      </c>
      <c r="K60" s="20">
        <f t="shared" si="5"/>
        <v>1939</v>
      </c>
      <c r="L60" s="20">
        <f t="shared" si="6"/>
        <v>500</v>
      </c>
      <c r="M60" s="20">
        <f>'Total income package'!$B$69</f>
        <v>500</v>
      </c>
      <c r="N60" s="20">
        <f t="shared" si="7"/>
        <v>1000</v>
      </c>
      <c r="O60" s="344" t="str">
        <f t="shared" si="8"/>
        <v>Yes</v>
      </c>
      <c r="P60" s="20">
        <f t="shared" si="9"/>
        <v>969.5</v>
      </c>
      <c r="Q60" s="346">
        <f t="shared" si="10"/>
        <v>0</v>
      </c>
      <c r="R60" s="20">
        <f>IF(AND(D$2+$E$2&gt;0,N60-SNAP!P60&gt;0),N60-SNAP!P60,0)</f>
        <v>30.5</v>
      </c>
      <c r="S60" s="20">
        <f t="shared" si="11"/>
        <v>1908.5</v>
      </c>
      <c r="T60" s="20">
        <f t="shared" si="3"/>
        <v>572.54999999999995</v>
      </c>
      <c r="U60" s="20">
        <f>IF(AND('Total income package'!$A$18=TRUE,OR(H60="Yes",O60="Yes"),G60&lt;$G$2,$K$2-T60&gt;10),ROUNDDOWN($K$2-T60,0),0)</f>
        <v>610</v>
      </c>
      <c r="V60" s="176">
        <f t="shared" si="12"/>
        <v>610</v>
      </c>
      <c r="W60" s="5"/>
    </row>
    <row r="61" spans="2:23" x14ac:dyDescent="0.25">
      <c r="B61" s="72">
        <v>27500</v>
      </c>
      <c r="C61" s="19">
        <f>MAX('TANF-VIEW'!L64,'TANF-VIEW'!T64)</f>
        <v>0</v>
      </c>
      <c r="D61" s="20">
        <f t="shared" si="13"/>
        <v>2291.6666666666665</v>
      </c>
      <c r="E61" s="20">
        <f>'Total income package'!$D$80</f>
        <v>0</v>
      </c>
      <c r="F61" s="20">
        <f>'Total income package'!$H$61+'Total income package'!$F$66</f>
        <v>400</v>
      </c>
      <c r="G61" s="20">
        <f t="shared" si="4"/>
        <v>2691.6666666666665</v>
      </c>
      <c r="H61" s="20" t="str">
        <f t="shared" si="0"/>
        <v>Yes</v>
      </c>
      <c r="I61" s="20">
        <f t="shared" si="1"/>
        <v>458.33333333333331</v>
      </c>
      <c r="J61" s="20">
        <f t="shared" si="2"/>
        <v>261</v>
      </c>
      <c r="K61" s="20">
        <f t="shared" si="5"/>
        <v>1972.333333333333</v>
      </c>
      <c r="L61" s="20">
        <f t="shared" si="6"/>
        <v>500</v>
      </c>
      <c r="M61" s="20">
        <f>'Total income package'!$B$69</f>
        <v>500</v>
      </c>
      <c r="N61" s="20">
        <f t="shared" si="7"/>
        <v>1000</v>
      </c>
      <c r="O61" s="344" t="str">
        <f t="shared" si="8"/>
        <v>Yes</v>
      </c>
      <c r="P61" s="20">
        <f t="shared" si="9"/>
        <v>986.16666666666652</v>
      </c>
      <c r="Q61" s="346">
        <f t="shared" si="10"/>
        <v>0</v>
      </c>
      <c r="R61" s="20">
        <f>IF(AND(D$2+$E$2&gt;0,N61-SNAP!P61&gt;0),N61-SNAP!P61,0)</f>
        <v>13.833333333333485</v>
      </c>
      <c r="S61" s="20">
        <f t="shared" si="11"/>
        <v>1958.4999999999995</v>
      </c>
      <c r="T61" s="20">
        <f t="shared" si="3"/>
        <v>587.54999999999984</v>
      </c>
      <c r="U61" s="20">
        <f>IF(AND('Total income package'!$A$18=TRUE,OR(H61="Yes",O61="Yes"),G61&lt;$G$2,$K$2-T61&gt;10),ROUNDDOWN($K$2-T61,0),0)</f>
        <v>595</v>
      </c>
      <c r="V61" s="176">
        <f t="shared" si="12"/>
        <v>595</v>
      </c>
      <c r="W61" s="5"/>
    </row>
    <row r="62" spans="2:23" x14ac:dyDescent="0.25">
      <c r="B62" s="72">
        <v>28000</v>
      </c>
      <c r="C62" s="19">
        <f>MAX('TANF-VIEW'!L65,'TANF-VIEW'!T65)</f>
        <v>0</v>
      </c>
      <c r="D62" s="20">
        <f t="shared" si="13"/>
        <v>2333.3333333333335</v>
      </c>
      <c r="E62" s="20">
        <f>'Total income package'!$D$80</f>
        <v>0</v>
      </c>
      <c r="F62" s="20">
        <f>'Total income package'!$H$61+'Total income package'!$F$66</f>
        <v>400</v>
      </c>
      <c r="G62" s="20">
        <f t="shared" si="4"/>
        <v>2733.3333333333335</v>
      </c>
      <c r="H62" s="20" t="str">
        <f t="shared" si="0"/>
        <v>Yes</v>
      </c>
      <c r="I62" s="20">
        <f t="shared" si="1"/>
        <v>466.66666666666674</v>
      </c>
      <c r="J62" s="20">
        <f t="shared" si="2"/>
        <v>261</v>
      </c>
      <c r="K62" s="20">
        <f t="shared" si="5"/>
        <v>2005.666666666667</v>
      </c>
      <c r="L62" s="20">
        <f t="shared" si="6"/>
        <v>500</v>
      </c>
      <c r="M62" s="20">
        <f>'Total income package'!$B$69</f>
        <v>500</v>
      </c>
      <c r="N62" s="20">
        <f t="shared" si="7"/>
        <v>1000</v>
      </c>
      <c r="O62" s="344" t="str">
        <f t="shared" si="8"/>
        <v>Yes</v>
      </c>
      <c r="P62" s="20">
        <f t="shared" si="9"/>
        <v>1002.8333333333335</v>
      </c>
      <c r="Q62" s="346">
        <f t="shared" si="10"/>
        <v>0</v>
      </c>
      <c r="R62" s="20">
        <f>IF(AND(D$2+$E$2&gt;0,N62-SNAP!P62&gt;0),N62-SNAP!P62,0)</f>
        <v>0</v>
      </c>
      <c r="S62" s="20">
        <f t="shared" si="11"/>
        <v>2005.666666666667</v>
      </c>
      <c r="T62" s="20">
        <f t="shared" si="3"/>
        <v>601.70000000000005</v>
      </c>
      <c r="U62" s="20">
        <f>IF(AND('Total income package'!$A$18=TRUE,OR(H62="Yes",O62="Yes"),G62&lt;$G$2,$K$2-T62&gt;10),ROUNDDOWN($K$2-T62,0),0)</f>
        <v>581</v>
      </c>
      <c r="V62" s="176">
        <f t="shared" si="12"/>
        <v>581</v>
      </c>
      <c r="W62" s="5"/>
    </row>
    <row r="63" spans="2:23" x14ac:dyDescent="0.25">
      <c r="B63" s="72">
        <v>28500</v>
      </c>
      <c r="C63" s="19">
        <f>MAX('TANF-VIEW'!L66,'TANF-VIEW'!T66)</f>
        <v>0</v>
      </c>
      <c r="D63" s="20">
        <f t="shared" si="13"/>
        <v>2375</v>
      </c>
      <c r="E63" s="20">
        <f>'Total income package'!$D$80</f>
        <v>0</v>
      </c>
      <c r="F63" s="20">
        <f>'Total income package'!$H$61+'Total income package'!$F$66</f>
        <v>400</v>
      </c>
      <c r="G63" s="20">
        <f t="shared" si="4"/>
        <v>2775</v>
      </c>
      <c r="H63" s="20" t="str">
        <f t="shared" si="0"/>
        <v>Yes</v>
      </c>
      <c r="I63" s="20">
        <f t="shared" si="1"/>
        <v>475</v>
      </c>
      <c r="J63" s="20">
        <f t="shared" si="2"/>
        <v>261</v>
      </c>
      <c r="K63" s="20">
        <f t="shared" si="5"/>
        <v>2039</v>
      </c>
      <c r="L63" s="20">
        <f t="shared" si="6"/>
        <v>500</v>
      </c>
      <c r="M63" s="20">
        <f>'Total income package'!$B$69</f>
        <v>500</v>
      </c>
      <c r="N63" s="20">
        <f t="shared" si="7"/>
        <v>1000</v>
      </c>
      <c r="O63" s="344" t="str">
        <f t="shared" si="8"/>
        <v>Yes</v>
      </c>
      <c r="P63" s="20">
        <f t="shared" si="9"/>
        <v>1019.5</v>
      </c>
      <c r="Q63" s="346">
        <f t="shared" si="10"/>
        <v>0</v>
      </c>
      <c r="R63" s="20">
        <f>IF(AND(D$2+$E$2&gt;0,N63-SNAP!P63&gt;0),N63-SNAP!P63,0)</f>
        <v>0</v>
      </c>
      <c r="S63" s="20">
        <f t="shared" si="11"/>
        <v>2039</v>
      </c>
      <c r="T63" s="20">
        <f t="shared" si="3"/>
        <v>611.69999999999993</v>
      </c>
      <c r="U63" s="20">
        <f>IF(AND('Total income package'!$A$18=TRUE,OR(H63="Yes",O63="Yes"),G63&lt;$G$2,$K$2-T63&gt;10),ROUNDDOWN($K$2-T63,0),0)</f>
        <v>571</v>
      </c>
      <c r="V63" s="176">
        <f t="shared" si="12"/>
        <v>571</v>
      </c>
      <c r="W63" s="5"/>
    </row>
    <row r="64" spans="2:23" x14ac:dyDescent="0.25">
      <c r="B64" s="72">
        <v>29000</v>
      </c>
      <c r="C64" s="19">
        <f>MAX('TANF-VIEW'!L67,'TANF-VIEW'!T67)</f>
        <v>0</v>
      </c>
      <c r="D64" s="20">
        <f t="shared" si="13"/>
        <v>2416.6666666666665</v>
      </c>
      <c r="E64" s="20">
        <f>'Total income package'!$D$80</f>
        <v>0</v>
      </c>
      <c r="F64" s="20">
        <f>'Total income package'!$H$61+'Total income package'!$F$66</f>
        <v>400</v>
      </c>
      <c r="G64" s="20">
        <f t="shared" si="4"/>
        <v>2816.6666666666665</v>
      </c>
      <c r="H64" s="20" t="str">
        <f t="shared" si="0"/>
        <v>Yes</v>
      </c>
      <c r="I64" s="20">
        <f t="shared" si="1"/>
        <v>483.33333333333331</v>
      </c>
      <c r="J64" s="20">
        <f t="shared" si="2"/>
        <v>261</v>
      </c>
      <c r="K64" s="20">
        <f t="shared" si="5"/>
        <v>2072.333333333333</v>
      </c>
      <c r="L64" s="20">
        <f t="shared" si="6"/>
        <v>500</v>
      </c>
      <c r="M64" s="20">
        <f>'Total income package'!$B$69</f>
        <v>500</v>
      </c>
      <c r="N64" s="20">
        <f t="shared" si="7"/>
        <v>1000</v>
      </c>
      <c r="O64" s="344" t="str">
        <f t="shared" si="8"/>
        <v>Yes</v>
      </c>
      <c r="P64" s="20">
        <f t="shared" si="9"/>
        <v>1036.1666666666665</v>
      </c>
      <c r="Q64" s="346">
        <f t="shared" si="10"/>
        <v>0</v>
      </c>
      <c r="R64" s="20">
        <f>IF(AND(D$2+$E$2&gt;0,N64-SNAP!P64&gt;0),N64-SNAP!P64,0)</f>
        <v>0</v>
      </c>
      <c r="S64" s="20">
        <f t="shared" si="11"/>
        <v>2072.333333333333</v>
      </c>
      <c r="T64" s="20">
        <f t="shared" si="3"/>
        <v>621.69999999999993</v>
      </c>
      <c r="U64" s="20">
        <f>IF(AND('Total income package'!$A$18=TRUE,OR(H64="Yes",O64="Yes"),G64&lt;$G$2,$K$2-T64&gt;10),ROUNDDOWN($K$2-T64,0),0)</f>
        <v>561</v>
      </c>
      <c r="V64" s="176">
        <f t="shared" si="12"/>
        <v>561</v>
      </c>
      <c r="W64" s="5"/>
    </row>
    <row r="65" spans="2:23" x14ac:dyDescent="0.25">
      <c r="B65" s="72">
        <v>29500</v>
      </c>
      <c r="C65" s="19">
        <f>MAX('TANF-VIEW'!L68,'TANF-VIEW'!T68)</f>
        <v>0</v>
      </c>
      <c r="D65" s="20">
        <f t="shared" si="13"/>
        <v>2458.3333333333335</v>
      </c>
      <c r="E65" s="20">
        <f>'Total income package'!$D$80</f>
        <v>0</v>
      </c>
      <c r="F65" s="20">
        <f>'Total income package'!$H$61+'Total income package'!$F$66</f>
        <v>400</v>
      </c>
      <c r="G65" s="20">
        <f t="shared" si="4"/>
        <v>2858.3333333333335</v>
      </c>
      <c r="H65" s="20" t="str">
        <f t="shared" si="0"/>
        <v>Yes</v>
      </c>
      <c r="I65" s="20">
        <f t="shared" si="1"/>
        <v>491.66666666666674</v>
      </c>
      <c r="J65" s="20">
        <f t="shared" si="2"/>
        <v>261</v>
      </c>
      <c r="K65" s="20">
        <f t="shared" si="5"/>
        <v>2105.666666666667</v>
      </c>
      <c r="L65" s="20">
        <f t="shared" si="6"/>
        <v>500</v>
      </c>
      <c r="M65" s="20">
        <f>'Total income package'!$B$69</f>
        <v>500</v>
      </c>
      <c r="N65" s="20">
        <f t="shared" si="7"/>
        <v>1000</v>
      </c>
      <c r="O65" s="344" t="str">
        <f t="shared" si="8"/>
        <v>Yes</v>
      </c>
      <c r="P65" s="20">
        <f t="shared" si="9"/>
        <v>1052.8333333333335</v>
      </c>
      <c r="Q65" s="346">
        <f t="shared" si="10"/>
        <v>0</v>
      </c>
      <c r="R65" s="20">
        <f>IF(AND(D$2+$E$2&gt;0,N65-SNAP!P65&gt;0),N65-SNAP!P65,0)</f>
        <v>0</v>
      </c>
      <c r="S65" s="20">
        <f t="shared" si="11"/>
        <v>2105.666666666667</v>
      </c>
      <c r="T65" s="20">
        <f t="shared" si="3"/>
        <v>631.70000000000005</v>
      </c>
      <c r="U65" s="20">
        <f>IF(AND('Total income package'!$A$18=TRUE,OR(H65="Yes",O65="Yes"),G65&lt;$G$2,$K$2-T65&gt;10),ROUNDDOWN($K$2-T65,0),0)</f>
        <v>551</v>
      </c>
      <c r="V65" s="176">
        <f t="shared" si="12"/>
        <v>551</v>
      </c>
      <c r="W65" s="5"/>
    </row>
    <row r="66" spans="2:23" x14ac:dyDescent="0.25">
      <c r="B66" s="72">
        <v>30000</v>
      </c>
      <c r="C66" s="19">
        <f>MAX('TANF-VIEW'!L69,'TANF-VIEW'!T69)</f>
        <v>0</v>
      </c>
      <c r="D66" s="20">
        <f t="shared" si="13"/>
        <v>2500</v>
      </c>
      <c r="E66" s="20">
        <f>'Total income package'!$D$80</f>
        <v>0</v>
      </c>
      <c r="F66" s="20">
        <f>'Total income package'!$H$61+'Total income package'!$F$66</f>
        <v>400</v>
      </c>
      <c r="G66" s="20">
        <f t="shared" si="4"/>
        <v>2900</v>
      </c>
      <c r="H66" s="20" t="str">
        <f t="shared" si="0"/>
        <v>Yes</v>
      </c>
      <c r="I66" s="20">
        <f t="shared" si="1"/>
        <v>500</v>
      </c>
      <c r="J66" s="20">
        <f t="shared" si="2"/>
        <v>261</v>
      </c>
      <c r="K66" s="20">
        <f t="shared" si="5"/>
        <v>2139</v>
      </c>
      <c r="L66" s="20">
        <f t="shared" si="6"/>
        <v>500</v>
      </c>
      <c r="M66" s="20">
        <f>'Total income package'!$B$69</f>
        <v>500</v>
      </c>
      <c r="N66" s="20">
        <f t="shared" si="7"/>
        <v>1000</v>
      </c>
      <c r="O66" s="344" t="str">
        <f t="shared" si="8"/>
        <v>Yes</v>
      </c>
      <c r="P66" s="20">
        <f t="shared" si="9"/>
        <v>1069.5</v>
      </c>
      <c r="Q66" s="346">
        <f t="shared" si="10"/>
        <v>0</v>
      </c>
      <c r="R66" s="20">
        <f>IF(AND(D$2+$E$2&gt;0,N66-SNAP!P66&gt;0),N66-SNAP!P66,0)</f>
        <v>0</v>
      </c>
      <c r="S66" s="20">
        <f t="shared" si="11"/>
        <v>2139</v>
      </c>
      <c r="T66" s="20">
        <f t="shared" si="3"/>
        <v>641.69999999999993</v>
      </c>
      <c r="U66" s="20">
        <f>IF(AND('Total income package'!$A$18=TRUE,OR(H66="Yes",O66="Yes"),G66&lt;$G$2,$K$2-T66&gt;10),ROUNDDOWN($K$2-T66,0),0)</f>
        <v>541</v>
      </c>
      <c r="V66" s="176">
        <f>IF(AND(C62&lt;3,U66&gt;10,U66&lt;24),24,U66)</f>
        <v>541</v>
      </c>
      <c r="W66" s="5"/>
    </row>
    <row r="67" spans="2:23" x14ac:dyDescent="0.25">
      <c r="B67" s="72">
        <v>30500</v>
      </c>
      <c r="C67" s="19">
        <f>MAX('TANF-VIEW'!L70,'TANF-VIEW'!T70)</f>
        <v>0</v>
      </c>
      <c r="D67" s="20">
        <f t="shared" si="13"/>
        <v>2541.6666666666665</v>
      </c>
      <c r="E67" s="20">
        <f>'Total income package'!$D$80</f>
        <v>0</v>
      </c>
      <c r="F67" s="20">
        <f>'Total income package'!$H$61+'Total income package'!$F$66</f>
        <v>400</v>
      </c>
      <c r="G67" s="20">
        <f t="shared" si="4"/>
        <v>2941.6666666666665</v>
      </c>
      <c r="H67" s="20" t="str">
        <f t="shared" si="0"/>
        <v>Yes</v>
      </c>
      <c r="I67" s="20">
        <f t="shared" si="1"/>
        <v>508.33333333333331</v>
      </c>
      <c r="J67" s="20">
        <f t="shared" si="2"/>
        <v>261</v>
      </c>
      <c r="K67" s="20">
        <f t="shared" si="5"/>
        <v>2172.333333333333</v>
      </c>
      <c r="L67" s="20">
        <f t="shared" si="6"/>
        <v>500</v>
      </c>
      <c r="M67" s="20">
        <f>'Total income package'!$B$69</f>
        <v>500</v>
      </c>
      <c r="N67" s="20">
        <f t="shared" si="7"/>
        <v>1000</v>
      </c>
      <c r="O67" s="344" t="str">
        <f t="shared" si="8"/>
        <v>Yes</v>
      </c>
      <c r="P67" s="20">
        <f t="shared" si="9"/>
        <v>1086.1666666666665</v>
      </c>
      <c r="Q67" s="346">
        <f t="shared" si="10"/>
        <v>0</v>
      </c>
      <c r="R67" s="20">
        <f>IF(AND(D$2+$E$2&gt;0,N67-SNAP!P67&gt;0),N67-SNAP!P67,0)</f>
        <v>0</v>
      </c>
      <c r="S67" s="20">
        <f t="shared" si="11"/>
        <v>2172.333333333333</v>
      </c>
      <c r="T67" s="20">
        <f t="shared" si="3"/>
        <v>651.69999999999993</v>
      </c>
      <c r="U67" s="20">
        <f>IF(AND('Total income package'!$A$18=TRUE,OR(H67="Yes",O67="Yes"),G67&lt;$G$2,$K$2-T67&gt;10),ROUNDDOWN($K$2-T67,0),0)</f>
        <v>531</v>
      </c>
      <c r="V67" s="176">
        <f t="shared" si="12"/>
        <v>531</v>
      </c>
      <c r="W67" s="5"/>
    </row>
    <row r="68" spans="2:23" x14ac:dyDescent="0.25">
      <c r="B68" s="72">
        <v>31000</v>
      </c>
      <c r="C68" s="19">
        <f>MAX('TANF-VIEW'!L71,'TANF-VIEW'!T71)</f>
        <v>0</v>
      </c>
      <c r="D68" s="20">
        <f t="shared" si="13"/>
        <v>2583.3333333333335</v>
      </c>
      <c r="E68" s="20">
        <f>'Total income package'!$D$80</f>
        <v>0</v>
      </c>
      <c r="F68" s="20">
        <f>'Total income package'!$H$61+'Total income package'!$F$66</f>
        <v>400</v>
      </c>
      <c r="G68" s="20">
        <f t="shared" si="4"/>
        <v>2983.3333333333335</v>
      </c>
      <c r="H68" s="20" t="str">
        <f t="shared" si="0"/>
        <v>Yes</v>
      </c>
      <c r="I68" s="20">
        <f t="shared" si="1"/>
        <v>516.66666666666674</v>
      </c>
      <c r="J68" s="20">
        <f t="shared" si="2"/>
        <v>261</v>
      </c>
      <c r="K68" s="20">
        <f t="shared" si="5"/>
        <v>2205.666666666667</v>
      </c>
      <c r="L68" s="20">
        <f t="shared" si="6"/>
        <v>500</v>
      </c>
      <c r="M68" s="20">
        <f>'Total income package'!$B$69</f>
        <v>500</v>
      </c>
      <c r="N68" s="20">
        <f t="shared" si="7"/>
        <v>1000</v>
      </c>
      <c r="O68" s="344" t="str">
        <f t="shared" si="8"/>
        <v>Yes</v>
      </c>
      <c r="P68" s="20">
        <f t="shared" si="9"/>
        <v>1102.8333333333335</v>
      </c>
      <c r="Q68" s="346">
        <f t="shared" si="10"/>
        <v>0</v>
      </c>
      <c r="R68" s="20">
        <f>IF(AND(D$2+$E$2&gt;0,N68-SNAP!P68&gt;0),N68-SNAP!P68,0)</f>
        <v>0</v>
      </c>
      <c r="S68" s="20">
        <f t="shared" si="11"/>
        <v>2205.666666666667</v>
      </c>
      <c r="T68" s="20">
        <f t="shared" si="3"/>
        <v>661.7</v>
      </c>
      <c r="U68" s="20">
        <f>IF(AND('Total income package'!$A$18=TRUE,OR(H68="Yes",O68="Yes"),G68&lt;$G$2,$K$2-T68&gt;10),ROUNDDOWN($K$2-T68,0),0)</f>
        <v>521</v>
      </c>
      <c r="V68" s="176">
        <f t="shared" si="12"/>
        <v>521</v>
      </c>
      <c r="W68" s="5"/>
    </row>
    <row r="69" spans="2:23" x14ac:dyDescent="0.25">
      <c r="B69" s="72">
        <v>31500</v>
      </c>
      <c r="C69" s="19">
        <f>MAX('TANF-VIEW'!L72,'TANF-VIEW'!T72)</f>
        <v>0</v>
      </c>
      <c r="D69" s="20">
        <f t="shared" si="13"/>
        <v>2625</v>
      </c>
      <c r="E69" s="20">
        <f>'Total income package'!$D$80</f>
        <v>0</v>
      </c>
      <c r="F69" s="20">
        <f>'Total income package'!$H$61+'Total income package'!$F$66</f>
        <v>400</v>
      </c>
      <c r="G69" s="20">
        <f t="shared" si="4"/>
        <v>3025</v>
      </c>
      <c r="H69" s="20" t="str">
        <f t="shared" si="0"/>
        <v>Yes</v>
      </c>
      <c r="I69" s="20">
        <f t="shared" si="1"/>
        <v>525</v>
      </c>
      <c r="J69" s="20">
        <f t="shared" si="2"/>
        <v>261</v>
      </c>
      <c r="K69" s="20">
        <f t="shared" si="5"/>
        <v>2239</v>
      </c>
      <c r="L69" s="20">
        <f t="shared" si="6"/>
        <v>500</v>
      </c>
      <c r="M69" s="20">
        <f>'Total income package'!$B$69</f>
        <v>500</v>
      </c>
      <c r="N69" s="20">
        <f t="shared" si="7"/>
        <v>1000</v>
      </c>
      <c r="O69" s="344" t="str">
        <f t="shared" si="8"/>
        <v>Yes</v>
      </c>
      <c r="P69" s="20">
        <f t="shared" si="9"/>
        <v>1119.5</v>
      </c>
      <c r="Q69" s="346">
        <f t="shared" si="10"/>
        <v>0</v>
      </c>
      <c r="R69" s="20">
        <f>IF(AND(D$2+$E$2&gt;0,N69-SNAP!P69&gt;0),N69-SNAP!P69,0)</f>
        <v>0</v>
      </c>
      <c r="S69" s="20">
        <f t="shared" si="11"/>
        <v>2239</v>
      </c>
      <c r="T69" s="20">
        <f t="shared" si="3"/>
        <v>671.69999999999993</v>
      </c>
      <c r="U69" s="20">
        <f>IF(AND('Total income package'!$A$18=TRUE,OR(H69="Yes",O69="Yes"),G69&lt;$G$2,$K$2-T69&gt;10),ROUNDDOWN($K$2-T69,0),0)</f>
        <v>511</v>
      </c>
      <c r="V69" s="176">
        <f t="shared" si="12"/>
        <v>511</v>
      </c>
      <c r="W69" s="5"/>
    </row>
    <row r="70" spans="2:23" x14ac:dyDescent="0.25">
      <c r="B70" s="72">
        <v>32000</v>
      </c>
      <c r="C70" s="19">
        <f>MAX('TANF-VIEW'!L73,'TANF-VIEW'!T73)</f>
        <v>0</v>
      </c>
      <c r="D70" s="20">
        <f t="shared" si="13"/>
        <v>2666.6666666666665</v>
      </c>
      <c r="E70" s="20">
        <f>'Total income package'!$D$80</f>
        <v>0</v>
      </c>
      <c r="F70" s="20">
        <f>'Total income package'!$H$61+'Total income package'!$F$66</f>
        <v>400</v>
      </c>
      <c r="G70" s="20">
        <f t="shared" si="4"/>
        <v>3066.6666666666665</v>
      </c>
      <c r="H70" s="20" t="str">
        <f t="shared" ref="H70:H133" si="14">IF(G70&lt;$G$2,"Yes","No")</f>
        <v>Yes</v>
      </c>
      <c r="I70" s="20">
        <f t="shared" ref="I70:I133" si="15">D70*0.2</f>
        <v>533.33333333333337</v>
      </c>
      <c r="J70" s="20">
        <f t="shared" ref="J70:J133" si="16">$H$2</f>
        <v>261</v>
      </c>
      <c r="K70" s="20">
        <f t="shared" ref="K70:K133" si="17">IF(G70-I70-J70&gt;0,G70-I70-J70,0)</f>
        <v>2272.333333333333</v>
      </c>
      <c r="L70" s="20">
        <f t="shared" si="6"/>
        <v>500</v>
      </c>
      <c r="M70" s="20">
        <f>'Total income package'!$B$69</f>
        <v>500</v>
      </c>
      <c r="N70" s="20">
        <f t="shared" si="7"/>
        <v>1000</v>
      </c>
      <c r="O70" s="344" t="str">
        <f t="shared" si="8"/>
        <v>Yes</v>
      </c>
      <c r="P70" s="20">
        <f t="shared" si="9"/>
        <v>1136.1666666666665</v>
      </c>
      <c r="Q70" s="346">
        <f t="shared" ref="Q70:Q133" si="18">IF(AND(D$2+$E$2=0,N70&lt;$L$2,N70-P70&gt;0),N70-P70,IF(AND(D$2+$E$2=0,N70&gt;$L$2),$L$2,0))</f>
        <v>0</v>
      </c>
      <c r="R70" s="20">
        <f>IF(AND(D$2+$E$2&gt;0,N70-SNAP!P70&gt;0),N70-SNAP!P70,0)</f>
        <v>0</v>
      </c>
      <c r="S70" s="20">
        <f t="shared" si="11"/>
        <v>2272.333333333333</v>
      </c>
      <c r="T70" s="20">
        <f t="shared" ref="T70:T133" si="19">S70*0.3</f>
        <v>681.69999999999993</v>
      </c>
      <c r="U70" s="20">
        <f>IF(AND('Total income package'!$A$18=TRUE,OR(H70="Yes",O70="Yes"),G70&lt;$G$2,$K$2-T70&gt;10),ROUNDDOWN($K$2-T70,0),0)</f>
        <v>501</v>
      </c>
      <c r="V70" s="176">
        <f t="shared" si="12"/>
        <v>501</v>
      </c>
      <c r="W70" s="5"/>
    </row>
    <row r="71" spans="2:23" x14ac:dyDescent="0.25">
      <c r="B71" s="72">
        <v>32500</v>
      </c>
      <c r="C71" s="19">
        <f>MAX('TANF-VIEW'!L74,'TANF-VIEW'!T74)</f>
        <v>0</v>
      </c>
      <c r="D71" s="20">
        <f t="shared" si="13"/>
        <v>2708.3333333333335</v>
      </c>
      <c r="E71" s="20">
        <f>'Total income package'!$D$80</f>
        <v>0</v>
      </c>
      <c r="F71" s="20">
        <f>'Total income package'!$H$61+'Total income package'!$F$66</f>
        <v>400</v>
      </c>
      <c r="G71" s="20">
        <f t="shared" ref="G71:G134" si="20">D71+C71+E71+F71</f>
        <v>3108.3333333333335</v>
      </c>
      <c r="H71" s="20" t="str">
        <f t="shared" si="14"/>
        <v>Yes</v>
      </c>
      <c r="I71" s="20">
        <f t="shared" si="15"/>
        <v>541.66666666666674</v>
      </c>
      <c r="J71" s="20">
        <f t="shared" si="16"/>
        <v>261</v>
      </c>
      <c r="K71" s="20">
        <f t="shared" si="17"/>
        <v>2305.666666666667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1152.8333333333335</v>
      </c>
      <c r="Q71" s="346">
        <f t="shared" si="18"/>
        <v>0</v>
      </c>
      <c r="R71" s="20">
        <f>IF(AND(D$2+$E$2&gt;0,N71-SNAP!P71&gt;0),N71-SNAP!P71,0)</f>
        <v>0</v>
      </c>
      <c r="S71" s="20">
        <f t="shared" ref="S71:S134" si="25">IF(AND($D$2+$E$2&gt;0,K71-R71&gt;0),K71-R71,IF(AND($D$2+$E$2=0,K71-Q71&gt;0),K71-Q71,0))</f>
        <v>2305.666666666667</v>
      </c>
      <c r="T71" s="20">
        <f t="shared" si="19"/>
        <v>691.7</v>
      </c>
      <c r="U71" s="20">
        <f>IF(AND('Total income package'!$A$18=TRUE,OR(H71="Yes",O71="Yes"),G71&lt;$G$2,$K$2-T71&gt;10),ROUNDDOWN($K$2-T71,0),0)</f>
        <v>491</v>
      </c>
      <c r="V71" s="176">
        <f t="shared" ref="V71:V134" si="26">IF(AND(C67&lt;3,U71&gt;10,U71&lt;24),24,U71)</f>
        <v>491</v>
      </c>
      <c r="W71" s="5"/>
    </row>
    <row r="72" spans="2:23" x14ac:dyDescent="0.25">
      <c r="B72" s="72">
        <v>33000</v>
      </c>
      <c r="C72" s="19">
        <f>MAX('TANF-VIEW'!L75,'TANF-VIEW'!T75)</f>
        <v>0</v>
      </c>
      <c r="D72" s="20">
        <f t="shared" si="13"/>
        <v>2750</v>
      </c>
      <c r="E72" s="20">
        <f>'Total income package'!$D$80</f>
        <v>0</v>
      </c>
      <c r="F72" s="20">
        <f>'Total income package'!$H$61+'Total income package'!$F$66</f>
        <v>400</v>
      </c>
      <c r="G72" s="20">
        <f t="shared" si="20"/>
        <v>3150</v>
      </c>
      <c r="H72" s="20" t="str">
        <f t="shared" si="14"/>
        <v>Yes</v>
      </c>
      <c r="I72" s="20">
        <f t="shared" si="15"/>
        <v>550</v>
      </c>
      <c r="J72" s="20">
        <f t="shared" si="16"/>
        <v>261</v>
      </c>
      <c r="K72" s="20">
        <f t="shared" si="17"/>
        <v>2339</v>
      </c>
      <c r="L72" s="20">
        <f t="shared" si="21"/>
        <v>500</v>
      </c>
      <c r="M72" s="20">
        <f>'Total income package'!$B$69</f>
        <v>500</v>
      </c>
      <c r="N72" s="20">
        <f t="shared" si="22"/>
        <v>1000</v>
      </c>
      <c r="O72" s="344" t="str">
        <f t="shared" si="23"/>
        <v>Yes</v>
      </c>
      <c r="P72" s="20">
        <f t="shared" si="24"/>
        <v>1169.5</v>
      </c>
      <c r="Q72" s="346">
        <f t="shared" si="18"/>
        <v>0</v>
      </c>
      <c r="R72" s="20">
        <f>IF(AND(D$2+$E$2&gt;0,N72-SNAP!P72&gt;0),N72-SNAP!P72,0)</f>
        <v>0</v>
      </c>
      <c r="S72" s="20">
        <f t="shared" si="25"/>
        <v>2339</v>
      </c>
      <c r="T72" s="20">
        <f t="shared" si="19"/>
        <v>701.69999999999993</v>
      </c>
      <c r="U72" s="20">
        <f>IF(AND('Total income package'!$A$18=TRUE,OR(H72="Yes",O72="Yes"),G72&lt;$G$2,$K$2-T72&gt;10),ROUNDDOWN($K$2-T72,0),0)</f>
        <v>481</v>
      </c>
      <c r="V72" s="176">
        <f t="shared" si="26"/>
        <v>481</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400</v>
      </c>
      <c r="G73" s="20">
        <f t="shared" si="20"/>
        <v>3191.6666666666665</v>
      </c>
      <c r="H73" s="20" t="str">
        <f t="shared" si="14"/>
        <v>Yes</v>
      </c>
      <c r="I73" s="20">
        <f t="shared" si="15"/>
        <v>558.33333333333337</v>
      </c>
      <c r="J73" s="20">
        <f t="shared" si="16"/>
        <v>261</v>
      </c>
      <c r="K73" s="20">
        <f t="shared" si="17"/>
        <v>2372.333333333333</v>
      </c>
      <c r="L73" s="20">
        <f t="shared" si="21"/>
        <v>500</v>
      </c>
      <c r="M73" s="20">
        <f>'Total income package'!$B$69</f>
        <v>500</v>
      </c>
      <c r="N73" s="20">
        <f t="shared" si="22"/>
        <v>1000</v>
      </c>
      <c r="O73" s="344" t="str">
        <f t="shared" si="23"/>
        <v>Yes</v>
      </c>
      <c r="P73" s="20">
        <f t="shared" si="24"/>
        <v>1186.1666666666665</v>
      </c>
      <c r="Q73" s="346">
        <f t="shared" si="18"/>
        <v>0</v>
      </c>
      <c r="R73" s="20">
        <f>IF(AND(D$2+$E$2&gt;0,N73-SNAP!P73&gt;0),N73-SNAP!P73,0)</f>
        <v>0</v>
      </c>
      <c r="S73" s="20">
        <f t="shared" si="25"/>
        <v>2372.333333333333</v>
      </c>
      <c r="T73" s="20">
        <f t="shared" si="19"/>
        <v>711.69999999999993</v>
      </c>
      <c r="U73" s="20">
        <f>IF(AND('Total income package'!$A$18=TRUE,OR(H73="Yes",O73="Yes"),G73&lt;$G$2,$K$2-T73&gt;10),ROUNDDOWN($K$2-T73,0),0)</f>
        <v>471</v>
      </c>
      <c r="V73" s="176">
        <f t="shared" si="26"/>
        <v>471</v>
      </c>
      <c r="W73" s="5"/>
    </row>
    <row r="74" spans="2:23" x14ac:dyDescent="0.25">
      <c r="B74" s="72">
        <v>34000</v>
      </c>
      <c r="C74" s="19">
        <f>MAX('TANF-VIEW'!L77,'TANF-VIEW'!T77)</f>
        <v>0</v>
      </c>
      <c r="D74" s="20">
        <f t="shared" si="27"/>
        <v>2833.3333333333335</v>
      </c>
      <c r="E74" s="20">
        <f>'Total income package'!$D$80</f>
        <v>0</v>
      </c>
      <c r="F74" s="20">
        <f>'Total income package'!$H$61+'Total income package'!$F$66</f>
        <v>400</v>
      </c>
      <c r="G74" s="20">
        <f t="shared" si="20"/>
        <v>3233.3333333333335</v>
      </c>
      <c r="H74" s="20" t="str">
        <f t="shared" si="14"/>
        <v>Yes</v>
      </c>
      <c r="I74" s="20">
        <f t="shared" si="15"/>
        <v>566.66666666666674</v>
      </c>
      <c r="J74" s="20">
        <f t="shared" si="16"/>
        <v>261</v>
      </c>
      <c r="K74" s="20">
        <f t="shared" si="17"/>
        <v>2405.666666666667</v>
      </c>
      <c r="L74" s="20">
        <f t="shared" si="21"/>
        <v>500</v>
      </c>
      <c r="M74" s="20">
        <f>'Total income package'!$B$69</f>
        <v>500</v>
      </c>
      <c r="N74" s="20">
        <f t="shared" si="22"/>
        <v>1000</v>
      </c>
      <c r="O74" s="344" t="str">
        <f t="shared" si="23"/>
        <v>Yes</v>
      </c>
      <c r="P74" s="20">
        <f t="shared" si="24"/>
        <v>1202.8333333333335</v>
      </c>
      <c r="Q74" s="346">
        <f t="shared" si="18"/>
        <v>0</v>
      </c>
      <c r="R74" s="20">
        <f>IF(AND(D$2+$E$2&gt;0,N74-SNAP!P74&gt;0),N74-SNAP!P74,0)</f>
        <v>0</v>
      </c>
      <c r="S74" s="20">
        <f t="shared" si="25"/>
        <v>2405.666666666667</v>
      </c>
      <c r="T74" s="20">
        <f t="shared" si="19"/>
        <v>721.7</v>
      </c>
      <c r="U74" s="20">
        <f>IF(AND('Total income package'!$A$18=TRUE,OR(H74="Yes",O74="Yes"),G74&lt;$G$2,$K$2-T74&gt;10),ROUNDDOWN($K$2-T74,0),0)</f>
        <v>461</v>
      </c>
      <c r="V74" s="176">
        <f t="shared" si="26"/>
        <v>461</v>
      </c>
      <c r="W74" s="5"/>
    </row>
    <row r="75" spans="2:23" x14ac:dyDescent="0.25">
      <c r="B75" s="72">
        <v>34500</v>
      </c>
      <c r="C75" s="19">
        <f>MAX('TANF-VIEW'!L78,'TANF-VIEW'!T78)</f>
        <v>0</v>
      </c>
      <c r="D75" s="20">
        <f t="shared" si="27"/>
        <v>2875</v>
      </c>
      <c r="E75" s="20">
        <f>'Total income package'!$D$80</f>
        <v>0</v>
      </c>
      <c r="F75" s="20">
        <f>'Total income package'!$H$61+'Total income package'!$F$66</f>
        <v>400</v>
      </c>
      <c r="G75" s="20">
        <f t="shared" si="20"/>
        <v>3275</v>
      </c>
      <c r="H75" s="20" t="str">
        <f t="shared" si="14"/>
        <v>Yes</v>
      </c>
      <c r="I75" s="20">
        <f t="shared" si="15"/>
        <v>575</v>
      </c>
      <c r="J75" s="20">
        <f t="shared" si="16"/>
        <v>261</v>
      </c>
      <c r="K75" s="20">
        <f t="shared" si="17"/>
        <v>2439</v>
      </c>
      <c r="L75" s="20">
        <f t="shared" si="21"/>
        <v>500</v>
      </c>
      <c r="M75" s="20">
        <f>'Total income package'!$B$69</f>
        <v>500</v>
      </c>
      <c r="N75" s="20">
        <f t="shared" si="22"/>
        <v>1000</v>
      </c>
      <c r="O75" s="344" t="str">
        <f t="shared" si="23"/>
        <v>Yes</v>
      </c>
      <c r="P75" s="20">
        <f t="shared" si="24"/>
        <v>1219.5</v>
      </c>
      <c r="Q75" s="346">
        <f t="shared" si="18"/>
        <v>0</v>
      </c>
      <c r="R75" s="20">
        <f>IF(AND(D$2+$E$2&gt;0,N75-SNAP!P75&gt;0),N75-SNAP!P75,0)</f>
        <v>0</v>
      </c>
      <c r="S75" s="20">
        <f t="shared" si="25"/>
        <v>2439</v>
      </c>
      <c r="T75" s="20">
        <f t="shared" si="19"/>
        <v>731.69999999999993</v>
      </c>
      <c r="U75" s="20">
        <f>IF(AND('Total income package'!$A$18=TRUE,OR(H75="Yes",O75="Yes"),G75&lt;$G$2,$K$2-T75&gt;10),ROUNDDOWN($K$2-T75,0),0)</f>
        <v>451</v>
      </c>
      <c r="V75" s="176">
        <f t="shared" si="26"/>
        <v>451</v>
      </c>
      <c r="W75" s="5"/>
    </row>
    <row r="76" spans="2:23" x14ac:dyDescent="0.25">
      <c r="B76" s="72">
        <v>35000</v>
      </c>
      <c r="C76" s="19">
        <f>MAX('TANF-VIEW'!L79,'TANF-VIEW'!T79)</f>
        <v>0</v>
      </c>
      <c r="D76" s="20">
        <f t="shared" si="27"/>
        <v>2916.6666666666665</v>
      </c>
      <c r="E76" s="20">
        <f>'Total income package'!$D$80</f>
        <v>0</v>
      </c>
      <c r="F76" s="20">
        <f>'Total income package'!$H$61+'Total income package'!$F$66</f>
        <v>400</v>
      </c>
      <c r="G76" s="20">
        <f t="shared" si="20"/>
        <v>3316.6666666666665</v>
      </c>
      <c r="H76" s="20" t="str">
        <f t="shared" si="14"/>
        <v>Yes</v>
      </c>
      <c r="I76" s="20">
        <f t="shared" si="15"/>
        <v>583.33333333333337</v>
      </c>
      <c r="J76" s="20">
        <f t="shared" si="16"/>
        <v>261</v>
      </c>
      <c r="K76" s="20">
        <f t="shared" si="17"/>
        <v>2472.333333333333</v>
      </c>
      <c r="L76" s="20">
        <f t="shared" si="21"/>
        <v>500</v>
      </c>
      <c r="M76" s="20">
        <f>'Total income package'!$B$69</f>
        <v>500</v>
      </c>
      <c r="N76" s="20">
        <f t="shared" si="22"/>
        <v>1000</v>
      </c>
      <c r="O76" s="344" t="str">
        <f t="shared" si="23"/>
        <v>Yes</v>
      </c>
      <c r="P76" s="20">
        <f t="shared" si="24"/>
        <v>1236.1666666666665</v>
      </c>
      <c r="Q76" s="346">
        <f t="shared" si="18"/>
        <v>0</v>
      </c>
      <c r="R76" s="20">
        <f>IF(AND(D$2+$E$2&gt;0,N76-SNAP!P76&gt;0),N76-SNAP!P76,0)</f>
        <v>0</v>
      </c>
      <c r="S76" s="20">
        <f t="shared" si="25"/>
        <v>2472.333333333333</v>
      </c>
      <c r="T76" s="20">
        <f t="shared" si="19"/>
        <v>741.69999999999993</v>
      </c>
      <c r="U76" s="20">
        <f>IF(AND('Total income package'!$A$18=TRUE,OR(H76="Yes",O76="Yes"),G76&lt;$G$2,$K$2-T76&gt;10),ROUNDDOWN($K$2-T76,0),0)</f>
        <v>441</v>
      </c>
      <c r="V76" s="176">
        <f t="shared" si="26"/>
        <v>441</v>
      </c>
      <c r="W76" s="5"/>
    </row>
    <row r="77" spans="2:23" x14ac:dyDescent="0.25">
      <c r="B77" s="72">
        <v>35500</v>
      </c>
      <c r="C77" s="19">
        <f>MAX('TANF-VIEW'!L80,'TANF-VIEW'!T80)</f>
        <v>0</v>
      </c>
      <c r="D77" s="20">
        <f t="shared" si="27"/>
        <v>2958.3333333333335</v>
      </c>
      <c r="E77" s="20">
        <f>'Total income package'!$D$80</f>
        <v>0</v>
      </c>
      <c r="F77" s="20">
        <f>'Total income package'!$H$61+'Total income package'!$F$66</f>
        <v>400</v>
      </c>
      <c r="G77" s="20">
        <f t="shared" si="20"/>
        <v>3358.3333333333335</v>
      </c>
      <c r="H77" s="20" t="str">
        <f t="shared" si="14"/>
        <v>Yes</v>
      </c>
      <c r="I77" s="20">
        <f t="shared" si="15"/>
        <v>591.66666666666674</v>
      </c>
      <c r="J77" s="20">
        <f t="shared" si="16"/>
        <v>261</v>
      </c>
      <c r="K77" s="20">
        <f t="shared" si="17"/>
        <v>2505.666666666667</v>
      </c>
      <c r="L77" s="20">
        <f t="shared" si="21"/>
        <v>500</v>
      </c>
      <c r="M77" s="20">
        <f>'Total income package'!$B$69</f>
        <v>500</v>
      </c>
      <c r="N77" s="20">
        <f t="shared" si="22"/>
        <v>1000</v>
      </c>
      <c r="O77" s="344" t="str">
        <f t="shared" si="23"/>
        <v>Yes</v>
      </c>
      <c r="P77" s="20">
        <f t="shared" si="24"/>
        <v>1252.8333333333335</v>
      </c>
      <c r="Q77" s="346">
        <f t="shared" si="18"/>
        <v>0</v>
      </c>
      <c r="R77" s="20">
        <f>IF(AND(D$2+$E$2&gt;0,N77-SNAP!P77&gt;0),N77-SNAP!P77,0)</f>
        <v>0</v>
      </c>
      <c r="S77" s="20">
        <f t="shared" si="25"/>
        <v>2505.666666666667</v>
      </c>
      <c r="T77" s="20">
        <f t="shared" si="19"/>
        <v>751.7</v>
      </c>
      <c r="U77" s="20">
        <f>IF(AND('Total income package'!$A$18=TRUE,OR(H77="Yes",O77="Yes"),G77&lt;$G$2,$K$2-T77&gt;10),ROUNDDOWN($K$2-T77,0),0)</f>
        <v>431</v>
      </c>
      <c r="V77" s="176">
        <f t="shared" si="26"/>
        <v>431</v>
      </c>
      <c r="W77" s="5"/>
    </row>
    <row r="78" spans="2:23" x14ac:dyDescent="0.25">
      <c r="B78" s="72">
        <v>36000</v>
      </c>
      <c r="C78" s="19">
        <f>MAX('TANF-VIEW'!L81,'TANF-VIEW'!T81)</f>
        <v>0</v>
      </c>
      <c r="D78" s="20">
        <f t="shared" si="27"/>
        <v>3000</v>
      </c>
      <c r="E78" s="20">
        <f>'Total income package'!$D$80</f>
        <v>0</v>
      </c>
      <c r="F78" s="20">
        <f>'Total income package'!$H$61+'Total income package'!$F$66</f>
        <v>400</v>
      </c>
      <c r="G78" s="20">
        <f t="shared" si="20"/>
        <v>3400</v>
      </c>
      <c r="H78" s="20" t="str">
        <f t="shared" si="14"/>
        <v>Yes</v>
      </c>
      <c r="I78" s="20">
        <f t="shared" si="15"/>
        <v>600</v>
      </c>
      <c r="J78" s="20">
        <f t="shared" si="16"/>
        <v>261</v>
      </c>
      <c r="K78" s="20">
        <f t="shared" si="17"/>
        <v>2539</v>
      </c>
      <c r="L78" s="20">
        <f t="shared" si="21"/>
        <v>500</v>
      </c>
      <c r="M78" s="20">
        <f>'Total income package'!$B$69</f>
        <v>500</v>
      </c>
      <c r="N78" s="20">
        <f t="shared" si="22"/>
        <v>1000</v>
      </c>
      <c r="O78" s="344" t="str">
        <f t="shared" si="23"/>
        <v>Yes</v>
      </c>
      <c r="P78" s="20">
        <f t="shared" si="24"/>
        <v>1269.5</v>
      </c>
      <c r="Q78" s="346">
        <f t="shared" si="18"/>
        <v>0</v>
      </c>
      <c r="R78" s="20">
        <f>IF(AND(D$2+$E$2&gt;0,N78-SNAP!P78&gt;0),N78-SNAP!P78,0)</f>
        <v>0</v>
      </c>
      <c r="S78" s="20">
        <f t="shared" si="25"/>
        <v>2539</v>
      </c>
      <c r="T78" s="20">
        <f t="shared" si="19"/>
        <v>761.69999999999993</v>
      </c>
      <c r="U78" s="20">
        <f>IF(AND('Total income package'!$A$18=TRUE,OR(H78="Yes",O78="Yes"),G78&lt;$G$2,$K$2-T78&gt;10),ROUNDDOWN($K$2-T78,0),0)</f>
        <v>421</v>
      </c>
      <c r="V78" s="176">
        <f t="shared" si="26"/>
        <v>421</v>
      </c>
      <c r="W78" s="5"/>
    </row>
    <row r="79" spans="2:23" x14ac:dyDescent="0.25">
      <c r="B79" s="72">
        <v>36500</v>
      </c>
      <c r="C79" s="19">
        <f>MAX('TANF-VIEW'!L82,'TANF-VIEW'!T82)</f>
        <v>0</v>
      </c>
      <c r="D79" s="20">
        <f t="shared" si="27"/>
        <v>3041.6666666666665</v>
      </c>
      <c r="E79" s="20">
        <f>'Total income package'!$D$80</f>
        <v>0</v>
      </c>
      <c r="F79" s="20">
        <f>'Total income package'!$H$61+'Total income package'!$F$66</f>
        <v>400</v>
      </c>
      <c r="G79" s="20">
        <f t="shared" si="20"/>
        <v>3441.6666666666665</v>
      </c>
      <c r="H79" s="20" t="str">
        <f t="shared" si="14"/>
        <v>Yes</v>
      </c>
      <c r="I79" s="20">
        <f t="shared" si="15"/>
        <v>608.33333333333337</v>
      </c>
      <c r="J79" s="20">
        <f t="shared" si="16"/>
        <v>261</v>
      </c>
      <c r="K79" s="20">
        <f t="shared" si="17"/>
        <v>2572.333333333333</v>
      </c>
      <c r="L79" s="20">
        <f t="shared" si="21"/>
        <v>500</v>
      </c>
      <c r="M79" s="20">
        <f>'Total income package'!$B$69</f>
        <v>500</v>
      </c>
      <c r="N79" s="20">
        <f t="shared" si="22"/>
        <v>1000</v>
      </c>
      <c r="O79" s="344" t="str">
        <f t="shared" si="23"/>
        <v>Yes</v>
      </c>
      <c r="P79" s="20">
        <f t="shared" si="24"/>
        <v>1286.1666666666665</v>
      </c>
      <c r="Q79" s="346">
        <f t="shared" si="18"/>
        <v>0</v>
      </c>
      <c r="R79" s="20">
        <f>IF(AND(D$2+$E$2&gt;0,N79-SNAP!P79&gt;0),N79-SNAP!P79,0)</f>
        <v>0</v>
      </c>
      <c r="S79" s="20">
        <f t="shared" si="25"/>
        <v>2572.333333333333</v>
      </c>
      <c r="T79" s="20">
        <f t="shared" si="19"/>
        <v>771.69999999999993</v>
      </c>
      <c r="U79" s="20">
        <f>IF(AND('Total income package'!$A$18=TRUE,OR(H79="Yes",O79="Yes"),G79&lt;$G$2,$K$2-T79&gt;10),ROUNDDOWN($K$2-T79,0),0)</f>
        <v>411</v>
      </c>
      <c r="V79" s="176">
        <f t="shared" si="26"/>
        <v>411</v>
      </c>
      <c r="W79" s="5"/>
    </row>
    <row r="80" spans="2:23" x14ac:dyDescent="0.25">
      <c r="B80" s="72">
        <v>37000</v>
      </c>
      <c r="C80" s="19">
        <f>MAX('TANF-VIEW'!L83,'TANF-VIEW'!T83)</f>
        <v>0</v>
      </c>
      <c r="D80" s="20">
        <f t="shared" si="27"/>
        <v>3083.3333333333335</v>
      </c>
      <c r="E80" s="20">
        <f>'Total income package'!$D$80</f>
        <v>0</v>
      </c>
      <c r="F80" s="20">
        <f>'Total income package'!$H$61+'Total income package'!$F$66</f>
        <v>400</v>
      </c>
      <c r="G80" s="20">
        <f t="shared" si="20"/>
        <v>3483.3333333333335</v>
      </c>
      <c r="H80" s="20" t="str">
        <f t="shared" si="14"/>
        <v>Yes</v>
      </c>
      <c r="I80" s="20">
        <f t="shared" si="15"/>
        <v>616.66666666666674</v>
      </c>
      <c r="J80" s="20">
        <f t="shared" si="16"/>
        <v>261</v>
      </c>
      <c r="K80" s="20">
        <f t="shared" si="17"/>
        <v>2605.666666666667</v>
      </c>
      <c r="L80" s="20">
        <f t="shared" si="21"/>
        <v>500</v>
      </c>
      <c r="M80" s="20">
        <f>'Total income package'!$B$69</f>
        <v>500</v>
      </c>
      <c r="N80" s="20">
        <f t="shared" si="22"/>
        <v>1000</v>
      </c>
      <c r="O80" s="344" t="str">
        <f t="shared" si="23"/>
        <v>Yes</v>
      </c>
      <c r="P80" s="20">
        <f t="shared" si="24"/>
        <v>1302.8333333333335</v>
      </c>
      <c r="Q80" s="346">
        <f t="shared" si="18"/>
        <v>0</v>
      </c>
      <c r="R80" s="20">
        <f>IF(AND(D$2+$E$2&gt;0,N80-SNAP!P80&gt;0),N80-SNAP!P80,0)</f>
        <v>0</v>
      </c>
      <c r="S80" s="20">
        <f t="shared" si="25"/>
        <v>2605.666666666667</v>
      </c>
      <c r="T80" s="20">
        <f t="shared" si="19"/>
        <v>781.7</v>
      </c>
      <c r="U80" s="20">
        <f>IF(AND('Total income package'!$A$18=TRUE,OR(H80="Yes",O80="Yes"),G80&lt;$G$2,$K$2-T80&gt;10),ROUNDDOWN($K$2-T80,0),0)</f>
        <v>401</v>
      </c>
      <c r="V80" s="176">
        <f t="shared" si="26"/>
        <v>401</v>
      </c>
      <c r="W80" s="5"/>
    </row>
    <row r="81" spans="2:23" x14ac:dyDescent="0.25">
      <c r="B81" s="72">
        <v>37500</v>
      </c>
      <c r="C81" s="19">
        <f>MAX('TANF-VIEW'!L84,'TANF-VIEW'!T84)</f>
        <v>0</v>
      </c>
      <c r="D81" s="20">
        <f t="shared" si="27"/>
        <v>3125</v>
      </c>
      <c r="E81" s="20">
        <f>'Total income package'!$D$80</f>
        <v>0</v>
      </c>
      <c r="F81" s="20">
        <f>'Total income package'!$H$61+'Total income package'!$F$66</f>
        <v>400</v>
      </c>
      <c r="G81" s="20">
        <f t="shared" si="20"/>
        <v>3525</v>
      </c>
      <c r="H81" s="20" t="str">
        <f t="shared" si="14"/>
        <v>Yes</v>
      </c>
      <c r="I81" s="20">
        <f t="shared" si="15"/>
        <v>625</v>
      </c>
      <c r="J81" s="20">
        <f t="shared" si="16"/>
        <v>261</v>
      </c>
      <c r="K81" s="20">
        <f t="shared" si="17"/>
        <v>2639</v>
      </c>
      <c r="L81" s="20">
        <f t="shared" si="21"/>
        <v>500</v>
      </c>
      <c r="M81" s="20">
        <f>'Total income package'!$B$69</f>
        <v>500</v>
      </c>
      <c r="N81" s="20">
        <f t="shared" si="22"/>
        <v>1000</v>
      </c>
      <c r="O81" s="344" t="str">
        <f t="shared" si="23"/>
        <v>Yes</v>
      </c>
      <c r="P81" s="20">
        <f t="shared" si="24"/>
        <v>1319.5</v>
      </c>
      <c r="Q81" s="346">
        <f t="shared" si="18"/>
        <v>0</v>
      </c>
      <c r="R81" s="20">
        <f>IF(AND(D$2+$E$2&gt;0,N81-SNAP!P81&gt;0),N81-SNAP!P81,0)</f>
        <v>0</v>
      </c>
      <c r="S81" s="20">
        <f t="shared" si="25"/>
        <v>2639</v>
      </c>
      <c r="T81" s="20">
        <f t="shared" si="19"/>
        <v>791.69999999999993</v>
      </c>
      <c r="U81" s="20">
        <f>IF(AND('Total income package'!$A$18=TRUE,OR(H81="Yes",O81="Yes"),G81&lt;$G$2,$K$2-T81&gt;10),ROUNDDOWN($K$2-T81,0),0)</f>
        <v>391</v>
      </c>
      <c r="V81" s="176">
        <f t="shared" si="26"/>
        <v>391</v>
      </c>
      <c r="W81" s="5"/>
    </row>
    <row r="82" spans="2:23" x14ac:dyDescent="0.25">
      <c r="B82" s="72">
        <v>38000</v>
      </c>
      <c r="C82" s="19">
        <f>MAX('TANF-VIEW'!L85,'TANF-VIEW'!T85)</f>
        <v>0</v>
      </c>
      <c r="D82" s="20">
        <f t="shared" si="27"/>
        <v>3166.6666666666665</v>
      </c>
      <c r="E82" s="20">
        <f>'Total income package'!$D$80</f>
        <v>0</v>
      </c>
      <c r="F82" s="20">
        <f>'Total income package'!$H$61+'Total income package'!$F$66</f>
        <v>400</v>
      </c>
      <c r="G82" s="20">
        <f t="shared" si="20"/>
        <v>3566.6666666666665</v>
      </c>
      <c r="H82" s="20" t="str">
        <f t="shared" si="14"/>
        <v>Yes</v>
      </c>
      <c r="I82" s="20">
        <f t="shared" si="15"/>
        <v>633.33333333333337</v>
      </c>
      <c r="J82" s="20">
        <f t="shared" si="16"/>
        <v>261</v>
      </c>
      <c r="K82" s="20">
        <f t="shared" si="17"/>
        <v>2672.333333333333</v>
      </c>
      <c r="L82" s="20">
        <f t="shared" si="21"/>
        <v>500</v>
      </c>
      <c r="M82" s="20">
        <f>'Total income package'!$B$69</f>
        <v>500</v>
      </c>
      <c r="N82" s="20">
        <f t="shared" si="22"/>
        <v>1000</v>
      </c>
      <c r="O82" s="344" t="str">
        <f t="shared" si="23"/>
        <v>Yes</v>
      </c>
      <c r="P82" s="20">
        <f t="shared" si="24"/>
        <v>1336.1666666666665</v>
      </c>
      <c r="Q82" s="346">
        <f t="shared" si="18"/>
        <v>0</v>
      </c>
      <c r="R82" s="20">
        <f>IF(AND(D$2+$E$2&gt;0,N82-SNAP!P82&gt;0),N82-SNAP!P82,0)</f>
        <v>0</v>
      </c>
      <c r="S82" s="20">
        <f t="shared" si="25"/>
        <v>2672.333333333333</v>
      </c>
      <c r="T82" s="20">
        <f t="shared" si="19"/>
        <v>801.69999999999993</v>
      </c>
      <c r="U82" s="20">
        <f>IF(AND('Total income package'!$A$18=TRUE,OR(H82="Yes",O82="Yes"),G82&lt;$G$2,$K$2-T82&gt;10),ROUNDDOWN($K$2-T82,0),0)</f>
        <v>381</v>
      </c>
      <c r="V82" s="176">
        <f t="shared" si="26"/>
        <v>381</v>
      </c>
      <c r="W82" s="5"/>
    </row>
    <row r="83" spans="2:23" x14ac:dyDescent="0.25">
      <c r="B83" s="72">
        <v>38500</v>
      </c>
      <c r="C83" s="19">
        <f>MAX('TANF-VIEW'!L86,'TANF-VIEW'!T86)</f>
        <v>0</v>
      </c>
      <c r="D83" s="20">
        <f t="shared" si="27"/>
        <v>3208.3333333333335</v>
      </c>
      <c r="E83" s="20">
        <f>'Total income package'!$D$80</f>
        <v>0</v>
      </c>
      <c r="F83" s="20">
        <f>'Total income package'!$H$61+'Total income package'!$F$66</f>
        <v>400</v>
      </c>
      <c r="G83" s="20">
        <f t="shared" si="20"/>
        <v>3608.3333333333335</v>
      </c>
      <c r="H83" s="20" t="str">
        <f t="shared" si="14"/>
        <v>Yes</v>
      </c>
      <c r="I83" s="20">
        <f t="shared" si="15"/>
        <v>641.66666666666674</v>
      </c>
      <c r="J83" s="20">
        <f t="shared" si="16"/>
        <v>261</v>
      </c>
      <c r="K83" s="20">
        <f t="shared" si="17"/>
        <v>2705.666666666667</v>
      </c>
      <c r="L83" s="20">
        <f t="shared" si="21"/>
        <v>500</v>
      </c>
      <c r="M83" s="20">
        <f>'Total income package'!$B$69</f>
        <v>500</v>
      </c>
      <c r="N83" s="20">
        <f t="shared" si="22"/>
        <v>1000</v>
      </c>
      <c r="O83" s="344" t="str">
        <f t="shared" si="23"/>
        <v>Yes</v>
      </c>
      <c r="P83" s="20">
        <f t="shared" si="24"/>
        <v>1352.8333333333335</v>
      </c>
      <c r="Q83" s="346">
        <f t="shared" si="18"/>
        <v>0</v>
      </c>
      <c r="R83" s="20">
        <f>IF(AND(D$2+$E$2&gt;0,N83-SNAP!P83&gt;0),N83-SNAP!P83,0)</f>
        <v>0</v>
      </c>
      <c r="S83" s="20">
        <f t="shared" si="25"/>
        <v>2705.666666666667</v>
      </c>
      <c r="T83" s="20">
        <f t="shared" si="19"/>
        <v>811.7</v>
      </c>
      <c r="U83" s="20">
        <f>IF(AND('Total income package'!$A$18=TRUE,OR(H83="Yes",O83="Yes"),G83&lt;$G$2,$K$2-T83&gt;10),ROUNDDOWN($K$2-T83,0),0)</f>
        <v>371</v>
      </c>
      <c r="V83" s="176">
        <f t="shared" si="26"/>
        <v>371</v>
      </c>
      <c r="W83" s="5"/>
    </row>
    <row r="84" spans="2:23" x14ac:dyDescent="0.25">
      <c r="B84" s="72">
        <v>39000</v>
      </c>
      <c r="C84" s="19">
        <f>MAX('TANF-VIEW'!L87,'TANF-VIEW'!T87)</f>
        <v>0</v>
      </c>
      <c r="D84" s="20">
        <f t="shared" si="27"/>
        <v>3250</v>
      </c>
      <c r="E84" s="20">
        <f>'Total income package'!$D$80</f>
        <v>0</v>
      </c>
      <c r="F84" s="20">
        <f>'Total income package'!$H$61+'Total income package'!$F$66</f>
        <v>400</v>
      </c>
      <c r="G84" s="20">
        <f t="shared" si="20"/>
        <v>3650</v>
      </c>
      <c r="H84" s="20" t="str">
        <f t="shared" si="14"/>
        <v>Yes</v>
      </c>
      <c r="I84" s="20">
        <f t="shared" si="15"/>
        <v>650</v>
      </c>
      <c r="J84" s="20">
        <f t="shared" si="16"/>
        <v>261</v>
      </c>
      <c r="K84" s="20">
        <f t="shared" si="17"/>
        <v>2739</v>
      </c>
      <c r="L84" s="20">
        <f t="shared" si="21"/>
        <v>500</v>
      </c>
      <c r="M84" s="20">
        <f>'Total income package'!$B$69</f>
        <v>500</v>
      </c>
      <c r="N84" s="20">
        <f t="shared" si="22"/>
        <v>1000</v>
      </c>
      <c r="O84" s="344" t="str">
        <f t="shared" si="23"/>
        <v>Yes</v>
      </c>
      <c r="P84" s="20">
        <f t="shared" si="24"/>
        <v>1369.5</v>
      </c>
      <c r="Q84" s="346">
        <f t="shared" si="18"/>
        <v>0</v>
      </c>
      <c r="R84" s="20">
        <f>IF(AND(D$2+$E$2&gt;0,N84-SNAP!P84&gt;0),N84-SNAP!P84,0)</f>
        <v>0</v>
      </c>
      <c r="S84" s="20">
        <f t="shared" si="25"/>
        <v>2739</v>
      </c>
      <c r="T84" s="20">
        <f t="shared" si="19"/>
        <v>821.69999999999993</v>
      </c>
      <c r="U84" s="20">
        <f>IF(AND('Total income package'!$A$18=TRUE,OR(H84="Yes",O84="Yes"),G84&lt;$G$2,$K$2-T84&gt;10),ROUNDDOWN($K$2-T84,0),0)</f>
        <v>361</v>
      </c>
      <c r="V84" s="176">
        <f t="shared" si="26"/>
        <v>361</v>
      </c>
      <c r="W84" s="5"/>
    </row>
    <row r="85" spans="2:23" x14ac:dyDescent="0.25">
      <c r="B85" s="72">
        <v>39500</v>
      </c>
      <c r="C85" s="19">
        <f>MAX('TANF-VIEW'!L88,'TANF-VIEW'!T88)</f>
        <v>0</v>
      </c>
      <c r="D85" s="20">
        <f t="shared" si="27"/>
        <v>3291.6666666666665</v>
      </c>
      <c r="E85" s="20">
        <f>'Total income package'!$D$80</f>
        <v>0</v>
      </c>
      <c r="F85" s="20">
        <f>'Total income package'!$H$61+'Total income package'!$F$66</f>
        <v>400</v>
      </c>
      <c r="G85" s="20">
        <f t="shared" si="20"/>
        <v>3691.6666666666665</v>
      </c>
      <c r="H85" s="20" t="str">
        <f t="shared" si="14"/>
        <v>Yes</v>
      </c>
      <c r="I85" s="20">
        <f t="shared" si="15"/>
        <v>658.33333333333337</v>
      </c>
      <c r="J85" s="20">
        <f t="shared" si="16"/>
        <v>261</v>
      </c>
      <c r="K85" s="20">
        <f t="shared" si="17"/>
        <v>2772.333333333333</v>
      </c>
      <c r="L85" s="20">
        <f t="shared" si="21"/>
        <v>500</v>
      </c>
      <c r="M85" s="20">
        <f>'Total income package'!$B$69</f>
        <v>500</v>
      </c>
      <c r="N85" s="20">
        <f t="shared" si="22"/>
        <v>1000</v>
      </c>
      <c r="O85" s="344" t="str">
        <f t="shared" si="23"/>
        <v>Yes</v>
      </c>
      <c r="P85" s="20">
        <f t="shared" si="24"/>
        <v>1386.1666666666665</v>
      </c>
      <c r="Q85" s="346">
        <f t="shared" si="18"/>
        <v>0</v>
      </c>
      <c r="R85" s="20">
        <f>IF(AND(D$2+$E$2&gt;0,N85-SNAP!P85&gt;0),N85-SNAP!P85,0)</f>
        <v>0</v>
      </c>
      <c r="S85" s="20">
        <f t="shared" si="25"/>
        <v>2772.333333333333</v>
      </c>
      <c r="T85" s="20">
        <f t="shared" si="19"/>
        <v>831.69999999999993</v>
      </c>
      <c r="U85" s="20">
        <f>IF(AND('Total income package'!$A$18=TRUE,OR(H85="Yes",O85="Yes"),G85&lt;$G$2,$K$2-T85&gt;10),ROUNDDOWN($K$2-T85,0),0)</f>
        <v>351</v>
      </c>
      <c r="V85" s="176">
        <f t="shared" si="26"/>
        <v>351</v>
      </c>
      <c r="W85" s="5"/>
    </row>
    <row r="86" spans="2:23" x14ac:dyDescent="0.25">
      <c r="B86" s="72">
        <v>40000</v>
      </c>
      <c r="C86" s="19">
        <f>MAX('TANF-VIEW'!L89,'TANF-VIEW'!T89)</f>
        <v>0</v>
      </c>
      <c r="D86" s="20">
        <f t="shared" si="27"/>
        <v>3333.3333333333335</v>
      </c>
      <c r="E86" s="20">
        <f>'Total income package'!$D$80</f>
        <v>0</v>
      </c>
      <c r="F86" s="20">
        <f>'Total income package'!$H$61+'Total income package'!$F$66</f>
        <v>400</v>
      </c>
      <c r="G86" s="20">
        <f t="shared" si="20"/>
        <v>3733.3333333333335</v>
      </c>
      <c r="H86" s="20" t="str">
        <f t="shared" si="14"/>
        <v>Yes</v>
      </c>
      <c r="I86" s="20">
        <f t="shared" si="15"/>
        <v>666.66666666666674</v>
      </c>
      <c r="J86" s="20">
        <f t="shared" si="16"/>
        <v>261</v>
      </c>
      <c r="K86" s="20">
        <f t="shared" si="17"/>
        <v>2805.666666666667</v>
      </c>
      <c r="L86" s="20">
        <f t="shared" si="21"/>
        <v>500</v>
      </c>
      <c r="M86" s="20">
        <f>'Total income package'!$B$69</f>
        <v>500</v>
      </c>
      <c r="N86" s="20">
        <f t="shared" si="22"/>
        <v>1000</v>
      </c>
      <c r="O86" s="344" t="str">
        <f t="shared" si="23"/>
        <v>Yes</v>
      </c>
      <c r="P86" s="20">
        <f t="shared" si="24"/>
        <v>1402.8333333333335</v>
      </c>
      <c r="Q86" s="346">
        <f t="shared" si="18"/>
        <v>0</v>
      </c>
      <c r="R86" s="20">
        <f>IF(AND(D$2+$E$2&gt;0,N86-SNAP!P86&gt;0),N86-SNAP!P86,0)</f>
        <v>0</v>
      </c>
      <c r="S86" s="20">
        <f t="shared" si="25"/>
        <v>2805.666666666667</v>
      </c>
      <c r="T86" s="20">
        <f t="shared" si="19"/>
        <v>841.7</v>
      </c>
      <c r="U86" s="20">
        <f>IF(AND('Total income package'!$A$18=TRUE,OR(H86="Yes",O86="Yes"),G86&lt;$G$2,$K$2-T86&gt;10),ROUNDDOWN($K$2-T86,0),0)</f>
        <v>341</v>
      </c>
      <c r="V86" s="176">
        <f t="shared" si="26"/>
        <v>341</v>
      </c>
      <c r="W86" s="5"/>
    </row>
    <row r="87" spans="2:23" x14ac:dyDescent="0.25">
      <c r="B87" s="72">
        <v>40500</v>
      </c>
      <c r="C87" s="19">
        <f>MAX('TANF-VIEW'!L90,'TANF-VIEW'!T90)</f>
        <v>0</v>
      </c>
      <c r="D87" s="20">
        <f t="shared" si="27"/>
        <v>3375</v>
      </c>
      <c r="E87" s="20">
        <f>'Total income package'!$D$80</f>
        <v>0</v>
      </c>
      <c r="F87" s="20">
        <f>'Total income package'!$H$61+'Total income package'!$F$66</f>
        <v>400</v>
      </c>
      <c r="G87" s="20">
        <f t="shared" si="20"/>
        <v>3775</v>
      </c>
      <c r="H87" s="20" t="str">
        <f t="shared" si="14"/>
        <v>Yes</v>
      </c>
      <c r="I87" s="20">
        <f t="shared" si="15"/>
        <v>675</v>
      </c>
      <c r="J87" s="20">
        <f t="shared" si="16"/>
        <v>261</v>
      </c>
      <c r="K87" s="20">
        <f t="shared" si="17"/>
        <v>2839</v>
      </c>
      <c r="L87" s="20">
        <f t="shared" si="21"/>
        <v>500</v>
      </c>
      <c r="M87" s="20">
        <f>'Total income package'!$B$69</f>
        <v>500</v>
      </c>
      <c r="N87" s="20">
        <f t="shared" si="22"/>
        <v>1000</v>
      </c>
      <c r="O87" s="344" t="str">
        <f t="shared" si="23"/>
        <v>Yes</v>
      </c>
      <c r="P87" s="20">
        <f t="shared" si="24"/>
        <v>1419.5</v>
      </c>
      <c r="Q87" s="346">
        <f t="shared" si="18"/>
        <v>0</v>
      </c>
      <c r="R87" s="20">
        <f>IF(AND(D$2+$E$2&gt;0,N87-SNAP!P87&gt;0),N87-SNAP!P87,0)</f>
        <v>0</v>
      </c>
      <c r="S87" s="20">
        <f t="shared" si="25"/>
        <v>2839</v>
      </c>
      <c r="T87" s="20">
        <f t="shared" si="19"/>
        <v>851.69999999999993</v>
      </c>
      <c r="U87" s="20">
        <f>IF(AND('Total income package'!$A$18=TRUE,OR(H87="Yes",O87="Yes"),G87&lt;$G$2,$K$2-T87&gt;10),ROUNDDOWN($K$2-T87,0),0)</f>
        <v>331</v>
      </c>
      <c r="V87" s="176">
        <f t="shared" si="26"/>
        <v>331</v>
      </c>
      <c r="W87" s="5"/>
    </row>
    <row r="88" spans="2:23" x14ac:dyDescent="0.25">
      <c r="B88" s="72">
        <v>41000</v>
      </c>
      <c r="C88" s="19">
        <f>MAX('TANF-VIEW'!L91,'TANF-VIEW'!T91)</f>
        <v>0</v>
      </c>
      <c r="D88" s="20">
        <f t="shared" si="27"/>
        <v>3416.6666666666665</v>
      </c>
      <c r="E88" s="20">
        <f>'Total income package'!$D$80</f>
        <v>0</v>
      </c>
      <c r="F88" s="20">
        <f>'Total income package'!$H$61+'Total income package'!$F$66</f>
        <v>400</v>
      </c>
      <c r="G88" s="20">
        <f t="shared" si="20"/>
        <v>3816.6666666666665</v>
      </c>
      <c r="H88" s="20" t="str">
        <f t="shared" si="14"/>
        <v>Yes</v>
      </c>
      <c r="I88" s="20">
        <f t="shared" si="15"/>
        <v>683.33333333333337</v>
      </c>
      <c r="J88" s="20">
        <f t="shared" si="16"/>
        <v>261</v>
      </c>
      <c r="K88" s="20">
        <f t="shared" si="17"/>
        <v>2872.333333333333</v>
      </c>
      <c r="L88" s="20">
        <f t="shared" si="21"/>
        <v>500</v>
      </c>
      <c r="M88" s="20">
        <f>'Total income package'!$B$69</f>
        <v>500</v>
      </c>
      <c r="N88" s="20">
        <f t="shared" si="22"/>
        <v>1000</v>
      </c>
      <c r="O88" s="344" t="str">
        <f t="shared" si="23"/>
        <v>Yes</v>
      </c>
      <c r="P88" s="20">
        <f t="shared" si="24"/>
        <v>1436.1666666666665</v>
      </c>
      <c r="Q88" s="346">
        <f t="shared" si="18"/>
        <v>0</v>
      </c>
      <c r="R88" s="20">
        <f>IF(AND(D$2+$E$2&gt;0,N88-SNAP!P88&gt;0),N88-SNAP!P88,0)</f>
        <v>0</v>
      </c>
      <c r="S88" s="20">
        <f t="shared" si="25"/>
        <v>2872.333333333333</v>
      </c>
      <c r="T88" s="20">
        <f t="shared" si="19"/>
        <v>861.69999999999993</v>
      </c>
      <c r="U88" s="20">
        <f>IF(AND('Total income package'!$A$18=TRUE,OR(H88="Yes",O88="Yes"),G88&lt;$G$2,$K$2-T88&gt;10),ROUNDDOWN($K$2-T88,0),0)</f>
        <v>321</v>
      </c>
      <c r="V88" s="176">
        <f t="shared" si="26"/>
        <v>321</v>
      </c>
      <c r="W88" s="5"/>
    </row>
    <row r="89" spans="2:23" x14ac:dyDescent="0.25">
      <c r="B89" s="72">
        <v>41500</v>
      </c>
      <c r="C89" s="19">
        <f>MAX('TANF-VIEW'!L92,'TANF-VIEW'!T92)</f>
        <v>0</v>
      </c>
      <c r="D89" s="20">
        <f t="shared" si="27"/>
        <v>3458.3333333333335</v>
      </c>
      <c r="E89" s="20">
        <f>'Total income package'!$D$80</f>
        <v>0</v>
      </c>
      <c r="F89" s="20">
        <f>'Total income package'!$H$61+'Total income package'!$F$66</f>
        <v>400</v>
      </c>
      <c r="G89" s="20">
        <f t="shared" si="20"/>
        <v>3858.3333333333335</v>
      </c>
      <c r="H89" s="20" t="str">
        <f t="shared" si="14"/>
        <v>Yes</v>
      </c>
      <c r="I89" s="20">
        <f t="shared" si="15"/>
        <v>691.66666666666674</v>
      </c>
      <c r="J89" s="20">
        <f t="shared" si="16"/>
        <v>261</v>
      </c>
      <c r="K89" s="20">
        <f t="shared" si="17"/>
        <v>2905.666666666667</v>
      </c>
      <c r="L89" s="20">
        <f t="shared" si="21"/>
        <v>500</v>
      </c>
      <c r="M89" s="20">
        <f>'Total income package'!$B$69</f>
        <v>500</v>
      </c>
      <c r="N89" s="20">
        <f t="shared" si="22"/>
        <v>1000</v>
      </c>
      <c r="O89" s="344" t="str">
        <f t="shared" si="23"/>
        <v>Yes</v>
      </c>
      <c r="P89" s="20">
        <f t="shared" si="24"/>
        <v>1452.8333333333335</v>
      </c>
      <c r="Q89" s="346">
        <f t="shared" si="18"/>
        <v>0</v>
      </c>
      <c r="R89" s="20">
        <f>IF(AND(D$2+$E$2&gt;0,N89-SNAP!P89&gt;0),N89-SNAP!P89,0)</f>
        <v>0</v>
      </c>
      <c r="S89" s="20">
        <f t="shared" si="25"/>
        <v>2905.666666666667</v>
      </c>
      <c r="T89" s="20">
        <f t="shared" si="19"/>
        <v>871.7</v>
      </c>
      <c r="U89" s="20">
        <f>IF(AND('Total income package'!$A$18=TRUE,OR(H89="Yes",O89="Yes"),G89&lt;$G$2,$K$2-T89&gt;10),ROUNDDOWN($K$2-T89,0),0)</f>
        <v>311</v>
      </c>
      <c r="V89" s="176">
        <f t="shared" si="26"/>
        <v>311</v>
      </c>
      <c r="W89" s="5"/>
    </row>
    <row r="90" spans="2:23" x14ac:dyDescent="0.25">
      <c r="B90" s="72">
        <v>42000</v>
      </c>
      <c r="C90" s="19">
        <f>MAX('TANF-VIEW'!L93,'TANF-VIEW'!T93)</f>
        <v>0</v>
      </c>
      <c r="D90" s="20">
        <f t="shared" si="27"/>
        <v>3500</v>
      </c>
      <c r="E90" s="20">
        <f>'Total income package'!$D$80</f>
        <v>0</v>
      </c>
      <c r="F90" s="20">
        <f>'Total income package'!$H$61+'Total income package'!$F$66</f>
        <v>400</v>
      </c>
      <c r="G90" s="20">
        <f t="shared" si="20"/>
        <v>3900</v>
      </c>
      <c r="H90" s="20" t="str">
        <f t="shared" si="14"/>
        <v>Yes</v>
      </c>
      <c r="I90" s="20">
        <f t="shared" si="15"/>
        <v>700</v>
      </c>
      <c r="J90" s="20">
        <f t="shared" si="16"/>
        <v>261</v>
      </c>
      <c r="K90" s="20">
        <f t="shared" si="17"/>
        <v>2939</v>
      </c>
      <c r="L90" s="20">
        <f t="shared" si="21"/>
        <v>500</v>
      </c>
      <c r="M90" s="20">
        <f>'Total income package'!$B$69</f>
        <v>500</v>
      </c>
      <c r="N90" s="20">
        <f t="shared" si="22"/>
        <v>1000</v>
      </c>
      <c r="O90" s="344" t="str">
        <f t="shared" si="23"/>
        <v>Yes</v>
      </c>
      <c r="P90" s="20">
        <f t="shared" si="24"/>
        <v>1469.5</v>
      </c>
      <c r="Q90" s="346">
        <f t="shared" si="18"/>
        <v>0</v>
      </c>
      <c r="R90" s="20">
        <f>IF(AND(D$2+$E$2&gt;0,N90-SNAP!P90&gt;0),N90-SNAP!P90,0)</f>
        <v>0</v>
      </c>
      <c r="S90" s="20">
        <f t="shared" si="25"/>
        <v>2939</v>
      </c>
      <c r="T90" s="20">
        <f t="shared" si="19"/>
        <v>881.69999999999993</v>
      </c>
      <c r="U90" s="20">
        <f>IF(AND('Total income package'!$A$18=TRUE,OR(H90="Yes",O90="Yes"),G90&lt;$G$2,$K$2-T90&gt;10),ROUNDDOWN($K$2-T90,0),0)</f>
        <v>301</v>
      </c>
      <c r="V90" s="176">
        <f t="shared" si="26"/>
        <v>301</v>
      </c>
      <c r="W90" s="5"/>
    </row>
    <row r="91" spans="2:23" x14ac:dyDescent="0.25">
      <c r="B91" s="72">
        <v>42500</v>
      </c>
      <c r="C91" s="19">
        <f>MAX('TANF-VIEW'!L94,'TANF-VIEW'!T94)</f>
        <v>0</v>
      </c>
      <c r="D91" s="20">
        <f t="shared" si="27"/>
        <v>3541.6666666666665</v>
      </c>
      <c r="E91" s="20">
        <f>'Total income package'!$D$80</f>
        <v>0</v>
      </c>
      <c r="F91" s="20">
        <f>'Total income package'!$H$61+'Total income package'!$F$66</f>
        <v>400</v>
      </c>
      <c r="G91" s="20">
        <f t="shared" si="20"/>
        <v>3941.6666666666665</v>
      </c>
      <c r="H91" s="20" t="str">
        <f t="shared" si="14"/>
        <v>Yes</v>
      </c>
      <c r="I91" s="20">
        <f t="shared" si="15"/>
        <v>708.33333333333337</v>
      </c>
      <c r="J91" s="20">
        <f t="shared" si="16"/>
        <v>261</v>
      </c>
      <c r="K91" s="20">
        <f t="shared" si="17"/>
        <v>2972.333333333333</v>
      </c>
      <c r="L91" s="20">
        <f t="shared" si="21"/>
        <v>500</v>
      </c>
      <c r="M91" s="20">
        <f>'Total income package'!$B$69</f>
        <v>500</v>
      </c>
      <c r="N91" s="20">
        <f t="shared" si="22"/>
        <v>1000</v>
      </c>
      <c r="O91" s="344" t="str">
        <f t="shared" si="23"/>
        <v>Yes</v>
      </c>
      <c r="P91" s="20">
        <f t="shared" si="24"/>
        <v>1486.1666666666665</v>
      </c>
      <c r="Q91" s="346">
        <f t="shared" si="18"/>
        <v>0</v>
      </c>
      <c r="R91" s="20">
        <f>IF(AND(D$2+$E$2&gt;0,N91-SNAP!P91&gt;0),N91-SNAP!P91,0)</f>
        <v>0</v>
      </c>
      <c r="S91" s="20">
        <f t="shared" si="25"/>
        <v>2972.333333333333</v>
      </c>
      <c r="T91" s="20">
        <f t="shared" si="19"/>
        <v>891.69999999999993</v>
      </c>
      <c r="U91" s="20">
        <f>IF(AND('Total income package'!$A$18=TRUE,OR(H91="Yes",O91="Yes"),G91&lt;$G$2,$K$2-T91&gt;10),ROUNDDOWN($K$2-T91,0),0)</f>
        <v>291</v>
      </c>
      <c r="V91" s="176">
        <f t="shared" si="26"/>
        <v>291</v>
      </c>
      <c r="W91" s="5"/>
    </row>
    <row r="92" spans="2:23" x14ac:dyDescent="0.25">
      <c r="B92" s="72">
        <v>43000</v>
      </c>
      <c r="C92" s="19">
        <f>MAX('TANF-VIEW'!L95,'TANF-VIEW'!T95)</f>
        <v>0</v>
      </c>
      <c r="D92" s="20">
        <f t="shared" si="27"/>
        <v>3583.3333333333335</v>
      </c>
      <c r="E92" s="20">
        <f>'Total income package'!$D$80</f>
        <v>0</v>
      </c>
      <c r="F92" s="20">
        <f>'Total income package'!$H$61+'Total income package'!$F$66</f>
        <v>400</v>
      </c>
      <c r="G92" s="20">
        <f t="shared" si="20"/>
        <v>3983.3333333333335</v>
      </c>
      <c r="H92" s="20" t="str">
        <f t="shared" si="14"/>
        <v>Yes</v>
      </c>
      <c r="I92" s="20">
        <f t="shared" si="15"/>
        <v>716.66666666666674</v>
      </c>
      <c r="J92" s="20">
        <f t="shared" si="16"/>
        <v>261</v>
      </c>
      <c r="K92" s="20">
        <f t="shared" si="17"/>
        <v>3005.666666666667</v>
      </c>
      <c r="L92" s="20">
        <f t="shared" si="21"/>
        <v>500</v>
      </c>
      <c r="M92" s="20">
        <f>'Total income package'!$B$69</f>
        <v>500</v>
      </c>
      <c r="N92" s="20">
        <f t="shared" si="22"/>
        <v>1000</v>
      </c>
      <c r="O92" s="344" t="str">
        <f t="shared" si="23"/>
        <v>Yes</v>
      </c>
      <c r="P92" s="20">
        <f t="shared" si="24"/>
        <v>1502.8333333333335</v>
      </c>
      <c r="Q92" s="346">
        <f t="shared" si="18"/>
        <v>0</v>
      </c>
      <c r="R92" s="20">
        <f>IF(AND(D$2+$E$2&gt;0,N92-SNAP!P92&gt;0),N92-SNAP!P92,0)</f>
        <v>0</v>
      </c>
      <c r="S92" s="20">
        <f t="shared" si="25"/>
        <v>3005.666666666667</v>
      </c>
      <c r="T92" s="20">
        <f t="shared" si="19"/>
        <v>901.7</v>
      </c>
      <c r="U92" s="20">
        <f>IF(AND('Total income package'!$A$18=TRUE,OR(H92="Yes",O92="Yes"),G92&lt;$G$2,$K$2-T92&gt;10),ROUNDDOWN($K$2-T92,0),0)</f>
        <v>281</v>
      </c>
      <c r="V92" s="176">
        <f t="shared" si="26"/>
        <v>281</v>
      </c>
      <c r="W92" s="5"/>
    </row>
    <row r="93" spans="2:23" x14ac:dyDescent="0.25">
      <c r="B93" s="72">
        <v>43500</v>
      </c>
      <c r="C93" s="19">
        <f>MAX('TANF-VIEW'!L96,'TANF-VIEW'!T96)</f>
        <v>0</v>
      </c>
      <c r="D93" s="20">
        <f t="shared" si="27"/>
        <v>3625</v>
      </c>
      <c r="E93" s="20">
        <f>'Total income package'!$D$80</f>
        <v>0</v>
      </c>
      <c r="F93" s="20">
        <f>'Total income package'!$H$61+'Total income package'!$F$66</f>
        <v>400</v>
      </c>
      <c r="G93" s="20">
        <f t="shared" si="20"/>
        <v>4025</v>
      </c>
      <c r="H93" s="20" t="str">
        <f t="shared" si="14"/>
        <v>Yes</v>
      </c>
      <c r="I93" s="20">
        <f t="shared" si="15"/>
        <v>725</v>
      </c>
      <c r="J93" s="20">
        <f t="shared" si="16"/>
        <v>261</v>
      </c>
      <c r="K93" s="20">
        <f t="shared" si="17"/>
        <v>3039</v>
      </c>
      <c r="L93" s="20">
        <f t="shared" si="21"/>
        <v>500</v>
      </c>
      <c r="M93" s="20">
        <f>'Total income package'!$B$69</f>
        <v>500</v>
      </c>
      <c r="N93" s="20">
        <f t="shared" si="22"/>
        <v>1000</v>
      </c>
      <c r="O93" s="344" t="str">
        <f t="shared" si="23"/>
        <v>Yes</v>
      </c>
      <c r="P93" s="20">
        <f t="shared" si="24"/>
        <v>1519.5</v>
      </c>
      <c r="Q93" s="346">
        <f t="shared" si="18"/>
        <v>0</v>
      </c>
      <c r="R93" s="20">
        <f>IF(AND(D$2+$E$2&gt;0,N93-SNAP!P93&gt;0),N93-SNAP!P93,0)</f>
        <v>0</v>
      </c>
      <c r="S93" s="20">
        <f t="shared" si="25"/>
        <v>3039</v>
      </c>
      <c r="T93" s="20">
        <f t="shared" si="19"/>
        <v>911.69999999999993</v>
      </c>
      <c r="U93" s="20">
        <f>IF(AND('Total income package'!$A$18=TRUE,OR(H93="Yes",O93="Yes"),G93&lt;$G$2,$K$2-T93&gt;10),ROUNDDOWN($K$2-T93,0),0)</f>
        <v>271</v>
      </c>
      <c r="V93" s="176">
        <f t="shared" si="26"/>
        <v>271</v>
      </c>
      <c r="W93" s="5"/>
    </row>
    <row r="94" spans="2:23" x14ac:dyDescent="0.25">
      <c r="B94" s="72">
        <v>44000</v>
      </c>
      <c r="C94" s="19">
        <f>MAX('TANF-VIEW'!L97,'TANF-VIEW'!T97)</f>
        <v>0</v>
      </c>
      <c r="D94" s="20">
        <f t="shared" si="27"/>
        <v>3666.6666666666665</v>
      </c>
      <c r="E94" s="20">
        <f>'Total income package'!$D$80</f>
        <v>0</v>
      </c>
      <c r="F94" s="20">
        <f>'Total income package'!$H$61+'Total income package'!$F$66</f>
        <v>400</v>
      </c>
      <c r="G94" s="20">
        <f t="shared" si="20"/>
        <v>4066.6666666666665</v>
      </c>
      <c r="H94" s="20" t="str">
        <f t="shared" si="14"/>
        <v>Yes</v>
      </c>
      <c r="I94" s="20">
        <f t="shared" si="15"/>
        <v>733.33333333333337</v>
      </c>
      <c r="J94" s="20">
        <f t="shared" si="16"/>
        <v>261</v>
      </c>
      <c r="K94" s="20">
        <f t="shared" si="17"/>
        <v>3072.333333333333</v>
      </c>
      <c r="L94" s="20">
        <f t="shared" si="21"/>
        <v>500</v>
      </c>
      <c r="M94" s="20">
        <f>'Total income package'!$B$69</f>
        <v>500</v>
      </c>
      <c r="N94" s="20">
        <f t="shared" si="22"/>
        <v>1000</v>
      </c>
      <c r="O94" s="344" t="str">
        <f t="shared" si="23"/>
        <v>Yes</v>
      </c>
      <c r="P94" s="20">
        <f t="shared" si="24"/>
        <v>1536.1666666666665</v>
      </c>
      <c r="Q94" s="346">
        <f t="shared" si="18"/>
        <v>0</v>
      </c>
      <c r="R94" s="20">
        <f>IF(AND(D$2+$E$2&gt;0,N94-SNAP!P94&gt;0),N94-SNAP!P94,0)</f>
        <v>0</v>
      </c>
      <c r="S94" s="20">
        <f t="shared" si="25"/>
        <v>3072.333333333333</v>
      </c>
      <c r="T94" s="20">
        <f t="shared" si="19"/>
        <v>921.69999999999982</v>
      </c>
      <c r="U94" s="20">
        <f>IF(AND('Total income package'!$A$18=TRUE,OR(H94="Yes",O94="Yes"),G94&lt;$G$2,$K$2-T94&gt;10),ROUNDDOWN($K$2-T94,0),0)</f>
        <v>261</v>
      </c>
      <c r="V94" s="176">
        <f t="shared" si="26"/>
        <v>261</v>
      </c>
      <c r="W94" s="5"/>
    </row>
    <row r="95" spans="2:23" x14ac:dyDescent="0.25">
      <c r="B95" s="72">
        <v>44500</v>
      </c>
      <c r="C95" s="19">
        <f>MAX('TANF-VIEW'!L98,'TANF-VIEW'!T98)</f>
        <v>0</v>
      </c>
      <c r="D95" s="20">
        <f t="shared" si="27"/>
        <v>3708.3333333333335</v>
      </c>
      <c r="E95" s="20">
        <f>'Total income package'!$D$80</f>
        <v>0</v>
      </c>
      <c r="F95" s="20">
        <f>'Total income package'!$H$61+'Total income package'!$F$66</f>
        <v>400</v>
      </c>
      <c r="G95" s="20">
        <f t="shared" si="20"/>
        <v>4108.3333333333339</v>
      </c>
      <c r="H95" s="20" t="str">
        <f t="shared" si="14"/>
        <v>Yes</v>
      </c>
      <c r="I95" s="20">
        <f t="shared" si="15"/>
        <v>741.66666666666674</v>
      </c>
      <c r="J95" s="20">
        <f t="shared" si="16"/>
        <v>261</v>
      </c>
      <c r="K95" s="20">
        <f t="shared" si="17"/>
        <v>3105.666666666667</v>
      </c>
      <c r="L95" s="20">
        <f t="shared" si="21"/>
        <v>500</v>
      </c>
      <c r="M95" s="20">
        <f>'Total income package'!$B$69</f>
        <v>500</v>
      </c>
      <c r="N95" s="20">
        <f t="shared" si="22"/>
        <v>1000</v>
      </c>
      <c r="O95" s="344" t="str">
        <f t="shared" si="23"/>
        <v>Yes</v>
      </c>
      <c r="P95" s="20">
        <f t="shared" si="24"/>
        <v>1552.8333333333335</v>
      </c>
      <c r="Q95" s="346">
        <f t="shared" si="18"/>
        <v>0</v>
      </c>
      <c r="R95" s="20">
        <f>IF(AND(D$2+$E$2&gt;0,N95-SNAP!P95&gt;0),N95-SNAP!P95,0)</f>
        <v>0</v>
      </c>
      <c r="S95" s="20">
        <f t="shared" si="25"/>
        <v>3105.666666666667</v>
      </c>
      <c r="T95" s="20">
        <f t="shared" si="19"/>
        <v>931.7</v>
      </c>
      <c r="U95" s="20">
        <f>IF(AND('Total income package'!$A$18=TRUE,OR(H95="Yes",O95="Yes"),G95&lt;$G$2,$K$2-T95&gt;10),ROUNDDOWN($K$2-T95,0),0)</f>
        <v>251</v>
      </c>
      <c r="V95" s="176">
        <f t="shared" si="26"/>
        <v>251</v>
      </c>
      <c r="W95" s="5"/>
    </row>
    <row r="96" spans="2:23" x14ac:dyDescent="0.25">
      <c r="B96" s="72">
        <v>45000</v>
      </c>
      <c r="C96" s="19">
        <f>MAX('TANF-VIEW'!L99,'TANF-VIEW'!T99)</f>
        <v>0</v>
      </c>
      <c r="D96" s="20">
        <f t="shared" si="27"/>
        <v>3750</v>
      </c>
      <c r="E96" s="20">
        <f>'Total income package'!$D$80</f>
        <v>0</v>
      </c>
      <c r="F96" s="20">
        <f>'Total income package'!$H$61+'Total income package'!$F$66</f>
        <v>400</v>
      </c>
      <c r="G96" s="20">
        <f t="shared" si="20"/>
        <v>4150</v>
      </c>
      <c r="H96" s="20" t="str">
        <f t="shared" si="14"/>
        <v>Yes</v>
      </c>
      <c r="I96" s="20">
        <f t="shared" si="15"/>
        <v>750</v>
      </c>
      <c r="J96" s="20">
        <f t="shared" si="16"/>
        <v>261</v>
      </c>
      <c r="K96" s="20">
        <f t="shared" si="17"/>
        <v>3139</v>
      </c>
      <c r="L96" s="20">
        <f t="shared" si="21"/>
        <v>500</v>
      </c>
      <c r="M96" s="20">
        <f>'Total income package'!$B$69</f>
        <v>500</v>
      </c>
      <c r="N96" s="20">
        <f t="shared" si="22"/>
        <v>1000</v>
      </c>
      <c r="O96" s="344" t="str">
        <f t="shared" si="23"/>
        <v>No</v>
      </c>
      <c r="P96" s="20">
        <f t="shared" si="24"/>
        <v>1569.5</v>
      </c>
      <c r="Q96" s="346">
        <f t="shared" si="18"/>
        <v>0</v>
      </c>
      <c r="R96" s="20">
        <f>IF(AND(D$2+$E$2&gt;0,N96-SNAP!P96&gt;0),N96-SNAP!P96,0)</f>
        <v>0</v>
      </c>
      <c r="S96" s="20">
        <f t="shared" si="25"/>
        <v>3139</v>
      </c>
      <c r="T96" s="20">
        <f t="shared" si="19"/>
        <v>941.69999999999993</v>
      </c>
      <c r="U96" s="20">
        <f>IF(AND('Total income package'!$A$18=TRUE,OR(H96="Yes",O96="Yes"),G96&lt;$G$2,$K$2-T96&gt;10),ROUNDDOWN($K$2-T96,0),0)</f>
        <v>241</v>
      </c>
      <c r="V96" s="176">
        <f t="shared" si="26"/>
        <v>241</v>
      </c>
      <c r="W96" s="5"/>
    </row>
    <row r="97" spans="2:23" x14ac:dyDescent="0.25">
      <c r="B97" s="72">
        <v>45500</v>
      </c>
      <c r="C97" s="19">
        <f>MAX('TANF-VIEW'!L100,'TANF-VIEW'!T100)</f>
        <v>0</v>
      </c>
      <c r="D97" s="20">
        <f t="shared" si="27"/>
        <v>3791.6666666666665</v>
      </c>
      <c r="E97" s="20">
        <f>'Total income package'!$D$80</f>
        <v>0</v>
      </c>
      <c r="F97" s="20">
        <f>'Total income package'!$H$61+'Total income package'!$F$66</f>
        <v>400</v>
      </c>
      <c r="G97" s="20">
        <f t="shared" si="20"/>
        <v>4191.6666666666661</v>
      </c>
      <c r="H97" s="20" t="str">
        <f t="shared" si="14"/>
        <v>Yes</v>
      </c>
      <c r="I97" s="20">
        <f t="shared" si="15"/>
        <v>758.33333333333337</v>
      </c>
      <c r="J97" s="20">
        <f t="shared" si="16"/>
        <v>261</v>
      </c>
      <c r="K97" s="20">
        <f t="shared" si="17"/>
        <v>3172.3333333333326</v>
      </c>
      <c r="L97" s="20">
        <f t="shared" si="21"/>
        <v>500</v>
      </c>
      <c r="M97" s="20">
        <f>'Total income package'!$B$69</f>
        <v>500</v>
      </c>
      <c r="N97" s="20">
        <f t="shared" si="22"/>
        <v>1000</v>
      </c>
      <c r="O97" s="344" t="str">
        <f t="shared" si="23"/>
        <v>No</v>
      </c>
      <c r="P97" s="20">
        <f t="shared" si="24"/>
        <v>1586.1666666666663</v>
      </c>
      <c r="Q97" s="346">
        <f t="shared" si="18"/>
        <v>0</v>
      </c>
      <c r="R97" s="20">
        <f>IF(AND(D$2+$E$2&gt;0,N97-SNAP!P97&gt;0),N97-SNAP!P97,0)</f>
        <v>0</v>
      </c>
      <c r="S97" s="20">
        <f t="shared" si="25"/>
        <v>3172.3333333333326</v>
      </c>
      <c r="T97" s="20">
        <f t="shared" si="19"/>
        <v>951.6999999999997</v>
      </c>
      <c r="U97" s="20">
        <f>IF(AND('Total income package'!$A$18=TRUE,OR(H97="Yes",O97="Yes"),G97&lt;$G$2,$K$2-T97&gt;10),ROUNDDOWN($K$2-T97,0),0)</f>
        <v>231</v>
      </c>
      <c r="V97" s="176">
        <f t="shared" si="26"/>
        <v>231</v>
      </c>
      <c r="W97" s="5"/>
    </row>
    <row r="98" spans="2:23" x14ac:dyDescent="0.25">
      <c r="B98" s="72">
        <v>46000</v>
      </c>
      <c r="C98" s="19">
        <f>MAX('TANF-VIEW'!L101,'TANF-VIEW'!T101)</f>
        <v>0</v>
      </c>
      <c r="D98" s="20">
        <f t="shared" si="27"/>
        <v>3833.3333333333335</v>
      </c>
      <c r="E98" s="20">
        <f>'Total income package'!$D$80</f>
        <v>0</v>
      </c>
      <c r="F98" s="20">
        <f>'Total income package'!$H$61+'Total income package'!$F$66</f>
        <v>400</v>
      </c>
      <c r="G98" s="20">
        <f t="shared" si="20"/>
        <v>4233.3333333333339</v>
      </c>
      <c r="H98" s="20" t="str">
        <f t="shared" si="14"/>
        <v>Yes</v>
      </c>
      <c r="I98" s="20">
        <f t="shared" si="15"/>
        <v>766.66666666666674</v>
      </c>
      <c r="J98" s="20">
        <f t="shared" si="16"/>
        <v>261</v>
      </c>
      <c r="K98" s="20">
        <f t="shared" si="17"/>
        <v>3205.666666666667</v>
      </c>
      <c r="L98" s="20">
        <f t="shared" si="21"/>
        <v>500</v>
      </c>
      <c r="M98" s="20">
        <f>'Total income package'!$B$69</f>
        <v>500</v>
      </c>
      <c r="N98" s="20">
        <f t="shared" si="22"/>
        <v>1000</v>
      </c>
      <c r="O98" s="344" t="str">
        <f t="shared" si="23"/>
        <v>No</v>
      </c>
      <c r="P98" s="20">
        <f t="shared" si="24"/>
        <v>1602.8333333333335</v>
      </c>
      <c r="Q98" s="346">
        <f t="shared" si="18"/>
        <v>0</v>
      </c>
      <c r="R98" s="20">
        <f>IF(AND(D$2+$E$2&gt;0,N98-SNAP!P98&gt;0),N98-SNAP!P98,0)</f>
        <v>0</v>
      </c>
      <c r="S98" s="20">
        <f t="shared" si="25"/>
        <v>3205.666666666667</v>
      </c>
      <c r="T98" s="20">
        <f t="shared" si="19"/>
        <v>961.7</v>
      </c>
      <c r="U98" s="20">
        <f>IF(AND('Total income package'!$A$18=TRUE,OR(H98="Yes",O98="Yes"),G98&lt;$G$2,$K$2-T98&gt;10),ROUNDDOWN($K$2-T98,0),0)</f>
        <v>221</v>
      </c>
      <c r="V98" s="176">
        <f t="shared" si="26"/>
        <v>221</v>
      </c>
      <c r="W98" s="5"/>
    </row>
    <row r="99" spans="2:23" x14ac:dyDescent="0.25">
      <c r="B99" s="72">
        <v>46500</v>
      </c>
      <c r="C99" s="19">
        <f>MAX('TANF-VIEW'!L102,'TANF-VIEW'!T102)</f>
        <v>0</v>
      </c>
      <c r="D99" s="20">
        <f t="shared" si="27"/>
        <v>3875</v>
      </c>
      <c r="E99" s="20">
        <f>'Total income package'!$D$80</f>
        <v>0</v>
      </c>
      <c r="F99" s="20">
        <f>'Total income package'!$H$61+'Total income package'!$F$66</f>
        <v>400</v>
      </c>
      <c r="G99" s="20">
        <f t="shared" si="20"/>
        <v>4275</v>
      </c>
      <c r="H99" s="20" t="str">
        <f t="shared" si="14"/>
        <v>Yes</v>
      </c>
      <c r="I99" s="20">
        <f t="shared" si="15"/>
        <v>775</v>
      </c>
      <c r="J99" s="20">
        <f t="shared" si="16"/>
        <v>261</v>
      </c>
      <c r="K99" s="20">
        <f t="shared" si="17"/>
        <v>3239</v>
      </c>
      <c r="L99" s="20">
        <f t="shared" si="21"/>
        <v>500</v>
      </c>
      <c r="M99" s="20">
        <f>'Total income package'!$B$69</f>
        <v>500</v>
      </c>
      <c r="N99" s="20">
        <f t="shared" si="22"/>
        <v>1000</v>
      </c>
      <c r="O99" s="344" t="str">
        <f t="shared" si="23"/>
        <v>No</v>
      </c>
      <c r="P99" s="20">
        <f t="shared" si="24"/>
        <v>1619.5</v>
      </c>
      <c r="Q99" s="346">
        <f t="shared" si="18"/>
        <v>0</v>
      </c>
      <c r="R99" s="20">
        <f>IF(AND(D$2+$E$2&gt;0,N99-SNAP!P99&gt;0),N99-SNAP!P99,0)</f>
        <v>0</v>
      </c>
      <c r="S99" s="20">
        <f t="shared" si="25"/>
        <v>3239</v>
      </c>
      <c r="T99" s="20">
        <f t="shared" si="19"/>
        <v>971.69999999999993</v>
      </c>
      <c r="U99" s="20">
        <f>IF(AND('Total income package'!$A$18=TRUE,OR(H99="Yes",O99="Yes"),G99&lt;$G$2,$K$2-T99&gt;10),ROUNDDOWN($K$2-T99,0),0)</f>
        <v>211</v>
      </c>
      <c r="V99" s="176">
        <f t="shared" si="26"/>
        <v>211</v>
      </c>
      <c r="W99" s="5"/>
    </row>
    <row r="100" spans="2:23" x14ac:dyDescent="0.25">
      <c r="B100" s="72">
        <v>47000</v>
      </c>
      <c r="C100" s="19">
        <f>MAX('TANF-VIEW'!L103,'TANF-VIEW'!T103)</f>
        <v>0</v>
      </c>
      <c r="D100" s="20">
        <f t="shared" si="27"/>
        <v>3916.6666666666665</v>
      </c>
      <c r="E100" s="20">
        <f>'Total income package'!$D$80</f>
        <v>0</v>
      </c>
      <c r="F100" s="20">
        <f>'Total income package'!$H$61+'Total income package'!$F$66</f>
        <v>400</v>
      </c>
      <c r="G100" s="20">
        <f t="shared" si="20"/>
        <v>4316.6666666666661</v>
      </c>
      <c r="H100" s="20" t="str">
        <f t="shared" si="14"/>
        <v>Yes</v>
      </c>
      <c r="I100" s="20">
        <f t="shared" si="15"/>
        <v>783.33333333333337</v>
      </c>
      <c r="J100" s="20">
        <f t="shared" si="16"/>
        <v>261</v>
      </c>
      <c r="K100" s="20">
        <f t="shared" si="17"/>
        <v>3272.3333333333326</v>
      </c>
      <c r="L100" s="20">
        <f t="shared" si="21"/>
        <v>500</v>
      </c>
      <c r="M100" s="20">
        <f>'Total income package'!$B$69</f>
        <v>500</v>
      </c>
      <c r="N100" s="20">
        <f t="shared" si="22"/>
        <v>1000</v>
      </c>
      <c r="O100" s="344" t="str">
        <f t="shared" si="23"/>
        <v>No</v>
      </c>
      <c r="P100" s="20">
        <f t="shared" si="24"/>
        <v>1636.1666666666663</v>
      </c>
      <c r="Q100" s="346">
        <f t="shared" si="18"/>
        <v>0</v>
      </c>
      <c r="R100" s="20">
        <f>IF(AND(D$2+$E$2&gt;0,N100-SNAP!P100&gt;0),N100-SNAP!P100,0)</f>
        <v>0</v>
      </c>
      <c r="S100" s="20">
        <f t="shared" si="25"/>
        <v>3272.3333333333326</v>
      </c>
      <c r="T100" s="20">
        <f t="shared" si="19"/>
        <v>981.6999999999997</v>
      </c>
      <c r="U100" s="20">
        <f>IF(AND('Total income package'!$A$18=TRUE,OR(H100="Yes",O100="Yes"),G100&lt;$G$2,$K$2-T100&gt;10),ROUNDDOWN($K$2-T100,0),0)</f>
        <v>201</v>
      </c>
      <c r="V100" s="176">
        <f t="shared" si="26"/>
        <v>201</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400</v>
      </c>
      <c r="G101" s="20">
        <f t="shared" si="20"/>
        <v>4358.3333333333339</v>
      </c>
      <c r="H101" s="20" t="str">
        <f t="shared" si="14"/>
        <v>Yes</v>
      </c>
      <c r="I101" s="20">
        <f t="shared" si="15"/>
        <v>791.66666666666674</v>
      </c>
      <c r="J101" s="20">
        <f t="shared" si="16"/>
        <v>261</v>
      </c>
      <c r="K101" s="20">
        <f t="shared" si="17"/>
        <v>3305.666666666667</v>
      </c>
      <c r="L101" s="20">
        <f t="shared" si="21"/>
        <v>500</v>
      </c>
      <c r="M101" s="20">
        <f>'Total income package'!$B$69</f>
        <v>500</v>
      </c>
      <c r="N101" s="20">
        <f t="shared" si="22"/>
        <v>1000</v>
      </c>
      <c r="O101" s="344" t="str">
        <f t="shared" si="23"/>
        <v>No</v>
      </c>
      <c r="P101" s="20">
        <f t="shared" si="24"/>
        <v>1652.8333333333335</v>
      </c>
      <c r="Q101" s="346">
        <f t="shared" si="18"/>
        <v>0</v>
      </c>
      <c r="R101" s="20">
        <f>IF(AND(D$2+$E$2&gt;0,N101-SNAP!P101&gt;0),N101-SNAP!P101,0)</f>
        <v>0</v>
      </c>
      <c r="S101" s="20">
        <f t="shared" si="25"/>
        <v>3305.666666666667</v>
      </c>
      <c r="T101" s="20">
        <f t="shared" si="19"/>
        <v>991.7</v>
      </c>
      <c r="U101" s="20">
        <f>IF(AND('Total income package'!$A$18=TRUE,OR(H101="Yes",O101="Yes"),G101&lt;$G$2,$K$2-T101&gt;10),ROUNDDOWN($K$2-T101,0),0)</f>
        <v>191</v>
      </c>
      <c r="V101" s="176">
        <f t="shared" si="26"/>
        <v>191</v>
      </c>
      <c r="W101" s="5"/>
    </row>
    <row r="102" spans="2:23" x14ac:dyDescent="0.25">
      <c r="B102" s="72">
        <v>48000</v>
      </c>
      <c r="C102" s="19">
        <f>MAX('TANF-VIEW'!L105,'TANF-VIEW'!T105)</f>
        <v>0</v>
      </c>
      <c r="D102" s="20">
        <f t="shared" si="27"/>
        <v>4000</v>
      </c>
      <c r="E102" s="20">
        <f>'Total income package'!$D$80</f>
        <v>0</v>
      </c>
      <c r="F102" s="20">
        <f>'Total income package'!$H$61+'Total income package'!$F$66</f>
        <v>400</v>
      </c>
      <c r="G102" s="20">
        <f t="shared" si="20"/>
        <v>4400</v>
      </c>
      <c r="H102" s="20" t="str">
        <f t="shared" si="14"/>
        <v>Yes</v>
      </c>
      <c r="I102" s="20">
        <f t="shared" si="15"/>
        <v>800</v>
      </c>
      <c r="J102" s="20">
        <f t="shared" si="16"/>
        <v>261</v>
      </c>
      <c r="K102" s="20">
        <f t="shared" si="17"/>
        <v>3339</v>
      </c>
      <c r="L102" s="20">
        <f t="shared" si="21"/>
        <v>500</v>
      </c>
      <c r="M102" s="20">
        <f>'Total income package'!$B$69</f>
        <v>500</v>
      </c>
      <c r="N102" s="20">
        <f t="shared" si="22"/>
        <v>1000</v>
      </c>
      <c r="O102" s="344" t="str">
        <f t="shared" si="23"/>
        <v>No</v>
      </c>
      <c r="P102" s="20">
        <f t="shared" si="24"/>
        <v>1669.5</v>
      </c>
      <c r="Q102" s="346">
        <f t="shared" si="18"/>
        <v>0</v>
      </c>
      <c r="R102" s="20">
        <f>IF(AND(D$2+$E$2&gt;0,N102-SNAP!P102&gt;0),N102-SNAP!P102,0)</f>
        <v>0</v>
      </c>
      <c r="S102" s="20">
        <f t="shared" si="25"/>
        <v>3339</v>
      </c>
      <c r="T102" s="20">
        <f t="shared" si="19"/>
        <v>1001.6999999999999</v>
      </c>
      <c r="U102" s="20">
        <f>IF(AND('Total income package'!$A$18=TRUE,OR(H102="Yes",O102="Yes"),G102&lt;$G$2,$K$2-T102&gt;10),ROUNDDOWN($K$2-T102,0),0)</f>
        <v>181</v>
      </c>
      <c r="V102" s="176">
        <f t="shared" si="26"/>
        <v>181</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400</v>
      </c>
      <c r="G103" s="20">
        <f t="shared" si="20"/>
        <v>4441.6666666666661</v>
      </c>
      <c r="H103" s="20" t="str">
        <f t="shared" si="14"/>
        <v>Yes</v>
      </c>
      <c r="I103" s="20">
        <f t="shared" si="15"/>
        <v>808.33333333333337</v>
      </c>
      <c r="J103" s="20">
        <f t="shared" si="16"/>
        <v>261</v>
      </c>
      <c r="K103" s="20">
        <f t="shared" si="17"/>
        <v>3372.3333333333326</v>
      </c>
      <c r="L103" s="20">
        <f t="shared" si="21"/>
        <v>500</v>
      </c>
      <c r="M103" s="20">
        <f>'Total income package'!$B$69</f>
        <v>500</v>
      </c>
      <c r="N103" s="20">
        <f t="shared" si="22"/>
        <v>1000</v>
      </c>
      <c r="O103" s="344" t="str">
        <f t="shared" si="23"/>
        <v>No</v>
      </c>
      <c r="P103" s="20">
        <f t="shared" si="24"/>
        <v>1686.1666666666663</v>
      </c>
      <c r="Q103" s="346">
        <f t="shared" si="18"/>
        <v>0</v>
      </c>
      <c r="R103" s="20">
        <f>IF(AND(D$2+$E$2&gt;0,N103-SNAP!P103&gt;0),N103-SNAP!P103,0)</f>
        <v>0</v>
      </c>
      <c r="S103" s="20">
        <f t="shared" si="25"/>
        <v>3372.3333333333326</v>
      </c>
      <c r="T103" s="20">
        <f t="shared" si="19"/>
        <v>1011.6999999999997</v>
      </c>
      <c r="U103" s="20">
        <f>IF(AND('Total income package'!$A$18=TRUE,OR(H103="Yes",O103="Yes"),G103&lt;$G$2,$K$2-T103&gt;10),ROUNDDOWN($K$2-T103,0),0)</f>
        <v>171</v>
      </c>
      <c r="V103" s="176">
        <f t="shared" si="26"/>
        <v>171</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400</v>
      </c>
      <c r="G104" s="20">
        <f t="shared" si="20"/>
        <v>4483.3333333333339</v>
      </c>
      <c r="H104" s="20" t="str">
        <f t="shared" si="14"/>
        <v>Yes</v>
      </c>
      <c r="I104" s="20">
        <f t="shared" si="15"/>
        <v>816.66666666666674</v>
      </c>
      <c r="J104" s="20">
        <f t="shared" si="16"/>
        <v>261</v>
      </c>
      <c r="K104" s="20">
        <f t="shared" si="17"/>
        <v>3405.666666666667</v>
      </c>
      <c r="L104" s="20">
        <f t="shared" si="21"/>
        <v>500</v>
      </c>
      <c r="M104" s="20">
        <f>'Total income package'!$B$69</f>
        <v>500</v>
      </c>
      <c r="N104" s="20">
        <f t="shared" si="22"/>
        <v>1000</v>
      </c>
      <c r="O104" s="344" t="str">
        <f t="shared" si="23"/>
        <v>No</v>
      </c>
      <c r="P104" s="20">
        <f t="shared" si="24"/>
        <v>1702.8333333333335</v>
      </c>
      <c r="Q104" s="346">
        <f t="shared" si="18"/>
        <v>0</v>
      </c>
      <c r="R104" s="20">
        <f>IF(AND(D$2+$E$2&gt;0,N104-SNAP!P104&gt;0),N104-SNAP!P104,0)</f>
        <v>0</v>
      </c>
      <c r="S104" s="20">
        <f t="shared" si="25"/>
        <v>3405.666666666667</v>
      </c>
      <c r="T104" s="20">
        <f t="shared" si="19"/>
        <v>1021.7</v>
      </c>
      <c r="U104" s="20">
        <f>IF(AND('Total income package'!$A$18=TRUE,OR(H104="Yes",O104="Yes"),G104&lt;$G$2,$K$2-T104&gt;10),ROUNDDOWN($K$2-T104,0),0)</f>
        <v>161</v>
      </c>
      <c r="V104" s="176">
        <f t="shared" si="26"/>
        <v>161</v>
      </c>
      <c r="W104" s="5"/>
    </row>
    <row r="105" spans="2:23" x14ac:dyDescent="0.25">
      <c r="B105" s="72">
        <v>49500</v>
      </c>
      <c r="C105" s="19">
        <f>MAX('TANF-VIEW'!L108,'TANF-VIEW'!T108)</f>
        <v>0</v>
      </c>
      <c r="D105" s="20">
        <f t="shared" si="27"/>
        <v>4125</v>
      </c>
      <c r="E105" s="20">
        <f>'Total income package'!$D$80</f>
        <v>0</v>
      </c>
      <c r="F105" s="20">
        <f>'Total income package'!$H$61+'Total income package'!$F$66</f>
        <v>400</v>
      </c>
      <c r="G105" s="20">
        <f t="shared" si="20"/>
        <v>4525</v>
      </c>
      <c r="H105" s="20" t="str">
        <f t="shared" si="14"/>
        <v>Yes</v>
      </c>
      <c r="I105" s="20">
        <f t="shared" si="15"/>
        <v>825</v>
      </c>
      <c r="J105" s="20">
        <f t="shared" si="16"/>
        <v>261</v>
      </c>
      <c r="K105" s="20">
        <f t="shared" si="17"/>
        <v>3439</v>
      </c>
      <c r="L105" s="20">
        <f t="shared" si="21"/>
        <v>500</v>
      </c>
      <c r="M105" s="20">
        <f>'Total income package'!$B$69</f>
        <v>500</v>
      </c>
      <c r="N105" s="20">
        <f t="shared" si="22"/>
        <v>1000</v>
      </c>
      <c r="O105" s="344" t="str">
        <f t="shared" si="23"/>
        <v>No</v>
      </c>
      <c r="P105" s="20">
        <f t="shared" si="24"/>
        <v>1719.5</v>
      </c>
      <c r="Q105" s="346">
        <f t="shared" si="18"/>
        <v>0</v>
      </c>
      <c r="R105" s="20">
        <f>IF(AND(D$2+$E$2&gt;0,N105-SNAP!P105&gt;0),N105-SNAP!P105,0)</f>
        <v>0</v>
      </c>
      <c r="S105" s="20">
        <f t="shared" si="25"/>
        <v>3439</v>
      </c>
      <c r="T105" s="20">
        <f t="shared" si="19"/>
        <v>1031.7</v>
      </c>
      <c r="U105" s="20">
        <f>IF(AND('Total income package'!$A$18=TRUE,OR(H105="Yes",O105="Yes"),G105&lt;$G$2,$K$2-T105&gt;10),ROUNDDOWN($K$2-T105,0),0)</f>
        <v>151</v>
      </c>
      <c r="V105" s="176">
        <f t="shared" si="26"/>
        <v>151</v>
      </c>
      <c r="W105" s="5"/>
    </row>
    <row r="106" spans="2:23" x14ac:dyDescent="0.25">
      <c r="B106" s="72">
        <v>50000</v>
      </c>
      <c r="C106" s="19">
        <f>MAX('TANF-VIEW'!L109,'TANF-VIEW'!T109)</f>
        <v>0</v>
      </c>
      <c r="D106" s="20">
        <f t="shared" si="27"/>
        <v>4166.666666666667</v>
      </c>
      <c r="E106" s="20">
        <f>'Total income package'!$D$80</f>
        <v>0</v>
      </c>
      <c r="F106" s="20">
        <f>'Total income package'!$H$61+'Total income package'!$F$66</f>
        <v>400</v>
      </c>
      <c r="G106" s="20">
        <f t="shared" si="20"/>
        <v>4566.666666666667</v>
      </c>
      <c r="H106" s="20" t="str">
        <f t="shared" si="14"/>
        <v>Yes</v>
      </c>
      <c r="I106" s="20">
        <f t="shared" si="15"/>
        <v>833.33333333333348</v>
      </c>
      <c r="J106" s="20">
        <f t="shared" si="16"/>
        <v>261</v>
      </c>
      <c r="K106" s="20">
        <f t="shared" si="17"/>
        <v>3472.3333333333335</v>
      </c>
      <c r="L106" s="20">
        <f t="shared" si="21"/>
        <v>500</v>
      </c>
      <c r="M106" s="20">
        <f>'Total income package'!$B$69</f>
        <v>500</v>
      </c>
      <c r="N106" s="20">
        <f t="shared" si="22"/>
        <v>1000</v>
      </c>
      <c r="O106" s="344" t="str">
        <f t="shared" si="23"/>
        <v>No</v>
      </c>
      <c r="P106" s="20">
        <f t="shared" si="24"/>
        <v>1736.1666666666667</v>
      </c>
      <c r="Q106" s="346">
        <f t="shared" si="18"/>
        <v>0</v>
      </c>
      <c r="R106" s="20">
        <f>IF(AND(D$2+$E$2&gt;0,N106-SNAP!P106&gt;0),N106-SNAP!P106,0)</f>
        <v>0</v>
      </c>
      <c r="S106" s="20">
        <f t="shared" si="25"/>
        <v>3472.3333333333335</v>
      </c>
      <c r="T106" s="20">
        <f t="shared" si="19"/>
        <v>1041.7</v>
      </c>
      <c r="U106" s="20">
        <f>IF(AND('Total income package'!$A$18=TRUE,OR(H106="Yes",O106="Yes"),G106&lt;$G$2,$K$2-T106&gt;10),ROUNDDOWN($K$2-T106,0),0)</f>
        <v>141</v>
      </c>
      <c r="V106" s="176">
        <f t="shared" si="26"/>
        <v>141</v>
      </c>
      <c r="W106" s="5"/>
    </row>
    <row r="107" spans="2:23" x14ac:dyDescent="0.25">
      <c r="B107" s="72">
        <v>50500</v>
      </c>
      <c r="C107" s="19">
        <f>MAX('TANF-VIEW'!L110,'TANF-VIEW'!T110)</f>
        <v>0</v>
      </c>
      <c r="D107" s="20">
        <f t="shared" si="27"/>
        <v>4208.333333333333</v>
      </c>
      <c r="E107" s="20">
        <f>'Total income package'!$D$80</f>
        <v>0</v>
      </c>
      <c r="F107" s="20">
        <f>'Total income package'!$H$61+'Total income package'!$F$66</f>
        <v>400</v>
      </c>
      <c r="G107" s="20">
        <f t="shared" si="20"/>
        <v>4608.333333333333</v>
      </c>
      <c r="H107" s="20" t="str">
        <f t="shared" si="14"/>
        <v>Yes</v>
      </c>
      <c r="I107" s="20">
        <f t="shared" si="15"/>
        <v>841.66666666666663</v>
      </c>
      <c r="J107" s="20">
        <f t="shared" si="16"/>
        <v>261</v>
      </c>
      <c r="K107" s="20">
        <f t="shared" si="17"/>
        <v>3505.6666666666665</v>
      </c>
      <c r="L107" s="20">
        <f t="shared" si="21"/>
        <v>500</v>
      </c>
      <c r="M107" s="20">
        <f>'Total income package'!$B$69</f>
        <v>500</v>
      </c>
      <c r="N107" s="20">
        <f t="shared" si="22"/>
        <v>1000</v>
      </c>
      <c r="O107" s="344" t="str">
        <f t="shared" si="23"/>
        <v>No</v>
      </c>
      <c r="P107" s="20">
        <f t="shared" si="24"/>
        <v>1752.8333333333333</v>
      </c>
      <c r="Q107" s="346">
        <f t="shared" si="18"/>
        <v>0</v>
      </c>
      <c r="R107" s="20">
        <f>IF(AND(D$2+$E$2&gt;0,N107-SNAP!P107&gt;0),N107-SNAP!P107,0)</f>
        <v>0</v>
      </c>
      <c r="S107" s="20">
        <f t="shared" si="25"/>
        <v>3505.6666666666665</v>
      </c>
      <c r="T107" s="20">
        <f t="shared" si="19"/>
        <v>1051.6999999999998</v>
      </c>
      <c r="U107" s="20">
        <f>IF(AND('Total income package'!$A$18=TRUE,OR(H107="Yes",O107="Yes"),G107&lt;$G$2,$K$2-T107&gt;10),ROUNDDOWN($K$2-T107,0),0)</f>
        <v>131</v>
      </c>
      <c r="V107" s="176">
        <f t="shared" si="26"/>
        <v>131</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400</v>
      </c>
      <c r="G108" s="20">
        <f t="shared" si="20"/>
        <v>4650</v>
      </c>
      <c r="H108" s="20" t="str">
        <f t="shared" si="14"/>
        <v>Yes</v>
      </c>
      <c r="I108" s="20">
        <f t="shared" si="15"/>
        <v>850</v>
      </c>
      <c r="J108" s="20">
        <f t="shared" si="16"/>
        <v>261</v>
      </c>
      <c r="K108" s="20">
        <f t="shared" si="17"/>
        <v>3539</v>
      </c>
      <c r="L108" s="20">
        <f t="shared" si="21"/>
        <v>500</v>
      </c>
      <c r="M108" s="20">
        <f>'Total income package'!$B$69</f>
        <v>500</v>
      </c>
      <c r="N108" s="20">
        <f t="shared" si="22"/>
        <v>1000</v>
      </c>
      <c r="O108" s="344" t="str">
        <f t="shared" si="23"/>
        <v>No</v>
      </c>
      <c r="P108" s="20">
        <f t="shared" si="24"/>
        <v>1769.5</v>
      </c>
      <c r="Q108" s="346">
        <f t="shared" si="18"/>
        <v>0</v>
      </c>
      <c r="R108" s="20">
        <f>IF(AND(D$2+$E$2&gt;0,N108-SNAP!P108&gt;0),N108-SNAP!P108,0)</f>
        <v>0</v>
      </c>
      <c r="S108" s="20">
        <f t="shared" si="25"/>
        <v>3539</v>
      </c>
      <c r="T108" s="20">
        <f t="shared" si="19"/>
        <v>1061.7</v>
      </c>
      <c r="U108" s="20">
        <f>IF(AND('Total income package'!$A$18=TRUE,OR(H108="Yes",O108="Yes"),G108&lt;$G$2,$K$2-T108&gt;10),ROUNDDOWN($K$2-T108,0),0)</f>
        <v>121</v>
      </c>
      <c r="V108" s="176">
        <f t="shared" si="26"/>
        <v>121</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400</v>
      </c>
      <c r="G109" s="20">
        <f t="shared" si="20"/>
        <v>4691.666666666667</v>
      </c>
      <c r="H109" s="20" t="str">
        <f t="shared" si="14"/>
        <v>Yes</v>
      </c>
      <c r="I109" s="20">
        <f t="shared" si="15"/>
        <v>858.33333333333348</v>
      </c>
      <c r="J109" s="20">
        <f t="shared" si="16"/>
        <v>261</v>
      </c>
      <c r="K109" s="20">
        <f t="shared" si="17"/>
        <v>3572.3333333333335</v>
      </c>
      <c r="L109" s="20">
        <f t="shared" si="21"/>
        <v>500</v>
      </c>
      <c r="M109" s="20">
        <f>'Total income package'!$B$69</f>
        <v>500</v>
      </c>
      <c r="N109" s="20">
        <f t="shared" si="22"/>
        <v>1000</v>
      </c>
      <c r="O109" s="344" t="str">
        <f t="shared" si="23"/>
        <v>No</v>
      </c>
      <c r="P109" s="20">
        <f t="shared" si="24"/>
        <v>1786.1666666666667</v>
      </c>
      <c r="Q109" s="346">
        <f t="shared" si="18"/>
        <v>0</v>
      </c>
      <c r="R109" s="20">
        <f>IF(AND(D$2+$E$2&gt;0,N109-SNAP!P109&gt;0),N109-SNAP!P109,0)</f>
        <v>0</v>
      </c>
      <c r="S109" s="20">
        <f t="shared" si="25"/>
        <v>3572.3333333333335</v>
      </c>
      <c r="T109" s="20">
        <f t="shared" si="19"/>
        <v>1071.7</v>
      </c>
      <c r="U109" s="20">
        <f>IF(AND('Total income package'!$A$18=TRUE,OR(H109="Yes",O109="Yes"),G109&lt;$G$2,$K$2-T109&gt;10),ROUNDDOWN($K$2-T109,0),0)</f>
        <v>111</v>
      </c>
      <c r="V109" s="176">
        <f t="shared" si="26"/>
        <v>111</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400</v>
      </c>
      <c r="G110" s="20">
        <f t="shared" si="20"/>
        <v>4733.333333333333</v>
      </c>
      <c r="H110" s="20" t="str">
        <f t="shared" si="14"/>
        <v>Yes</v>
      </c>
      <c r="I110" s="20">
        <f t="shared" si="15"/>
        <v>866.66666666666663</v>
      </c>
      <c r="J110" s="20">
        <f t="shared" si="16"/>
        <v>261</v>
      </c>
      <c r="K110" s="20">
        <f t="shared" si="17"/>
        <v>3605.6666666666665</v>
      </c>
      <c r="L110" s="20">
        <f t="shared" si="21"/>
        <v>500</v>
      </c>
      <c r="M110" s="20">
        <f>'Total income package'!$B$69</f>
        <v>500</v>
      </c>
      <c r="N110" s="20">
        <f t="shared" si="22"/>
        <v>1000</v>
      </c>
      <c r="O110" s="344" t="str">
        <f t="shared" si="23"/>
        <v>No</v>
      </c>
      <c r="P110" s="20">
        <f t="shared" si="24"/>
        <v>1802.8333333333333</v>
      </c>
      <c r="Q110" s="346">
        <f t="shared" si="18"/>
        <v>0</v>
      </c>
      <c r="R110" s="20">
        <f>IF(AND(D$2+$E$2&gt;0,N110-SNAP!P110&gt;0),N110-SNAP!P110,0)</f>
        <v>0</v>
      </c>
      <c r="S110" s="20">
        <f t="shared" si="25"/>
        <v>3605.6666666666665</v>
      </c>
      <c r="T110" s="20">
        <f t="shared" si="19"/>
        <v>1081.6999999999998</v>
      </c>
      <c r="U110" s="20">
        <f>IF(AND('Total income package'!$A$18=TRUE,OR(H110="Yes",O110="Yes"),G110&lt;$G$2,$K$2-T110&gt;10),ROUNDDOWN($K$2-T110,0),0)</f>
        <v>101</v>
      </c>
      <c r="V110" s="176">
        <f>IF(AND(C106&lt;3,U110&gt;10,U110&lt;24),24,U110)</f>
        <v>101</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400</v>
      </c>
      <c r="G111" s="20">
        <f t="shared" si="20"/>
        <v>4775</v>
      </c>
      <c r="H111" s="20" t="str">
        <f t="shared" si="14"/>
        <v>Yes</v>
      </c>
      <c r="I111" s="20">
        <f t="shared" si="15"/>
        <v>875</v>
      </c>
      <c r="J111" s="20">
        <f t="shared" si="16"/>
        <v>261</v>
      </c>
      <c r="K111" s="20">
        <f t="shared" si="17"/>
        <v>3639</v>
      </c>
      <c r="L111" s="20">
        <f t="shared" si="21"/>
        <v>500</v>
      </c>
      <c r="M111" s="20">
        <f>'Total income package'!$B$69</f>
        <v>500</v>
      </c>
      <c r="N111" s="20">
        <f t="shared" si="22"/>
        <v>1000</v>
      </c>
      <c r="O111" s="344" t="str">
        <f t="shared" si="23"/>
        <v>No</v>
      </c>
      <c r="P111" s="20">
        <f t="shared" si="24"/>
        <v>1819.5</v>
      </c>
      <c r="Q111" s="346">
        <f t="shared" si="18"/>
        <v>0</v>
      </c>
      <c r="R111" s="20">
        <f>IF(AND(D$2+$E$2&gt;0,N111-SNAP!P111&gt;0),N111-SNAP!P111,0)</f>
        <v>0</v>
      </c>
      <c r="S111" s="20">
        <f t="shared" si="25"/>
        <v>3639</v>
      </c>
      <c r="T111" s="20">
        <f t="shared" si="19"/>
        <v>1091.7</v>
      </c>
      <c r="U111" s="20">
        <f>IF(AND('Total income package'!$A$18=TRUE,OR(H111="Yes",O111="Yes"),G111&lt;$G$2,$K$2-T111&gt;10),ROUNDDOWN($K$2-T111,0),0)</f>
        <v>91</v>
      </c>
      <c r="V111" s="176">
        <f t="shared" si="26"/>
        <v>91</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400</v>
      </c>
      <c r="G112" s="20">
        <f t="shared" si="20"/>
        <v>4816.666666666667</v>
      </c>
      <c r="H112" s="20" t="str">
        <f t="shared" si="14"/>
        <v>Yes</v>
      </c>
      <c r="I112" s="20">
        <f t="shared" si="15"/>
        <v>883.33333333333348</v>
      </c>
      <c r="J112" s="20">
        <f t="shared" si="16"/>
        <v>261</v>
      </c>
      <c r="K112" s="20">
        <f t="shared" si="17"/>
        <v>3672.3333333333335</v>
      </c>
      <c r="L112" s="20">
        <f t="shared" si="21"/>
        <v>500</v>
      </c>
      <c r="M112" s="20">
        <f>'Total income package'!$B$69</f>
        <v>500</v>
      </c>
      <c r="N112" s="20">
        <f t="shared" si="22"/>
        <v>1000</v>
      </c>
      <c r="O112" s="344" t="str">
        <f t="shared" si="23"/>
        <v>No</v>
      </c>
      <c r="P112" s="20">
        <f t="shared" si="24"/>
        <v>1836.1666666666667</v>
      </c>
      <c r="Q112" s="346">
        <f t="shared" si="18"/>
        <v>0</v>
      </c>
      <c r="R112" s="20">
        <f>IF(AND(D$2+$E$2&gt;0,N112-SNAP!P112&gt;0),N112-SNAP!P112,0)</f>
        <v>0</v>
      </c>
      <c r="S112" s="20">
        <f t="shared" si="25"/>
        <v>3672.3333333333335</v>
      </c>
      <c r="T112" s="20">
        <f t="shared" si="19"/>
        <v>1101.7</v>
      </c>
      <c r="U112" s="20">
        <f>IF(AND('Total income package'!$A$18=TRUE,OR(H112="Yes",O112="Yes"),G112&lt;$G$2,$K$2-T112&gt;10),ROUNDDOWN($K$2-T112,0),0)</f>
        <v>81</v>
      </c>
      <c r="V112" s="176">
        <f t="shared" si="26"/>
        <v>81</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400</v>
      </c>
      <c r="G113" s="20">
        <f t="shared" si="20"/>
        <v>4858.333333333333</v>
      </c>
      <c r="H113" s="20" t="str">
        <f t="shared" si="14"/>
        <v>Yes</v>
      </c>
      <c r="I113" s="20">
        <f t="shared" si="15"/>
        <v>891.66666666666663</v>
      </c>
      <c r="J113" s="20">
        <f t="shared" si="16"/>
        <v>261</v>
      </c>
      <c r="K113" s="20">
        <f t="shared" si="17"/>
        <v>3705.6666666666665</v>
      </c>
      <c r="L113" s="20">
        <f t="shared" si="21"/>
        <v>500</v>
      </c>
      <c r="M113" s="20">
        <f>'Total income package'!$B$69</f>
        <v>500</v>
      </c>
      <c r="N113" s="20">
        <f t="shared" si="22"/>
        <v>1000</v>
      </c>
      <c r="O113" s="344" t="str">
        <f t="shared" si="23"/>
        <v>No</v>
      </c>
      <c r="P113" s="20">
        <f t="shared" si="24"/>
        <v>1852.8333333333333</v>
      </c>
      <c r="Q113" s="346">
        <f t="shared" si="18"/>
        <v>0</v>
      </c>
      <c r="R113" s="20">
        <f>IF(AND(D$2+$E$2&gt;0,N113-SNAP!P113&gt;0),N113-SNAP!P113,0)</f>
        <v>0</v>
      </c>
      <c r="S113" s="20">
        <f t="shared" si="25"/>
        <v>3705.6666666666665</v>
      </c>
      <c r="T113" s="20">
        <f t="shared" si="19"/>
        <v>1111.6999999999998</v>
      </c>
      <c r="U113" s="20">
        <f>IF(AND('Total income package'!$A$18=TRUE,OR(H113="Yes",O113="Yes"),G113&lt;$G$2,$K$2-T113&gt;10),ROUNDDOWN($K$2-T113,0),0)</f>
        <v>71</v>
      </c>
      <c r="V113" s="176">
        <f t="shared" si="26"/>
        <v>71</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400</v>
      </c>
      <c r="G114" s="20">
        <f t="shared" si="20"/>
        <v>4900</v>
      </c>
      <c r="H114" s="20" t="str">
        <f t="shared" si="14"/>
        <v>Yes</v>
      </c>
      <c r="I114" s="20">
        <f t="shared" si="15"/>
        <v>900</v>
      </c>
      <c r="J114" s="20">
        <f t="shared" si="16"/>
        <v>261</v>
      </c>
      <c r="K114" s="20">
        <f t="shared" si="17"/>
        <v>3739</v>
      </c>
      <c r="L114" s="20">
        <f t="shared" si="21"/>
        <v>500</v>
      </c>
      <c r="M114" s="20">
        <f>'Total income package'!$B$69</f>
        <v>500</v>
      </c>
      <c r="N114" s="20">
        <f t="shared" si="22"/>
        <v>1000</v>
      </c>
      <c r="O114" s="344" t="str">
        <f t="shared" si="23"/>
        <v>No</v>
      </c>
      <c r="P114" s="20">
        <f t="shared" si="24"/>
        <v>1869.5</v>
      </c>
      <c r="Q114" s="346">
        <f t="shared" si="18"/>
        <v>0</v>
      </c>
      <c r="R114" s="20">
        <f>IF(AND(D$2+$E$2&gt;0,N114-SNAP!P114&gt;0),N114-SNAP!P114,0)</f>
        <v>0</v>
      </c>
      <c r="S114" s="20">
        <f t="shared" si="25"/>
        <v>3739</v>
      </c>
      <c r="T114" s="20">
        <f t="shared" si="19"/>
        <v>1121.7</v>
      </c>
      <c r="U114" s="20">
        <f>IF(AND('Total income package'!$A$18=TRUE,OR(H114="Yes",O114="Yes"),G114&lt;$G$2,$K$2-T114&gt;10),ROUNDDOWN($K$2-T114,0),0)</f>
        <v>61</v>
      </c>
      <c r="V114" s="176">
        <f t="shared" si="26"/>
        <v>61</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400</v>
      </c>
      <c r="G115" s="20">
        <f t="shared" si="20"/>
        <v>4941.666666666667</v>
      </c>
      <c r="H115" s="20" t="str">
        <f t="shared" si="14"/>
        <v>Yes</v>
      </c>
      <c r="I115" s="20">
        <f t="shared" si="15"/>
        <v>908.33333333333348</v>
      </c>
      <c r="J115" s="20">
        <f t="shared" si="16"/>
        <v>261</v>
      </c>
      <c r="K115" s="20">
        <f t="shared" si="17"/>
        <v>3772.3333333333335</v>
      </c>
      <c r="L115" s="20">
        <f t="shared" si="21"/>
        <v>500</v>
      </c>
      <c r="M115" s="20">
        <f>'Total income package'!$B$69</f>
        <v>500</v>
      </c>
      <c r="N115" s="20">
        <f t="shared" si="22"/>
        <v>1000</v>
      </c>
      <c r="O115" s="344" t="str">
        <f t="shared" si="23"/>
        <v>No</v>
      </c>
      <c r="P115" s="20">
        <f t="shared" si="24"/>
        <v>1886.1666666666667</v>
      </c>
      <c r="Q115" s="346">
        <f t="shared" si="18"/>
        <v>0</v>
      </c>
      <c r="R115" s="20">
        <f>IF(AND(D$2+$E$2&gt;0,N115-SNAP!P115&gt;0),N115-SNAP!P115,0)</f>
        <v>0</v>
      </c>
      <c r="S115" s="20">
        <f t="shared" si="25"/>
        <v>3772.3333333333335</v>
      </c>
      <c r="T115" s="20">
        <f t="shared" si="19"/>
        <v>1131.7</v>
      </c>
      <c r="U115" s="20">
        <f>IF(AND('Total income package'!$A$18=TRUE,OR(H115="Yes",O115="Yes"),G115&lt;$G$2,$K$2-T115&gt;10),ROUNDDOWN($K$2-T115,0),0)</f>
        <v>51</v>
      </c>
      <c r="V115" s="176">
        <f t="shared" si="26"/>
        <v>51</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400</v>
      </c>
      <c r="G116" s="20">
        <f t="shared" si="20"/>
        <v>4983.333333333333</v>
      </c>
      <c r="H116" s="20" t="str">
        <f t="shared" si="14"/>
        <v>Yes</v>
      </c>
      <c r="I116" s="20">
        <f t="shared" si="15"/>
        <v>916.66666666666663</v>
      </c>
      <c r="J116" s="20">
        <f t="shared" si="16"/>
        <v>261</v>
      </c>
      <c r="K116" s="20">
        <f t="shared" si="17"/>
        <v>3805.6666666666665</v>
      </c>
      <c r="L116" s="20">
        <f t="shared" si="21"/>
        <v>500</v>
      </c>
      <c r="M116" s="20">
        <f>'Total income package'!$B$69</f>
        <v>500</v>
      </c>
      <c r="N116" s="20">
        <f t="shared" si="22"/>
        <v>1000</v>
      </c>
      <c r="O116" s="344" t="str">
        <f t="shared" si="23"/>
        <v>No</v>
      </c>
      <c r="P116" s="20">
        <f t="shared" si="24"/>
        <v>1902.8333333333333</v>
      </c>
      <c r="Q116" s="346">
        <f t="shared" si="18"/>
        <v>0</v>
      </c>
      <c r="R116" s="20">
        <f>IF(AND(D$2+$E$2&gt;0,N116-SNAP!P116&gt;0),N116-SNAP!P116,0)</f>
        <v>0</v>
      </c>
      <c r="S116" s="20">
        <f t="shared" si="25"/>
        <v>3805.6666666666665</v>
      </c>
      <c r="T116" s="20">
        <f t="shared" si="19"/>
        <v>1141.6999999999998</v>
      </c>
      <c r="U116" s="20">
        <f>IF(AND('Total income package'!$A$18=TRUE,OR(H116="Yes",O116="Yes"),G116&lt;$G$2,$K$2-T116&gt;10),ROUNDDOWN($K$2-T116,0),0)</f>
        <v>41</v>
      </c>
      <c r="V116" s="176">
        <f t="shared" si="26"/>
        <v>41</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400</v>
      </c>
      <c r="G117" s="20">
        <f t="shared" si="20"/>
        <v>5025</v>
      </c>
      <c r="H117" s="20" t="str">
        <f t="shared" si="14"/>
        <v>Yes</v>
      </c>
      <c r="I117" s="20">
        <f t="shared" si="15"/>
        <v>925</v>
      </c>
      <c r="J117" s="20">
        <f t="shared" si="16"/>
        <v>261</v>
      </c>
      <c r="K117" s="20">
        <f t="shared" si="17"/>
        <v>3839</v>
      </c>
      <c r="L117" s="20">
        <f t="shared" si="21"/>
        <v>500</v>
      </c>
      <c r="M117" s="20">
        <f>'Total income package'!$B$69</f>
        <v>500</v>
      </c>
      <c r="N117" s="20">
        <f t="shared" si="22"/>
        <v>1000</v>
      </c>
      <c r="O117" s="344" t="str">
        <f t="shared" si="23"/>
        <v>No</v>
      </c>
      <c r="P117" s="20">
        <f t="shared" si="24"/>
        <v>1919.5</v>
      </c>
      <c r="Q117" s="346">
        <f t="shared" si="18"/>
        <v>0</v>
      </c>
      <c r="R117" s="20">
        <f>IF(AND(D$2+$E$2&gt;0,N117-SNAP!P117&gt;0),N117-SNAP!P117,0)</f>
        <v>0</v>
      </c>
      <c r="S117" s="20">
        <f t="shared" si="25"/>
        <v>3839</v>
      </c>
      <c r="T117" s="20">
        <f t="shared" si="19"/>
        <v>1151.7</v>
      </c>
      <c r="U117" s="20">
        <f>IF(AND('Total income package'!$A$18=TRUE,OR(H117="Yes",O117="Yes"),G117&lt;$G$2,$K$2-T117&gt;10),ROUNDDOWN($K$2-T117,0),0)</f>
        <v>31</v>
      </c>
      <c r="V117" s="176">
        <f t="shared" si="26"/>
        <v>31</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400</v>
      </c>
      <c r="G118" s="20">
        <f t="shared" si="20"/>
        <v>5066.666666666667</v>
      </c>
      <c r="H118" s="20" t="str">
        <f t="shared" si="14"/>
        <v>Yes</v>
      </c>
      <c r="I118" s="20">
        <f t="shared" si="15"/>
        <v>933.33333333333348</v>
      </c>
      <c r="J118" s="20">
        <f t="shared" si="16"/>
        <v>261</v>
      </c>
      <c r="K118" s="20">
        <f t="shared" si="17"/>
        <v>3872.3333333333339</v>
      </c>
      <c r="L118" s="20">
        <f t="shared" si="21"/>
        <v>500</v>
      </c>
      <c r="M118" s="20">
        <f>'Total income package'!$B$69</f>
        <v>500</v>
      </c>
      <c r="N118" s="20">
        <f t="shared" si="22"/>
        <v>1000</v>
      </c>
      <c r="O118" s="344" t="str">
        <f t="shared" si="23"/>
        <v>No</v>
      </c>
      <c r="P118" s="20">
        <f t="shared" si="24"/>
        <v>1936.166666666667</v>
      </c>
      <c r="Q118" s="346">
        <f t="shared" si="18"/>
        <v>0</v>
      </c>
      <c r="R118" s="20">
        <f>IF(AND(D$2+$E$2&gt;0,N118-SNAP!P118&gt;0),N118-SNAP!P118,0)</f>
        <v>0</v>
      </c>
      <c r="S118" s="20">
        <f t="shared" si="25"/>
        <v>3872.3333333333339</v>
      </c>
      <c r="T118" s="20">
        <f t="shared" si="19"/>
        <v>1161.7</v>
      </c>
      <c r="U118" s="20">
        <f>IF(AND('Total income package'!$A$18=TRUE,OR(H118="Yes",O118="Yes"),G118&lt;$G$2,$K$2-T118&gt;10),ROUNDDOWN($K$2-T118,0),0)</f>
        <v>21</v>
      </c>
      <c r="V118" s="176">
        <f t="shared" si="26"/>
        <v>24</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400</v>
      </c>
      <c r="G119" s="20">
        <f t="shared" si="20"/>
        <v>5108.333333333333</v>
      </c>
      <c r="H119" s="20" t="str">
        <f t="shared" si="14"/>
        <v>Yes</v>
      </c>
      <c r="I119" s="20">
        <f t="shared" si="15"/>
        <v>941.66666666666663</v>
      </c>
      <c r="J119" s="20">
        <f t="shared" si="16"/>
        <v>261</v>
      </c>
      <c r="K119" s="20">
        <f t="shared" si="17"/>
        <v>3905.6666666666661</v>
      </c>
      <c r="L119" s="20">
        <f t="shared" si="21"/>
        <v>500</v>
      </c>
      <c r="M119" s="20">
        <f>'Total income package'!$B$69</f>
        <v>500</v>
      </c>
      <c r="N119" s="20">
        <f t="shared" si="22"/>
        <v>1000</v>
      </c>
      <c r="O119" s="344" t="str">
        <f t="shared" si="23"/>
        <v>No</v>
      </c>
      <c r="P119" s="20">
        <f t="shared" si="24"/>
        <v>1952.833333333333</v>
      </c>
      <c r="Q119" s="346">
        <f t="shared" si="18"/>
        <v>0</v>
      </c>
      <c r="R119" s="20">
        <f>IF(AND(D$2+$E$2&gt;0,N119-SNAP!P119&gt;0),N119-SNAP!P119,0)</f>
        <v>0</v>
      </c>
      <c r="S119" s="20">
        <f t="shared" si="25"/>
        <v>3905.6666666666661</v>
      </c>
      <c r="T119" s="20">
        <f t="shared" si="19"/>
        <v>1171.6999999999998</v>
      </c>
      <c r="U119" s="20">
        <f>IF(AND('Total income package'!$A$18=TRUE,OR(H119="Yes",O119="Yes"),G119&lt;$G$2,$K$2-T119&gt;10),ROUNDDOWN($K$2-T119,0),0)</f>
        <v>11</v>
      </c>
      <c r="V119" s="176">
        <f t="shared" si="26"/>
        <v>24</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400</v>
      </c>
      <c r="G120" s="20">
        <f t="shared" si="20"/>
        <v>5150</v>
      </c>
      <c r="H120" s="20" t="str">
        <f t="shared" si="14"/>
        <v>Yes</v>
      </c>
      <c r="I120" s="20">
        <f t="shared" si="15"/>
        <v>950</v>
      </c>
      <c r="J120" s="20">
        <f t="shared" si="16"/>
        <v>261</v>
      </c>
      <c r="K120" s="20">
        <f t="shared" si="17"/>
        <v>3939</v>
      </c>
      <c r="L120" s="20">
        <f t="shared" si="21"/>
        <v>500</v>
      </c>
      <c r="M120" s="20">
        <f>'Total income package'!$B$69</f>
        <v>500</v>
      </c>
      <c r="N120" s="20">
        <f t="shared" si="22"/>
        <v>1000</v>
      </c>
      <c r="O120" s="344" t="str">
        <f t="shared" si="23"/>
        <v>No</v>
      </c>
      <c r="P120" s="20">
        <f t="shared" si="24"/>
        <v>1969.5</v>
      </c>
      <c r="Q120" s="346">
        <f t="shared" si="18"/>
        <v>0</v>
      </c>
      <c r="R120" s="20">
        <f>IF(AND(D$2+$E$2&gt;0,N120-SNAP!P120&gt;0),N120-SNAP!P120,0)</f>
        <v>0</v>
      </c>
      <c r="S120" s="20">
        <f t="shared" si="25"/>
        <v>3939</v>
      </c>
      <c r="T120" s="20">
        <f t="shared" si="19"/>
        <v>1181.7</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400</v>
      </c>
      <c r="G121" s="20">
        <f t="shared" si="20"/>
        <v>5191.666666666667</v>
      </c>
      <c r="H121" s="20" t="str">
        <f t="shared" si="14"/>
        <v>Yes</v>
      </c>
      <c r="I121" s="20">
        <f t="shared" si="15"/>
        <v>958.33333333333348</v>
      </c>
      <c r="J121" s="20">
        <f t="shared" si="16"/>
        <v>261</v>
      </c>
      <c r="K121" s="20">
        <f t="shared" si="17"/>
        <v>3972.3333333333339</v>
      </c>
      <c r="L121" s="20">
        <f t="shared" si="21"/>
        <v>500</v>
      </c>
      <c r="M121" s="20">
        <f>'Total income package'!$B$69</f>
        <v>500</v>
      </c>
      <c r="N121" s="20">
        <f t="shared" si="22"/>
        <v>1000</v>
      </c>
      <c r="O121" s="344" t="str">
        <f t="shared" si="23"/>
        <v>No</v>
      </c>
      <c r="P121" s="20">
        <f t="shared" si="24"/>
        <v>1986.166666666667</v>
      </c>
      <c r="Q121" s="346">
        <f t="shared" si="18"/>
        <v>0</v>
      </c>
      <c r="R121" s="20">
        <f>IF(AND(D$2+$E$2&gt;0,N121-SNAP!P121&gt;0),N121-SNAP!P121,0)</f>
        <v>0</v>
      </c>
      <c r="S121" s="20">
        <f t="shared" si="25"/>
        <v>3972.3333333333339</v>
      </c>
      <c r="T121" s="20">
        <f t="shared" si="19"/>
        <v>1191.7</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400</v>
      </c>
      <c r="G122" s="20">
        <f t="shared" si="20"/>
        <v>5233.333333333333</v>
      </c>
      <c r="H122" s="20" t="str">
        <f t="shared" si="14"/>
        <v>Yes</v>
      </c>
      <c r="I122" s="20">
        <f t="shared" si="15"/>
        <v>966.66666666666663</v>
      </c>
      <c r="J122" s="20">
        <f t="shared" si="16"/>
        <v>261</v>
      </c>
      <c r="K122" s="20">
        <f t="shared" si="17"/>
        <v>4005.6666666666661</v>
      </c>
      <c r="L122" s="20">
        <f t="shared" si="21"/>
        <v>500</v>
      </c>
      <c r="M122" s="20">
        <f>'Total income package'!$B$69</f>
        <v>500</v>
      </c>
      <c r="N122" s="20">
        <f t="shared" si="22"/>
        <v>1000</v>
      </c>
      <c r="O122" s="344" t="str">
        <f t="shared" si="23"/>
        <v>No</v>
      </c>
      <c r="P122" s="20">
        <f t="shared" si="24"/>
        <v>2002.833333333333</v>
      </c>
      <c r="Q122" s="346">
        <f t="shared" si="18"/>
        <v>0</v>
      </c>
      <c r="R122" s="20">
        <f>IF(AND(D$2+$E$2&gt;0,N122-SNAP!P122&gt;0),N122-SNAP!P122,0)</f>
        <v>0</v>
      </c>
      <c r="S122" s="20">
        <f t="shared" si="25"/>
        <v>4005.6666666666661</v>
      </c>
      <c r="T122" s="20">
        <f t="shared" si="19"/>
        <v>1201.6999999999998</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400</v>
      </c>
      <c r="G123" s="20">
        <f t="shared" si="20"/>
        <v>5275</v>
      </c>
      <c r="H123" s="20" t="str">
        <f t="shared" si="14"/>
        <v>Yes</v>
      </c>
      <c r="I123" s="20">
        <f t="shared" si="15"/>
        <v>975</v>
      </c>
      <c r="J123" s="20">
        <f t="shared" si="16"/>
        <v>261</v>
      </c>
      <c r="K123" s="20">
        <f t="shared" si="17"/>
        <v>4039</v>
      </c>
      <c r="L123" s="20">
        <f t="shared" si="21"/>
        <v>500</v>
      </c>
      <c r="M123" s="20">
        <f>'Total income package'!$B$69</f>
        <v>500</v>
      </c>
      <c r="N123" s="20">
        <f t="shared" si="22"/>
        <v>1000</v>
      </c>
      <c r="O123" s="344" t="str">
        <f t="shared" si="23"/>
        <v>No</v>
      </c>
      <c r="P123" s="20">
        <f t="shared" si="24"/>
        <v>2019.5</v>
      </c>
      <c r="Q123" s="346">
        <f t="shared" si="18"/>
        <v>0</v>
      </c>
      <c r="R123" s="20">
        <f>IF(AND(D$2+$E$2&gt;0,N123-SNAP!P123&gt;0),N123-SNAP!P123,0)</f>
        <v>0</v>
      </c>
      <c r="S123" s="20">
        <f t="shared" si="25"/>
        <v>4039</v>
      </c>
      <c r="T123" s="20">
        <f t="shared" si="19"/>
        <v>1211.7</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400</v>
      </c>
      <c r="G124" s="20">
        <f t="shared" si="20"/>
        <v>5316.666666666667</v>
      </c>
      <c r="H124" s="20" t="str">
        <f t="shared" si="14"/>
        <v>Yes</v>
      </c>
      <c r="I124" s="20">
        <f t="shared" si="15"/>
        <v>983.33333333333348</v>
      </c>
      <c r="J124" s="20">
        <f t="shared" si="16"/>
        <v>261</v>
      </c>
      <c r="K124" s="20">
        <f t="shared" si="17"/>
        <v>4072.3333333333339</v>
      </c>
      <c r="L124" s="20">
        <f t="shared" si="21"/>
        <v>500</v>
      </c>
      <c r="M124" s="20">
        <f>'Total income package'!$B$69</f>
        <v>500</v>
      </c>
      <c r="N124" s="20">
        <f t="shared" si="22"/>
        <v>1000</v>
      </c>
      <c r="O124" s="344" t="str">
        <f t="shared" si="23"/>
        <v>No</v>
      </c>
      <c r="P124" s="20">
        <f t="shared" si="24"/>
        <v>2036.166666666667</v>
      </c>
      <c r="Q124" s="346">
        <f t="shared" si="18"/>
        <v>0</v>
      </c>
      <c r="R124" s="20">
        <f>IF(AND(D$2+$E$2&gt;0,N124-SNAP!P124&gt;0),N124-SNAP!P124,0)</f>
        <v>0</v>
      </c>
      <c r="S124" s="20">
        <f t="shared" si="25"/>
        <v>4072.3333333333339</v>
      </c>
      <c r="T124" s="20">
        <f t="shared" si="19"/>
        <v>1221.7</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400</v>
      </c>
      <c r="G125" s="20">
        <f t="shared" si="20"/>
        <v>5358.333333333333</v>
      </c>
      <c r="H125" s="20" t="str">
        <f t="shared" si="14"/>
        <v>Yes</v>
      </c>
      <c r="I125" s="20">
        <f t="shared" si="15"/>
        <v>991.66666666666663</v>
      </c>
      <c r="J125" s="20">
        <f t="shared" si="16"/>
        <v>261</v>
      </c>
      <c r="K125" s="20">
        <f t="shared" si="17"/>
        <v>4105.6666666666661</v>
      </c>
      <c r="L125" s="20">
        <f t="shared" si="21"/>
        <v>500</v>
      </c>
      <c r="M125" s="20">
        <f>'Total income package'!$B$69</f>
        <v>500</v>
      </c>
      <c r="N125" s="20">
        <f t="shared" si="22"/>
        <v>1000</v>
      </c>
      <c r="O125" s="344" t="str">
        <f t="shared" si="23"/>
        <v>No</v>
      </c>
      <c r="P125" s="20">
        <f t="shared" si="24"/>
        <v>2052.833333333333</v>
      </c>
      <c r="Q125" s="346">
        <f t="shared" si="18"/>
        <v>0</v>
      </c>
      <c r="R125" s="20">
        <f>IF(AND(D$2+$E$2&gt;0,N125-SNAP!P125&gt;0),N125-SNAP!P125,0)</f>
        <v>0</v>
      </c>
      <c r="S125" s="20">
        <f t="shared" si="25"/>
        <v>4105.6666666666661</v>
      </c>
      <c r="T125" s="20">
        <f t="shared" si="19"/>
        <v>1231.6999999999998</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400</v>
      </c>
      <c r="G126" s="20">
        <f t="shared" si="20"/>
        <v>5400</v>
      </c>
      <c r="H126" s="20" t="str">
        <f t="shared" si="14"/>
        <v>Yes</v>
      </c>
      <c r="I126" s="20">
        <f t="shared" si="15"/>
        <v>1000</v>
      </c>
      <c r="J126" s="20">
        <f t="shared" si="16"/>
        <v>261</v>
      </c>
      <c r="K126" s="20">
        <f t="shared" si="17"/>
        <v>4139</v>
      </c>
      <c r="L126" s="20">
        <f t="shared" si="21"/>
        <v>500</v>
      </c>
      <c r="M126" s="20">
        <f>'Total income package'!$B$69</f>
        <v>500</v>
      </c>
      <c r="N126" s="20">
        <f t="shared" si="22"/>
        <v>1000</v>
      </c>
      <c r="O126" s="344" t="str">
        <f t="shared" si="23"/>
        <v>No</v>
      </c>
      <c r="P126" s="20">
        <f t="shared" si="24"/>
        <v>2069.5</v>
      </c>
      <c r="Q126" s="346">
        <f t="shared" si="18"/>
        <v>0</v>
      </c>
      <c r="R126" s="20">
        <f>IF(AND(D$2+$E$2&gt;0,N126-SNAP!P126&gt;0),N126-SNAP!P126,0)</f>
        <v>0</v>
      </c>
      <c r="S126" s="20">
        <f t="shared" si="25"/>
        <v>4139</v>
      </c>
      <c r="T126" s="20">
        <f t="shared" si="19"/>
        <v>1241.7</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400</v>
      </c>
      <c r="G127" s="20">
        <f t="shared" si="20"/>
        <v>5441.666666666667</v>
      </c>
      <c r="H127" s="20" t="str">
        <f t="shared" si="14"/>
        <v>Yes</v>
      </c>
      <c r="I127" s="20">
        <f t="shared" si="15"/>
        <v>1008.3333333333335</v>
      </c>
      <c r="J127" s="20">
        <f t="shared" si="16"/>
        <v>261</v>
      </c>
      <c r="K127" s="20">
        <f t="shared" si="17"/>
        <v>4172.3333333333339</v>
      </c>
      <c r="L127" s="20">
        <f t="shared" si="21"/>
        <v>500</v>
      </c>
      <c r="M127" s="20">
        <f>'Total income package'!$B$69</f>
        <v>500</v>
      </c>
      <c r="N127" s="20">
        <f t="shared" si="22"/>
        <v>1000</v>
      </c>
      <c r="O127" s="344" t="str">
        <f t="shared" si="23"/>
        <v>No</v>
      </c>
      <c r="P127" s="20">
        <f t="shared" si="24"/>
        <v>2086.166666666667</v>
      </c>
      <c r="Q127" s="346">
        <f t="shared" si="18"/>
        <v>0</v>
      </c>
      <c r="R127" s="20">
        <f>IF(AND(D$2+$E$2&gt;0,N127-SNAP!P127&gt;0),N127-SNAP!P127,0)</f>
        <v>0</v>
      </c>
      <c r="S127" s="20">
        <f t="shared" si="25"/>
        <v>4172.3333333333339</v>
      </c>
      <c r="T127" s="20">
        <f t="shared" si="19"/>
        <v>1251.7</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400</v>
      </c>
      <c r="G128" s="20">
        <f t="shared" si="20"/>
        <v>5483.333333333333</v>
      </c>
      <c r="H128" s="20" t="str">
        <f t="shared" si="14"/>
        <v>Yes</v>
      </c>
      <c r="I128" s="20">
        <f t="shared" si="15"/>
        <v>1016.6666666666666</v>
      </c>
      <c r="J128" s="20">
        <f t="shared" si="16"/>
        <v>261</v>
      </c>
      <c r="K128" s="20">
        <f t="shared" si="17"/>
        <v>4205.6666666666661</v>
      </c>
      <c r="L128" s="20">
        <f t="shared" si="21"/>
        <v>500</v>
      </c>
      <c r="M128" s="20">
        <f>'Total income package'!$B$69</f>
        <v>500</v>
      </c>
      <c r="N128" s="20">
        <f t="shared" si="22"/>
        <v>1000</v>
      </c>
      <c r="O128" s="344" t="str">
        <f t="shared" si="23"/>
        <v>No</v>
      </c>
      <c r="P128" s="20">
        <f t="shared" si="24"/>
        <v>2102.833333333333</v>
      </c>
      <c r="Q128" s="346">
        <f t="shared" si="18"/>
        <v>0</v>
      </c>
      <c r="R128" s="20">
        <f>IF(AND(D$2+$E$2&gt;0,N128-SNAP!P128&gt;0),N128-SNAP!P128,0)</f>
        <v>0</v>
      </c>
      <c r="S128" s="20">
        <f t="shared" si="25"/>
        <v>4205.6666666666661</v>
      </c>
      <c r="T128" s="20">
        <f t="shared" si="19"/>
        <v>1261.6999999999998</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400</v>
      </c>
      <c r="G129" s="20">
        <f t="shared" si="20"/>
        <v>5525</v>
      </c>
      <c r="H129" s="20" t="str">
        <f t="shared" si="14"/>
        <v>Yes</v>
      </c>
      <c r="I129" s="20">
        <f t="shared" si="15"/>
        <v>1025</v>
      </c>
      <c r="J129" s="20">
        <f t="shared" si="16"/>
        <v>261</v>
      </c>
      <c r="K129" s="20">
        <f t="shared" si="17"/>
        <v>4239</v>
      </c>
      <c r="L129" s="20">
        <f t="shared" si="21"/>
        <v>500</v>
      </c>
      <c r="M129" s="20">
        <f>'Total income package'!$B$69</f>
        <v>500</v>
      </c>
      <c r="N129" s="20">
        <f t="shared" si="22"/>
        <v>1000</v>
      </c>
      <c r="O129" s="344" t="str">
        <f t="shared" si="23"/>
        <v>No</v>
      </c>
      <c r="P129" s="20">
        <f t="shared" si="24"/>
        <v>2119.5</v>
      </c>
      <c r="Q129" s="346">
        <f t="shared" si="18"/>
        <v>0</v>
      </c>
      <c r="R129" s="20">
        <f>IF(AND(D$2+$E$2&gt;0,N129-SNAP!P129&gt;0),N129-SNAP!P129,0)</f>
        <v>0</v>
      </c>
      <c r="S129" s="20">
        <f t="shared" si="25"/>
        <v>4239</v>
      </c>
      <c r="T129" s="20">
        <f t="shared" si="19"/>
        <v>1271.7</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400</v>
      </c>
      <c r="G130" s="20">
        <f t="shared" si="20"/>
        <v>5566.666666666667</v>
      </c>
      <c r="H130" s="20" t="str">
        <f t="shared" si="14"/>
        <v>Yes</v>
      </c>
      <c r="I130" s="20">
        <f t="shared" si="15"/>
        <v>1033.3333333333335</v>
      </c>
      <c r="J130" s="20">
        <f t="shared" si="16"/>
        <v>261</v>
      </c>
      <c r="K130" s="20">
        <f t="shared" si="17"/>
        <v>4272.3333333333339</v>
      </c>
      <c r="L130" s="20">
        <f t="shared" si="21"/>
        <v>500</v>
      </c>
      <c r="M130" s="20">
        <f>'Total income package'!$B$69</f>
        <v>500</v>
      </c>
      <c r="N130" s="20">
        <f t="shared" si="22"/>
        <v>1000</v>
      </c>
      <c r="O130" s="344" t="str">
        <f t="shared" si="23"/>
        <v>No</v>
      </c>
      <c r="P130" s="20">
        <f t="shared" si="24"/>
        <v>2136.166666666667</v>
      </c>
      <c r="Q130" s="346">
        <f t="shared" si="18"/>
        <v>0</v>
      </c>
      <c r="R130" s="20">
        <f>IF(AND(D$2+$E$2&gt;0,N130-SNAP!P130&gt;0),N130-SNAP!P130,0)</f>
        <v>0</v>
      </c>
      <c r="S130" s="20">
        <f t="shared" si="25"/>
        <v>4272.3333333333339</v>
      </c>
      <c r="T130" s="20">
        <f t="shared" si="19"/>
        <v>1281.7</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400</v>
      </c>
      <c r="G131" s="20">
        <f t="shared" si="20"/>
        <v>5608.333333333333</v>
      </c>
      <c r="H131" s="20" t="str">
        <f t="shared" si="14"/>
        <v>Yes</v>
      </c>
      <c r="I131" s="20">
        <f t="shared" si="15"/>
        <v>1041.6666666666667</v>
      </c>
      <c r="J131" s="20">
        <f t="shared" si="16"/>
        <v>261</v>
      </c>
      <c r="K131" s="20">
        <f t="shared" si="17"/>
        <v>4305.6666666666661</v>
      </c>
      <c r="L131" s="20">
        <f t="shared" si="21"/>
        <v>500</v>
      </c>
      <c r="M131" s="20">
        <f>'Total income package'!$B$69</f>
        <v>500</v>
      </c>
      <c r="N131" s="20">
        <f t="shared" si="22"/>
        <v>1000</v>
      </c>
      <c r="O131" s="344" t="str">
        <f t="shared" si="23"/>
        <v>No</v>
      </c>
      <c r="P131" s="20">
        <f t="shared" si="24"/>
        <v>2152.833333333333</v>
      </c>
      <c r="Q131" s="346">
        <f t="shared" si="18"/>
        <v>0</v>
      </c>
      <c r="R131" s="20">
        <f>IF(AND(D$2+$E$2&gt;0,N131-SNAP!P131&gt;0),N131-SNAP!P131,0)</f>
        <v>0</v>
      </c>
      <c r="S131" s="20">
        <f t="shared" si="25"/>
        <v>4305.6666666666661</v>
      </c>
      <c r="T131" s="20">
        <f t="shared" si="19"/>
        <v>1291.6999999999998</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400</v>
      </c>
      <c r="G132" s="20">
        <f t="shared" si="20"/>
        <v>5650</v>
      </c>
      <c r="H132" s="20" t="str">
        <f t="shared" si="14"/>
        <v>Yes</v>
      </c>
      <c r="I132" s="20">
        <f t="shared" si="15"/>
        <v>1050</v>
      </c>
      <c r="J132" s="20">
        <f t="shared" si="16"/>
        <v>261</v>
      </c>
      <c r="K132" s="20">
        <f t="shared" si="17"/>
        <v>4339</v>
      </c>
      <c r="L132" s="20">
        <f t="shared" si="21"/>
        <v>500</v>
      </c>
      <c r="M132" s="20">
        <f>'Total income package'!$B$69</f>
        <v>500</v>
      </c>
      <c r="N132" s="20">
        <f t="shared" si="22"/>
        <v>1000</v>
      </c>
      <c r="O132" s="344" t="str">
        <f t="shared" si="23"/>
        <v>No</v>
      </c>
      <c r="P132" s="20">
        <f t="shared" si="24"/>
        <v>2169.5</v>
      </c>
      <c r="Q132" s="346">
        <f t="shared" si="18"/>
        <v>0</v>
      </c>
      <c r="R132" s="20">
        <f>IF(AND(D$2+$E$2&gt;0,N132-SNAP!P132&gt;0),N132-SNAP!P132,0)</f>
        <v>0</v>
      </c>
      <c r="S132" s="20">
        <f t="shared" si="25"/>
        <v>4339</v>
      </c>
      <c r="T132" s="20">
        <f t="shared" si="19"/>
        <v>1301.7</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400</v>
      </c>
      <c r="G133" s="20">
        <f t="shared" si="20"/>
        <v>5691.666666666667</v>
      </c>
      <c r="H133" s="20" t="str">
        <f t="shared" si="14"/>
        <v>Yes</v>
      </c>
      <c r="I133" s="20">
        <f t="shared" si="15"/>
        <v>1058.3333333333335</v>
      </c>
      <c r="J133" s="20">
        <f t="shared" si="16"/>
        <v>261</v>
      </c>
      <c r="K133" s="20">
        <f t="shared" si="17"/>
        <v>4372.3333333333339</v>
      </c>
      <c r="L133" s="20">
        <f t="shared" si="21"/>
        <v>500</v>
      </c>
      <c r="M133" s="20">
        <f>'Total income package'!$B$69</f>
        <v>500</v>
      </c>
      <c r="N133" s="20">
        <f t="shared" si="22"/>
        <v>1000</v>
      </c>
      <c r="O133" s="344" t="str">
        <f t="shared" si="23"/>
        <v>No</v>
      </c>
      <c r="P133" s="20">
        <f t="shared" si="24"/>
        <v>2186.166666666667</v>
      </c>
      <c r="Q133" s="346">
        <f t="shared" si="18"/>
        <v>0</v>
      </c>
      <c r="R133" s="20">
        <f>IF(AND(D$2+$E$2&gt;0,N133-SNAP!P133&gt;0),N133-SNAP!P133,0)</f>
        <v>0</v>
      </c>
      <c r="S133" s="20">
        <f t="shared" si="25"/>
        <v>4372.3333333333339</v>
      </c>
      <c r="T133" s="20">
        <f t="shared" si="19"/>
        <v>1311.7</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400</v>
      </c>
      <c r="G134" s="20">
        <f t="shared" si="20"/>
        <v>5733.333333333333</v>
      </c>
      <c r="H134" s="20" t="str">
        <f t="shared" ref="H134:H197" si="28">IF(G134&lt;$G$2,"Yes","No")</f>
        <v>Yes</v>
      </c>
      <c r="I134" s="20">
        <f t="shared" ref="I134:I197" si="29">D134*0.2</f>
        <v>1066.6666666666667</v>
      </c>
      <c r="J134" s="20">
        <f t="shared" ref="J134:J197" si="30">$H$2</f>
        <v>261</v>
      </c>
      <c r="K134" s="20">
        <f t="shared" ref="K134:K197" si="31">IF(G134-I134-J134&gt;0,G134-I134-J134,0)</f>
        <v>4405.6666666666661</v>
      </c>
      <c r="L134" s="20">
        <f t="shared" si="21"/>
        <v>500</v>
      </c>
      <c r="M134" s="20">
        <f>'Total income package'!$B$69</f>
        <v>500</v>
      </c>
      <c r="N134" s="20">
        <f t="shared" si="22"/>
        <v>1000</v>
      </c>
      <c r="O134" s="344" t="str">
        <f t="shared" si="23"/>
        <v>No</v>
      </c>
      <c r="P134" s="20">
        <f t="shared" si="24"/>
        <v>2202.833333333333</v>
      </c>
      <c r="Q134" s="346">
        <f t="shared" ref="Q134:Q197" si="32">IF(AND(D$2+$E$2=0,N134&lt;$L$2,N134-P134&gt;0),N134-P134,IF(AND(D$2+$E$2=0,N134&gt;$L$2),$L$2,0))</f>
        <v>0</v>
      </c>
      <c r="R134" s="20">
        <f>IF(AND(D$2+$E$2&gt;0,N134-SNAP!P134&gt;0),N134-SNAP!P134,0)</f>
        <v>0</v>
      </c>
      <c r="S134" s="20">
        <f t="shared" si="25"/>
        <v>4405.6666666666661</v>
      </c>
      <c r="T134" s="20">
        <f t="shared" ref="T134:T197" si="33">S134*0.3</f>
        <v>1321.6999999999998</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400</v>
      </c>
      <c r="G135" s="20">
        <f t="shared" ref="G135:G198" si="34">D135+C135+E135+F135</f>
        <v>5775</v>
      </c>
      <c r="H135" s="20" t="str">
        <f t="shared" si="28"/>
        <v>Yes</v>
      </c>
      <c r="I135" s="20">
        <f t="shared" si="29"/>
        <v>1075</v>
      </c>
      <c r="J135" s="20">
        <f t="shared" si="30"/>
        <v>261</v>
      </c>
      <c r="K135" s="20">
        <f t="shared" si="31"/>
        <v>4439</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2219.5</v>
      </c>
      <c r="Q135" s="346">
        <f t="shared" si="32"/>
        <v>0</v>
      </c>
      <c r="R135" s="20">
        <f>IF(AND(D$2+$E$2&gt;0,N135-SNAP!P135&gt;0),N135-SNAP!P135,0)</f>
        <v>0</v>
      </c>
      <c r="S135" s="20">
        <f t="shared" ref="S135:S198" si="39">IF(AND($D$2+$E$2&gt;0,K135-R135&gt;0),K135-R135,IF(AND($D$2+$E$2=0,K135-Q135&gt;0),K135-Q135,0))</f>
        <v>4439</v>
      </c>
      <c r="T135" s="20">
        <f t="shared" si="33"/>
        <v>1331.7</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400</v>
      </c>
      <c r="G136" s="20">
        <f t="shared" si="34"/>
        <v>5816.666666666667</v>
      </c>
      <c r="H136" s="20" t="str">
        <f t="shared" si="28"/>
        <v>Yes</v>
      </c>
      <c r="I136" s="20">
        <f t="shared" si="29"/>
        <v>1083.3333333333335</v>
      </c>
      <c r="J136" s="20">
        <f t="shared" si="30"/>
        <v>261</v>
      </c>
      <c r="K136" s="20">
        <f t="shared" si="31"/>
        <v>4472.3333333333339</v>
      </c>
      <c r="L136" s="20">
        <f t="shared" si="35"/>
        <v>500</v>
      </c>
      <c r="M136" s="20">
        <f>'Total income package'!$B$69</f>
        <v>500</v>
      </c>
      <c r="N136" s="20">
        <f t="shared" si="36"/>
        <v>1000</v>
      </c>
      <c r="O136" s="344" t="str">
        <f t="shared" si="37"/>
        <v>No</v>
      </c>
      <c r="P136" s="20">
        <f t="shared" si="38"/>
        <v>2236.166666666667</v>
      </c>
      <c r="Q136" s="346">
        <f t="shared" si="32"/>
        <v>0</v>
      </c>
      <c r="R136" s="20">
        <f>IF(AND(D$2+$E$2&gt;0,N136-SNAP!P136&gt;0),N136-SNAP!P136,0)</f>
        <v>0</v>
      </c>
      <c r="S136" s="20">
        <f t="shared" si="39"/>
        <v>4472.3333333333339</v>
      </c>
      <c r="T136" s="20">
        <f t="shared" si="33"/>
        <v>1341.7</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400</v>
      </c>
      <c r="G137" s="20">
        <f t="shared" si="34"/>
        <v>5858.333333333333</v>
      </c>
      <c r="H137" s="20" t="str">
        <f t="shared" si="28"/>
        <v>Yes</v>
      </c>
      <c r="I137" s="20">
        <f t="shared" si="29"/>
        <v>1091.6666666666667</v>
      </c>
      <c r="J137" s="20">
        <f t="shared" si="30"/>
        <v>261</v>
      </c>
      <c r="K137" s="20">
        <f t="shared" si="31"/>
        <v>4505.6666666666661</v>
      </c>
      <c r="L137" s="20">
        <f t="shared" si="35"/>
        <v>500</v>
      </c>
      <c r="M137" s="20">
        <f>'Total income package'!$B$69</f>
        <v>500</v>
      </c>
      <c r="N137" s="20">
        <f t="shared" si="36"/>
        <v>1000</v>
      </c>
      <c r="O137" s="344" t="str">
        <f t="shared" si="37"/>
        <v>No</v>
      </c>
      <c r="P137" s="20">
        <f t="shared" si="38"/>
        <v>2252.833333333333</v>
      </c>
      <c r="Q137" s="346">
        <f t="shared" si="32"/>
        <v>0</v>
      </c>
      <c r="R137" s="20">
        <f>IF(AND(D$2+$E$2&gt;0,N137-SNAP!P137&gt;0),N137-SNAP!P137,0)</f>
        <v>0</v>
      </c>
      <c r="S137" s="20">
        <f t="shared" si="39"/>
        <v>4505.6666666666661</v>
      </c>
      <c r="T137" s="20">
        <f t="shared" si="33"/>
        <v>1351.6999999999998</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400</v>
      </c>
      <c r="G138" s="20">
        <f t="shared" si="34"/>
        <v>5900</v>
      </c>
      <c r="H138" s="20" t="str">
        <f t="shared" si="28"/>
        <v>Yes</v>
      </c>
      <c r="I138" s="20">
        <f t="shared" si="29"/>
        <v>1100</v>
      </c>
      <c r="J138" s="20">
        <f t="shared" si="30"/>
        <v>261</v>
      </c>
      <c r="K138" s="20">
        <f t="shared" si="31"/>
        <v>4539</v>
      </c>
      <c r="L138" s="20">
        <f t="shared" si="35"/>
        <v>500</v>
      </c>
      <c r="M138" s="20">
        <f>'Total income package'!$B$69</f>
        <v>500</v>
      </c>
      <c r="N138" s="20">
        <f t="shared" si="36"/>
        <v>1000</v>
      </c>
      <c r="O138" s="344" t="str">
        <f t="shared" si="37"/>
        <v>No</v>
      </c>
      <c r="P138" s="20">
        <f t="shared" si="38"/>
        <v>2269.5</v>
      </c>
      <c r="Q138" s="346">
        <f t="shared" si="32"/>
        <v>0</v>
      </c>
      <c r="R138" s="20">
        <f>IF(AND(D$2+$E$2&gt;0,N138-SNAP!P138&gt;0),N138-SNAP!P138,0)</f>
        <v>0</v>
      </c>
      <c r="S138" s="20">
        <f t="shared" si="39"/>
        <v>4539</v>
      </c>
      <c r="T138" s="20">
        <f t="shared" si="33"/>
        <v>1361.7</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400</v>
      </c>
      <c r="G139" s="20">
        <f t="shared" si="34"/>
        <v>5941.666666666667</v>
      </c>
      <c r="H139" s="20" t="str">
        <f t="shared" si="28"/>
        <v>Yes</v>
      </c>
      <c r="I139" s="20">
        <f t="shared" si="29"/>
        <v>1108.3333333333335</v>
      </c>
      <c r="J139" s="20">
        <f t="shared" si="30"/>
        <v>261</v>
      </c>
      <c r="K139" s="20">
        <f t="shared" si="31"/>
        <v>4572.3333333333339</v>
      </c>
      <c r="L139" s="20">
        <f t="shared" si="35"/>
        <v>500</v>
      </c>
      <c r="M139" s="20">
        <f>'Total income package'!$B$69</f>
        <v>500</v>
      </c>
      <c r="N139" s="20">
        <f t="shared" si="36"/>
        <v>1000</v>
      </c>
      <c r="O139" s="344" t="str">
        <f t="shared" si="37"/>
        <v>No</v>
      </c>
      <c r="P139" s="20">
        <f t="shared" si="38"/>
        <v>2286.166666666667</v>
      </c>
      <c r="Q139" s="346">
        <f t="shared" si="32"/>
        <v>0</v>
      </c>
      <c r="R139" s="20">
        <f>IF(AND(D$2+$E$2&gt;0,N139-SNAP!P139&gt;0),N139-SNAP!P139,0)</f>
        <v>0</v>
      </c>
      <c r="S139" s="20">
        <f t="shared" si="39"/>
        <v>4572.3333333333339</v>
      </c>
      <c r="T139" s="20">
        <f t="shared" si="33"/>
        <v>1371.7</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400</v>
      </c>
      <c r="G140" s="20">
        <f t="shared" si="34"/>
        <v>5983.333333333333</v>
      </c>
      <c r="H140" s="20" t="str">
        <f t="shared" si="28"/>
        <v>Yes</v>
      </c>
      <c r="I140" s="20">
        <f t="shared" si="29"/>
        <v>1116.6666666666667</v>
      </c>
      <c r="J140" s="20">
        <f t="shared" si="30"/>
        <v>261</v>
      </c>
      <c r="K140" s="20">
        <f t="shared" si="31"/>
        <v>4605.6666666666661</v>
      </c>
      <c r="L140" s="20">
        <f t="shared" si="35"/>
        <v>500</v>
      </c>
      <c r="M140" s="20">
        <f>'Total income package'!$B$69</f>
        <v>500</v>
      </c>
      <c r="N140" s="20">
        <f t="shared" si="36"/>
        <v>1000</v>
      </c>
      <c r="O140" s="344" t="str">
        <f t="shared" si="37"/>
        <v>No</v>
      </c>
      <c r="P140" s="20">
        <f t="shared" si="38"/>
        <v>2302.833333333333</v>
      </c>
      <c r="Q140" s="346">
        <f t="shared" si="32"/>
        <v>0</v>
      </c>
      <c r="R140" s="20">
        <f>IF(AND(D$2+$E$2&gt;0,N140-SNAP!P140&gt;0),N140-SNAP!P140,0)</f>
        <v>0</v>
      </c>
      <c r="S140" s="20">
        <f t="shared" si="39"/>
        <v>4605.6666666666661</v>
      </c>
      <c r="T140" s="20">
        <f t="shared" si="33"/>
        <v>1381.6999999999998</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400</v>
      </c>
      <c r="G141" s="20">
        <f t="shared" si="34"/>
        <v>6025</v>
      </c>
      <c r="H141" s="20" t="str">
        <f t="shared" si="28"/>
        <v>Yes</v>
      </c>
      <c r="I141" s="20">
        <f t="shared" si="29"/>
        <v>1125</v>
      </c>
      <c r="J141" s="20">
        <f t="shared" si="30"/>
        <v>261</v>
      </c>
      <c r="K141" s="20">
        <f t="shared" si="31"/>
        <v>4639</v>
      </c>
      <c r="L141" s="20">
        <f t="shared" si="35"/>
        <v>500</v>
      </c>
      <c r="M141" s="20">
        <f>'Total income package'!$B$69</f>
        <v>500</v>
      </c>
      <c r="N141" s="20">
        <f t="shared" si="36"/>
        <v>1000</v>
      </c>
      <c r="O141" s="344" t="str">
        <f t="shared" si="37"/>
        <v>No</v>
      </c>
      <c r="P141" s="20">
        <f t="shared" si="38"/>
        <v>2319.5</v>
      </c>
      <c r="Q141" s="346">
        <f t="shared" si="32"/>
        <v>0</v>
      </c>
      <c r="R141" s="20">
        <f>IF(AND(D$2+$E$2&gt;0,N141-SNAP!P141&gt;0),N141-SNAP!P141,0)</f>
        <v>0</v>
      </c>
      <c r="S141" s="20">
        <f t="shared" si="39"/>
        <v>4639</v>
      </c>
      <c r="T141" s="20">
        <f t="shared" si="33"/>
        <v>1391.7</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400</v>
      </c>
      <c r="G142" s="20">
        <f t="shared" si="34"/>
        <v>6066.666666666667</v>
      </c>
      <c r="H142" s="20" t="str">
        <f t="shared" si="28"/>
        <v>Yes</v>
      </c>
      <c r="I142" s="20">
        <f t="shared" si="29"/>
        <v>1133.3333333333335</v>
      </c>
      <c r="J142" s="20">
        <f t="shared" si="30"/>
        <v>261</v>
      </c>
      <c r="K142" s="20">
        <f t="shared" si="31"/>
        <v>4672.3333333333339</v>
      </c>
      <c r="L142" s="20">
        <f t="shared" si="35"/>
        <v>500</v>
      </c>
      <c r="M142" s="20">
        <f>'Total income package'!$B$69</f>
        <v>500</v>
      </c>
      <c r="N142" s="20">
        <f t="shared" si="36"/>
        <v>1000</v>
      </c>
      <c r="O142" s="344" t="str">
        <f t="shared" si="37"/>
        <v>No</v>
      </c>
      <c r="P142" s="20">
        <f t="shared" si="38"/>
        <v>2336.166666666667</v>
      </c>
      <c r="Q142" s="346">
        <f t="shared" si="32"/>
        <v>0</v>
      </c>
      <c r="R142" s="20">
        <f>IF(AND(D$2+$E$2&gt;0,N142-SNAP!P142&gt;0),N142-SNAP!P142,0)</f>
        <v>0</v>
      </c>
      <c r="S142" s="20">
        <f t="shared" si="39"/>
        <v>4672.3333333333339</v>
      </c>
      <c r="T142" s="20">
        <f t="shared" si="33"/>
        <v>1401.7</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400</v>
      </c>
      <c r="G143" s="20">
        <f t="shared" si="34"/>
        <v>6108.333333333333</v>
      </c>
      <c r="H143" s="20" t="str">
        <f t="shared" si="28"/>
        <v>Yes</v>
      </c>
      <c r="I143" s="20">
        <f t="shared" si="29"/>
        <v>1141.6666666666667</v>
      </c>
      <c r="J143" s="20">
        <f t="shared" si="30"/>
        <v>261</v>
      </c>
      <c r="K143" s="20">
        <f t="shared" si="31"/>
        <v>4705.6666666666661</v>
      </c>
      <c r="L143" s="20">
        <f t="shared" si="35"/>
        <v>500</v>
      </c>
      <c r="M143" s="20">
        <f>'Total income package'!$B$69</f>
        <v>500</v>
      </c>
      <c r="N143" s="20">
        <f t="shared" si="36"/>
        <v>1000</v>
      </c>
      <c r="O143" s="344" t="str">
        <f t="shared" si="37"/>
        <v>No</v>
      </c>
      <c r="P143" s="20">
        <f t="shared" si="38"/>
        <v>2352.833333333333</v>
      </c>
      <c r="Q143" s="346">
        <f t="shared" si="32"/>
        <v>0</v>
      </c>
      <c r="R143" s="20">
        <f>IF(AND(D$2+$E$2&gt;0,N143-SNAP!P143&gt;0),N143-SNAP!P143,0)</f>
        <v>0</v>
      </c>
      <c r="S143" s="20">
        <f t="shared" si="39"/>
        <v>4705.6666666666661</v>
      </c>
      <c r="T143" s="20">
        <f t="shared" si="33"/>
        <v>1411.6999999999998</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400</v>
      </c>
      <c r="G144" s="20">
        <f t="shared" si="34"/>
        <v>6150</v>
      </c>
      <c r="H144" s="20" t="str">
        <f t="shared" si="28"/>
        <v>Yes</v>
      </c>
      <c r="I144" s="20">
        <f t="shared" si="29"/>
        <v>1150</v>
      </c>
      <c r="J144" s="20">
        <f t="shared" si="30"/>
        <v>261</v>
      </c>
      <c r="K144" s="20">
        <f t="shared" si="31"/>
        <v>4739</v>
      </c>
      <c r="L144" s="20">
        <f t="shared" si="35"/>
        <v>500</v>
      </c>
      <c r="M144" s="20">
        <f>'Total income package'!$B$69</f>
        <v>500</v>
      </c>
      <c r="N144" s="20">
        <f t="shared" si="36"/>
        <v>1000</v>
      </c>
      <c r="O144" s="344" t="str">
        <f t="shared" si="37"/>
        <v>No</v>
      </c>
      <c r="P144" s="20">
        <f t="shared" si="38"/>
        <v>2369.5</v>
      </c>
      <c r="Q144" s="346">
        <f t="shared" si="32"/>
        <v>0</v>
      </c>
      <c r="R144" s="20">
        <f>IF(AND(D$2+$E$2&gt;0,N144-SNAP!P144&gt;0),N144-SNAP!P144,0)</f>
        <v>0</v>
      </c>
      <c r="S144" s="20">
        <f t="shared" si="39"/>
        <v>4739</v>
      </c>
      <c r="T144" s="20">
        <f t="shared" si="33"/>
        <v>1421.7</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400</v>
      </c>
      <c r="G145" s="20">
        <f t="shared" si="34"/>
        <v>6191.666666666667</v>
      </c>
      <c r="H145" s="20" t="str">
        <f t="shared" si="28"/>
        <v>Yes</v>
      </c>
      <c r="I145" s="20">
        <f t="shared" si="29"/>
        <v>1158.3333333333335</v>
      </c>
      <c r="J145" s="20">
        <f t="shared" si="30"/>
        <v>261</v>
      </c>
      <c r="K145" s="20">
        <f t="shared" si="31"/>
        <v>4772.3333333333339</v>
      </c>
      <c r="L145" s="20">
        <f t="shared" si="35"/>
        <v>500</v>
      </c>
      <c r="M145" s="20">
        <f>'Total income package'!$B$69</f>
        <v>500</v>
      </c>
      <c r="N145" s="20">
        <f t="shared" si="36"/>
        <v>1000</v>
      </c>
      <c r="O145" s="344" t="str">
        <f t="shared" si="37"/>
        <v>No</v>
      </c>
      <c r="P145" s="20">
        <f t="shared" si="38"/>
        <v>2386.166666666667</v>
      </c>
      <c r="Q145" s="346">
        <f t="shared" si="32"/>
        <v>0</v>
      </c>
      <c r="R145" s="20">
        <f>IF(AND(D$2+$E$2&gt;0,N145-SNAP!P145&gt;0),N145-SNAP!P145,0)</f>
        <v>0</v>
      </c>
      <c r="S145" s="20">
        <f t="shared" si="39"/>
        <v>4772.3333333333339</v>
      </c>
      <c r="T145" s="20">
        <f t="shared" si="33"/>
        <v>1431.7</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400</v>
      </c>
      <c r="G146" s="20">
        <f t="shared" si="34"/>
        <v>6233.333333333333</v>
      </c>
      <c r="H146" s="20" t="str">
        <f t="shared" si="28"/>
        <v>Yes</v>
      </c>
      <c r="I146" s="20">
        <f t="shared" si="29"/>
        <v>1166.6666666666667</v>
      </c>
      <c r="J146" s="20">
        <f t="shared" si="30"/>
        <v>261</v>
      </c>
      <c r="K146" s="20">
        <f t="shared" si="31"/>
        <v>4805.6666666666661</v>
      </c>
      <c r="L146" s="20">
        <f t="shared" si="35"/>
        <v>500</v>
      </c>
      <c r="M146" s="20">
        <f>'Total income package'!$B$69</f>
        <v>500</v>
      </c>
      <c r="N146" s="20">
        <f t="shared" si="36"/>
        <v>1000</v>
      </c>
      <c r="O146" s="344" t="str">
        <f t="shared" si="37"/>
        <v>No</v>
      </c>
      <c r="P146" s="20">
        <f t="shared" si="38"/>
        <v>2402.833333333333</v>
      </c>
      <c r="Q146" s="346">
        <f t="shared" si="32"/>
        <v>0</v>
      </c>
      <c r="R146" s="20">
        <f>IF(AND(D$2+$E$2&gt;0,N146-SNAP!P146&gt;0),N146-SNAP!P146,0)</f>
        <v>0</v>
      </c>
      <c r="S146" s="20">
        <f t="shared" si="39"/>
        <v>4805.6666666666661</v>
      </c>
      <c r="T146" s="20">
        <f t="shared" si="33"/>
        <v>1441.6999999999998</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400</v>
      </c>
      <c r="G147" s="20">
        <f t="shared" si="34"/>
        <v>6275</v>
      </c>
      <c r="H147" s="20" t="str">
        <f t="shared" si="28"/>
        <v>Yes</v>
      </c>
      <c r="I147" s="20">
        <f t="shared" si="29"/>
        <v>1175</v>
      </c>
      <c r="J147" s="20">
        <f t="shared" si="30"/>
        <v>261</v>
      </c>
      <c r="K147" s="20">
        <f t="shared" si="31"/>
        <v>4839</v>
      </c>
      <c r="L147" s="20">
        <f t="shared" si="35"/>
        <v>500</v>
      </c>
      <c r="M147" s="20">
        <f>'Total income package'!$B$69</f>
        <v>500</v>
      </c>
      <c r="N147" s="20">
        <f t="shared" si="36"/>
        <v>1000</v>
      </c>
      <c r="O147" s="344" t="str">
        <f t="shared" si="37"/>
        <v>No</v>
      </c>
      <c r="P147" s="20">
        <f t="shared" si="38"/>
        <v>2419.5</v>
      </c>
      <c r="Q147" s="346">
        <f t="shared" si="32"/>
        <v>0</v>
      </c>
      <c r="R147" s="20">
        <f>IF(AND(D$2+$E$2&gt;0,N147-SNAP!P147&gt;0),N147-SNAP!P147,0)</f>
        <v>0</v>
      </c>
      <c r="S147" s="20">
        <f t="shared" si="39"/>
        <v>4839</v>
      </c>
      <c r="T147" s="20">
        <f t="shared" si="33"/>
        <v>1451.7</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400</v>
      </c>
      <c r="G148" s="20">
        <f t="shared" si="34"/>
        <v>6316.666666666667</v>
      </c>
      <c r="H148" s="20" t="str">
        <f t="shared" si="28"/>
        <v>No</v>
      </c>
      <c r="I148" s="20">
        <f t="shared" si="29"/>
        <v>1183.3333333333335</v>
      </c>
      <c r="J148" s="20">
        <f t="shared" si="30"/>
        <v>261</v>
      </c>
      <c r="K148" s="20">
        <f t="shared" si="31"/>
        <v>4872.3333333333339</v>
      </c>
      <c r="L148" s="20">
        <f t="shared" si="35"/>
        <v>500</v>
      </c>
      <c r="M148" s="20">
        <f>'Total income package'!$B$69</f>
        <v>500</v>
      </c>
      <c r="N148" s="20">
        <f t="shared" si="36"/>
        <v>1000</v>
      </c>
      <c r="O148" s="344" t="str">
        <f t="shared" si="37"/>
        <v>No</v>
      </c>
      <c r="P148" s="20">
        <f t="shared" si="38"/>
        <v>2436.166666666667</v>
      </c>
      <c r="Q148" s="346">
        <f t="shared" si="32"/>
        <v>0</v>
      </c>
      <c r="R148" s="20">
        <f>IF(AND(D$2+$E$2&gt;0,N148-SNAP!P148&gt;0),N148-SNAP!P148,0)</f>
        <v>0</v>
      </c>
      <c r="S148" s="20">
        <f t="shared" si="39"/>
        <v>4872.3333333333339</v>
      </c>
      <c r="T148" s="20">
        <f t="shared" si="33"/>
        <v>1461.7</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400</v>
      </c>
      <c r="G149" s="20">
        <f t="shared" si="34"/>
        <v>6358.333333333333</v>
      </c>
      <c r="H149" s="20" t="str">
        <f t="shared" si="28"/>
        <v>No</v>
      </c>
      <c r="I149" s="20">
        <f t="shared" si="29"/>
        <v>1191.6666666666667</v>
      </c>
      <c r="J149" s="20">
        <f t="shared" si="30"/>
        <v>261</v>
      </c>
      <c r="K149" s="20">
        <f t="shared" si="31"/>
        <v>4905.6666666666661</v>
      </c>
      <c r="L149" s="20">
        <f t="shared" si="35"/>
        <v>500</v>
      </c>
      <c r="M149" s="20">
        <f>'Total income package'!$B$69</f>
        <v>500</v>
      </c>
      <c r="N149" s="20">
        <f t="shared" si="36"/>
        <v>1000</v>
      </c>
      <c r="O149" s="344" t="str">
        <f t="shared" si="37"/>
        <v>No</v>
      </c>
      <c r="P149" s="20">
        <f t="shared" si="38"/>
        <v>2452.833333333333</v>
      </c>
      <c r="Q149" s="346">
        <f t="shared" si="32"/>
        <v>0</v>
      </c>
      <c r="R149" s="20">
        <f>IF(AND(D$2+$E$2&gt;0,N149-SNAP!P149&gt;0),N149-SNAP!P149,0)</f>
        <v>0</v>
      </c>
      <c r="S149" s="20">
        <f t="shared" si="39"/>
        <v>4905.6666666666661</v>
      </c>
      <c r="T149" s="20">
        <f t="shared" si="33"/>
        <v>1471.6999999999998</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400</v>
      </c>
      <c r="G150" s="20">
        <f t="shared" si="34"/>
        <v>6400</v>
      </c>
      <c r="H150" s="20" t="str">
        <f t="shared" si="28"/>
        <v>No</v>
      </c>
      <c r="I150" s="20">
        <f t="shared" si="29"/>
        <v>1200</v>
      </c>
      <c r="J150" s="20">
        <f t="shared" si="30"/>
        <v>261</v>
      </c>
      <c r="K150" s="20">
        <f t="shared" si="31"/>
        <v>4939</v>
      </c>
      <c r="L150" s="20">
        <f t="shared" si="35"/>
        <v>500</v>
      </c>
      <c r="M150" s="20">
        <f>'Total income package'!$B$69</f>
        <v>500</v>
      </c>
      <c r="N150" s="20">
        <f t="shared" si="36"/>
        <v>1000</v>
      </c>
      <c r="O150" s="344" t="str">
        <f t="shared" si="37"/>
        <v>No</v>
      </c>
      <c r="P150" s="20">
        <f t="shared" si="38"/>
        <v>2469.5</v>
      </c>
      <c r="Q150" s="346">
        <f t="shared" si="32"/>
        <v>0</v>
      </c>
      <c r="R150" s="20">
        <f>IF(AND(D$2+$E$2&gt;0,N150-SNAP!P150&gt;0),N150-SNAP!P150,0)</f>
        <v>0</v>
      </c>
      <c r="S150" s="20">
        <f t="shared" si="39"/>
        <v>4939</v>
      </c>
      <c r="T150" s="20">
        <f t="shared" si="33"/>
        <v>1481.7</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400</v>
      </c>
      <c r="G151" s="20">
        <f t="shared" si="34"/>
        <v>6441.666666666667</v>
      </c>
      <c r="H151" s="20" t="str">
        <f t="shared" si="28"/>
        <v>No</v>
      </c>
      <c r="I151" s="20">
        <f t="shared" si="29"/>
        <v>1208.3333333333335</v>
      </c>
      <c r="J151" s="20">
        <f t="shared" si="30"/>
        <v>261</v>
      </c>
      <c r="K151" s="20">
        <f t="shared" si="31"/>
        <v>4972.3333333333339</v>
      </c>
      <c r="L151" s="20">
        <f t="shared" si="35"/>
        <v>500</v>
      </c>
      <c r="M151" s="20">
        <f>'Total income package'!$B$69</f>
        <v>500</v>
      </c>
      <c r="N151" s="20">
        <f t="shared" si="36"/>
        <v>1000</v>
      </c>
      <c r="O151" s="344" t="str">
        <f t="shared" si="37"/>
        <v>No</v>
      </c>
      <c r="P151" s="20">
        <f t="shared" si="38"/>
        <v>2486.166666666667</v>
      </c>
      <c r="Q151" s="346">
        <f t="shared" si="32"/>
        <v>0</v>
      </c>
      <c r="R151" s="20">
        <f>IF(AND(D$2+$E$2&gt;0,N151-SNAP!P151&gt;0),N151-SNAP!P151,0)</f>
        <v>0</v>
      </c>
      <c r="S151" s="20">
        <f t="shared" si="39"/>
        <v>4972.3333333333339</v>
      </c>
      <c r="T151" s="20">
        <f t="shared" si="33"/>
        <v>1491.7</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400</v>
      </c>
      <c r="G152" s="20">
        <f t="shared" si="34"/>
        <v>6483.333333333333</v>
      </c>
      <c r="H152" s="20" t="str">
        <f t="shared" si="28"/>
        <v>No</v>
      </c>
      <c r="I152" s="20">
        <f t="shared" si="29"/>
        <v>1216.6666666666667</v>
      </c>
      <c r="J152" s="20">
        <f t="shared" si="30"/>
        <v>261</v>
      </c>
      <c r="K152" s="20">
        <f t="shared" si="31"/>
        <v>5005.6666666666661</v>
      </c>
      <c r="L152" s="20">
        <f t="shared" si="35"/>
        <v>500</v>
      </c>
      <c r="M152" s="20">
        <f>'Total income package'!$B$69</f>
        <v>500</v>
      </c>
      <c r="N152" s="20">
        <f t="shared" si="36"/>
        <v>1000</v>
      </c>
      <c r="O152" s="344" t="str">
        <f t="shared" si="37"/>
        <v>No</v>
      </c>
      <c r="P152" s="20">
        <f t="shared" si="38"/>
        <v>2502.833333333333</v>
      </c>
      <c r="Q152" s="346">
        <f t="shared" si="32"/>
        <v>0</v>
      </c>
      <c r="R152" s="20">
        <f>IF(AND(D$2+$E$2&gt;0,N152-SNAP!P152&gt;0),N152-SNAP!P152,0)</f>
        <v>0</v>
      </c>
      <c r="S152" s="20">
        <f t="shared" si="39"/>
        <v>5005.6666666666661</v>
      </c>
      <c r="T152" s="20">
        <f t="shared" si="33"/>
        <v>1501.6999999999998</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400</v>
      </c>
      <c r="G153" s="20">
        <f t="shared" si="34"/>
        <v>6525</v>
      </c>
      <c r="H153" s="20" t="str">
        <f t="shared" si="28"/>
        <v>No</v>
      </c>
      <c r="I153" s="20">
        <f t="shared" si="29"/>
        <v>1225</v>
      </c>
      <c r="J153" s="20">
        <f t="shared" si="30"/>
        <v>261</v>
      </c>
      <c r="K153" s="20">
        <f t="shared" si="31"/>
        <v>5039</v>
      </c>
      <c r="L153" s="20">
        <f t="shared" si="35"/>
        <v>500</v>
      </c>
      <c r="M153" s="20">
        <f>'Total income package'!$B$69</f>
        <v>500</v>
      </c>
      <c r="N153" s="20">
        <f t="shared" si="36"/>
        <v>1000</v>
      </c>
      <c r="O153" s="344" t="str">
        <f t="shared" si="37"/>
        <v>No</v>
      </c>
      <c r="P153" s="20">
        <f t="shared" si="38"/>
        <v>2519.5</v>
      </c>
      <c r="Q153" s="346">
        <f t="shared" si="32"/>
        <v>0</v>
      </c>
      <c r="R153" s="20">
        <f>IF(AND(D$2+$E$2&gt;0,N153-SNAP!P153&gt;0),N153-SNAP!P153,0)</f>
        <v>0</v>
      </c>
      <c r="S153" s="20">
        <f t="shared" si="39"/>
        <v>5039</v>
      </c>
      <c r="T153" s="20">
        <f t="shared" si="33"/>
        <v>1511.7</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400</v>
      </c>
      <c r="G154" s="20">
        <f t="shared" si="34"/>
        <v>6566.666666666667</v>
      </c>
      <c r="H154" s="20" t="str">
        <f t="shared" si="28"/>
        <v>No</v>
      </c>
      <c r="I154" s="20">
        <f t="shared" si="29"/>
        <v>1233.3333333333335</v>
      </c>
      <c r="J154" s="20">
        <f t="shared" si="30"/>
        <v>261</v>
      </c>
      <c r="K154" s="20">
        <f t="shared" si="31"/>
        <v>5072.3333333333339</v>
      </c>
      <c r="L154" s="20">
        <f t="shared" si="35"/>
        <v>500</v>
      </c>
      <c r="M154" s="20">
        <f>'Total income package'!$B$69</f>
        <v>500</v>
      </c>
      <c r="N154" s="20">
        <f t="shared" si="36"/>
        <v>1000</v>
      </c>
      <c r="O154" s="344" t="str">
        <f t="shared" si="37"/>
        <v>No</v>
      </c>
      <c r="P154" s="20">
        <f t="shared" si="38"/>
        <v>2536.166666666667</v>
      </c>
      <c r="Q154" s="346">
        <f t="shared" si="32"/>
        <v>0</v>
      </c>
      <c r="R154" s="20">
        <f>IF(AND(D$2+$E$2&gt;0,N154-SNAP!P154&gt;0),N154-SNAP!P154,0)</f>
        <v>0</v>
      </c>
      <c r="S154" s="20">
        <f t="shared" si="39"/>
        <v>5072.3333333333339</v>
      </c>
      <c r="T154" s="20">
        <f t="shared" si="33"/>
        <v>1521.7</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400</v>
      </c>
      <c r="G155" s="20">
        <f t="shared" si="34"/>
        <v>6608.333333333333</v>
      </c>
      <c r="H155" s="20" t="str">
        <f t="shared" si="28"/>
        <v>No</v>
      </c>
      <c r="I155" s="20">
        <f t="shared" si="29"/>
        <v>1241.6666666666667</v>
      </c>
      <c r="J155" s="20">
        <f t="shared" si="30"/>
        <v>261</v>
      </c>
      <c r="K155" s="20">
        <f t="shared" si="31"/>
        <v>5105.6666666666661</v>
      </c>
      <c r="L155" s="20">
        <f t="shared" si="35"/>
        <v>500</v>
      </c>
      <c r="M155" s="20">
        <f>'Total income package'!$B$69</f>
        <v>500</v>
      </c>
      <c r="N155" s="20">
        <f t="shared" si="36"/>
        <v>1000</v>
      </c>
      <c r="O155" s="344" t="str">
        <f t="shared" si="37"/>
        <v>No</v>
      </c>
      <c r="P155" s="20">
        <f t="shared" si="38"/>
        <v>2552.833333333333</v>
      </c>
      <c r="Q155" s="346">
        <f t="shared" si="32"/>
        <v>0</v>
      </c>
      <c r="R155" s="20">
        <f>IF(AND(D$2+$E$2&gt;0,N155-SNAP!P155&gt;0),N155-SNAP!P155,0)</f>
        <v>0</v>
      </c>
      <c r="S155" s="20">
        <f t="shared" si="39"/>
        <v>5105.6666666666661</v>
      </c>
      <c r="T155" s="20">
        <f t="shared" si="33"/>
        <v>1531.6999999999998</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400</v>
      </c>
      <c r="G156" s="20">
        <f t="shared" si="34"/>
        <v>6650</v>
      </c>
      <c r="H156" s="20" t="str">
        <f t="shared" si="28"/>
        <v>No</v>
      </c>
      <c r="I156" s="20">
        <f t="shared" si="29"/>
        <v>1250</v>
      </c>
      <c r="J156" s="20">
        <f t="shared" si="30"/>
        <v>261</v>
      </c>
      <c r="K156" s="20">
        <f t="shared" si="31"/>
        <v>5139</v>
      </c>
      <c r="L156" s="20">
        <f t="shared" si="35"/>
        <v>500</v>
      </c>
      <c r="M156" s="20">
        <f>'Total income package'!$B$69</f>
        <v>500</v>
      </c>
      <c r="N156" s="20">
        <f t="shared" si="36"/>
        <v>1000</v>
      </c>
      <c r="O156" s="344" t="str">
        <f t="shared" si="37"/>
        <v>No</v>
      </c>
      <c r="P156" s="20">
        <f t="shared" si="38"/>
        <v>2569.5</v>
      </c>
      <c r="Q156" s="346">
        <f t="shared" si="32"/>
        <v>0</v>
      </c>
      <c r="R156" s="20">
        <f>IF(AND(D$2+$E$2&gt;0,N156-SNAP!P156&gt;0),N156-SNAP!P156,0)</f>
        <v>0</v>
      </c>
      <c r="S156" s="20">
        <f t="shared" si="39"/>
        <v>5139</v>
      </c>
      <c r="T156" s="20">
        <f t="shared" si="33"/>
        <v>1541.7</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400</v>
      </c>
      <c r="G157" s="20">
        <f t="shared" si="34"/>
        <v>6691.666666666667</v>
      </c>
      <c r="H157" s="20" t="str">
        <f t="shared" si="28"/>
        <v>No</v>
      </c>
      <c r="I157" s="20">
        <f t="shared" si="29"/>
        <v>1258.3333333333335</v>
      </c>
      <c r="J157" s="20">
        <f t="shared" si="30"/>
        <v>261</v>
      </c>
      <c r="K157" s="20">
        <f t="shared" si="31"/>
        <v>5172.3333333333339</v>
      </c>
      <c r="L157" s="20">
        <f t="shared" si="35"/>
        <v>500</v>
      </c>
      <c r="M157" s="20">
        <f>'Total income package'!$B$69</f>
        <v>500</v>
      </c>
      <c r="N157" s="20">
        <f t="shared" si="36"/>
        <v>1000</v>
      </c>
      <c r="O157" s="344" t="str">
        <f t="shared" si="37"/>
        <v>No</v>
      </c>
      <c r="P157" s="20">
        <f t="shared" si="38"/>
        <v>2586.166666666667</v>
      </c>
      <c r="Q157" s="346">
        <f t="shared" si="32"/>
        <v>0</v>
      </c>
      <c r="R157" s="20">
        <f>IF(AND(D$2+$E$2&gt;0,N157-SNAP!P157&gt;0),N157-SNAP!P157,0)</f>
        <v>0</v>
      </c>
      <c r="S157" s="20">
        <f t="shared" si="39"/>
        <v>5172.3333333333339</v>
      </c>
      <c r="T157" s="20">
        <f t="shared" si="33"/>
        <v>1551.7</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400</v>
      </c>
      <c r="G158" s="20">
        <f t="shared" si="34"/>
        <v>6733.333333333333</v>
      </c>
      <c r="H158" s="20" t="str">
        <f t="shared" si="28"/>
        <v>No</v>
      </c>
      <c r="I158" s="20">
        <f t="shared" si="29"/>
        <v>1266.6666666666667</v>
      </c>
      <c r="J158" s="20">
        <f t="shared" si="30"/>
        <v>261</v>
      </c>
      <c r="K158" s="20">
        <f t="shared" si="31"/>
        <v>5205.6666666666661</v>
      </c>
      <c r="L158" s="20">
        <f t="shared" si="35"/>
        <v>500</v>
      </c>
      <c r="M158" s="20">
        <f>'Total income package'!$B$69</f>
        <v>500</v>
      </c>
      <c r="N158" s="20">
        <f t="shared" si="36"/>
        <v>1000</v>
      </c>
      <c r="O158" s="344" t="str">
        <f t="shared" si="37"/>
        <v>No</v>
      </c>
      <c r="P158" s="20">
        <f t="shared" si="38"/>
        <v>2602.833333333333</v>
      </c>
      <c r="Q158" s="346">
        <f t="shared" si="32"/>
        <v>0</v>
      </c>
      <c r="R158" s="20">
        <f>IF(AND(D$2+$E$2&gt;0,N158-SNAP!P158&gt;0),N158-SNAP!P158,0)</f>
        <v>0</v>
      </c>
      <c r="S158" s="20">
        <f t="shared" si="39"/>
        <v>5205.6666666666661</v>
      </c>
      <c r="T158" s="20">
        <f t="shared" si="33"/>
        <v>1561.6999999999998</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400</v>
      </c>
      <c r="G159" s="20">
        <f t="shared" si="34"/>
        <v>6775</v>
      </c>
      <c r="H159" s="20" t="str">
        <f t="shared" si="28"/>
        <v>No</v>
      </c>
      <c r="I159" s="20">
        <f t="shared" si="29"/>
        <v>1275</v>
      </c>
      <c r="J159" s="20">
        <f t="shared" si="30"/>
        <v>261</v>
      </c>
      <c r="K159" s="20">
        <f t="shared" si="31"/>
        <v>5239</v>
      </c>
      <c r="L159" s="20">
        <f t="shared" si="35"/>
        <v>500</v>
      </c>
      <c r="M159" s="20">
        <f>'Total income package'!$B$69</f>
        <v>500</v>
      </c>
      <c r="N159" s="20">
        <f t="shared" si="36"/>
        <v>1000</v>
      </c>
      <c r="O159" s="344" t="str">
        <f t="shared" si="37"/>
        <v>No</v>
      </c>
      <c r="P159" s="20">
        <f t="shared" si="38"/>
        <v>2619.5</v>
      </c>
      <c r="Q159" s="346">
        <f t="shared" si="32"/>
        <v>0</v>
      </c>
      <c r="R159" s="20">
        <f>IF(AND(D$2+$E$2&gt;0,N159-SNAP!P159&gt;0),N159-SNAP!P159,0)</f>
        <v>0</v>
      </c>
      <c r="S159" s="20">
        <f t="shared" si="39"/>
        <v>5239</v>
      </c>
      <c r="T159" s="20">
        <f t="shared" si="33"/>
        <v>1571.7</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400</v>
      </c>
      <c r="G160" s="20">
        <f t="shared" si="34"/>
        <v>6816.666666666667</v>
      </c>
      <c r="H160" s="20" t="str">
        <f t="shared" si="28"/>
        <v>No</v>
      </c>
      <c r="I160" s="20">
        <f t="shared" si="29"/>
        <v>1283.3333333333335</v>
      </c>
      <c r="J160" s="20">
        <f t="shared" si="30"/>
        <v>261</v>
      </c>
      <c r="K160" s="20">
        <f t="shared" si="31"/>
        <v>5272.3333333333339</v>
      </c>
      <c r="L160" s="20">
        <f t="shared" si="35"/>
        <v>500</v>
      </c>
      <c r="M160" s="20">
        <f>'Total income package'!$B$69</f>
        <v>500</v>
      </c>
      <c r="N160" s="20">
        <f t="shared" si="36"/>
        <v>1000</v>
      </c>
      <c r="O160" s="344" t="str">
        <f t="shared" si="37"/>
        <v>No</v>
      </c>
      <c r="P160" s="20">
        <f t="shared" si="38"/>
        <v>2636.166666666667</v>
      </c>
      <c r="Q160" s="346">
        <f t="shared" si="32"/>
        <v>0</v>
      </c>
      <c r="R160" s="20">
        <f>IF(AND(D$2+$E$2&gt;0,N160-SNAP!P160&gt;0),N160-SNAP!P160,0)</f>
        <v>0</v>
      </c>
      <c r="S160" s="20">
        <f t="shared" si="39"/>
        <v>5272.3333333333339</v>
      </c>
      <c r="T160" s="20">
        <f t="shared" si="33"/>
        <v>1581.7</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400</v>
      </c>
      <c r="G161" s="20">
        <f t="shared" si="34"/>
        <v>6858.333333333333</v>
      </c>
      <c r="H161" s="20" t="str">
        <f t="shared" si="28"/>
        <v>No</v>
      </c>
      <c r="I161" s="20">
        <f t="shared" si="29"/>
        <v>1291.6666666666667</v>
      </c>
      <c r="J161" s="20">
        <f t="shared" si="30"/>
        <v>261</v>
      </c>
      <c r="K161" s="20">
        <f t="shared" si="31"/>
        <v>5305.6666666666661</v>
      </c>
      <c r="L161" s="20">
        <f t="shared" si="35"/>
        <v>500</v>
      </c>
      <c r="M161" s="20">
        <f>'Total income package'!$B$69</f>
        <v>500</v>
      </c>
      <c r="N161" s="20">
        <f t="shared" si="36"/>
        <v>1000</v>
      </c>
      <c r="O161" s="344" t="str">
        <f t="shared" si="37"/>
        <v>No</v>
      </c>
      <c r="P161" s="20">
        <f t="shared" si="38"/>
        <v>2652.833333333333</v>
      </c>
      <c r="Q161" s="346">
        <f t="shared" si="32"/>
        <v>0</v>
      </c>
      <c r="R161" s="20">
        <f>IF(AND(D$2+$E$2&gt;0,N161-SNAP!P161&gt;0),N161-SNAP!P161,0)</f>
        <v>0</v>
      </c>
      <c r="S161" s="20">
        <f t="shared" si="39"/>
        <v>5305.6666666666661</v>
      </c>
      <c r="T161" s="20">
        <f t="shared" si="33"/>
        <v>1591.6999999999998</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400</v>
      </c>
      <c r="G162" s="20">
        <f t="shared" si="34"/>
        <v>6900</v>
      </c>
      <c r="H162" s="20" t="str">
        <f t="shared" si="28"/>
        <v>No</v>
      </c>
      <c r="I162" s="20">
        <f t="shared" si="29"/>
        <v>1300</v>
      </c>
      <c r="J162" s="20">
        <f t="shared" si="30"/>
        <v>261</v>
      </c>
      <c r="K162" s="20">
        <f t="shared" si="31"/>
        <v>5339</v>
      </c>
      <c r="L162" s="20">
        <f t="shared" si="35"/>
        <v>500</v>
      </c>
      <c r="M162" s="20">
        <f>'Total income package'!$B$69</f>
        <v>500</v>
      </c>
      <c r="N162" s="20">
        <f t="shared" si="36"/>
        <v>1000</v>
      </c>
      <c r="O162" s="344" t="str">
        <f t="shared" si="37"/>
        <v>No</v>
      </c>
      <c r="P162" s="20">
        <f t="shared" si="38"/>
        <v>2669.5</v>
      </c>
      <c r="Q162" s="346">
        <f t="shared" si="32"/>
        <v>0</v>
      </c>
      <c r="R162" s="20">
        <f>IF(AND(D$2+$E$2&gt;0,N162-SNAP!P162&gt;0),N162-SNAP!P162,0)</f>
        <v>0</v>
      </c>
      <c r="S162" s="20">
        <f t="shared" si="39"/>
        <v>5339</v>
      </c>
      <c r="T162" s="20">
        <f t="shared" si="33"/>
        <v>1601.7</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400</v>
      </c>
      <c r="G163" s="20">
        <f t="shared" si="34"/>
        <v>6941.666666666667</v>
      </c>
      <c r="H163" s="20" t="str">
        <f t="shared" si="28"/>
        <v>No</v>
      </c>
      <c r="I163" s="20">
        <f t="shared" si="29"/>
        <v>1308.3333333333335</v>
      </c>
      <c r="J163" s="20">
        <f t="shared" si="30"/>
        <v>261</v>
      </c>
      <c r="K163" s="20">
        <f t="shared" si="31"/>
        <v>5372.3333333333339</v>
      </c>
      <c r="L163" s="20">
        <f t="shared" si="35"/>
        <v>500</v>
      </c>
      <c r="M163" s="20">
        <f>'Total income package'!$B$69</f>
        <v>500</v>
      </c>
      <c r="N163" s="20">
        <f t="shared" si="36"/>
        <v>1000</v>
      </c>
      <c r="O163" s="344" t="str">
        <f t="shared" si="37"/>
        <v>No</v>
      </c>
      <c r="P163" s="20">
        <f t="shared" si="38"/>
        <v>2686.166666666667</v>
      </c>
      <c r="Q163" s="346">
        <f t="shared" si="32"/>
        <v>0</v>
      </c>
      <c r="R163" s="20">
        <f>IF(AND(D$2+$E$2&gt;0,N163-SNAP!P163&gt;0),N163-SNAP!P163,0)</f>
        <v>0</v>
      </c>
      <c r="S163" s="20">
        <f t="shared" si="39"/>
        <v>5372.3333333333339</v>
      </c>
      <c r="T163" s="20">
        <f t="shared" si="33"/>
        <v>1611.7</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400</v>
      </c>
      <c r="G164" s="20">
        <f t="shared" si="34"/>
        <v>6983.333333333333</v>
      </c>
      <c r="H164" s="20" t="str">
        <f t="shared" si="28"/>
        <v>No</v>
      </c>
      <c r="I164" s="20">
        <f t="shared" si="29"/>
        <v>1316.6666666666667</v>
      </c>
      <c r="J164" s="20">
        <f t="shared" si="30"/>
        <v>261</v>
      </c>
      <c r="K164" s="20">
        <f t="shared" si="31"/>
        <v>5405.6666666666661</v>
      </c>
      <c r="L164" s="20">
        <f t="shared" si="35"/>
        <v>500</v>
      </c>
      <c r="M164" s="20">
        <f>'Total income package'!$B$69</f>
        <v>500</v>
      </c>
      <c r="N164" s="20">
        <f t="shared" si="36"/>
        <v>1000</v>
      </c>
      <c r="O164" s="344" t="str">
        <f t="shared" si="37"/>
        <v>No</v>
      </c>
      <c r="P164" s="20">
        <f t="shared" si="38"/>
        <v>2702.833333333333</v>
      </c>
      <c r="Q164" s="346">
        <f t="shared" si="32"/>
        <v>0</v>
      </c>
      <c r="R164" s="20">
        <f>IF(AND(D$2+$E$2&gt;0,N164-SNAP!P164&gt;0),N164-SNAP!P164,0)</f>
        <v>0</v>
      </c>
      <c r="S164" s="20">
        <f t="shared" si="39"/>
        <v>5405.6666666666661</v>
      </c>
      <c r="T164" s="20">
        <f t="shared" si="33"/>
        <v>1621.6999999999998</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400</v>
      </c>
      <c r="G165" s="20">
        <f t="shared" si="34"/>
        <v>7025</v>
      </c>
      <c r="H165" s="20" t="str">
        <f t="shared" si="28"/>
        <v>No</v>
      </c>
      <c r="I165" s="20">
        <f t="shared" si="29"/>
        <v>1325</v>
      </c>
      <c r="J165" s="20">
        <f t="shared" si="30"/>
        <v>261</v>
      </c>
      <c r="K165" s="20">
        <f t="shared" si="31"/>
        <v>5439</v>
      </c>
      <c r="L165" s="20">
        <f t="shared" si="35"/>
        <v>500</v>
      </c>
      <c r="M165" s="20">
        <f>'Total income package'!$B$69</f>
        <v>500</v>
      </c>
      <c r="N165" s="20">
        <f t="shared" si="36"/>
        <v>1000</v>
      </c>
      <c r="O165" s="344" t="str">
        <f t="shared" si="37"/>
        <v>No</v>
      </c>
      <c r="P165" s="20">
        <f t="shared" si="38"/>
        <v>2719.5</v>
      </c>
      <c r="Q165" s="346">
        <f t="shared" si="32"/>
        <v>0</v>
      </c>
      <c r="R165" s="20">
        <f>IF(AND(D$2+$E$2&gt;0,N165-SNAP!P165&gt;0),N165-SNAP!P165,0)</f>
        <v>0</v>
      </c>
      <c r="S165" s="20">
        <f t="shared" si="39"/>
        <v>5439</v>
      </c>
      <c r="T165" s="20">
        <f t="shared" si="33"/>
        <v>1631.7</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400</v>
      </c>
      <c r="G166" s="20">
        <f t="shared" si="34"/>
        <v>7066.666666666667</v>
      </c>
      <c r="H166" s="20" t="str">
        <f t="shared" si="28"/>
        <v>No</v>
      </c>
      <c r="I166" s="20">
        <f t="shared" si="29"/>
        <v>1333.3333333333335</v>
      </c>
      <c r="J166" s="20">
        <f t="shared" si="30"/>
        <v>261</v>
      </c>
      <c r="K166" s="20">
        <f t="shared" si="31"/>
        <v>5472.3333333333339</v>
      </c>
      <c r="L166" s="20">
        <f t="shared" si="35"/>
        <v>500</v>
      </c>
      <c r="M166" s="20">
        <f>'Total income package'!$B$69</f>
        <v>500</v>
      </c>
      <c r="N166" s="20">
        <f t="shared" si="36"/>
        <v>1000</v>
      </c>
      <c r="O166" s="344" t="str">
        <f t="shared" si="37"/>
        <v>No</v>
      </c>
      <c r="P166" s="20">
        <f t="shared" si="38"/>
        <v>2736.166666666667</v>
      </c>
      <c r="Q166" s="346">
        <f t="shared" si="32"/>
        <v>0</v>
      </c>
      <c r="R166" s="20">
        <f>IF(AND(D$2+$E$2&gt;0,N166-SNAP!P166&gt;0),N166-SNAP!P166,0)</f>
        <v>0</v>
      </c>
      <c r="S166" s="20">
        <f t="shared" si="39"/>
        <v>5472.3333333333339</v>
      </c>
      <c r="T166" s="20">
        <f t="shared" si="33"/>
        <v>1641.7</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400</v>
      </c>
      <c r="G167" s="20">
        <f t="shared" si="34"/>
        <v>7108.333333333333</v>
      </c>
      <c r="H167" s="20" t="str">
        <f t="shared" si="28"/>
        <v>No</v>
      </c>
      <c r="I167" s="20">
        <f t="shared" si="29"/>
        <v>1341.6666666666667</v>
      </c>
      <c r="J167" s="20">
        <f t="shared" si="30"/>
        <v>261</v>
      </c>
      <c r="K167" s="20">
        <f t="shared" si="31"/>
        <v>5505.6666666666661</v>
      </c>
      <c r="L167" s="20">
        <f t="shared" si="35"/>
        <v>500</v>
      </c>
      <c r="M167" s="20">
        <f>'Total income package'!$B$69</f>
        <v>500</v>
      </c>
      <c r="N167" s="20">
        <f t="shared" si="36"/>
        <v>1000</v>
      </c>
      <c r="O167" s="344" t="str">
        <f t="shared" si="37"/>
        <v>No</v>
      </c>
      <c r="P167" s="20">
        <f t="shared" si="38"/>
        <v>2752.833333333333</v>
      </c>
      <c r="Q167" s="346">
        <f t="shared" si="32"/>
        <v>0</v>
      </c>
      <c r="R167" s="20">
        <f>IF(AND(D$2+$E$2&gt;0,N167-SNAP!P167&gt;0),N167-SNAP!P167,0)</f>
        <v>0</v>
      </c>
      <c r="S167" s="20">
        <f t="shared" si="39"/>
        <v>5505.6666666666661</v>
      </c>
      <c r="T167" s="20">
        <f t="shared" si="33"/>
        <v>1651.6999999999998</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400</v>
      </c>
      <c r="G168" s="20">
        <f t="shared" si="34"/>
        <v>7150</v>
      </c>
      <c r="H168" s="20" t="str">
        <f t="shared" si="28"/>
        <v>No</v>
      </c>
      <c r="I168" s="20">
        <f t="shared" si="29"/>
        <v>1350</v>
      </c>
      <c r="J168" s="20">
        <f t="shared" si="30"/>
        <v>261</v>
      </c>
      <c r="K168" s="20">
        <f t="shared" si="31"/>
        <v>5539</v>
      </c>
      <c r="L168" s="20">
        <f t="shared" si="35"/>
        <v>500</v>
      </c>
      <c r="M168" s="20">
        <f>'Total income package'!$B$69</f>
        <v>500</v>
      </c>
      <c r="N168" s="20">
        <f t="shared" si="36"/>
        <v>1000</v>
      </c>
      <c r="O168" s="344" t="str">
        <f t="shared" si="37"/>
        <v>No</v>
      </c>
      <c r="P168" s="20">
        <f t="shared" si="38"/>
        <v>2769.5</v>
      </c>
      <c r="Q168" s="346">
        <f t="shared" si="32"/>
        <v>0</v>
      </c>
      <c r="R168" s="20">
        <f>IF(AND(D$2+$E$2&gt;0,N168-SNAP!P168&gt;0),N168-SNAP!P168,0)</f>
        <v>0</v>
      </c>
      <c r="S168" s="20">
        <f t="shared" si="39"/>
        <v>5539</v>
      </c>
      <c r="T168" s="20">
        <f t="shared" si="33"/>
        <v>1661.7</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400</v>
      </c>
      <c r="G169" s="20">
        <f t="shared" si="34"/>
        <v>7191.666666666667</v>
      </c>
      <c r="H169" s="20" t="str">
        <f t="shared" si="28"/>
        <v>No</v>
      </c>
      <c r="I169" s="20">
        <f t="shared" si="29"/>
        <v>1358.3333333333335</v>
      </c>
      <c r="J169" s="20">
        <f t="shared" si="30"/>
        <v>261</v>
      </c>
      <c r="K169" s="20">
        <f t="shared" si="31"/>
        <v>5572.3333333333339</v>
      </c>
      <c r="L169" s="20">
        <f t="shared" si="35"/>
        <v>500</v>
      </c>
      <c r="M169" s="20">
        <f>'Total income package'!$B$69</f>
        <v>500</v>
      </c>
      <c r="N169" s="20">
        <f t="shared" si="36"/>
        <v>1000</v>
      </c>
      <c r="O169" s="344" t="str">
        <f t="shared" si="37"/>
        <v>No</v>
      </c>
      <c r="P169" s="20">
        <f t="shared" si="38"/>
        <v>2786.166666666667</v>
      </c>
      <c r="Q169" s="346">
        <f t="shared" si="32"/>
        <v>0</v>
      </c>
      <c r="R169" s="20">
        <f>IF(AND(D$2+$E$2&gt;0,N169-SNAP!P169&gt;0),N169-SNAP!P169,0)</f>
        <v>0</v>
      </c>
      <c r="S169" s="20">
        <f t="shared" si="39"/>
        <v>5572.3333333333339</v>
      </c>
      <c r="T169" s="20">
        <f t="shared" si="33"/>
        <v>1671.7</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400</v>
      </c>
      <c r="G170" s="20">
        <f t="shared" si="34"/>
        <v>7233.333333333333</v>
      </c>
      <c r="H170" s="20" t="str">
        <f t="shared" si="28"/>
        <v>No</v>
      </c>
      <c r="I170" s="20">
        <f t="shared" si="29"/>
        <v>1366.6666666666667</v>
      </c>
      <c r="J170" s="20">
        <f t="shared" si="30"/>
        <v>261</v>
      </c>
      <c r="K170" s="20">
        <f t="shared" si="31"/>
        <v>5605.6666666666661</v>
      </c>
      <c r="L170" s="20">
        <f t="shared" si="35"/>
        <v>500</v>
      </c>
      <c r="M170" s="20">
        <f>'Total income package'!$B$69</f>
        <v>500</v>
      </c>
      <c r="N170" s="20">
        <f t="shared" si="36"/>
        <v>1000</v>
      </c>
      <c r="O170" s="344" t="str">
        <f t="shared" si="37"/>
        <v>No</v>
      </c>
      <c r="P170" s="20">
        <f t="shared" si="38"/>
        <v>2802.833333333333</v>
      </c>
      <c r="Q170" s="346">
        <f t="shared" si="32"/>
        <v>0</v>
      </c>
      <c r="R170" s="20">
        <f>IF(AND(D$2+$E$2&gt;0,N170-SNAP!P170&gt;0),N170-SNAP!P170,0)</f>
        <v>0</v>
      </c>
      <c r="S170" s="20">
        <f t="shared" si="39"/>
        <v>5605.6666666666661</v>
      </c>
      <c r="T170" s="20">
        <f t="shared" si="33"/>
        <v>1681.6999999999998</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400</v>
      </c>
      <c r="G171" s="20">
        <f t="shared" si="34"/>
        <v>7275</v>
      </c>
      <c r="H171" s="20" t="str">
        <f t="shared" si="28"/>
        <v>No</v>
      </c>
      <c r="I171" s="20">
        <f t="shared" si="29"/>
        <v>1375</v>
      </c>
      <c r="J171" s="20">
        <f t="shared" si="30"/>
        <v>261</v>
      </c>
      <c r="K171" s="20">
        <f t="shared" si="31"/>
        <v>5639</v>
      </c>
      <c r="L171" s="20">
        <f t="shared" si="35"/>
        <v>500</v>
      </c>
      <c r="M171" s="20">
        <f>'Total income package'!$B$69</f>
        <v>500</v>
      </c>
      <c r="N171" s="20">
        <f t="shared" si="36"/>
        <v>1000</v>
      </c>
      <c r="O171" s="344" t="str">
        <f t="shared" si="37"/>
        <v>No</v>
      </c>
      <c r="P171" s="20">
        <f t="shared" si="38"/>
        <v>2819.5</v>
      </c>
      <c r="Q171" s="346">
        <f t="shared" si="32"/>
        <v>0</v>
      </c>
      <c r="R171" s="20">
        <f>IF(AND(D$2+$E$2&gt;0,N171-SNAP!P171&gt;0),N171-SNAP!P171,0)</f>
        <v>0</v>
      </c>
      <c r="S171" s="20">
        <f t="shared" si="39"/>
        <v>5639</v>
      </c>
      <c r="T171" s="20">
        <f t="shared" si="33"/>
        <v>1691.7</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400</v>
      </c>
      <c r="G172" s="20">
        <f t="shared" si="34"/>
        <v>7316.666666666667</v>
      </c>
      <c r="H172" s="20" t="str">
        <f t="shared" si="28"/>
        <v>No</v>
      </c>
      <c r="I172" s="20">
        <f t="shared" si="29"/>
        <v>1383.3333333333335</v>
      </c>
      <c r="J172" s="20">
        <f t="shared" si="30"/>
        <v>261</v>
      </c>
      <c r="K172" s="20">
        <f t="shared" si="31"/>
        <v>5672.3333333333339</v>
      </c>
      <c r="L172" s="20">
        <f t="shared" si="35"/>
        <v>500</v>
      </c>
      <c r="M172" s="20">
        <f>'Total income package'!$B$69</f>
        <v>500</v>
      </c>
      <c r="N172" s="20">
        <f t="shared" si="36"/>
        <v>1000</v>
      </c>
      <c r="O172" s="344" t="str">
        <f t="shared" si="37"/>
        <v>No</v>
      </c>
      <c r="P172" s="20">
        <f t="shared" si="38"/>
        <v>2836.166666666667</v>
      </c>
      <c r="Q172" s="346">
        <f t="shared" si="32"/>
        <v>0</v>
      </c>
      <c r="R172" s="20">
        <f>IF(AND(D$2+$E$2&gt;0,N172-SNAP!P172&gt;0),N172-SNAP!P172,0)</f>
        <v>0</v>
      </c>
      <c r="S172" s="20">
        <f t="shared" si="39"/>
        <v>5672.3333333333339</v>
      </c>
      <c r="T172" s="20">
        <f t="shared" si="33"/>
        <v>1701.7</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400</v>
      </c>
      <c r="G173" s="20">
        <f t="shared" si="34"/>
        <v>7358.333333333333</v>
      </c>
      <c r="H173" s="20" t="str">
        <f t="shared" si="28"/>
        <v>No</v>
      </c>
      <c r="I173" s="20">
        <f t="shared" si="29"/>
        <v>1391.6666666666667</v>
      </c>
      <c r="J173" s="20">
        <f t="shared" si="30"/>
        <v>261</v>
      </c>
      <c r="K173" s="20">
        <f t="shared" si="31"/>
        <v>5705.6666666666661</v>
      </c>
      <c r="L173" s="20">
        <f t="shared" si="35"/>
        <v>500</v>
      </c>
      <c r="M173" s="20">
        <f>'Total income package'!$B$69</f>
        <v>500</v>
      </c>
      <c r="N173" s="20">
        <f t="shared" si="36"/>
        <v>1000</v>
      </c>
      <c r="O173" s="344" t="str">
        <f t="shared" si="37"/>
        <v>No</v>
      </c>
      <c r="P173" s="20">
        <f t="shared" si="38"/>
        <v>2852.833333333333</v>
      </c>
      <c r="Q173" s="346">
        <f t="shared" si="32"/>
        <v>0</v>
      </c>
      <c r="R173" s="20">
        <f>IF(AND(D$2+$E$2&gt;0,N173-SNAP!P173&gt;0),N173-SNAP!P173,0)</f>
        <v>0</v>
      </c>
      <c r="S173" s="20">
        <f t="shared" si="39"/>
        <v>5705.6666666666661</v>
      </c>
      <c r="T173" s="20">
        <f t="shared" si="33"/>
        <v>1711.6999999999998</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400</v>
      </c>
      <c r="G174" s="20">
        <f t="shared" si="34"/>
        <v>7400</v>
      </c>
      <c r="H174" s="20" t="str">
        <f t="shared" si="28"/>
        <v>No</v>
      </c>
      <c r="I174" s="20">
        <f t="shared" si="29"/>
        <v>1400</v>
      </c>
      <c r="J174" s="20">
        <f t="shared" si="30"/>
        <v>261</v>
      </c>
      <c r="K174" s="20">
        <f t="shared" si="31"/>
        <v>5739</v>
      </c>
      <c r="L174" s="20">
        <f t="shared" si="35"/>
        <v>500</v>
      </c>
      <c r="M174" s="20">
        <f>'Total income package'!$B$69</f>
        <v>500</v>
      </c>
      <c r="N174" s="20">
        <f t="shared" si="36"/>
        <v>1000</v>
      </c>
      <c r="O174" s="344" t="str">
        <f t="shared" si="37"/>
        <v>No</v>
      </c>
      <c r="P174" s="20">
        <f t="shared" si="38"/>
        <v>2869.5</v>
      </c>
      <c r="Q174" s="346">
        <f t="shared" si="32"/>
        <v>0</v>
      </c>
      <c r="R174" s="20">
        <f>IF(AND(D$2+$E$2&gt;0,N174-SNAP!P174&gt;0),N174-SNAP!P174,0)</f>
        <v>0</v>
      </c>
      <c r="S174" s="20">
        <f t="shared" si="39"/>
        <v>5739</v>
      </c>
      <c r="T174" s="20">
        <f t="shared" si="33"/>
        <v>1721.7</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400</v>
      </c>
      <c r="G175" s="20">
        <f t="shared" si="34"/>
        <v>7441.666666666667</v>
      </c>
      <c r="H175" s="20" t="str">
        <f t="shared" si="28"/>
        <v>No</v>
      </c>
      <c r="I175" s="20">
        <f t="shared" si="29"/>
        <v>1408.3333333333335</v>
      </c>
      <c r="J175" s="20">
        <f t="shared" si="30"/>
        <v>261</v>
      </c>
      <c r="K175" s="20">
        <f t="shared" si="31"/>
        <v>5772.3333333333339</v>
      </c>
      <c r="L175" s="20">
        <f t="shared" si="35"/>
        <v>500</v>
      </c>
      <c r="M175" s="20">
        <f>'Total income package'!$B$69</f>
        <v>500</v>
      </c>
      <c r="N175" s="20">
        <f t="shared" si="36"/>
        <v>1000</v>
      </c>
      <c r="O175" s="344" t="str">
        <f t="shared" si="37"/>
        <v>No</v>
      </c>
      <c r="P175" s="20">
        <f t="shared" si="38"/>
        <v>2886.166666666667</v>
      </c>
      <c r="Q175" s="346">
        <f t="shared" si="32"/>
        <v>0</v>
      </c>
      <c r="R175" s="20">
        <f>IF(AND(D$2+$E$2&gt;0,N175-SNAP!P175&gt;0),N175-SNAP!P175,0)</f>
        <v>0</v>
      </c>
      <c r="S175" s="20">
        <f t="shared" si="39"/>
        <v>5772.3333333333339</v>
      </c>
      <c r="T175" s="20">
        <f t="shared" si="33"/>
        <v>1731.7</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400</v>
      </c>
      <c r="G176" s="20">
        <f t="shared" si="34"/>
        <v>7483.333333333333</v>
      </c>
      <c r="H176" s="20" t="str">
        <f t="shared" si="28"/>
        <v>No</v>
      </c>
      <c r="I176" s="20">
        <f t="shared" si="29"/>
        <v>1416.6666666666667</v>
      </c>
      <c r="J176" s="20">
        <f t="shared" si="30"/>
        <v>261</v>
      </c>
      <c r="K176" s="20">
        <f t="shared" si="31"/>
        <v>5805.6666666666661</v>
      </c>
      <c r="L176" s="20">
        <f t="shared" si="35"/>
        <v>500</v>
      </c>
      <c r="M176" s="20">
        <f>'Total income package'!$B$69</f>
        <v>500</v>
      </c>
      <c r="N176" s="20">
        <f t="shared" si="36"/>
        <v>1000</v>
      </c>
      <c r="O176" s="344" t="str">
        <f t="shared" si="37"/>
        <v>No</v>
      </c>
      <c r="P176" s="20">
        <f t="shared" si="38"/>
        <v>2902.833333333333</v>
      </c>
      <c r="Q176" s="346">
        <f t="shared" si="32"/>
        <v>0</v>
      </c>
      <c r="R176" s="20">
        <f>IF(AND(D$2+$E$2&gt;0,N176-SNAP!P176&gt;0),N176-SNAP!P176,0)</f>
        <v>0</v>
      </c>
      <c r="S176" s="20">
        <f t="shared" si="39"/>
        <v>5805.6666666666661</v>
      </c>
      <c r="T176" s="20">
        <f t="shared" si="33"/>
        <v>1741.6999999999998</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400</v>
      </c>
      <c r="G177" s="20">
        <f t="shared" si="34"/>
        <v>7525</v>
      </c>
      <c r="H177" s="20" t="str">
        <f t="shared" si="28"/>
        <v>No</v>
      </c>
      <c r="I177" s="20">
        <f t="shared" si="29"/>
        <v>1425</v>
      </c>
      <c r="J177" s="20">
        <f t="shared" si="30"/>
        <v>261</v>
      </c>
      <c r="K177" s="20">
        <f t="shared" si="31"/>
        <v>5839</v>
      </c>
      <c r="L177" s="20">
        <f t="shared" si="35"/>
        <v>500</v>
      </c>
      <c r="M177" s="20">
        <f>'Total income package'!$B$69</f>
        <v>500</v>
      </c>
      <c r="N177" s="20">
        <f t="shared" si="36"/>
        <v>1000</v>
      </c>
      <c r="O177" s="344" t="str">
        <f t="shared" si="37"/>
        <v>No</v>
      </c>
      <c r="P177" s="20">
        <f t="shared" si="38"/>
        <v>2919.5</v>
      </c>
      <c r="Q177" s="346">
        <f t="shared" si="32"/>
        <v>0</v>
      </c>
      <c r="R177" s="20">
        <f>IF(AND(D$2+$E$2&gt;0,N177-SNAP!P177&gt;0),N177-SNAP!P177,0)</f>
        <v>0</v>
      </c>
      <c r="S177" s="20">
        <f>IF(AND($D$2+$E$2&gt;0,K177-R177&gt;0),K177-R177,IF(AND($D$2+$E$2=0,K177-Q177&gt;0),K177-Q177,0))</f>
        <v>5839</v>
      </c>
      <c r="T177" s="20">
        <f>S177*0.3</f>
        <v>1751.7</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400</v>
      </c>
      <c r="G178" s="20">
        <f t="shared" si="34"/>
        <v>7566.666666666667</v>
      </c>
      <c r="H178" s="20" t="str">
        <f t="shared" si="28"/>
        <v>No</v>
      </c>
      <c r="I178" s="20">
        <f t="shared" si="29"/>
        <v>1433.3333333333335</v>
      </c>
      <c r="J178" s="20">
        <f t="shared" si="30"/>
        <v>261</v>
      </c>
      <c r="K178" s="20">
        <f t="shared" si="31"/>
        <v>5872.3333333333339</v>
      </c>
      <c r="L178" s="20">
        <f t="shared" si="35"/>
        <v>500</v>
      </c>
      <c r="M178" s="20">
        <f>'Total income package'!$B$69</f>
        <v>500</v>
      </c>
      <c r="N178" s="20">
        <f t="shared" si="36"/>
        <v>1000</v>
      </c>
      <c r="O178" s="344" t="str">
        <f t="shared" si="37"/>
        <v>No</v>
      </c>
      <c r="P178" s="20">
        <f t="shared" si="38"/>
        <v>2936.166666666667</v>
      </c>
      <c r="Q178" s="346">
        <f t="shared" si="32"/>
        <v>0</v>
      </c>
      <c r="R178" s="20">
        <f>IF(AND(D$2+$E$2&gt;0,N178-SNAP!P178&gt;0),N178-SNAP!P178,0)</f>
        <v>0</v>
      </c>
      <c r="S178" s="20">
        <f t="shared" si="39"/>
        <v>5872.3333333333339</v>
      </c>
      <c r="T178" s="20">
        <f t="shared" si="33"/>
        <v>1761.7</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400</v>
      </c>
      <c r="G179" s="20">
        <f t="shared" si="34"/>
        <v>7608.333333333333</v>
      </c>
      <c r="H179" s="20" t="str">
        <f t="shared" si="28"/>
        <v>No</v>
      </c>
      <c r="I179" s="20">
        <f t="shared" si="29"/>
        <v>1441.6666666666667</v>
      </c>
      <c r="J179" s="20">
        <f t="shared" si="30"/>
        <v>261</v>
      </c>
      <c r="K179" s="20">
        <f t="shared" si="31"/>
        <v>5905.6666666666661</v>
      </c>
      <c r="L179" s="20">
        <f t="shared" si="35"/>
        <v>500</v>
      </c>
      <c r="M179" s="20">
        <f>'Total income package'!$B$69</f>
        <v>500</v>
      </c>
      <c r="N179" s="20">
        <f t="shared" si="36"/>
        <v>1000</v>
      </c>
      <c r="O179" s="344" t="str">
        <f t="shared" si="37"/>
        <v>No</v>
      </c>
      <c r="P179" s="20">
        <f t="shared" si="38"/>
        <v>2952.833333333333</v>
      </c>
      <c r="Q179" s="346">
        <f t="shared" si="32"/>
        <v>0</v>
      </c>
      <c r="R179" s="20">
        <f>IF(AND(D$2+$E$2&gt;0,N179-SNAP!P179&gt;0),N179-SNAP!P179,0)</f>
        <v>0</v>
      </c>
      <c r="S179" s="20">
        <f t="shared" si="39"/>
        <v>5905.6666666666661</v>
      </c>
      <c r="T179" s="20">
        <f t="shared" si="33"/>
        <v>1771.6999999999998</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400</v>
      </c>
      <c r="G180" s="20">
        <f t="shared" si="34"/>
        <v>7650</v>
      </c>
      <c r="H180" s="20" t="str">
        <f t="shared" si="28"/>
        <v>No</v>
      </c>
      <c r="I180" s="20">
        <f t="shared" si="29"/>
        <v>1450</v>
      </c>
      <c r="J180" s="20">
        <f t="shared" si="30"/>
        <v>261</v>
      </c>
      <c r="K180" s="20">
        <f t="shared" si="31"/>
        <v>5939</v>
      </c>
      <c r="L180" s="20">
        <f t="shared" si="35"/>
        <v>500</v>
      </c>
      <c r="M180" s="20">
        <f>'Total income package'!$B$69</f>
        <v>500</v>
      </c>
      <c r="N180" s="20">
        <f t="shared" si="36"/>
        <v>1000</v>
      </c>
      <c r="O180" s="344" t="str">
        <f t="shared" si="37"/>
        <v>No</v>
      </c>
      <c r="P180" s="20">
        <f t="shared" si="38"/>
        <v>2969.5</v>
      </c>
      <c r="Q180" s="346">
        <f t="shared" si="32"/>
        <v>0</v>
      </c>
      <c r="R180" s="20">
        <f>IF(AND(D$2+$E$2&gt;0,N180-SNAP!P180&gt;0),N180-SNAP!P180,0)</f>
        <v>0</v>
      </c>
      <c r="S180" s="20">
        <f t="shared" si="39"/>
        <v>5939</v>
      </c>
      <c r="T180" s="20">
        <f t="shared" si="33"/>
        <v>1781.7</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400</v>
      </c>
      <c r="G181" s="20">
        <f t="shared" si="34"/>
        <v>7691.666666666667</v>
      </c>
      <c r="H181" s="20" t="str">
        <f t="shared" si="28"/>
        <v>No</v>
      </c>
      <c r="I181" s="20">
        <f t="shared" si="29"/>
        <v>1458.3333333333335</v>
      </c>
      <c r="J181" s="20">
        <f t="shared" si="30"/>
        <v>261</v>
      </c>
      <c r="K181" s="20">
        <f t="shared" si="31"/>
        <v>5972.3333333333339</v>
      </c>
      <c r="L181" s="20">
        <f t="shared" si="35"/>
        <v>500</v>
      </c>
      <c r="M181" s="20">
        <f>'Total income package'!$B$69</f>
        <v>500</v>
      </c>
      <c r="N181" s="20">
        <f t="shared" si="36"/>
        <v>1000</v>
      </c>
      <c r="O181" s="344" t="str">
        <f t="shared" si="37"/>
        <v>No</v>
      </c>
      <c r="P181" s="20">
        <f t="shared" si="38"/>
        <v>2986.166666666667</v>
      </c>
      <c r="Q181" s="346">
        <f t="shared" si="32"/>
        <v>0</v>
      </c>
      <c r="R181" s="20">
        <f>IF(AND(D$2+$E$2&gt;0,N181-SNAP!P181&gt;0),N181-SNAP!P181,0)</f>
        <v>0</v>
      </c>
      <c r="S181" s="20">
        <f t="shared" si="39"/>
        <v>5972.3333333333339</v>
      </c>
      <c r="T181" s="20">
        <f t="shared" si="33"/>
        <v>1791.7</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400</v>
      </c>
      <c r="G182" s="20">
        <f t="shared" si="34"/>
        <v>7733.333333333333</v>
      </c>
      <c r="H182" s="20" t="str">
        <f t="shared" si="28"/>
        <v>No</v>
      </c>
      <c r="I182" s="20">
        <f t="shared" si="29"/>
        <v>1466.6666666666667</v>
      </c>
      <c r="J182" s="20">
        <f t="shared" si="30"/>
        <v>261</v>
      </c>
      <c r="K182" s="20">
        <f t="shared" si="31"/>
        <v>6005.6666666666661</v>
      </c>
      <c r="L182" s="20">
        <f t="shared" si="35"/>
        <v>500</v>
      </c>
      <c r="M182" s="20">
        <f>'Total income package'!$B$69</f>
        <v>500</v>
      </c>
      <c r="N182" s="20">
        <f t="shared" si="36"/>
        <v>1000</v>
      </c>
      <c r="O182" s="344" t="str">
        <f t="shared" si="37"/>
        <v>No</v>
      </c>
      <c r="P182" s="20">
        <f t="shared" si="38"/>
        <v>3002.833333333333</v>
      </c>
      <c r="Q182" s="346">
        <f t="shared" si="32"/>
        <v>0</v>
      </c>
      <c r="R182" s="20">
        <f>IF(AND(D$2+$E$2&gt;0,N182-SNAP!P182&gt;0),N182-SNAP!P182,0)</f>
        <v>0</v>
      </c>
      <c r="S182" s="20">
        <f t="shared" si="39"/>
        <v>6005.6666666666661</v>
      </c>
      <c r="T182" s="20">
        <f t="shared" si="33"/>
        <v>1801.6999999999998</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400</v>
      </c>
      <c r="G183" s="20">
        <f t="shared" si="34"/>
        <v>7775</v>
      </c>
      <c r="H183" s="20" t="str">
        <f t="shared" si="28"/>
        <v>No</v>
      </c>
      <c r="I183" s="20">
        <f t="shared" si="29"/>
        <v>1475</v>
      </c>
      <c r="J183" s="20">
        <f t="shared" si="30"/>
        <v>261</v>
      </c>
      <c r="K183" s="20">
        <f t="shared" si="31"/>
        <v>6039</v>
      </c>
      <c r="L183" s="20">
        <f t="shared" si="35"/>
        <v>500</v>
      </c>
      <c r="M183" s="20">
        <f>'Total income package'!$B$69</f>
        <v>500</v>
      </c>
      <c r="N183" s="20">
        <f t="shared" si="36"/>
        <v>1000</v>
      </c>
      <c r="O183" s="344" t="str">
        <f t="shared" si="37"/>
        <v>No</v>
      </c>
      <c r="P183" s="20">
        <f t="shared" si="38"/>
        <v>3019.5</v>
      </c>
      <c r="Q183" s="346">
        <f t="shared" si="32"/>
        <v>0</v>
      </c>
      <c r="R183" s="20">
        <f>IF(AND(D$2+$E$2&gt;0,N183-SNAP!P183&gt;0),N183-SNAP!P183,0)</f>
        <v>0</v>
      </c>
      <c r="S183" s="20">
        <f t="shared" si="39"/>
        <v>6039</v>
      </c>
      <c r="T183" s="20">
        <f t="shared" si="33"/>
        <v>1811.7</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400</v>
      </c>
      <c r="G184" s="20">
        <f t="shared" si="34"/>
        <v>7816.666666666667</v>
      </c>
      <c r="H184" s="20" t="str">
        <f t="shared" si="28"/>
        <v>No</v>
      </c>
      <c r="I184" s="20">
        <f t="shared" si="29"/>
        <v>1483.3333333333335</v>
      </c>
      <c r="J184" s="20">
        <f t="shared" si="30"/>
        <v>261</v>
      </c>
      <c r="K184" s="20">
        <f t="shared" si="31"/>
        <v>6072.3333333333339</v>
      </c>
      <c r="L184" s="20">
        <f t="shared" si="35"/>
        <v>500</v>
      </c>
      <c r="M184" s="20">
        <f>'Total income package'!$B$69</f>
        <v>500</v>
      </c>
      <c r="N184" s="20">
        <f t="shared" si="36"/>
        <v>1000</v>
      </c>
      <c r="O184" s="344" t="str">
        <f t="shared" si="37"/>
        <v>No</v>
      </c>
      <c r="P184" s="20">
        <f t="shared" si="38"/>
        <v>3036.166666666667</v>
      </c>
      <c r="Q184" s="346">
        <f t="shared" si="32"/>
        <v>0</v>
      </c>
      <c r="R184" s="20">
        <f>IF(AND(D$2+$E$2&gt;0,N184-SNAP!P184&gt;0),N184-SNAP!P184,0)</f>
        <v>0</v>
      </c>
      <c r="S184" s="20">
        <f t="shared" si="39"/>
        <v>6072.3333333333339</v>
      </c>
      <c r="T184" s="20">
        <f t="shared" si="33"/>
        <v>1821.7</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400</v>
      </c>
      <c r="G185" s="20">
        <f t="shared" si="34"/>
        <v>7858.333333333333</v>
      </c>
      <c r="H185" s="20" t="str">
        <f t="shared" si="28"/>
        <v>No</v>
      </c>
      <c r="I185" s="20">
        <f t="shared" si="29"/>
        <v>1491.6666666666667</v>
      </c>
      <c r="J185" s="20">
        <f t="shared" si="30"/>
        <v>261</v>
      </c>
      <c r="K185" s="20">
        <f t="shared" si="31"/>
        <v>6105.6666666666661</v>
      </c>
      <c r="L185" s="20">
        <f t="shared" si="35"/>
        <v>500</v>
      </c>
      <c r="M185" s="20">
        <f>'Total income package'!$B$69</f>
        <v>500</v>
      </c>
      <c r="N185" s="20">
        <f t="shared" si="36"/>
        <v>1000</v>
      </c>
      <c r="O185" s="344" t="str">
        <f t="shared" si="37"/>
        <v>No</v>
      </c>
      <c r="P185" s="20">
        <f t="shared" si="38"/>
        <v>3052.833333333333</v>
      </c>
      <c r="Q185" s="346">
        <f t="shared" si="32"/>
        <v>0</v>
      </c>
      <c r="R185" s="20">
        <f>IF(AND(D$2+$E$2&gt;0,N185-SNAP!P185&gt;0),N185-SNAP!P185,0)</f>
        <v>0</v>
      </c>
      <c r="S185" s="20">
        <f t="shared" si="39"/>
        <v>6105.6666666666661</v>
      </c>
      <c r="T185" s="20">
        <f t="shared" si="33"/>
        <v>1831.6999999999998</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400</v>
      </c>
      <c r="G186" s="20">
        <f t="shared" si="34"/>
        <v>7900</v>
      </c>
      <c r="H186" s="20" t="str">
        <f t="shared" si="28"/>
        <v>No</v>
      </c>
      <c r="I186" s="20">
        <f t="shared" si="29"/>
        <v>1500</v>
      </c>
      <c r="J186" s="20">
        <f t="shared" si="30"/>
        <v>261</v>
      </c>
      <c r="K186" s="20">
        <f t="shared" si="31"/>
        <v>6139</v>
      </c>
      <c r="L186" s="20">
        <f t="shared" si="35"/>
        <v>500</v>
      </c>
      <c r="M186" s="20">
        <f>'Total income package'!$B$69</f>
        <v>500</v>
      </c>
      <c r="N186" s="20">
        <f t="shared" si="36"/>
        <v>1000</v>
      </c>
      <c r="O186" s="344" t="str">
        <f t="shared" si="37"/>
        <v>No</v>
      </c>
      <c r="P186" s="20">
        <f t="shared" si="38"/>
        <v>3069.5</v>
      </c>
      <c r="Q186" s="346">
        <f t="shared" si="32"/>
        <v>0</v>
      </c>
      <c r="R186" s="20">
        <f>IF(AND(D$2+$E$2&gt;0,N186-SNAP!P186&gt;0),N186-SNAP!P186,0)</f>
        <v>0</v>
      </c>
      <c r="S186" s="20">
        <f t="shared" si="39"/>
        <v>6139</v>
      </c>
      <c r="T186" s="20">
        <f t="shared" si="33"/>
        <v>1841.6999999999998</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400</v>
      </c>
      <c r="G187" s="20">
        <f t="shared" si="34"/>
        <v>7941.666666666667</v>
      </c>
      <c r="H187" s="20" t="str">
        <f t="shared" si="28"/>
        <v>No</v>
      </c>
      <c r="I187" s="20">
        <f t="shared" si="29"/>
        <v>1508.3333333333335</v>
      </c>
      <c r="J187" s="20">
        <f t="shared" si="30"/>
        <v>261</v>
      </c>
      <c r="K187" s="20">
        <f t="shared" si="31"/>
        <v>6172.3333333333339</v>
      </c>
      <c r="L187" s="20">
        <f t="shared" si="35"/>
        <v>500</v>
      </c>
      <c r="M187" s="20">
        <f>'Total income package'!$B$69</f>
        <v>500</v>
      </c>
      <c r="N187" s="20">
        <f t="shared" si="36"/>
        <v>1000</v>
      </c>
      <c r="O187" s="344" t="str">
        <f t="shared" si="37"/>
        <v>No</v>
      </c>
      <c r="P187" s="20">
        <f t="shared" si="38"/>
        <v>3086.166666666667</v>
      </c>
      <c r="Q187" s="346">
        <f t="shared" si="32"/>
        <v>0</v>
      </c>
      <c r="R187" s="20">
        <f>IF(AND(D$2+$E$2&gt;0,N187-SNAP!P187&gt;0),N187-SNAP!P187,0)</f>
        <v>0</v>
      </c>
      <c r="S187" s="20">
        <f t="shared" si="39"/>
        <v>6172.3333333333339</v>
      </c>
      <c r="T187" s="20">
        <f t="shared" si="33"/>
        <v>1851.7</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400</v>
      </c>
      <c r="G188" s="20">
        <f t="shared" si="34"/>
        <v>7983.333333333333</v>
      </c>
      <c r="H188" s="20" t="str">
        <f t="shared" si="28"/>
        <v>No</v>
      </c>
      <c r="I188" s="20">
        <f t="shared" si="29"/>
        <v>1516.6666666666667</v>
      </c>
      <c r="J188" s="20">
        <f t="shared" si="30"/>
        <v>261</v>
      </c>
      <c r="K188" s="20">
        <f t="shared" si="31"/>
        <v>6205.6666666666661</v>
      </c>
      <c r="L188" s="20">
        <f t="shared" si="35"/>
        <v>500</v>
      </c>
      <c r="M188" s="20">
        <f>'Total income package'!$B$69</f>
        <v>500</v>
      </c>
      <c r="N188" s="20">
        <f t="shared" si="36"/>
        <v>1000</v>
      </c>
      <c r="O188" s="344" t="str">
        <f t="shared" si="37"/>
        <v>No</v>
      </c>
      <c r="P188" s="20">
        <f t="shared" si="38"/>
        <v>3102.833333333333</v>
      </c>
      <c r="Q188" s="346">
        <f t="shared" si="32"/>
        <v>0</v>
      </c>
      <c r="R188" s="20">
        <f>IF(AND(D$2+$E$2&gt;0,N188-SNAP!P188&gt;0),N188-SNAP!P188,0)</f>
        <v>0</v>
      </c>
      <c r="S188" s="20">
        <f t="shared" si="39"/>
        <v>6205.6666666666661</v>
      </c>
      <c r="T188" s="20">
        <f t="shared" si="33"/>
        <v>1861.6999999999998</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400</v>
      </c>
      <c r="G189" s="20">
        <f t="shared" si="34"/>
        <v>8025</v>
      </c>
      <c r="H189" s="20" t="str">
        <f t="shared" si="28"/>
        <v>No</v>
      </c>
      <c r="I189" s="20">
        <f t="shared" si="29"/>
        <v>1525</v>
      </c>
      <c r="J189" s="20">
        <f t="shared" si="30"/>
        <v>261</v>
      </c>
      <c r="K189" s="20">
        <f t="shared" si="31"/>
        <v>6239</v>
      </c>
      <c r="L189" s="20">
        <f t="shared" si="35"/>
        <v>500</v>
      </c>
      <c r="M189" s="20">
        <f>'Total income package'!$B$69</f>
        <v>500</v>
      </c>
      <c r="N189" s="20">
        <f t="shared" si="36"/>
        <v>1000</v>
      </c>
      <c r="O189" s="344" t="str">
        <f t="shared" si="37"/>
        <v>No</v>
      </c>
      <c r="P189" s="20">
        <f t="shared" si="38"/>
        <v>3119.5</v>
      </c>
      <c r="Q189" s="346">
        <f t="shared" si="32"/>
        <v>0</v>
      </c>
      <c r="R189" s="20">
        <f>IF(AND(D$2+$E$2&gt;0,N189-SNAP!P189&gt;0),N189-SNAP!P189,0)</f>
        <v>0</v>
      </c>
      <c r="S189" s="20">
        <f t="shared" si="39"/>
        <v>6239</v>
      </c>
      <c r="T189" s="20">
        <f t="shared" si="33"/>
        <v>1871.6999999999998</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400</v>
      </c>
      <c r="G190" s="20">
        <f t="shared" si="34"/>
        <v>8066.666666666667</v>
      </c>
      <c r="H190" s="20" t="str">
        <f t="shared" si="28"/>
        <v>No</v>
      </c>
      <c r="I190" s="20">
        <f t="shared" si="29"/>
        <v>1533.3333333333335</v>
      </c>
      <c r="J190" s="20">
        <f t="shared" si="30"/>
        <v>261</v>
      </c>
      <c r="K190" s="20">
        <f t="shared" si="31"/>
        <v>6272.3333333333339</v>
      </c>
      <c r="L190" s="20">
        <f t="shared" si="35"/>
        <v>500</v>
      </c>
      <c r="M190" s="20">
        <f>'Total income package'!$B$69</f>
        <v>500</v>
      </c>
      <c r="N190" s="20">
        <f t="shared" si="36"/>
        <v>1000</v>
      </c>
      <c r="O190" s="344" t="str">
        <f t="shared" si="37"/>
        <v>No</v>
      </c>
      <c r="P190" s="20">
        <f t="shared" si="38"/>
        <v>3136.166666666667</v>
      </c>
      <c r="Q190" s="346">
        <f t="shared" si="32"/>
        <v>0</v>
      </c>
      <c r="R190" s="20">
        <f>IF(AND(D$2+$E$2&gt;0,N190-SNAP!P190&gt;0),N190-SNAP!P190,0)</f>
        <v>0</v>
      </c>
      <c r="S190" s="20">
        <f t="shared" si="39"/>
        <v>6272.3333333333339</v>
      </c>
      <c r="T190" s="20">
        <f t="shared" si="33"/>
        <v>1881.7</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400</v>
      </c>
      <c r="G191" s="20">
        <f t="shared" si="34"/>
        <v>8108.333333333333</v>
      </c>
      <c r="H191" s="20" t="str">
        <f t="shared" si="28"/>
        <v>No</v>
      </c>
      <c r="I191" s="20">
        <f t="shared" si="29"/>
        <v>1541.6666666666667</v>
      </c>
      <c r="J191" s="20">
        <f t="shared" si="30"/>
        <v>261</v>
      </c>
      <c r="K191" s="20">
        <f t="shared" si="31"/>
        <v>6305.6666666666661</v>
      </c>
      <c r="L191" s="20">
        <f t="shared" si="35"/>
        <v>500</v>
      </c>
      <c r="M191" s="20">
        <f>'Total income package'!$B$69</f>
        <v>500</v>
      </c>
      <c r="N191" s="20">
        <f t="shared" si="36"/>
        <v>1000</v>
      </c>
      <c r="O191" s="344" t="str">
        <f t="shared" si="37"/>
        <v>No</v>
      </c>
      <c r="P191" s="20">
        <f t="shared" si="38"/>
        <v>3152.833333333333</v>
      </c>
      <c r="Q191" s="346">
        <f t="shared" si="32"/>
        <v>0</v>
      </c>
      <c r="R191" s="20">
        <f>IF(AND(D$2+$E$2&gt;0,N191-SNAP!P191&gt;0),N191-SNAP!P191,0)</f>
        <v>0</v>
      </c>
      <c r="S191" s="20">
        <f t="shared" si="39"/>
        <v>6305.6666666666661</v>
      </c>
      <c r="T191" s="20">
        <f t="shared" si="33"/>
        <v>1891.6999999999998</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400</v>
      </c>
      <c r="G192" s="20">
        <f t="shared" si="34"/>
        <v>8150</v>
      </c>
      <c r="H192" s="20" t="str">
        <f t="shared" si="28"/>
        <v>No</v>
      </c>
      <c r="I192" s="20">
        <f t="shared" si="29"/>
        <v>1550</v>
      </c>
      <c r="J192" s="20">
        <f t="shared" si="30"/>
        <v>261</v>
      </c>
      <c r="K192" s="20">
        <f t="shared" si="31"/>
        <v>6339</v>
      </c>
      <c r="L192" s="20">
        <f t="shared" si="35"/>
        <v>500</v>
      </c>
      <c r="M192" s="20">
        <f>'Total income package'!$B$69</f>
        <v>500</v>
      </c>
      <c r="N192" s="20">
        <f t="shared" si="36"/>
        <v>1000</v>
      </c>
      <c r="O192" s="344" t="str">
        <f t="shared" si="37"/>
        <v>No</v>
      </c>
      <c r="P192" s="20">
        <f t="shared" si="38"/>
        <v>3169.5</v>
      </c>
      <c r="Q192" s="346">
        <f t="shared" si="32"/>
        <v>0</v>
      </c>
      <c r="R192" s="20">
        <f>IF(AND(D$2+$E$2&gt;0,N192-SNAP!P192&gt;0),N192-SNAP!P192,0)</f>
        <v>0</v>
      </c>
      <c r="S192" s="20">
        <f t="shared" si="39"/>
        <v>6339</v>
      </c>
      <c r="T192" s="20">
        <f t="shared" si="33"/>
        <v>1901.6999999999998</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400</v>
      </c>
      <c r="G193" s="20">
        <f t="shared" si="34"/>
        <v>8191.666666666667</v>
      </c>
      <c r="H193" s="20" t="str">
        <f t="shared" si="28"/>
        <v>No</v>
      </c>
      <c r="I193" s="20">
        <f t="shared" si="29"/>
        <v>1558.3333333333335</v>
      </c>
      <c r="J193" s="20">
        <f t="shared" si="30"/>
        <v>261</v>
      </c>
      <c r="K193" s="20">
        <f t="shared" si="31"/>
        <v>6372.3333333333339</v>
      </c>
      <c r="L193" s="20">
        <f t="shared" si="35"/>
        <v>500</v>
      </c>
      <c r="M193" s="20">
        <f>'Total income package'!$B$69</f>
        <v>500</v>
      </c>
      <c r="N193" s="20">
        <f t="shared" si="36"/>
        <v>1000</v>
      </c>
      <c r="O193" s="344" t="str">
        <f t="shared" si="37"/>
        <v>No</v>
      </c>
      <c r="P193" s="20">
        <f t="shared" si="38"/>
        <v>3186.166666666667</v>
      </c>
      <c r="Q193" s="346">
        <f t="shared" si="32"/>
        <v>0</v>
      </c>
      <c r="R193" s="20">
        <f>IF(AND(D$2+$E$2&gt;0,N193-SNAP!P193&gt;0),N193-SNAP!P193,0)</f>
        <v>0</v>
      </c>
      <c r="S193" s="20">
        <f t="shared" si="39"/>
        <v>6372.3333333333339</v>
      </c>
      <c r="T193" s="20">
        <f t="shared" si="33"/>
        <v>1911.7</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400</v>
      </c>
      <c r="G194" s="20">
        <f t="shared" si="34"/>
        <v>8233.3333333333321</v>
      </c>
      <c r="H194" s="20" t="str">
        <f t="shared" si="28"/>
        <v>No</v>
      </c>
      <c r="I194" s="20">
        <f t="shared" si="29"/>
        <v>1566.6666666666667</v>
      </c>
      <c r="J194" s="20">
        <f t="shared" si="30"/>
        <v>261</v>
      </c>
      <c r="K194" s="20">
        <f t="shared" si="31"/>
        <v>6405.6666666666652</v>
      </c>
      <c r="L194" s="20">
        <f t="shared" si="35"/>
        <v>500</v>
      </c>
      <c r="M194" s="20">
        <f>'Total income package'!$B$69</f>
        <v>500</v>
      </c>
      <c r="N194" s="20">
        <f t="shared" si="36"/>
        <v>1000</v>
      </c>
      <c r="O194" s="344" t="str">
        <f t="shared" si="37"/>
        <v>No</v>
      </c>
      <c r="P194" s="20">
        <f t="shared" si="38"/>
        <v>3202.8333333333326</v>
      </c>
      <c r="Q194" s="346">
        <f t="shared" si="32"/>
        <v>0</v>
      </c>
      <c r="R194" s="20">
        <f>IF(AND(D$2+$E$2&gt;0,N194-SNAP!P194&gt;0),N194-SNAP!P194,0)</f>
        <v>0</v>
      </c>
      <c r="S194" s="20">
        <f t="shared" si="39"/>
        <v>6405.6666666666652</v>
      </c>
      <c r="T194" s="20">
        <f t="shared" si="33"/>
        <v>1921.6999999999994</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400</v>
      </c>
      <c r="G195" s="20">
        <f t="shared" si="34"/>
        <v>8275</v>
      </c>
      <c r="H195" s="20" t="str">
        <f t="shared" si="28"/>
        <v>No</v>
      </c>
      <c r="I195" s="20">
        <f t="shared" si="29"/>
        <v>1575</v>
      </c>
      <c r="J195" s="20">
        <f t="shared" si="30"/>
        <v>261</v>
      </c>
      <c r="K195" s="20">
        <f t="shared" si="31"/>
        <v>6439</v>
      </c>
      <c r="L195" s="20">
        <f t="shared" si="35"/>
        <v>500</v>
      </c>
      <c r="M195" s="20">
        <f>'Total income package'!$B$69</f>
        <v>500</v>
      </c>
      <c r="N195" s="20">
        <f t="shared" si="36"/>
        <v>1000</v>
      </c>
      <c r="O195" s="344" t="str">
        <f t="shared" si="37"/>
        <v>No</v>
      </c>
      <c r="P195" s="20">
        <f t="shared" si="38"/>
        <v>3219.5</v>
      </c>
      <c r="Q195" s="346">
        <f t="shared" si="32"/>
        <v>0</v>
      </c>
      <c r="R195" s="20">
        <f>IF(AND(D$2+$E$2&gt;0,N195-SNAP!P195&gt;0),N195-SNAP!P195,0)</f>
        <v>0</v>
      </c>
      <c r="S195" s="20">
        <f t="shared" si="39"/>
        <v>6439</v>
      </c>
      <c r="T195" s="20">
        <f t="shared" si="33"/>
        <v>1931.6999999999998</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400</v>
      </c>
      <c r="G196" s="20">
        <f t="shared" si="34"/>
        <v>8316.6666666666679</v>
      </c>
      <c r="H196" s="20" t="str">
        <f t="shared" si="28"/>
        <v>No</v>
      </c>
      <c r="I196" s="20">
        <f t="shared" si="29"/>
        <v>1583.3333333333335</v>
      </c>
      <c r="J196" s="20">
        <f t="shared" si="30"/>
        <v>261</v>
      </c>
      <c r="K196" s="20">
        <f t="shared" si="31"/>
        <v>6472.3333333333339</v>
      </c>
      <c r="L196" s="20">
        <f t="shared" si="35"/>
        <v>500</v>
      </c>
      <c r="M196" s="20">
        <f>'Total income package'!$B$69</f>
        <v>500</v>
      </c>
      <c r="N196" s="20">
        <f t="shared" si="36"/>
        <v>1000</v>
      </c>
      <c r="O196" s="344" t="str">
        <f t="shared" si="37"/>
        <v>No</v>
      </c>
      <c r="P196" s="20">
        <f t="shared" si="38"/>
        <v>3236.166666666667</v>
      </c>
      <c r="Q196" s="346">
        <f t="shared" si="32"/>
        <v>0</v>
      </c>
      <c r="R196" s="20">
        <f>IF(AND(D$2+$E$2&gt;0,N196-SNAP!P196&gt;0),N196-SNAP!P196,0)</f>
        <v>0</v>
      </c>
      <c r="S196" s="20">
        <f t="shared" si="39"/>
        <v>6472.3333333333339</v>
      </c>
      <c r="T196" s="20">
        <f t="shared" si="33"/>
        <v>1941.7</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400</v>
      </c>
      <c r="G197" s="20">
        <f t="shared" si="34"/>
        <v>8358.3333333333321</v>
      </c>
      <c r="H197" s="20" t="str">
        <f t="shared" si="28"/>
        <v>No</v>
      </c>
      <c r="I197" s="20">
        <f t="shared" si="29"/>
        <v>1591.6666666666667</v>
      </c>
      <c r="J197" s="20">
        <f t="shared" si="30"/>
        <v>261</v>
      </c>
      <c r="K197" s="20">
        <f t="shared" si="31"/>
        <v>6505.6666666666652</v>
      </c>
      <c r="L197" s="20">
        <f t="shared" si="35"/>
        <v>500</v>
      </c>
      <c r="M197" s="20">
        <f>'Total income package'!$B$69</f>
        <v>500</v>
      </c>
      <c r="N197" s="20">
        <f t="shared" si="36"/>
        <v>1000</v>
      </c>
      <c r="O197" s="344" t="str">
        <f t="shared" si="37"/>
        <v>No</v>
      </c>
      <c r="P197" s="20">
        <f t="shared" si="38"/>
        <v>3252.8333333333326</v>
      </c>
      <c r="Q197" s="346">
        <f t="shared" si="32"/>
        <v>0</v>
      </c>
      <c r="R197" s="20">
        <f>IF(AND(D$2+$E$2&gt;0,N197-SNAP!P197&gt;0),N197-SNAP!P197,0)</f>
        <v>0</v>
      </c>
      <c r="S197" s="20">
        <f t="shared" si="39"/>
        <v>6505.6666666666652</v>
      </c>
      <c r="T197" s="20">
        <f t="shared" si="33"/>
        <v>1951.6999999999994</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400</v>
      </c>
      <c r="G198" s="20">
        <f t="shared" si="34"/>
        <v>8400</v>
      </c>
      <c r="H198" s="20" t="str">
        <f t="shared" ref="H198:H206" si="42">IF(G198&lt;$G$2,"Yes","No")</f>
        <v>No</v>
      </c>
      <c r="I198" s="20">
        <f t="shared" ref="I198:I206" si="43">D198*0.2</f>
        <v>1600</v>
      </c>
      <c r="J198" s="20">
        <f t="shared" ref="J198:J206" si="44">$H$2</f>
        <v>261</v>
      </c>
      <c r="K198" s="20">
        <f t="shared" ref="K198:K206" si="45">IF(G198-I198-J198&gt;0,G198-I198-J198,0)</f>
        <v>6539</v>
      </c>
      <c r="L198" s="20">
        <f t="shared" si="35"/>
        <v>500</v>
      </c>
      <c r="M198" s="20">
        <f>'Total income package'!$B$69</f>
        <v>500</v>
      </c>
      <c r="N198" s="20">
        <f t="shared" si="36"/>
        <v>1000</v>
      </c>
      <c r="O198" s="344" t="str">
        <f t="shared" si="37"/>
        <v>No</v>
      </c>
      <c r="P198" s="20">
        <f t="shared" si="38"/>
        <v>3269.5</v>
      </c>
      <c r="Q198" s="346">
        <f t="shared" ref="Q198:Q206" si="46">IF(AND(D$2+$E$2=0,N198&lt;$L$2,N198-P198&gt;0),N198-P198,IF(AND(D$2+$E$2=0,N198&gt;$L$2),$L$2,0))</f>
        <v>0</v>
      </c>
      <c r="R198" s="20">
        <f>IF(AND(D$2+$E$2&gt;0,N198-SNAP!P198&gt;0),N198-SNAP!P198,0)</f>
        <v>0</v>
      </c>
      <c r="S198" s="20">
        <f t="shared" si="39"/>
        <v>6539</v>
      </c>
      <c r="T198" s="20">
        <f t="shared" ref="T198:T206" si="47">S198*0.3</f>
        <v>1961.6999999999998</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400</v>
      </c>
      <c r="G199" s="20">
        <f t="shared" ref="G199:G206" si="48">D199+C199+E199+F199</f>
        <v>8441.6666666666679</v>
      </c>
      <c r="H199" s="20" t="str">
        <f t="shared" si="42"/>
        <v>No</v>
      </c>
      <c r="I199" s="20">
        <f t="shared" si="43"/>
        <v>1608.3333333333335</v>
      </c>
      <c r="J199" s="20">
        <f t="shared" si="44"/>
        <v>261</v>
      </c>
      <c r="K199" s="20">
        <f t="shared" si="45"/>
        <v>6572.3333333333339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3286.166666666667</v>
      </c>
      <c r="Q199" s="346">
        <f t="shared" si="46"/>
        <v>0</v>
      </c>
      <c r="R199" s="20">
        <f>IF(AND(D$2+$E$2&gt;0,N199-SNAP!P199&gt;0),N199-SNAP!P199,0)</f>
        <v>0</v>
      </c>
      <c r="S199" s="20">
        <f t="shared" ref="S199:S206" si="53">IF(AND($D$2+$E$2&gt;0,K199-R199&gt;0),K199-R199,IF(AND($D$2+$E$2=0,K199-Q199&gt;0),K199-Q199,0))</f>
        <v>6572.3333333333339</v>
      </c>
      <c r="T199" s="20">
        <f t="shared" si="47"/>
        <v>1971.7</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400</v>
      </c>
      <c r="G200" s="20">
        <f t="shared" si="48"/>
        <v>8483.3333333333321</v>
      </c>
      <c r="H200" s="20" t="str">
        <f t="shared" si="42"/>
        <v>No</v>
      </c>
      <c r="I200" s="20">
        <f t="shared" si="43"/>
        <v>1616.6666666666667</v>
      </c>
      <c r="J200" s="20">
        <f t="shared" si="44"/>
        <v>261</v>
      </c>
      <c r="K200" s="20">
        <f t="shared" si="45"/>
        <v>6605.6666666666652</v>
      </c>
      <c r="L200" s="20">
        <f t="shared" si="49"/>
        <v>500</v>
      </c>
      <c r="M200" s="20">
        <f>'Total income package'!$B$69</f>
        <v>500</v>
      </c>
      <c r="N200" s="20">
        <f t="shared" si="50"/>
        <v>1000</v>
      </c>
      <c r="O200" s="344" t="str">
        <f t="shared" si="51"/>
        <v>No</v>
      </c>
      <c r="P200" s="20">
        <f t="shared" si="52"/>
        <v>3302.8333333333326</v>
      </c>
      <c r="Q200" s="346">
        <f t="shared" si="46"/>
        <v>0</v>
      </c>
      <c r="R200" s="20">
        <f>IF(AND(D$2+$E$2&gt;0,N200-SNAP!P200&gt;0),N200-SNAP!P200,0)</f>
        <v>0</v>
      </c>
      <c r="S200" s="20">
        <f t="shared" si="53"/>
        <v>6605.6666666666652</v>
      </c>
      <c r="T200" s="20">
        <f t="shared" si="47"/>
        <v>1981.6999999999994</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400</v>
      </c>
      <c r="G201" s="20">
        <f t="shared" si="48"/>
        <v>8525</v>
      </c>
      <c r="H201" s="20" t="str">
        <f t="shared" si="42"/>
        <v>No</v>
      </c>
      <c r="I201" s="20">
        <f t="shared" si="43"/>
        <v>1625</v>
      </c>
      <c r="J201" s="20">
        <f t="shared" si="44"/>
        <v>261</v>
      </c>
      <c r="K201" s="20">
        <f t="shared" si="45"/>
        <v>6639</v>
      </c>
      <c r="L201" s="20">
        <f t="shared" si="49"/>
        <v>500</v>
      </c>
      <c r="M201" s="20">
        <f>'Total income package'!$B$69</f>
        <v>500</v>
      </c>
      <c r="N201" s="20">
        <f t="shared" si="50"/>
        <v>1000</v>
      </c>
      <c r="O201" s="344" t="str">
        <f t="shared" si="51"/>
        <v>No</v>
      </c>
      <c r="P201" s="20">
        <f t="shared" si="52"/>
        <v>3319.5</v>
      </c>
      <c r="Q201" s="346">
        <f t="shared" si="46"/>
        <v>0</v>
      </c>
      <c r="R201" s="20">
        <f>IF(AND(D$2+$E$2&gt;0,N201-SNAP!P201&gt;0),N201-SNAP!P201,0)</f>
        <v>0</v>
      </c>
      <c r="S201" s="20">
        <f t="shared" si="53"/>
        <v>6639</v>
      </c>
      <c r="T201" s="20">
        <f t="shared" si="47"/>
        <v>1991.6999999999998</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400</v>
      </c>
      <c r="G202" s="20">
        <f t="shared" si="48"/>
        <v>8566.6666666666679</v>
      </c>
      <c r="H202" s="20" t="str">
        <f t="shared" si="42"/>
        <v>No</v>
      </c>
      <c r="I202" s="20">
        <f t="shared" si="43"/>
        <v>1633.3333333333335</v>
      </c>
      <c r="J202" s="20">
        <f t="shared" si="44"/>
        <v>261</v>
      </c>
      <c r="K202" s="20">
        <f t="shared" si="45"/>
        <v>6672.3333333333339</v>
      </c>
      <c r="L202" s="20">
        <f t="shared" si="49"/>
        <v>500</v>
      </c>
      <c r="M202" s="20">
        <f>'Total income package'!$B$69</f>
        <v>500</v>
      </c>
      <c r="N202" s="20">
        <f t="shared" si="50"/>
        <v>1000</v>
      </c>
      <c r="O202" s="344" t="str">
        <f t="shared" si="51"/>
        <v>No</v>
      </c>
      <c r="P202" s="20">
        <f t="shared" si="52"/>
        <v>3336.166666666667</v>
      </c>
      <c r="Q202" s="346">
        <f t="shared" si="46"/>
        <v>0</v>
      </c>
      <c r="R202" s="20">
        <f>IF(AND(D$2+$E$2&gt;0,N202-SNAP!P202&gt;0),N202-SNAP!P202,0)</f>
        <v>0</v>
      </c>
      <c r="S202" s="20">
        <f t="shared" si="53"/>
        <v>6672.3333333333339</v>
      </c>
      <c r="T202" s="20">
        <f t="shared" si="47"/>
        <v>2001.7</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400</v>
      </c>
      <c r="G203" s="20">
        <f t="shared" si="48"/>
        <v>8608.3333333333339</v>
      </c>
      <c r="H203" s="20" t="str">
        <f t="shared" si="42"/>
        <v>No</v>
      </c>
      <c r="I203" s="20">
        <f t="shared" si="43"/>
        <v>1641.666666666667</v>
      </c>
      <c r="J203" s="20">
        <f t="shared" si="44"/>
        <v>261</v>
      </c>
      <c r="K203" s="20">
        <f t="shared" si="45"/>
        <v>6705.666666666667</v>
      </c>
      <c r="L203" s="20">
        <f t="shared" si="49"/>
        <v>500</v>
      </c>
      <c r="M203" s="20">
        <f>'Total income package'!$B$69</f>
        <v>500</v>
      </c>
      <c r="N203" s="20">
        <f t="shared" si="50"/>
        <v>1000</v>
      </c>
      <c r="O203" s="344" t="str">
        <f t="shared" si="51"/>
        <v>No</v>
      </c>
      <c r="P203" s="20">
        <f t="shared" si="52"/>
        <v>3352.8333333333335</v>
      </c>
      <c r="Q203" s="346">
        <f t="shared" si="46"/>
        <v>0</v>
      </c>
      <c r="R203" s="20">
        <f>IF(AND(D$2+$E$2&gt;0,N203-SNAP!P203&gt;0),N203-SNAP!P203,0)</f>
        <v>0</v>
      </c>
      <c r="S203" s="20">
        <f t="shared" si="53"/>
        <v>6705.666666666667</v>
      </c>
      <c r="T203" s="20">
        <f t="shared" si="47"/>
        <v>2011.7</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400</v>
      </c>
      <c r="G204" s="20">
        <f t="shared" si="48"/>
        <v>8650</v>
      </c>
      <c r="H204" s="20" t="str">
        <f t="shared" si="42"/>
        <v>No</v>
      </c>
      <c r="I204" s="20">
        <f t="shared" si="43"/>
        <v>1650</v>
      </c>
      <c r="J204" s="20">
        <f t="shared" si="44"/>
        <v>261</v>
      </c>
      <c r="K204" s="20">
        <f t="shared" si="45"/>
        <v>6739</v>
      </c>
      <c r="L204" s="20">
        <f t="shared" si="49"/>
        <v>500</v>
      </c>
      <c r="M204" s="20">
        <f>'Total income package'!$B$69</f>
        <v>500</v>
      </c>
      <c r="N204" s="20">
        <f t="shared" si="50"/>
        <v>1000</v>
      </c>
      <c r="O204" s="344" t="str">
        <f t="shared" si="51"/>
        <v>No</v>
      </c>
      <c r="P204" s="20">
        <f t="shared" si="52"/>
        <v>3369.5</v>
      </c>
      <c r="Q204" s="346">
        <f t="shared" si="46"/>
        <v>0</v>
      </c>
      <c r="R204" s="20">
        <f>IF(AND(D$2+$E$2&gt;0,N204-SNAP!P204&gt;0),N204-SNAP!P204,0)</f>
        <v>0</v>
      </c>
      <c r="S204" s="20">
        <f t="shared" si="53"/>
        <v>6739</v>
      </c>
      <c r="T204" s="20">
        <f t="shared" si="47"/>
        <v>2021.6999999999998</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400</v>
      </c>
      <c r="G205" s="20">
        <f t="shared" si="48"/>
        <v>8691.6666666666661</v>
      </c>
      <c r="H205" s="20" t="str">
        <f t="shared" si="42"/>
        <v>No</v>
      </c>
      <c r="I205" s="20">
        <f t="shared" si="43"/>
        <v>1658.3333333333333</v>
      </c>
      <c r="J205" s="20">
        <f t="shared" si="44"/>
        <v>261</v>
      </c>
      <c r="K205" s="20">
        <f t="shared" si="45"/>
        <v>6772.333333333333</v>
      </c>
      <c r="L205" s="20">
        <f t="shared" si="49"/>
        <v>500</v>
      </c>
      <c r="M205" s="20">
        <f>'Total income package'!$B$69</f>
        <v>500</v>
      </c>
      <c r="N205" s="20">
        <f t="shared" si="50"/>
        <v>1000</v>
      </c>
      <c r="O205" s="344" t="str">
        <f t="shared" si="51"/>
        <v>No</v>
      </c>
      <c r="P205" s="20">
        <f t="shared" si="52"/>
        <v>3386.1666666666665</v>
      </c>
      <c r="Q205" s="346">
        <f t="shared" si="46"/>
        <v>0</v>
      </c>
      <c r="R205" s="20">
        <f>IF(AND(D$2+$E$2&gt;0,N205-SNAP!P205&gt;0),N205-SNAP!P205,0)</f>
        <v>0</v>
      </c>
      <c r="S205" s="20">
        <f t="shared" si="53"/>
        <v>6772.333333333333</v>
      </c>
      <c r="T205" s="20">
        <f t="shared" si="47"/>
        <v>2031.6999999999998</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400</v>
      </c>
      <c r="G206" s="20">
        <f t="shared" si="48"/>
        <v>8733.3333333333339</v>
      </c>
      <c r="H206" s="20" t="str">
        <f t="shared" si="42"/>
        <v>No</v>
      </c>
      <c r="I206" s="20">
        <f t="shared" si="43"/>
        <v>1666.666666666667</v>
      </c>
      <c r="J206" s="20">
        <f t="shared" si="44"/>
        <v>261</v>
      </c>
      <c r="K206" s="20">
        <f t="shared" si="45"/>
        <v>6805.666666666667</v>
      </c>
      <c r="L206" s="20">
        <f t="shared" si="49"/>
        <v>500</v>
      </c>
      <c r="M206" s="20">
        <f>'Total income package'!$B$69</f>
        <v>500</v>
      </c>
      <c r="N206" s="20">
        <f t="shared" si="50"/>
        <v>1000</v>
      </c>
      <c r="O206" s="344" t="str">
        <f t="shared" si="51"/>
        <v>No</v>
      </c>
      <c r="P206" s="20">
        <f t="shared" si="52"/>
        <v>3402.8333333333335</v>
      </c>
      <c r="Q206" s="346">
        <f t="shared" si="46"/>
        <v>0</v>
      </c>
      <c r="R206" s="20">
        <f>IF(AND(D$2+$E$2&gt;0,N206-SNAP!P206&gt;0),N206-SNAP!P206,0)</f>
        <v>0</v>
      </c>
      <c r="S206" s="20">
        <f t="shared" si="53"/>
        <v>6805.666666666667</v>
      </c>
      <c r="T206" s="20">
        <f t="shared" si="47"/>
        <v>2041.7</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1500</v>
      </c>
      <c r="E209" s="20">
        <f>'Total income package'!$D$80+'Total income package'!$D$86</f>
        <v>900</v>
      </c>
      <c r="F209" s="20">
        <f>'Total income package'!$H$61+'Total income package'!$F$66</f>
        <v>400</v>
      </c>
      <c r="G209" s="20">
        <f>D209+C209+E209+F209</f>
        <v>2800</v>
      </c>
      <c r="H209" s="20" t="str">
        <f>IF(G209&lt;$G$2,"Yes","No")</f>
        <v>Yes</v>
      </c>
      <c r="I209" s="20">
        <f>D209*0.2</f>
        <v>300</v>
      </c>
      <c r="J209" s="20">
        <f>$H$2</f>
        <v>261</v>
      </c>
      <c r="K209" s="20">
        <f>IF(G209-I209-J209&gt;0,G209-I209-J209,0)</f>
        <v>2239</v>
      </c>
      <c r="L209" s="20">
        <f t="shared" si="49"/>
        <v>500</v>
      </c>
      <c r="M209" s="20">
        <f>'Total income package'!$B$69</f>
        <v>500</v>
      </c>
      <c r="N209" s="20">
        <f t="shared" si="50"/>
        <v>1000</v>
      </c>
      <c r="O209" s="344" t="str">
        <f t="shared" ref="O209:O211" si="56">IF(AND($D$2+$E$2&gt;0,K209&lt;$J$2),"Yes","No")</f>
        <v>Yes</v>
      </c>
      <c r="P209" s="20">
        <f>K209/2</f>
        <v>1119.5</v>
      </c>
      <c r="Q209" s="346">
        <f>IF(AND(D$2+$E$2=0,N209&lt;$L$2,N209-P209&gt;0),N209-P209,IF(AND(D$2+$E$2=0,N209&gt;$L$2),$L$2,0))</f>
        <v>0</v>
      </c>
      <c r="R209" s="20">
        <f>IF(AND(D$2+$E$2&gt;0,N209-SNAP!P209&gt;0),N209-SNAP!P209,0)</f>
        <v>0</v>
      </c>
      <c r="S209" s="20">
        <f>IF(AND($D$2+$E$2&gt;0,K209-R209&gt;0),K209-R209,IF(AND($D$2+$E$2=0,K209-Q209&gt;0),K209-Q209,0))</f>
        <v>2239</v>
      </c>
      <c r="T209" s="20">
        <f>S209*0.3</f>
        <v>671.69999999999993</v>
      </c>
      <c r="U209" s="20">
        <f>IF(AND('Total income package'!$A$18=TRUE,OR(H209="Yes",O209="Yes"),G209&lt;$G$2,$K$2-T209&gt;10),ROUNDDOWN($K$2-T209,0),0)</f>
        <v>511</v>
      </c>
      <c r="V209" s="176">
        <f t="shared" si="54"/>
        <v>511</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1500</v>
      </c>
      <c r="E211" s="20">
        <f>'Total income package'!$D$80+'Total income package'!$D$86</f>
        <v>900</v>
      </c>
      <c r="F211" s="20">
        <f>'Total income package'!$H$61+'Total income package'!$F$66</f>
        <v>400</v>
      </c>
      <c r="G211" s="20">
        <f t="shared" ref="G211" si="57">D211+C211+E211+F211</f>
        <v>2800</v>
      </c>
      <c r="H211" s="20" t="str">
        <f>IF(G211&lt;$G$2,"Yes","No")</f>
        <v>Yes</v>
      </c>
      <c r="I211" s="20">
        <f>D211*0.2</f>
        <v>300</v>
      </c>
      <c r="J211" s="20">
        <f>$H$2</f>
        <v>261</v>
      </c>
      <c r="K211" s="20">
        <f>IF(G211-I211-J211&gt;0,G211-I211-J211,0)</f>
        <v>2239</v>
      </c>
      <c r="L211" s="20">
        <f t="shared" si="49"/>
        <v>500</v>
      </c>
      <c r="M211" s="20">
        <f>'Total income package'!$B$69</f>
        <v>500</v>
      </c>
      <c r="N211" s="20">
        <f t="shared" si="50"/>
        <v>1000</v>
      </c>
      <c r="O211" s="344" t="str">
        <f t="shared" si="56"/>
        <v>Yes</v>
      </c>
      <c r="P211" s="20">
        <f t="shared" ref="P211" si="58">K211/2</f>
        <v>1119.5</v>
      </c>
      <c r="Q211" s="346">
        <f>IF(AND(D$2+$E$2=0,N211&lt;$L$2,N211-P211&gt;0),N211-P211,IF(AND(D$2+$E$2=0,N211&gt;$L$2),$L$2,0))</f>
        <v>0</v>
      </c>
      <c r="R211" s="20">
        <f>IF(AND(D$2+$E$2&gt;0,N211-SNAP!P211&gt;0),N211-SNAP!P211,0)</f>
        <v>0</v>
      </c>
      <c r="S211" s="20">
        <f t="shared" ref="S211" si="59">IF(AND($D$2+$E$2&gt;0,K211-R211&gt;0),K211-R211,IF(AND($D$2+$E$2=0,K211-Q211&gt;0),K211-Q211,0))</f>
        <v>2239</v>
      </c>
      <c r="T211" s="20">
        <f t="shared" ref="T211" si="60">S211*0.3</f>
        <v>671.69999999999993</v>
      </c>
      <c r="U211" s="20">
        <f>IF(AND('Total income package'!$A$18=TRUE,OR(H211="Yes",O211="Yes"),G211&lt;$G$2,$K$2-T211&gt;10),ROUNDDOWN($K$2-T211,0),0)</f>
        <v>511</v>
      </c>
      <c r="V211" s="176">
        <f t="shared" si="54"/>
        <v>511</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5</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1500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1500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5</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1500</v>
      </c>
      <c r="C209" s="3">
        <f>'Total income package'!$D$80</f>
        <v>0</v>
      </c>
      <c r="D209" s="7">
        <f t="shared" ref="D209:D211" si="24">B209+C209</f>
        <v>1500</v>
      </c>
      <c r="E209" s="7">
        <f t="shared" ref="E209:E211" si="25">D209-20</f>
        <v>1480</v>
      </c>
      <c r="F209" s="7">
        <f>IF(B209-65&lt;0,0,B209-65)</f>
        <v>1435</v>
      </c>
      <c r="G209" s="7">
        <f t="shared" ref="G209:G211" si="26">IF(F209/2&lt;0,0,F209/2)</f>
        <v>717.5</v>
      </c>
      <c r="H209" s="7">
        <f t="shared" ref="H209:H211" si="27">G209+C209</f>
        <v>717.5</v>
      </c>
      <c r="I209" s="7"/>
    </row>
    <row r="210" spans="1:9" x14ac:dyDescent="0.25">
      <c r="A210" s="116" t="s">
        <v>303</v>
      </c>
      <c r="B210" s="150"/>
      <c r="C210" s="3"/>
      <c r="D210" s="7"/>
      <c r="E210" s="7"/>
      <c r="F210" s="7"/>
      <c r="G210" s="7"/>
      <c r="H210" s="7"/>
      <c r="I210" s="7"/>
    </row>
    <row r="211" spans="1:9" x14ac:dyDescent="0.25">
      <c r="A211" s="7"/>
      <c r="B211" s="150">
        <f>'Total income package'!$B$91</f>
        <v>1500</v>
      </c>
      <c r="C211" s="3">
        <f>'Total income package'!$D$80</f>
        <v>0</v>
      </c>
      <c r="D211" s="7">
        <f t="shared" si="24"/>
        <v>1500</v>
      </c>
      <c r="E211" s="7">
        <f t="shared" si="25"/>
        <v>1480</v>
      </c>
      <c r="F211" s="7">
        <f>IF(B211-65&lt;0,0,B211-65)</f>
        <v>1435</v>
      </c>
      <c r="G211" s="7">
        <f t="shared" si="26"/>
        <v>717.5</v>
      </c>
      <c r="H211" s="7">
        <f t="shared" si="27"/>
        <v>717.5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5</v>
      </c>
      <c r="C2" s="148">
        <f>'Total income package'!D66</f>
        <v>0</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3</v>
      </c>
      <c r="C4" s="148">
        <f>(COUNTIF('Total income package'!E37:E44,"Yes"))</f>
        <v>1</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1</v>
      </c>
      <c r="E6" s="457">
        <f>B6-C2</f>
        <v>2</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1500</v>
      </c>
      <c r="C212" s="63">
        <f>'Total income package'!$D$80</f>
        <v>0</v>
      </c>
      <c r="D212" s="63">
        <f t="shared" ref="D212:D214" si="64">B212+C212</f>
        <v>1500</v>
      </c>
      <c r="E212" s="14" t="str">
        <f t="shared" ref="E212:E214" si="65">IF(D212&lt;=$F$2,"Yes","No")</f>
        <v>No</v>
      </c>
      <c r="F212" s="63">
        <f>IF(B212-$D$2&gt;0,B212-$D$2,0)</f>
        <v>1291</v>
      </c>
      <c r="G212" s="63">
        <f>F212*0.2</f>
        <v>258.2</v>
      </c>
      <c r="H212" s="63">
        <f t="shared" ref="H212:H214" si="66">F212-G212</f>
        <v>1032.8</v>
      </c>
      <c r="I212" s="312">
        <f t="shared" ref="I212:I214" si="67">C212+H212</f>
        <v>1032.8</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1514.8</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1500</v>
      </c>
      <c r="C214" s="63">
        <f>'Total income package'!$D$80</f>
        <v>0</v>
      </c>
      <c r="D214" s="63">
        <f t="shared" si="64"/>
        <v>1500</v>
      </c>
      <c r="E214" s="14" t="str">
        <f t="shared" si="65"/>
        <v>No</v>
      </c>
      <c r="F214" s="63">
        <f>IF(B214-$D$2&gt;0,B214-$D$2,0)</f>
        <v>1291</v>
      </c>
      <c r="G214" s="63">
        <f>F214*0.2</f>
        <v>258.2</v>
      </c>
      <c r="H214" s="63">
        <f t="shared" si="66"/>
        <v>1032.8</v>
      </c>
      <c r="I214" s="312">
        <f t="shared" si="67"/>
        <v>1032.8</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1514.8</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5</v>
      </c>
      <c r="C2" s="77">
        <f>COUNTIF('Total income package'!$B$48:$B$54,"Infant")</f>
        <v>1</v>
      </c>
      <c r="D2" s="77">
        <f>COUNTIF('Total income package'!$B$48:$B$54,"Toddler")</f>
        <v>0</v>
      </c>
      <c r="E2" s="77">
        <f>COUNTIF('Total income package'!$B$48:$B$54,"Two year old")</f>
        <v>0</v>
      </c>
      <c r="F2" s="77">
        <f>COUNTIF('Total income package'!$B$48:$B$54,"Preschool")</f>
        <v>1</v>
      </c>
      <c r="G2" s="77">
        <f>SUM(C2:F2)</f>
        <v>2</v>
      </c>
      <c r="H2" s="78">
        <f>'Total income package'!H61+'Total income package'!F66+'Total income package'!D80</f>
        <v>400</v>
      </c>
      <c r="I2" s="151">
        <f>VLOOKUP(B2,'Program specific data'!A109:B116,2)</f>
        <v>5805</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400</v>
      </c>
      <c r="D8" s="20">
        <f>MAX('TANF-VIEW'!L9,'TANF-VIEW'!T9)</f>
        <v>482</v>
      </c>
      <c r="E8" s="20">
        <f>B8+C8+D8</f>
        <v>882</v>
      </c>
      <c r="F8" s="178">
        <f>IF(AND('Total income package'!$A$24=TRUE,E8&lt;$I$2),'Program specific data'!$B$119*WIC!$G$2,0)</f>
        <v>73.52</v>
      </c>
    </row>
    <row r="9" spans="1:17" x14ac:dyDescent="0.25">
      <c r="A9" s="19">
        <v>500</v>
      </c>
      <c r="B9" s="20">
        <f t="shared" si="0"/>
        <v>41.666666666666664</v>
      </c>
      <c r="C9" s="20">
        <f>$H$2</f>
        <v>400</v>
      </c>
      <c r="D9" s="20">
        <f>MAX('TANF-VIEW'!L10,'TANF-VIEW'!T10)</f>
        <v>482</v>
      </c>
      <c r="E9" s="20">
        <f t="shared" ref="E9:E72" si="1">B9+C9+D9</f>
        <v>923.66666666666674</v>
      </c>
      <c r="F9" s="178">
        <f>IF(AND('Total income package'!$A$24=TRUE,E9&lt;$I$2),'Program specific data'!$B$119*WIC!$G$2,0)</f>
        <v>73.52</v>
      </c>
    </row>
    <row r="10" spans="1:17" x14ac:dyDescent="0.25">
      <c r="A10" s="19">
        <v>1000</v>
      </c>
      <c r="B10" s="20">
        <f t="shared" si="0"/>
        <v>83.333333333333329</v>
      </c>
      <c r="C10" s="20">
        <f t="shared" ref="C10:C72" si="2">$H$2</f>
        <v>400</v>
      </c>
      <c r="D10" s="20">
        <f>MAX('TANF-VIEW'!L11,'TANF-VIEW'!T11)</f>
        <v>482</v>
      </c>
      <c r="E10" s="20">
        <f t="shared" si="1"/>
        <v>965.33333333333326</v>
      </c>
      <c r="F10" s="178">
        <f>IF(AND('Total income package'!$A$24=TRUE,E10&lt;$I$2),'Program specific data'!$B$119*WIC!$G$2,0)</f>
        <v>73.52</v>
      </c>
    </row>
    <row r="11" spans="1:17" x14ac:dyDescent="0.25">
      <c r="A11" s="19">
        <v>1500</v>
      </c>
      <c r="B11" s="20">
        <f t="shared" si="0"/>
        <v>125</v>
      </c>
      <c r="C11" s="20">
        <f t="shared" si="2"/>
        <v>400</v>
      </c>
      <c r="D11" s="20">
        <f>MAX('TANF-VIEW'!L12,'TANF-VIEW'!T12)</f>
        <v>482</v>
      </c>
      <c r="E11" s="20">
        <f t="shared" si="1"/>
        <v>1007</v>
      </c>
      <c r="F11" s="178">
        <f>IF(AND('Total income package'!$A$24=TRUE,E11&lt;$I$2),'Program specific data'!$B$119*WIC!$G$2,0)</f>
        <v>73.52</v>
      </c>
    </row>
    <row r="12" spans="1:17" x14ac:dyDescent="0.25">
      <c r="A12" s="19">
        <v>2000</v>
      </c>
      <c r="B12" s="20">
        <f t="shared" si="0"/>
        <v>166.66666666666666</v>
      </c>
      <c r="C12" s="20">
        <f t="shared" si="2"/>
        <v>400</v>
      </c>
      <c r="D12" s="20">
        <f>MAX('TANF-VIEW'!L13,'TANF-VIEW'!T13)</f>
        <v>482</v>
      </c>
      <c r="E12" s="20">
        <f t="shared" si="1"/>
        <v>1048.6666666666665</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400</v>
      </c>
      <c r="D13" s="20">
        <f>MAX('TANF-VIEW'!L14,'TANF-VIEW'!T14)</f>
        <v>482</v>
      </c>
      <c r="E13" s="20">
        <f t="shared" si="1"/>
        <v>1090.3333333333335</v>
      </c>
      <c r="F13" s="178">
        <f>IF(AND('Total income package'!$A$24=TRUE,E13&lt;$I$2),'Program specific data'!$B$119*WIC!$G$2,0)</f>
        <v>73.52</v>
      </c>
      <c r="L13" s="17"/>
      <c r="Q13" s="7"/>
    </row>
    <row r="14" spans="1:17" x14ac:dyDescent="0.25">
      <c r="A14" s="19">
        <v>3000</v>
      </c>
      <c r="B14" s="20">
        <f t="shared" si="0"/>
        <v>250</v>
      </c>
      <c r="C14" s="20">
        <f t="shared" si="2"/>
        <v>400</v>
      </c>
      <c r="D14" s="20">
        <f>MAX('TANF-VIEW'!L15,'TANF-VIEW'!T15)</f>
        <v>449.2</v>
      </c>
      <c r="E14" s="20">
        <f t="shared" si="1"/>
        <v>1099.2</v>
      </c>
      <c r="F14" s="178">
        <f>IF(AND('Total income package'!$A$24=TRUE,E14&lt;$I$2),'Program specific data'!$B$119*WIC!$G$2,0)</f>
        <v>73.52</v>
      </c>
      <c r="M14" s="7"/>
      <c r="Q14" s="7"/>
    </row>
    <row r="15" spans="1:17" x14ac:dyDescent="0.25">
      <c r="A15" s="19">
        <v>3500</v>
      </c>
      <c r="B15" s="20">
        <f t="shared" si="0"/>
        <v>291.66666666666669</v>
      </c>
      <c r="C15" s="20">
        <f t="shared" si="2"/>
        <v>400</v>
      </c>
      <c r="D15" s="20">
        <f>MAX('TANF-VIEW'!L16,'TANF-VIEW'!T16)</f>
        <v>415.86666666666667</v>
      </c>
      <c r="E15" s="20">
        <f t="shared" si="1"/>
        <v>1107.5333333333333</v>
      </c>
      <c r="F15" s="178">
        <f>IF(AND('Total income package'!$A$24=TRUE,E15&lt;$I$2),'Program specific data'!$B$119*WIC!$G$2,0)</f>
        <v>73.52</v>
      </c>
      <c r="N15" s="7"/>
      <c r="O15" s="7"/>
      <c r="Q15" s="7"/>
    </row>
    <row r="16" spans="1:17" x14ac:dyDescent="0.25">
      <c r="A16" s="19">
        <v>4000</v>
      </c>
      <c r="B16" s="20">
        <f t="shared" si="0"/>
        <v>333.33333333333331</v>
      </c>
      <c r="C16" s="20">
        <f t="shared" si="2"/>
        <v>400</v>
      </c>
      <c r="D16" s="20">
        <f>MAX('TANF-VIEW'!L17,'TANF-VIEW'!T17)</f>
        <v>382.53333333333336</v>
      </c>
      <c r="E16" s="20">
        <f t="shared" si="1"/>
        <v>1115.8666666666666</v>
      </c>
      <c r="F16" s="178">
        <f>IF(AND('Total income package'!$A$24=TRUE,E16&lt;$I$2),'Program specific data'!$B$119*WIC!$G$2,0)</f>
        <v>73.52</v>
      </c>
    </row>
    <row r="17" spans="1:6" x14ac:dyDescent="0.25">
      <c r="A17" s="19">
        <v>4500</v>
      </c>
      <c r="B17" s="20">
        <f t="shared" si="0"/>
        <v>375</v>
      </c>
      <c r="C17" s="20">
        <f t="shared" si="2"/>
        <v>400</v>
      </c>
      <c r="D17" s="20">
        <f>MAX('TANF-VIEW'!L18,'TANF-VIEW'!T18)</f>
        <v>349.2</v>
      </c>
      <c r="E17" s="20">
        <f t="shared" si="1"/>
        <v>1124.2</v>
      </c>
      <c r="F17" s="178">
        <f>IF(AND('Total income package'!$A$24=TRUE,E17&lt;$I$2),'Program specific data'!$B$119*WIC!$G$2,0)</f>
        <v>73.52</v>
      </c>
    </row>
    <row r="18" spans="1:6" x14ac:dyDescent="0.25">
      <c r="A18" s="19">
        <v>5000</v>
      </c>
      <c r="B18" s="20">
        <f t="shared" si="0"/>
        <v>416.66666666666669</v>
      </c>
      <c r="C18" s="20">
        <f t="shared" si="2"/>
        <v>400</v>
      </c>
      <c r="D18" s="20">
        <f>MAX('TANF-VIEW'!L19,'TANF-VIEW'!T19)</f>
        <v>315.86666666666667</v>
      </c>
      <c r="E18" s="20">
        <f t="shared" si="1"/>
        <v>1132.5333333333333</v>
      </c>
      <c r="F18" s="178">
        <f>IF(AND('Total income package'!$A$24=TRUE,E18&lt;$I$2),'Program specific data'!$B$119*WIC!$G$2,0)</f>
        <v>73.52</v>
      </c>
    </row>
    <row r="19" spans="1:6" x14ac:dyDescent="0.25">
      <c r="A19" s="19">
        <v>5500</v>
      </c>
      <c r="B19" s="20">
        <f t="shared" si="0"/>
        <v>458.33333333333331</v>
      </c>
      <c r="C19" s="20">
        <f t="shared" si="2"/>
        <v>400</v>
      </c>
      <c r="D19" s="20">
        <f>MAX('TANF-VIEW'!L20,'TANF-VIEW'!T20)</f>
        <v>282.53333333333336</v>
      </c>
      <c r="E19" s="20">
        <f t="shared" si="1"/>
        <v>1140.8666666666666</v>
      </c>
      <c r="F19" s="178">
        <f>IF(AND('Total income package'!$A$24=TRUE,E19&lt;$I$2),'Program specific data'!$B$119*WIC!$G$2,0)</f>
        <v>73.52</v>
      </c>
    </row>
    <row r="20" spans="1:6" x14ac:dyDescent="0.25">
      <c r="A20" s="19">
        <v>6000</v>
      </c>
      <c r="B20" s="20">
        <f t="shared" si="0"/>
        <v>500</v>
      </c>
      <c r="C20" s="20">
        <f t="shared" si="2"/>
        <v>400</v>
      </c>
      <c r="D20" s="20">
        <f>MAX('TANF-VIEW'!L21,'TANF-VIEW'!T21)</f>
        <v>249.2</v>
      </c>
      <c r="E20" s="20">
        <f t="shared" si="1"/>
        <v>1149.2</v>
      </c>
      <c r="F20" s="178">
        <f>IF(AND('Total income package'!$A$24=TRUE,E20&lt;$I$2),'Program specific data'!$B$119*WIC!$G$2,0)</f>
        <v>73.52</v>
      </c>
    </row>
    <row r="21" spans="1:6" x14ac:dyDescent="0.25">
      <c r="A21" s="19">
        <v>6500</v>
      </c>
      <c r="B21" s="20">
        <f t="shared" si="0"/>
        <v>541.66666666666663</v>
      </c>
      <c r="C21" s="20">
        <f t="shared" si="2"/>
        <v>400</v>
      </c>
      <c r="D21" s="20">
        <f>MAX('TANF-VIEW'!L22,'TANF-VIEW'!T22)</f>
        <v>215.86666666666667</v>
      </c>
      <c r="E21" s="20">
        <f t="shared" si="1"/>
        <v>1157.5333333333333</v>
      </c>
      <c r="F21" s="178">
        <f>IF(AND('Total income package'!$A$24=TRUE,E21&lt;$I$2),'Program specific data'!$B$119*WIC!$G$2,0)</f>
        <v>73.52</v>
      </c>
    </row>
    <row r="22" spans="1:6" x14ac:dyDescent="0.25">
      <c r="A22" s="19">
        <v>7000</v>
      </c>
      <c r="B22" s="20">
        <f t="shared" si="0"/>
        <v>583.33333333333337</v>
      </c>
      <c r="C22" s="20">
        <f t="shared" si="2"/>
        <v>400</v>
      </c>
      <c r="D22" s="20">
        <f>MAX('TANF-VIEW'!L23,'TANF-VIEW'!T23)</f>
        <v>182.5333333333333</v>
      </c>
      <c r="E22" s="20">
        <f t="shared" si="1"/>
        <v>1165.8666666666668</v>
      </c>
      <c r="F22" s="178">
        <f>IF(AND('Total income package'!$A$24=TRUE,E22&lt;$I$2),'Program specific data'!$B$119*WIC!$G$2,0)</f>
        <v>73.52</v>
      </c>
    </row>
    <row r="23" spans="1:6" x14ac:dyDescent="0.25">
      <c r="A23" s="19">
        <v>7500</v>
      </c>
      <c r="B23" s="20">
        <f t="shared" si="0"/>
        <v>625</v>
      </c>
      <c r="C23" s="20">
        <f t="shared" si="2"/>
        <v>400</v>
      </c>
      <c r="D23" s="20">
        <f>MAX('TANF-VIEW'!L24,'TANF-VIEW'!T24)</f>
        <v>149.19999999999999</v>
      </c>
      <c r="E23" s="20">
        <f t="shared" si="1"/>
        <v>1174.2</v>
      </c>
      <c r="F23" s="178">
        <f>IF(AND('Total income package'!$A$24=TRUE,E23&lt;$I$2),'Program specific data'!$B$119*WIC!$G$2,0)</f>
        <v>73.52</v>
      </c>
    </row>
    <row r="24" spans="1:6" x14ac:dyDescent="0.25">
      <c r="A24" s="19">
        <v>8000</v>
      </c>
      <c r="B24" s="20">
        <f t="shared" si="0"/>
        <v>666.66666666666663</v>
      </c>
      <c r="C24" s="20">
        <f t="shared" si="2"/>
        <v>400</v>
      </c>
      <c r="D24" s="20">
        <f>MAX('TANF-VIEW'!L25,'TANF-VIEW'!T25)</f>
        <v>115.86666666666667</v>
      </c>
      <c r="E24" s="20">
        <f t="shared" si="1"/>
        <v>1182.5333333333333</v>
      </c>
      <c r="F24" s="178">
        <f>IF(AND('Total income package'!$A$24=TRUE,E24&lt;$I$2),'Program specific data'!$B$119*WIC!$G$2,0)</f>
        <v>73.52</v>
      </c>
    </row>
    <row r="25" spans="1:6" x14ac:dyDescent="0.25">
      <c r="A25" s="19">
        <v>8500</v>
      </c>
      <c r="B25" s="20">
        <f t="shared" si="0"/>
        <v>708.33333333333337</v>
      </c>
      <c r="C25" s="20">
        <f t="shared" si="2"/>
        <v>400</v>
      </c>
      <c r="D25" s="20">
        <f>MAX('TANF-VIEW'!L26,'TANF-VIEW'!T26)</f>
        <v>82.533333333333303</v>
      </c>
      <c r="E25" s="20">
        <f t="shared" si="1"/>
        <v>1190.8666666666668</v>
      </c>
      <c r="F25" s="178">
        <f>IF(AND('Total income package'!$A$24=TRUE,E25&lt;$I$2),'Program specific data'!$B$119*WIC!$G$2,0)</f>
        <v>73.52</v>
      </c>
    </row>
    <row r="26" spans="1:6" x14ac:dyDescent="0.25">
      <c r="A26" s="19">
        <v>9000</v>
      </c>
      <c r="B26" s="20">
        <f t="shared" si="0"/>
        <v>750</v>
      </c>
      <c r="C26" s="20">
        <f t="shared" si="2"/>
        <v>400</v>
      </c>
      <c r="D26" s="20">
        <f>MAX('TANF-VIEW'!L27,'TANF-VIEW'!T27)</f>
        <v>49.199999999999989</v>
      </c>
      <c r="E26" s="20">
        <f t="shared" si="1"/>
        <v>1199.2</v>
      </c>
      <c r="F26" s="178">
        <f>IF(AND('Total income package'!$A$24=TRUE,E26&lt;$I$2),'Program specific data'!$B$119*WIC!$G$2,0)</f>
        <v>73.52</v>
      </c>
    </row>
    <row r="27" spans="1:6" x14ac:dyDescent="0.25">
      <c r="A27" s="19">
        <v>9500</v>
      </c>
      <c r="B27" s="20">
        <f t="shared" si="0"/>
        <v>791.66666666666663</v>
      </c>
      <c r="C27" s="20">
        <f t="shared" si="2"/>
        <v>400</v>
      </c>
      <c r="D27" s="20">
        <f>MAX('TANF-VIEW'!L28,'TANF-VIEW'!T28)</f>
        <v>15.866666666666674</v>
      </c>
      <c r="E27" s="20">
        <f t="shared" si="1"/>
        <v>1207.5333333333333</v>
      </c>
      <c r="F27" s="178">
        <f>IF(AND('Total income package'!$A$24=TRUE,E27&lt;$I$2),'Program specific data'!$B$119*WIC!$G$2,0)</f>
        <v>73.52</v>
      </c>
    </row>
    <row r="28" spans="1:6" x14ac:dyDescent="0.25">
      <c r="A28" s="19">
        <v>10000</v>
      </c>
      <c r="B28" s="20">
        <f t="shared" si="0"/>
        <v>833.33333333333337</v>
      </c>
      <c r="C28" s="20">
        <f t="shared" si="2"/>
        <v>400</v>
      </c>
      <c r="D28" s="20">
        <f>MAX('TANF-VIEW'!L29,'TANF-VIEW'!T29)</f>
        <v>0</v>
      </c>
      <c r="E28" s="20">
        <f t="shared" si="1"/>
        <v>1233.3333333333335</v>
      </c>
      <c r="F28" s="178">
        <f>IF(AND('Total income package'!$A$24=TRUE,E28&lt;$I$2),'Program specific data'!$B$119*WIC!$G$2,0)</f>
        <v>73.52</v>
      </c>
    </row>
    <row r="29" spans="1:6" x14ac:dyDescent="0.25">
      <c r="A29" s="19">
        <v>10500</v>
      </c>
      <c r="B29" s="20">
        <f t="shared" si="0"/>
        <v>875</v>
      </c>
      <c r="C29" s="20">
        <f t="shared" si="2"/>
        <v>400</v>
      </c>
      <c r="D29" s="20">
        <f>MAX('TANF-VIEW'!L30,'TANF-VIEW'!T30)</f>
        <v>0</v>
      </c>
      <c r="E29" s="20">
        <f t="shared" si="1"/>
        <v>1275</v>
      </c>
      <c r="F29" s="178">
        <f>IF(AND('Total income package'!$A$24=TRUE,E29&lt;$I$2),'Program specific data'!$B$119*WIC!$G$2,0)</f>
        <v>73.52</v>
      </c>
    </row>
    <row r="30" spans="1:6" x14ac:dyDescent="0.25">
      <c r="A30" s="19">
        <v>11000</v>
      </c>
      <c r="B30" s="20">
        <f t="shared" si="0"/>
        <v>916.66666666666663</v>
      </c>
      <c r="C30" s="20">
        <f t="shared" si="2"/>
        <v>400</v>
      </c>
      <c r="D30" s="20">
        <f>MAX('TANF-VIEW'!L31,'TANF-VIEW'!T31)</f>
        <v>0</v>
      </c>
      <c r="E30" s="20">
        <f t="shared" si="1"/>
        <v>1316.6666666666665</v>
      </c>
      <c r="F30" s="178">
        <f>IF(AND('Total income package'!$A$24=TRUE,E30&lt;$I$2),'Program specific data'!$B$119*WIC!$G$2,0)</f>
        <v>73.52</v>
      </c>
    </row>
    <row r="31" spans="1:6" x14ac:dyDescent="0.25">
      <c r="A31" s="19">
        <v>11500</v>
      </c>
      <c r="B31" s="20">
        <f t="shared" si="0"/>
        <v>958.33333333333337</v>
      </c>
      <c r="C31" s="20">
        <f t="shared" si="2"/>
        <v>400</v>
      </c>
      <c r="D31" s="20">
        <f>MAX('TANF-VIEW'!L32,'TANF-VIEW'!T32)</f>
        <v>0</v>
      </c>
      <c r="E31" s="20">
        <f t="shared" si="1"/>
        <v>1358.3333333333335</v>
      </c>
      <c r="F31" s="178">
        <f>IF(AND('Total income package'!$A$24=TRUE,E31&lt;$I$2),'Program specific data'!$B$119*WIC!$G$2,0)</f>
        <v>73.52</v>
      </c>
    </row>
    <row r="32" spans="1:6" x14ac:dyDescent="0.25">
      <c r="A32" s="19">
        <v>12000</v>
      </c>
      <c r="B32" s="20">
        <f t="shared" si="0"/>
        <v>1000</v>
      </c>
      <c r="C32" s="20">
        <f t="shared" si="2"/>
        <v>400</v>
      </c>
      <c r="D32" s="20">
        <f>MAX('TANF-VIEW'!L33,'TANF-VIEW'!T33)</f>
        <v>0</v>
      </c>
      <c r="E32" s="20">
        <f t="shared" si="1"/>
        <v>1400</v>
      </c>
      <c r="F32" s="178">
        <f>IF(AND('Total income package'!$A$24=TRUE,E32&lt;$I$2),'Program specific data'!$B$119*WIC!$G$2,0)</f>
        <v>73.52</v>
      </c>
    </row>
    <row r="33" spans="1:6" x14ac:dyDescent="0.25">
      <c r="A33" s="19">
        <v>12500</v>
      </c>
      <c r="B33" s="20">
        <f t="shared" si="0"/>
        <v>1041.6666666666667</v>
      </c>
      <c r="C33" s="20">
        <f t="shared" si="2"/>
        <v>400</v>
      </c>
      <c r="D33" s="20">
        <f>MAX('TANF-VIEW'!L34,'TANF-VIEW'!T34)</f>
        <v>0</v>
      </c>
      <c r="E33" s="20">
        <f t="shared" si="1"/>
        <v>1441.6666666666667</v>
      </c>
      <c r="F33" s="178">
        <f>IF(AND('Total income package'!$A$24=TRUE,E33&lt;$I$2),'Program specific data'!$B$119*WIC!$G$2,0)</f>
        <v>73.52</v>
      </c>
    </row>
    <row r="34" spans="1:6" x14ac:dyDescent="0.25">
      <c r="A34" s="19">
        <v>13000</v>
      </c>
      <c r="B34" s="20">
        <f t="shared" si="0"/>
        <v>1083.3333333333333</v>
      </c>
      <c r="C34" s="20">
        <f t="shared" si="2"/>
        <v>400</v>
      </c>
      <c r="D34" s="20">
        <f>MAX('TANF-VIEW'!L35,'TANF-VIEW'!T35)</f>
        <v>0</v>
      </c>
      <c r="E34" s="20">
        <f t="shared" si="1"/>
        <v>1483.3333333333333</v>
      </c>
      <c r="F34" s="178">
        <f>IF(AND('Total income package'!$A$24=TRUE,E34&lt;$I$2),'Program specific data'!$B$119*WIC!$G$2,0)</f>
        <v>73.52</v>
      </c>
    </row>
    <row r="35" spans="1:6" x14ac:dyDescent="0.25">
      <c r="A35" s="19">
        <v>13500</v>
      </c>
      <c r="B35" s="20">
        <f t="shared" si="0"/>
        <v>1125</v>
      </c>
      <c r="C35" s="20">
        <f t="shared" si="2"/>
        <v>400</v>
      </c>
      <c r="D35" s="20">
        <f>MAX('TANF-VIEW'!L36,'TANF-VIEW'!T36)</f>
        <v>0</v>
      </c>
      <c r="E35" s="20">
        <f t="shared" si="1"/>
        <v>1525</v>
      </c>
      <c r="F35" s="178">
        <f>IF(AND('Total income package'!$A$24=TRUE,E35&lt;$I$2),'Program specific data'!$B$119*WIC!$G$2,0)</f>
        <v>73.52</v>
      </c>
    </row>
    <row r="36" spans="1:6" x14ac:dyDescent="0.25">
      <c r="A36" s="19">
        <v>14000</v>
      </c>
      <c r="B36" s="20">
        <f t="shared" si="0"/>
        <v>1166.6666666666667</v>
      </c>
      <c r="C36" s="20">
        <f t="shared" si="2"/>
        <v>400</v>
      </c>
      <c r="D36" s="20">
        <f>MAX('TANF-VIEW'!L37,'TANF-VIEW'!T37)</f>
        <v>0</v>
      </c>
      <c r="E36" s="20">
        <f t="shared" si="1"/>
        <v>1566.6666666666667</v>
      </c>
      <c r="F36" s="178">
        <f>IF(AND('Total income package'!$A$24=TRUE,E36&lt;$I$2),'Program specific data'!$B$119*WIC!$G$2,0)</f>
        <v>73.52</v>
      </c>
    </row>
    <row r="37" spans="1:6" x14ac:dyDescent="0.25">
      <c r="A37" s="19">
        <v>14500</v>
      </c>
      <c r="B37" s="20">
        <f t="shared" si="0"/>
        <v>1208.3333333333333</v>
      </c>
      <c r="C37" s="20">
        <f t="shared" si="2"/>
        <v>400</v>
      </c>
      <c r="D37" s="20">
        <f>MAX('TANF-VIEW'!L38,'TANF-VIEW'!T38)</f>
        <v>0</v>
      </c>
      <c r="E37" s="20">
        <f t="shared" si="1"/>
        <v>1608.3333333333333</v>
      </c>
      <c r="F37" s="178">
        <f>IF(AND('Total income package'!$A$24=TRUE,E37&lt;$I$2),'Program specific data'!$B$119*WIC!$G$2,0)</f>
        <v>73.52</v>
      </c>
    </row>
    <row r="38" spans="1:6" x14ac:dyDescent="0.25">
      <c r="A38" s="19">
        <v>15000</v>
      </c>
      <c r="B38" s="20">
        <f t="shared" si="0"/>
        <v>1250</v>
      </c>
      <c r="C38" s="20">
        <f t="shared" si="2"/>
        <v>400</v>
      </c>
      <c r="D38" s="20">
        <f>MAX('TANF-VIEW'!L39,'TANF-VIEW'!T39)</f>
        <v>0</v>
      </c>
      <c r="E38" s="20">
        <f t="shared" si="1"/>
        <v>1650</v>
      </c>
      <c r="F38" s="178">
        <f>IF(AND('Total income package'!$A$24=TRUE,E38&lt;$I$2),'Program specific data'!$B$119*WIC!$G$2,0)</f>
        <v>73.52</v>
      </c>
    </row>
    <row r="39" spans="1:6" x14ac:dyDescent="0.25">
      <c r="A39" s="19">
        <v>15500</v>
      </c>
      <c r="B39" s="20">
        <f t="shared" si="0"/>
        <v>1291.6666666666667</v>
      </c>
      <c r="C39" s="20">
        <f t="shared" si="2"/>
        <v>400</v>
      </c>
      <c r="D39" s="20">
        <f>MAX('TANF-VIEW'!L40,'TANF-VIEW'!T40)</f>
        <v>0</v>
      </c>
      <c r="E39" s="20">
        <f t="shared" si="1"/>
        <v>1691.6666666666667</v>
      </c>
      <c r="F39" s="178">
        <f>IF(AND('Total income package'!$A$24=TRUE,E39&lt;$I$2),'Program specific data'!$B$119*WIC!$G$2,0)</f>
        <v>73.52</v>
      </c>
    </row>
    <row r="40" spans="1:6" x14ac:dyDescent="0.25">
      <c r="A40" s="19">
        <v>16000</v>
      </c>
      <c r="B40" s="20">
        <f t="shared" si="0"/>
        <v>1333.3333333333333</v>
      </c>
      <c r="C40" s="20">
        <f t="shared" si="2"/>
        <v>400</v>
      </c>
      <c r="D40" s="20">
        <f>MAX('TANF-VIEW'!L41,'TANF-VIEW'!T41)</f>
        <v>0</v>
      </c>
      <c r="E40" s="20">
        <f t="shared" si="1"/>
        <v>1733.3333333333333</v>
      </c>
      <c r="F40" s="178">
        <f>IF(AND('Total income package'!$A$24=TRUE,E40&lt;$I$2),'Program specific data'!$B$119*WIC!$G$2,0)</f>
        <v>73.52</v>
      </c>
    </row>
    <row r="41" spans="1:6" x14ac:dyDescent="0.25">
      <c r="A41" s="19">
        <v>16500</v>
      </c>
      <c r="B41" s="20">
        <f t="shared" si="0"/>
        <v>1375</v>
      </c>
      <c r="C41" s="20">
        <f t="shared" si="2"/>
        <v>400</v>
      </c>
      <c r="D41" s="20">
        <f>MAX('TANF-VIEW'!L42,'TANF-VIEW'!T42)</f>
        <v>0</v>
      </c>
      <c r="E41" s="20">
        <f t="shared" si="1"/>
        <v>1775</v>
      </c>
      <c r="F41" s="178">
        <f>IF(AND('Total income package'!$A$24=TRUE,E41&lt;$I$2),'Program specific data'!$B$119*WIC!$G$2,0)</f>
        <v>73.52</v>
      </c>
    </row>
    <row r="42" spans="1:6" x14ac:dyDescent="0.25">
      <c r="A42" s="19">
        <v>17000</v>
      </c>
      <c r="B42" s="20">
        <f t="shared" si="0"/>
        <v>1416.6666666666667</v>
      </c>
      <c r="C42" s="20">
        <f t="shared" si="2"/>
        <v>400</v>
      </c>
      <c r="D42" s="20">
        <f>MAX('TANF-VIEW'!L43,'TANF-VIEW'!T43)</f>
        <v>0</v>
      </c>
      <c r="E42" s="20">
        <f t="shared" si="1"/>
        <v>1816.6666666666667</v>
      </c>
      <c r="F42" s="178">
        <f>IF(AND('Total income package'!$A$24=TRUE,E42&lt;$I$2),'Program specific data'!$B$119*WIC!$G$2,0)</f>
        <v>73.52</v>
      </c>
    </row>
    <row r="43" spans="1:6" x14ac:dyDescent="0.25">
      <c r="A43" s="19">
        <v>17500</v>
      </c>
      <c r="B43" s="20">
        <f t="shared" si="0"/>
        <v>1458.3333333333333</v>
      </c>
      <c r="C43" s="20">
        <f t="shared" si="2"/>
        <v>400</v>
      </c>
      <c r="D43" s="20">
        <f>MAX('TANF-VIEW'!L44,'TANF-VIEW'!T44)</f>
        <v>0</v>
      </c>
      <c r="E43" s="20">
        <f t="shared" si="1"/>
        <v>1858.3333333333333</v>
      </c>
      <c r="F43" s="178">
        <f>IF(AND('Total income package'!$A$24=TRUE,E43&lt;$I$2),'Program specific data'!$B$119*WIC!$G$2,0)</f>
        <v>73.52</v>
      </c>
    </row>
    <row r="44" spans="1:6" x14ac:dyDescent="0.25">
      <c r="A44" s="19">
        <v>18000</v>
      </c>
      <c r="B44" s="20">
        <f t="shared" si="0"/>
        <v>1500</v>
      </c>
      <c r="C44" s="20">
        <f t="shared" si="2"/>
        <v>400</v>
      </c>
      <c r="D44" s="20">
        <f>MAX('TANF-VIEW'!L45,'TANF-VIEW'!T45)</f>
        <v>0</v>
      </c>
      <c r="E44" s="20">
        <f t="shared" si="1"/>
        <v>1900</v>
      </c>
      <c r="F44" s="178">
        <f>IF(AND('Total income package'!$A$24=TRUE,E44&lt;$I$2),'Program specific data'!$B$119*WIC!$G$2,0)</f>
        <v>73.52</v>
      </c>
    </row>
    <row r="45" spans="1:6" x14ac:dyDescent="0.25">
      <c r="A45" s="19">
        <v>18500</v>
      </c>
      <c r="B45" s="20">
        <f t="shared" si="0"/>
        <v>1541.6666666666667</v>
      </c>
      <c r="C45" s="20">
        <f t="shared" si="2"/>
        <v>400</v>
      </c>
      <c r="D45" s="20">
        <f>MAX('TANF-VIEW'!L46,'TANF-VIEW'!T46)</f>
        <v>0</v>
      </c>
      <c r="E45" s="20">
        <f t="shared" si="1"/>
        <v>1941.6666666666667</v>
      </c>
      <c r="F45" s="178">
        <f>IF(AND('Total income package'!$A$24=TRUE,E45&lt;$I$2),'Program specific data'!$B$119*WIC!$G$2,0)</f>
        <v>73.52</v>
      </c>
    </row>
    <row r="46" spans="1:6" x14ac:dyDescent="0.25">
      <c r="A46" s="19">
        <v>19000</v>
      </c>
      <c r="B46" s="20">
        <f t="shared" si="0"/>
        <v>1583.3333333333333</v>
      </c>
      <c r="C46" s="20">
        <f t="shared" si="2"/>
        <v>400</v>
      </c>
      <c r="D46" s="20">
        <f>MAX('TANF-VIEW'!L47,'TANF-VIEW'!T47)</f>
        <v>0</v>
      </c>
      <c r="E46" s="20">
        <f t="shared" si="1"/>
        <v>1983.3333333333333</v>
      </c>
      <c r="F46" s="178">
        <f>IF(AND('Total income package'!$A$24=TRUE,E46&lt;$I$2),'Program specific data'!$B$119*WIC!$G$2,0)</f>
        <v>73.52</v>
      </c>
    </row>
    <row r="47" spans="1:6" x14ac:dyDescent="0.25">
      <c r="A47" s="19">
        <v>19500</v>
      </c>
      <c r="B47" s="20">
        <f t="shared" si="0"/>
        <v>1625</v>
      </c>
      <c r="C47" s="20">
        <f t="shared" si="2"/>
        <v>400</v>
      </c>
      <c r="D47" s="20">
        <f>MAX('TANF-VIEW'!L48,'TANF-VIEW'!T48)</f>
        <v>0</v>
      </c>
      <c r="E47" s="20">
        <f t="shared" si="1"/>
        <v>2025</v>
      </c>
      <c r="F47" s="178">
        <f>IF(AND('Total income package'!$A$24=TRUE,E47&lt;$I$2),'Program specific data'!$B$119*WIC!$G$2,0)</f>
        <v>73.52</v>
      </c>
    </row>
    <row r="48" spans="1:6" x14ac:dyDescent="0.25">
      <c r="A48" s="19">
        <v>20000</v>
      </c>
      <c r="B48" s="20">
        <f t="shared" si="0"/>
        <v>1666.6666666666667</v>
      </c>
      <c r="C48" s="20">
        <f t="shared" si="2"/>
        <v>400</v>
      </c>
      <c r="D48" s="20">
        <f>MAX('TANF-VIEW'!L49,'TANF-VIEW'!T49)</f>
        <v>0</v>
      </c>
      <c r="E48" s="20">
        <f t="shared" si="1"/>
        <v>2066.666666666667</v>
      </c>
      <c r="F48" s="178">
        <f>IF(AND('Total income package'!$A$24=TRUE,E48&lt;$I$2),'Program specific data'!$B$119*WIC!$G$2,0)</f>
        <v>73.52</v>
      </c>
    </row>
    <row r="49" spans="1:6" x14ac:dyDescent="0.25">
      <c r="A49" s="19">
        <v>20500</v>
      </c>
      <c r="B49" s="20">
        <f t="shared" si="0"/>
        <v>1708.3333333333333</v>
      </c>
      <c r="C49" s="20">
        <f t="shared" si="2"/>
        <v>400</v>
      </c>
      <c r="D49" s="20">
        <f>MAX('TANF-VIEW'!L50,'TANF-VIEW'!T50)</f>
        <v>0</v>
      </c>
      <c r="E49" s="20">
        <f t="shared" si="1"/>
        <v>2108.333333333333</v>
      </c>
      <c r="F49" s="178">
        <f>IF(AND('Total income package'!$A$24=TRUE,E49&lt;$I$2),'Program specific data'!$B$119*WIC!$G$2,0)</f>
        <v>73.52</v>
      </c>
    </row>
    <row r="50" spans="1:6" x14ac:dyDescent="0.25">
      <c r="A50" s="19">
        <v>21000</v>
      </c>
      <c r="B50" s="20">
        <f t="shared" si="0"/>
        <v>1750</v>
      </c>
      <c r="C50" s="20">
        <f t="shared" si="2"/>
        <v>400</v>
      </c>
      <c r="D50" s="20">
        <f>MAX('TANF-VIEW'!L51,'TANF-VIEW'!T51)</f>
        <v>0</v>
      </c>
      <c r="E50" s="20">
        <f t="shared" si="1"/>
        <v>2150</v>
      </c>
      <c r="F50" s="178">
        <f>IF(AND('Total income package'!$A$24=TRUE,E50&lt;$I$2),'Program specific data'!$B$119*WIC!$G$2,0)</f>
        <v>73.52</v>
      </c>
    </row>
    <row r="51" spans="1:6" x14ac:dyDescent="0.25">
      <c r="A51" s="19">
        <v>21500</v>
      </c>
      <c r="B51" s="20">
        <f t="shared" si="0"/>
        <v>1791.6666666666667</v>
      </c>
      <c r="C51" s="20">
        <f t="shared" si="2"/>
        <v>400</v>
      </c>
      <c r="D51" s="20">
        <f>MAX('TANF-VIEW'!L52,'TANF-VIEW'!T52)</f>
        <v>0</v>
      </c>
      <c r="E51" s="20">
        <f t="shared" si="1"/>
        <v>2191.666666666667</v>
      </c>
      <c r="F51" s="178">
        <f>IF(AND('Total income package'!$A$24=TRUE,E51&lt;$I$2),'Program specific data'!$B$119*WIC!$G$2,0)</f>
        <v>73.52</v>
      </c>
    </row>
    <row r="52" spans="1:6" x14ac:dyDescent="0.25">
      <c r="A52" s="19">
        <v>22000</v>
      </c>
      <c r="B52" s="20">
        <f t="shared" si="0"/>
        <v>1833.3333333333333</v>
      </c>
      <c r="C52" s="20">
        <f t="shared" si="2"/>
        <v>400</v>
      </c>
      <c r="D52" s="20">
        <f>MAX('TANF-VIEW'!L53,'TANF-VIEW'!T53)</f>
        <v>0</v>
      </c>
      <c r="E52" s="20">
        <f t="shared" si="1"/>
        <v>2233.333333333333</v>
      </c>
      <c r="F52" s="178">
        <f>IF(AND('Total income package'!$A$24=TRUE,E52&lt;$I$2),'Program specific data'!$B$119*WIC!$G$2,0)</f>
        <v>73.52</v>
      </c>
    </row>
    <row r="53" spans="1:6" x14ac:dyDescent="0.25">
      <c r="A53" s="19">
        <v>22500</v>
      </c>
      <c r="B53" s="20">
        <f t="shared" si="0"/>
        <v>1875</v>
      </c>
      <c r="C53" s="20">
        <f t="shared" si="2"/>
        <v>400</v>
      </c>
      <c r="D53" s="20">
        <f>MAX('TANF-VIEW'!L54,'TANF-VIEW'!T54)</f>
        <v>0</v>
      </c>
      <c r="E53" s="20">
        <f t="shared" si="1"/>
        <v>2275</v>
      </c>
      <c r="F53" s="178">
        <f>IF(AND('Total income package'!$A$24=TRUE,E53&lt;$I$2),'Program specific data'!$B$119*WIC!$G$2,0)</f>
        <v>73.52</v>
      </c>
    </row>
    <row r="54" spans="1:6" x14ac:dyDescent="0.25">
      <c r="A54" s="19">
        <v>23000</v>
      </c>
      <c r="B54" s="20">
        <f t="shared" si="0"/>
        <v>1916.6666666666667</v>
      </c>
      <c r="C54" s="20">
        <f t="shared" si="2"/>
        <v>400</v>
      </c>
      <c r="D54" s="20">
        <f>MAX('TANF-VIEW'!L55,'TANF-VIEW'!T55)</f>
        <v>0</v>
      </c>
      <c r="E54" s="20">
        <f t="shared" si="1"/>
        <v>2316.666666666667</v>
      </c>
      <c r="F54" s="178">
        <f>IF(AND('Total income package'!$A$24=TRUE,E54&lt;$I$2),'Program specific data'!$B$119*WIC!$G$2,0)</f>
        <v>73.52</v>
      </c>
    </row>
    <row r="55" spans="1:6" x14ac:dyDescent="0.25">
      <c r="A55" s="19">
        <v>23500</v>
      </c>
      <c r="B55" s="20">
        <f t="shared" si="0"/>
        <v>1958.3333333333333</v>
      </c>
      <c r="C55" s="20">
        <f t="shared" si="2"/>
        <v>400</v>
      </c>
      <c r="D55" s="20">
        <f>MAX('TANF-VIEW'!L56,'TANF-VIEW'!T56)</f>
        <v>0</v>
      </c>
      <c r="E55" s="20">
        <f t="shared" si="1"/>
        <v>2358.333333333333</v>
      </c>
      <c r="F55" s="178">
        <f>IF(AND('Total income package'!$A$24=TRUE,E55&lt;$I$2),'Program specific data'!$B$119*WIC!$G$2,0)</f>
        <v>73.52</v>
      </c>
    </row>
    <row r="56" spans="1:6" x14ac:dyDescent="0.25">
      <c r="A56" s="19">
        <v>24000</v>
      </c>
      <c r="B56" s="20">
        <f t="shared" si="0"/>
        <v>2000</v>
      </c>
      <c r="C56" s="20">
        <f t="shared" si="2"/>
        <v>400</v>
      </c>
      <c r="D56" s="20">
        <f>MAX('TANF-VIEW'!L57,'TANF-VIEW'!T57)</f>
        <v>0</v>
      </c>
      <c r="E56" s="20">
        <f t="shared" si="1"/>
        <v>2400</v>
      </c>
      <c r="F56" s="178">
        <f>IF(AND('Total income package'!$A$24=TRUE,E56&lt;$I$2),'Program specific data'!$B$119*WIC!$G$2,0)</f>
        <v>73.52</v>
      </c>
    </row>
    <row r="57" spans="1:6" x14ac:dyDescent="0.25">
      <c r="A57" s="19">
        <v>24500</v>
      </c>
      <c r="B57" s="20">
        <f t="shared" si="0"/>
        <v>2041.6666666666667</v>
      </c>
      <c r="C57" s="20">
        <f t="shared" si="2"/>
        <v>400</v>
      </c>
      <c r="D57" s="20">
        <f>MAX('TANF-VIEW'!L58,'TANF-VIEW'!T58)</f>
        <v>0</v>
      </c>
      <c r="E57" s="20">
        <f t="shared" si="1"/>
        <v>2441.666666666667</v>
      </c>
      <c r="F57" s="178">
        <f>IF(AND('Total income package'!$A$24=TRUE,E57&lt;$I$2),'Program specific data'!$B$119*WIC!$G$2,0)</f>
        <v>73.52</v>
      </c>
    </row>
    <row r="58" spans="1:6" x14ac:dyDescent="0.25">
      <c r="A58" s="19">
        <v>25000</v>
      </c>
      <c r="B58" s="20">
        <f t="shared" si="0"/>
        <v>2083.3333333333335</v>
      </c>
      <c r="C58" s="20">
        <f t="shared" si="2"/>
        <v>400</v>
      </c>
      <c r="D58" s="20">
        <f>MAX('TANF-VIEW'!L59,'TANF-VIEW'!T59)</f>
        <v>0</v>
      </c>
      <c r="E58" s="20">
        <f t="shared" si="1"/>
        <v>2483.3333333333335</v>
      </c>
      <c r="F58" s="178">
        <f>IF(AND('Total income package'!$A$24=TRUE,E58&lt;$I$2),'Program specific data'!$B$119*WIC!$G$2,0)</f>
        <v>73.52</v>
      </c>
    </row>
    <row r="59" spans="1:6" x14ac:dyDescent="0.25">
      <c r="A59" s="19">
        <v>25500</v>
      </c>
      <c r="B59" s="20">
        <f t="shared" si="0"/>
        <v>2125</v>
      </c>
      <c r="C59" s="20">
        <f t="shared" si="2"/>
        <v>400</v>
      </c>
      <c r="D59" s="20">
        <f>MAX('TANF-VIEW'!L60,'TANF-VIEW'!T60)</f>
        <v>0</v>
      </c>
      <c r="E59" s="20">
        <f t="shared" si="1"/>
        <v>2525</v>
      </c>
      <c r="F59" s="178">
        <f>IF(AND('Total income package'!$A$24=TRUE,E59&lt;$I$2),'Program specific data'!$B$119*WIC!$G$2,0)</f>
        <v>73.52</v>
      </c>
    </row>
    <row r="60" spans="1:6" x14ac:dyDescent="0.25">
      <c r="A60" s="19">
        <v>26000</v>
      </c>
      <c r="B60" s="20">
        <f t="shared" si="0"/>
        <v>2166.6666666666665</v>
      </c>
      <c r="C60" s="20">
        <f t="shared" si="2"/>
        <v>400</v>
      </c>
      <c r="D60" s="20">
        <f>MAX('TANF-VIEW'!L61,'TANF-VIEW'!T61)</f>
        <v>0</v>
      </c>
      <c r="E60" s="20">
        <f t="shared" si="1"/>
        <v>2566.6666666666665</v>
      </c>
      <c r="F60" s="178">
        <f>IF(AND('Total income package'!$A$24=TRUE,E60&lt;$I$2),'Program specific data'!$B$119*WIC!$G$2,0)</f>
        <v>73.52</v>
      </c>
    </row>
    <row r="61" spans="1:6" x14ac:dyDescent="0.25">
      <c r="A61" s="19">
        <v>26500</v>
      </c>
      <c r="B61" s="20">
        <f t="shared" si="0"/>
        <v>2208.3333333333335</v>
      </c>
      <c r="C61" s="20">
        <f t="shared" si="2"/>
        <v>400</v>
      </c>
      <c r="D61" s="20">
        <f>MAX('TANF-VIEW'!L62,'TANF-VIEW'!T62)</f>
        <v>0</v>
      </c>
      <c r="E61" s="20">
        <f t="shared" si="1"/>
        <v>2608.3333333333335</v>
      </c>
      <c r="F61" s="178">
        <f>IF(AND('Total income package'!$A$24=TRUE,E61&lt;$I$2),'Program specific data'!$B$119*WIC!$G$2,0)</f>
        <v>73.52</v>
      </c>
    </row>
    <row r="62" spans="1:6" x14ac:dyDescent="0.25">
      <c r="A62" s="19">
        <v>27000</v>
      </c>
      <c r="B62" s="20">
        <f t="shared" si="0"/>
        <v>2250</v>
      </c>
      <c r="C62" s="20">
        <f t="shared" si="2"/>
        <v>400</v>
      </c>
      <c r="D62" s="20">
        <f>MAX('TANF-VIEW'!L63,'TANF-VIEW'!T63)</f>
        <v>0</v>
      </c>
      <c r="E62" s="20">
        <f t="shared" si="1"/>
        <v>2650</v>
      </c>
      <c r="F62" s="178">
        <f>IF(AND('Total income package'!$A$24=TRUE,E62&lt;$I$2),'Program specific data'!$B$119*WIC!$G$2,0)</f>
        <v>73.52</v>
      </c>
    </row>
    <row r="63" spans="1:6" x14ac:dyDescent="0.25">
      <c r="A63" s="19">
        <v>27500</v>
      </c>
      <c r="B63" s="20">
        <f t="shared" si="0"/>
        <v>2291.6666666666665</v>
      </c>
      <c r="C63" s="20">
        <f t="shared" si="2"/>
        <v>400</v>
      </c>
      <c r="D63" s="20">
        <f>MAX('TANF-VIEW'!L64,'TANF-VIEW'!T64)</f>
        <v>0</v>
      </c>
      <c r="E63" s="20">
        <f t="shared" si="1"/>
        <v>2691.6666666666665</v>
      </c>
      <c r="F63" s="178">
        <f>IF(AND('Total income package'!$A$24=TRUE,E63&lt;$I$2),'Program specific data'!$B$119*WIC!$G$2,0)</f>
        <v>73.52</v>
      </c>
    </row>
    <row r="64" spans="1:6" x14ac:dyDescent="0.25">
      <c r="A64" s="19">
        <v>28000</v>
      </c>
      <c r="B64" s="20">
        <f t="shared" si="0"/>
        <v>2333.3333333333335</v>
      </c>
      <c r="C64" s="20">
        <f t="shared" si="2"/>
        <v>400</v>
      </c>
      <c r="D64" s="20">
        <f>MAX('TANF-VIEW'!L65,'TANF-VIEW'!T65)</f>
        <v>0</v>
      </c>
      <c r="E64" s="20">
        <f t="shared" si="1"/>
        <v>2733.3333333333335</v>
      </c>
      <c r="F64" s="178">
        <f>IF(AND('Total income package'!$A$24=TRUE,E64&lt;$I$2),'Program specific data'!$B$119*WIC!$G$2,0)</f>
        <v>73.52</v>
      </c>
    </row>
    <row r="65" spans="1:6" x14ac:dyDescent="0.25">
      <c r="A65" s="19">
        <v>28500</v>
      </c>
      <c r="B65" s="20">
        <f t="shared" si="0"/>
        <v>2375</v>
      </c>
      <c r="C65" s="20">
        <f t="shared" si="2"/>
        <v>400</v>
      </c>
      <c r="D65" s="20">
        <f>MAX('TANF-VIEW'!L66,'TANF-VIEW'!T66)</f>
        <v>0</v>
      </c>
      <c r="E65" s="20">
        <f t="shared" si="1"/>
        <v>2775</v>
      </c>
      <c r="F65" s="178">
        <f>IF(AND('Total income package'!$A$24=TRUE,E65&lt;$I$2),'Program specific data'!$B$119*WIC!$G$2,0)</f>
        <v>73.52</v>
      </c>
    </row>
    <row r="66" spans="1:6" x14ac:dyDescent="0.25">
      <c r="A66" s="19">
        <v>29000</v>
      </c>
      <c r="B66" s="20">
        <f t="shared" si="0"/>
        <v>2416.6666666666665</v>
      </c>
      <c r="C66" s="20">
        <f t="shared" si="2"/>
        <v>400</v>
      </c>
      <c r="D66" s="20">
        <f>MAX('TANF-VIEW'!L67,'TANF-VIEW'!T67)</f>
        <v>0</v>
      </c>
      <c r="E66" s="20">
        <f t="shared" si="1"/>
        <v>2816.6666666666665</v>
      </c>
      <c r="F66" s="178">
        <f>IF(AND('Total income package'!$A$24=TRUE,E66&lt;$I$2),'Program specific data'!$B$119*WIC!$G$2,0)</f>
        <v>73.52</v>
      </c>
    </row>
    <row r="67" spans="1:6" x14ac:dyDescent="0.25">
      <c r="A67" s="19">
        <v>29500</v>
      </c>
      <c r="B67" s="20">
        <f t="shared" si="0"/>
        <v>2458.3333333333335</v>
      </c>
      <c r="C67" s="20">
        <f t="shared" si="2"/>
        <v>400</v>
      </c>
      <c r="D67" s="20">
        <f>MAX('TANF-VIEW'!L68,'TANF-VIEW'!T68)</f>
        <v>0</v>
      </c>
      <c r="E67" s="20">
        <f t="shared" si="1"/>
        <v>2858.3333333333335</v>
      </c>
      <c r="F67" s="178">
        <f>IF(AND('Total income package'!$A$24=TRUE,E67&lt;$I$2),'Program specific data'!$B$119*WIC!$G$2,0)</f>
        <v>73.52</v>
      </c>
    </row>
    <row r="68" spans="1:6" x14ac:dyDescent="0.25">
      <c r="A68" s="19">
        <v>30000</v>
      </c>
      <c r="B68" s="20">
        <f t="shared" si="0"/>
        <v>2500</v>
      </c>
      <c r="C68" s="20">
        <f t="shared" si="2"/>
        <v>400</v>
      </c>
      <c r="D68" s="20">
        <f>MAX('TANF-VIEW'!L69,'TANF-VIEW'!T69)</f>
        <v>0</v>
      </c>
      <c r="E68" s="20">
        <f t="shared" si="1"/>
        <v>2900</v>
      </c>
      <c r="F68" s="178">
        <f>IF(AND('Total income package'!$A$24=TRUE,E68&lt;$I$2),'Program specific data'!$B$119*WIC!$G$2,0)</f>
        <v>73.52</v>
      </c>
    </row>
    <row r="69" spans="1:6" x14ac:dyDescent="0.25">
      <c r="A69" s="19">
        <v>30500</v>
      </c>
      <c r="B69" s="20">
        <f t="shared" si="0"/>
        <v>2541.6666666666665</v>
      </c>
      <c r="C69" s="20">
        <f t="shared" si="2"/>
        <v>400</v>
      </c>
      <c r="D69" s="20">
        <f>MAX('TANF-VIEW'!L70,'TANF-VIEW'!T70)</f>
        <v>0</v>
      </c>
      <c r="E69" s="20">
        <f t="shared" si="1"/>
        <v>2941.6666666666665</v>
      </c>
      <c r="F69" s="178">
        <f>IF(AND('Total income package'!$A$24=TRUE,E69&lt;$I$2),'Program specific data'!$B$119*WIC!$G$2,0)</f>
        <v>73.52</v>
      </c>
    </row>
    <row r="70" spans="1:6" x14ac:dyDescent="0.25">
      <c r="A70" s="19">
        <v>31000</v>
      </c>
      <c r="B70" s="20">
        <f t="shared" si="0"/>
        <v>2583.3333333333335</v>
      </c>
      <c r="C70" s="20">
        <f t="shared" si="2"/>
        <v>400</v>
      </c>
      <c r="D70" s="20">
        <f>MAX('TANF-VIEW'!L71,'TANF-VIEW'!T71)</f>
        <v>0</v>
      </c>
      <c r="E70" s="20">
        <f t="shared" si="1"/>
        <v>2983.3333333333335</v>
      </c>
      <c r="F70" s="178">
        <f>IF(AND('Total income package'!$A$24=TRUE,E70&lt;$I$2),'Program specific data'!$B$119*WIC!$G$2,0)</f>
        <v>73.52</v>
      </c>
    </row>
    <row r="71" spans="1:6" x14ac:dyDescent="0.25">
      <c r="A71" s="19">
        <v>31500</v>
      </c>
      <c r="B71" s="20">
        <f t="shared" si="0"/>
        <v>2625</v>
      </c>
      <c r="C71" s="20">
        <f t="shared" si="2"/>
        <v>400</v>
      </c>
      <c r="D71" s="20">
        <f>MAX('TANF-VIEW'!L72,'TANF-VIEW'!T72)</f>
        <v>0</v>
      </c>
      <c r="E71" s="20">
        <f t="shared" si="1"/>
        <v>3025</v>
      </c>
      <c r="F71" s="178">
        <f>IF(AND('Total income package'!$A$24=TRUE,E71&lt;$I$2),'Program specific data'!$B$119*WIC!$G$2,0)</f>
        <v>73.52</v>
      </c>
    </row>
    <row r="72" spans="1:6" x14ac:dyDescent="0.25">
      <c r="A72" s="19">
        <v>32000</v>
      </c>
      <c r="B72" s="20">
        <f t="shared" si="0"/>
        <v>2666.6666666666665</v>
      </c>
      <c r="C72" s="20">
        <f t="shared" si="2"/>
        <v>400</v>
      </c>
      <c r="D72" s="20">
        <f>MAX('TANF-VIEW'!L73,'TANF-VIEW'!T73)</f>
        <v>0</v>
      </c>
      <c r="E72" s="20">
        <f t="shared" si="1"/>
        <v>3066.6666666666665</v>
      </c>
      <c r="F72" s="178">
        <f>IF(AND('Total income package'!$A$24=TRUE,E72&lt;$I$2),'Program specific data'!$B$119*WIC!$G$2,0)</f>
        <v>73.52</v>
      </c>
    </row>
    <row r="73" spans="1:6" x14ac:dyDescent="0.25">
      <c r="A73" s="19">
        <v>32500</v>
      </c>
      <c r="B73" s="20">
        <f t="shared" si="0"/>
        <v>2708.3333333333335</v>
      </c>
      <c r="C73" s="20">
        <f t="shared" ref="C73:C136" si="3">$H$2</f>
        <v>400</v>
      </c>
      <c r="D73" s="20">
        <f>MAX('TANF-VIEW'!L74,'TANF-VIEW'!T74)</f>
        <v>0</v>
      </c>
      <c r="E73" s="20">
        <f t="shared" ref="E73:E136" si="4">B73+C73+D73</f>
        <v>3108.3333333333335</v>
      </c>
      <c r="F73" s="178">
        <f>IF(AND('Total income package'!$A$24=TRUE,E73&lt;$I$2),'Program specific data'!$B$119*WIC!$G$2,0)</f>
        <v>73.52</v>
      </c>
    </row>
    <row r="74" spans="1:6" x14ac:dyDescent="0.25">
      <c r="A74" s="19">
        <v>33000</v>
      </c>
      <c r="B74" s="20">
        <f t="shared" ref="B74:B137" si="5">A74/12</f>
        <v>2750</v>
      </c>
      <c r="C74" s="20">
        <f t="shared" si="3"/>
        <v>400</v>
      </c>
      <c r="D74" s="20">
        <f>MAX('TANF-VIEW'!L75,'TANF-VIEW'!T75)</f>
        <v>0</v>
      </c>
      <c r="E74" s="20">
        <f t="shared" si="4"/>
        <v>3150</v>
      </c>
      <c r="F74" s="178">
        <f>IF(AND('Total income package'!$A$24=TRUE,E74&lt;$I$2),'Program specific data'!$B$119*WIC!$G$2,0)</f>
        <v>73.52</v>
      </c>
    </row>
    <row r="75" spans="1:6" x14ac:dyDescent="0.25">
      <c r="A75" s="19">
        <v>33500</v>
      </c>
      <c r="B75" s="20">
        <f t="shared" si="5"/>
        <v>2791.6666666666665</v>
      </c>
      <c r="C75" s="20">
        <f t="shared" si="3"/>
        <v>400</v>
      </c>
      <c r="D75" s="20">
        <f>MAX('TANF-VIEW'!L76,'TANF-VIEW'!T76)</f>
        <v>0</v>
      </c>
      <c r="E75" s="20">
        <f t="shared" si="4"/>
        <v>3191.6666666666665</v>
      </c>
      <c r="F75" s="178">
        <f>IF(AND('Total income package'!$A$24=TRUE,E75&lt;$I$2),'Program specific data'!$B$119*WIC!$G$2,0)</f>
        <v>73.52</v>
      </c>
    </row>
    <row r="76" spans="1:6" x14ac:dyDescent="0.25">
      <c r="A76" s="19">
        <v>34000</v>
      </c>
      <c r="B76" s="20">
        <f t="shared" si="5"/>
        <v>2833.3333333333335</v>
      </c>
      <c r="C76" s="20">
        <f t="shared" si="3"/>
        <v>400</v>
      </c>
      <c r="D76" s="20">
        <f>MAX('TANF-VIEW'!L77,'TANF-VIEW'!T77)</f>
        <v>0</v>
      </c>
      <c r="E76" s="20">
        <f t="shared" si="4"/>
        <v>3233.3333333333335</v>
      </c>
      <c r="F76" s="178">
        <f>IF(AND('Total income package'!$A$24=TRUE,E76&lt;$I$2),'Program specific data'!$B$119*WIC!$G$2,0)</f>
        <v>73.52</v>
      </c>
    </row>
    <row r="77" spans="1:6" x14ac:dyDescent="0.25">
      <c r="A77" s="19">
        <v>34500</v>
      </c>
      <c r="B77" s="20">
        <f t="shared" si="5"/>
        <v>2875</v>
      </c>
      <c r="C77" s="20">
        <f t="shared" si="3"/>
        <v>400</v>
      </c>
      <c r="D77" s="20">
        <f>MAX('TANF-VIEW'!L78,'TANF-VIEW'!T78)</f>
        <v>0</v>
      </c>
      <c r="E77" s="20">
        <f t="shared" si="4"/>
        <v>3275</v>
      </c>
      <c r="F77" s="178">
        <f>IF(AND('Total income package'!$A$24=TRUE,E77&lt;$I$2),'Program specific data'!$B$119*WIC!$G$2,0)</f>
        <v>73.52</v>
      </c>
    </row>
    <row r="78" spans="1:6" x14ac:dyDescent="0.25">
      <c r="A78" s="19">
        <v>35000</v>
      </c>
      <c r="B78" s="20">
        <f t="shared" si="5"/>
        <v>2916.6666666666665</v>
      </c>
      <c r="C78" s="20">
        <f t="shared" si="3"/>
        <v>400</v>
      </c>
      <c r="D78" s="20">
        <f>MAX('TANF-VIEW'!L79,'TANF-VIEW'!T79)</f>
        <v>0</v>
      </c>
      <c r="E78" s="20">
        <f t="shared" si="4"/>
        <v>3316.6666666666665</v>
      </c>
      <c r="F78" s="178">
        <f>IF(AND('Total income package'!$A$24=TRUE,E78&lt;$I$2),'Program specific data'!$B$119*WIC!$G$2,0)</f>
        <v>73.52</v>
      </c>
    </row>
    <row r="79" spans="1:6" x14ac:dyDescent="0.25">
      <c r="A79" s="19">
        <v>35500</v>
      </c>
      <c r="B79" s="20">
        <f t="shared" si="5"/>
        <v>2958.3333333333335</v>
      </c>
      <c r="C79" s="20">
        <f t="shared" si="3"/>
        <v>400</v>
      </c>
      <c r="D79" s="20">
        <f>MAX('TANF-VIEW'!L80,'TANF-VIEW'!T80)</f>
        <v>0</v>
      </c>
      <c r="E79" s="20">
        <f t="shared" si="4"/>
        <v>3358.3333333333335</v>
      </c>
      <c r="F79" s="178">
        <f>IF(AND('Total income package'!$A$24=TRUE,E79&lt;$I$2),'Program specific data'!$B$119*WIC!$G$2,0)</f>
        <v>73.52</v>
      </c>
    </row>
    <row r="80" spans="1:6" x14ac:dyDescent="0.25">
      <c r="A80" s="19">
        <v>36000</v>
      </c>
      <c r="B80" s="20">
        <f t="shared" si="5"/>
        <v>3000</v>
      </c>
      <c r="C80" s="20">
        <f t="shared" si="3"/>
        <v>400</v>
      </c>
      <c r="D80" s="20">
        <f>MAX('TANF-VIEW'!L81,'TANF-VIEW'!T81)</f>
        <v>0</v>
      </c>
      <c r="E80" s="20">
        <f t="shared" si="4"/>
        <v>3400</v>
      </c>
      <c r="F80" s="178">
        <f>IF(AND('Total income package'!$A$24=TRUE,E80&lt;$I$2),'Program specific data'!$B$119*WIC!$G$2,0)</f>
        <v>73.52</v>
      </c>
    </row>
    <row r="81" spans="1:6" x14ac:dyDescent="0.25">
      <c r="A81" s="19">
        <v>36500</v>
      </c>
      <c r="B81" s="20">
        <f t="shared" si="5"/>
        <v>3041.6666666666665</v>
      </c>
      <c r="C81" s="20">
        <f t="shared" si="3"/>
        <v>400</v>
      </c>
      <c r="D81" s="20">
        <f>MAX('TANF-VIEW'!L82,'TANF-VIEW'!T82)</f>
        <v>0</v>
      </c>
      <c r="E81" s="20">
        <f t="shared" si="4"/>
        <v>3441.6666666666665</v>
      </c>
      <c r="F81" s="178">
        <f>IF(AND('Total income package'!$A$24=TRUE,E81&lt;$I$2),'Program specific data'!$B$119*WIC!$G$2,0)</f>
        <v>73.52</v>
      </c>
    </row>
    <row r="82" spans="1:6" x14ac:dyDescent="0.25">
      <c r="A82" s="19">
        <v>37000</v>
      </c>
      <c r="B82" s="20">
        <f t="shared" si="5"/>
        <v>3083.3333333333335</v>
      </c>
      <c r="C82" s="20">
        <f t="shared" si="3"/>
        <v>400</v>
      </c>
      <c r="D82" s="20">
        <f>MAX('TANF-VIEW'!L83,'TANF-VIEW'!T83)</f>
        <v>0</v>
      </c>
      <c r="E82" s="20">
        <f t="shared" si="4"/>
        <v>3483.3333333333335</v>
      </c>
      <c r="F82" s="178">
        <f>IF(AND('Total income package'!$A$24=TRUE,E82&lt;$I$2),'Program specific data'!$B$119*WIC!$G$2,0)</f>
        <v>73.52</v>
      </c>
    </row>
    <row r="83" spans="1:6" x14ac:dyDescent="0.25">
      <c r="A83" s="19">
        <v>37500</v>
      </c>
      <c r="B83" s="20">
        <f t="shared" si="5"/>
        <v>3125</v>
      </c>
      <c r="C83" s="20">
        <f t="shared" si="3"/>
        <v>400</v>
      </c>
      <c r="D83" s="20">
        <f>MAX('TANF-VIEW'!L84,'TANF-VIEW'!T84)</f>
        <v>0</v>
      </c>
      <c r="E83" s="20">
        <f t="shared" si="4"/>
        <v>3525</v>
      </c>
      <c r="F83" s="178">
        <f>IF(AND('Total income package'!$A$24=TRUE,E83&lt;$I$2),'Program specific data'!$B$119*WIC!$G$2,0)</f>
        <v>73.52</v>
      </c>
    </row>
    <row r="84" spans="1:6" x14ac:dyDescent="0.25">
      <c r="A84" s="19">
        <v>38000</v>
      </c>
      <c r="B84" s="20">
        <f t="shared" si="5"/>
        <v>3166.6666666666665</v>
      </c>
      <c r="C84" s="20">
        <f t="shared" si="3"/>
        <v>400</v>
      </c>
      <c r="D84" s="20">
        <f>MAX('TANF-VIEW'!L85,'TANF-VIEW'!T85)</f>
        <v>0</v>
      </c>
      <c r="E84" s="20">
        <f t="shared" si="4"/>
        <v>3566.6666666666665</v>
      </c>
      <c r="F84" s="178">
        <f>IF(AND('Total income package'!$A$24=TRUE,E84&lt;$I$2),'Program specific data'!$B$119*WIC!$G$2,0)</f>
        <v>73.52</v>
      </c>
    </row>
    <row r="85" spans="1:6" x14ac:dyDescent="0.25">
      <c r="A85" s="19">
        <v>38500</v>
      </c>
      <c r="B85" s="20">
        <f t="shared" si="5"/>
        <v>3208.3333333333335</v>
      </c>
      <c r="C85" s="20">
        <f t="shared" si="3"/>
        <v>400</v>
      </c>
      <c r="D85" s="20">
        <f>MAX('TANF-VIEW'!L86,'TANF-VIEW'!T86)</f>
        <v>0</v>
      </c>
      <c r="E85" s="20">
        <f t="shared" si="4"/>
        <v>3608.3333333333335</v>
      </c>
      <c r="F85" s="178">
        <f>IF(AND('Total income package'!$A$24=TRUE,E85&lt;$I$2),'Program specific data'!$B$119*WIC!$G$2,0)</f>
        <v>73.52</v>
      </c>
    </row>
    <row r="86" spans="1:6" x14ac:dyDescent="0.25">
      <c r="A86" s="19">
        <v>39000</v>
      </c>
      <c r="B86" s="20">
        <f t="shared" si="5"/>
        <v>3250</v>
      </c>
      <c r="C86" s="20">
        <f t="shared" si="3"/>
        <v>400</v>
      </c>
      <c r="D86" s="20">
        <f>MAX('TANF-VIEW'!L87,'TANF-VIEW'!T87)</f>
        <v>0</v>
      </c>
      <c r="E86" s="20">
        <f t="shared" si="4"/>
        <v>3650</v>
      </c>
      <c r="F86" s="178">
        <f>IF(AND('Total income package'!$A$24=TRUE,E86&lt;$I$2),'Program specific data'!$B$119*WIC!$G$2,0)</f>
        <v>73.52</v>
      </c>
    </row>
    <row r="87" spans="1:6" x14ac:dyDescent="0.25">
      <c r="A87" s="19">
        <v>39500</v>
      </c>
      <c r="B87" s="20">
        <f t="shared" si="5"/>
        <v>3291.6666666666665</v>
      </c>
      <c r="C87" s="20">
        <f t="shared" si="3"/>
        <v>400</v>
      </c>
      <c r="D87" s="20">
        <f>MAX('TANF-VIEW'!L88,'TANF-VIEW'!T88)</f>
        <v>0</v>
      </c>
      <c r="E87" s="20">
        <f t="shared" si="4"/>
        <v>3691.6666666666665</v>
      </c>
      <c r="F87" s="178">
        <f>IF(AND('Total income package'!$A$24=TRUE,E87&lt;$I$2),'Program specific data'!$B$119*WIC!$G$2,0)</f>
        <v>73.52</v>
      </c>
    </row>
    <row r="88" spans="1:6" x14ac:dyDescent="0.25">
      <c r="A88" s="19">
        <v>40000</v>
      </c>
      <c r="B88" s="20">
        <f t="shared" si="5"/>
        <v>3333.3333333333335</v>
      </c>
      <c r="C88" s="20">
        <f t="shared" si="3"/>
        <v>400</v>
      </c>
      <c r="D88" s="20">
        <f>MAX('TANF-VIEW'!L89,'TANF-VIEW'!T89)</f>
        <v>0</v>
      </c>
      <c r="E88" s="20">
        <f t="shared" si="4"/>
        <v>3733.3333333333335</v>
      </c>
      <c r="F88" s="178">
        <f>IF(AND('Total income package'!$A$24=TRUE,E88&lt;$I$2),'Program specific data'!$B$119*WIC!$G$2,0)</f>
        <v>73.52</v>
      </c>
    </row>
    <row r="89" spans="1:6" x14ac:dyDescent="0.25">
      <c r="A89" s="19">
        <v>40500</v>
      </c>
      <c r="B89" s="20">
        <f t="shared" si="5"/>
        <v>3375</v>
      </c>
      <c r="C89" s="20">
        <f t="shared" si="3"/>
        <v>400</v>
      </c>
      <c r="D89" s="20">
        <f>MAX('TANF-VIEW'!L90,'TANF-VIEW'!T90)</f>
        <v>0</v>
      </c>
      <c r="E89" s="20">
        <f t="shared" si="4"/>
        <v>3775</v>
      </c>
      <c r="F89" s="178">
        <f>IF(AND('Total income package'!$A$24=TRUE,E89&lt;$I$2),'Program specific data'!$B$119*WIC!$G$2,0)</f>
        <v>73.52</v>
      </c>
    </row>
    <row r="90" spans="1:6" x14ac:dyDescent="0.25">
      <c r="A90" s="19">
        <v>41000</v>
      </c>
      <c r="B90" s="20">
        <f t="shared" si="5"/>
        <v>3416.6666666666665</v>
      </c>
      <c r="C90" s="20">
        <f t="shared" si="3"/>
        <v>400</v>
      </c>
      <c r="D90" s="20">
        <f>MAX('TANF-VIEW'!L91,'TANF-VIEW'!T91)</f>
        <v>0</v>
      </c>
      <c r="E90" s="20">
        <f t="shared" si="4"/>
        <v>3816.6666666666665</v>
      </c>
      <c r="F90" s="178">
        <f>IF(AND('Total income package'!$A$24=TRUE,E90&lt;$I$2),'Program specific data'!$B$119*WIC!$G$2,0)</f>
        <v>73.52</v>
      </c>
    </row>
    <row r="91" spans="1:6" x14ac:dyDescent="0.25">
      <c r="A91" s="19">
        <v>41500</v>
      </c>
      <c r="B91" s="20">
        <f t="shared" si="5"/>
        <v>3458.3333333333335</v>
      </c>
      <c r="C91" s="20">
        <f t="shared" si="3"/>
        <v>400</v>
      </c>
      <c r="D91" s="20">
        <f>MAX('TANF-VIEW'!L92,'TANF-VIEW'!T92)</f>
        <v>0</v>
      </c>
      <c r="E91" s="20">
        <f t="shared" si="4"/>
        <v>3858.3333333333335</v>
      </c>
      <c r="F91" s="178">
        <f>IF(AND('Total income package'!$A$24=TRUE,E91&lt;$I$2),'Program specific data'!$B$119*WIC!$G$2,0)</f>
        <v>73.52</v>
      </c>
    </row>
    <row r="92" spans="1:6" x14ac:dyDescent="0.25">
      <c r="A92" s="19">
        <v>42000</v>
      </c>
      <c r="B92" s="20">
        <f t="shared" si="5"/>
        <v>3500</v>
      </c>
      <c r="C92" s="20">
        <f t="shared" si="3"/>
        <v>400</v>
      </c>
      <c r="D92" s="20">
        <f>MAX('TANF-VIEW'!L93,'TANF-VIEW'!T93)</f>
        <v>0</v>
      </c>
      <c r="E92" s="20">
        <f t="shared" si="4"/>
        <v>3900</v>
      </c>
      <c r="F92" s="178">
        <f>IF(AND('Total income package'!$A$24=TRUE,E92&lt;$I$2),'Program specific data'!$B$119*WIC!$G$2,0)</f>
        <v>73.52</v>
      </c>
    </row>
    <row r="93" spans="1:6" x14ac:dyDescent="0.25">
      <c r="A93" s="19">
        <v>42500</v>
      </c>
      <c r="B93" s="20">
        <f t="shared" si="5"/>
        <v>3541.6666666666665</v>
      </c>
      <c r="C93" s="20">
        <f t="shared" si="3"/>
        <v>400</v>
      </c>
      <c r="D93" s="20">
        <f>MAX('TANF-VIEW'!L94,'TANF-VIEW'!T94)</f>
        <v>0</v>
      </c>
      <c r="E93" s="20">
        <f t="shared" si="4"/>
        <v>3941.6666666666665</v>
      </c>
      <c r="F93" s="178">
        <f>IF(AND('Total income package'!$A$24=TRUE,E93&lt;$I$2),'Program specific data'!$B$119*WIC!$G$2,0)</f>
        <v>73.52</v>
      </c>
    </row>
    <row r="94" spans="1:6" x14ac:dyDescent="0.25">
      <c r="A94" s="19">
        <v>43000</v>
      </c>
      <c r="B94" s="20">
        <f t="shared" si="5"/>
        <v>3583.3333333333335</v>
      </c>
      <c r="C94" s="20">
        <f t="shared" si="3"/>
        <v>400</v>
      </c>
      <c r="D94" s="20">
        <f>MAX('TANF-VIEW'!L95,'TANF-VIEW'!T95)</f>
        <v>0</v>
      </c>
      <c r="E94" s="20">
        <f t="shared" si="4"/>
        <v>3983.3333333333335</v>
      </c>
      <c r="F94" s="178">
        <f>IF(AND('Total income package'!$A$24=TRUE,E94&lt;$I$2),'Program specific data'!$B$119*WIC!$G$2,0)</f>
        <v>73.52</v>
      </c>
    </row>
    <row r="95" spans="1:6" x14ac:dyDescent="0.25">
      <c r="A95" s="19">
        <v>43500</v>
      </c>
      <c r="B95" s="20">
        <f t="shared" si="5"/>
        <v>3625</v>
      </c>
      <c r="C95" s="20">
        <f t="shared" si="3"/>
        <v>400</v>
      </c>
      <c r="D95" s="20">
        <f>MAX('TANF-VIEW'!L96,'TANF-VIEW'!T96)</f>
        <v>0</v>
      </c>
      <c r="E95" s="20">
        <f t="shared" si="4"/>
        <v>4025</v>
      </c>
      <c r="F95" s="178">
        <f>IF(AND('Total income package'!$A$24=TRUE,E95&lt;$I$2),'Program specific data'!$B$119*WIC!$G$2,0)</f>
        <v>73.52</v>
      </c>
    </row>
    <row r="96" spans="1:6" x14ac:dyDescent="0.25">
      <c r="A96" s="19">
        <v>44000</v>
      </c>
      <c r="B96" s="20">
        <f t="shared" si="5"/>
        <v>3666.6666666666665</v>
      </c>
      <c r="C96" s="20">
        <f t="shared" si="3"/>
        <v>400</v>
      </c>
      <c r="D96" s="20">
        <f>MAX('TANF-VIEW'!L97,'TANF-VIEW'!T97)</f>
        <v>0</v>
      </c>
      <c r="E96" s="20">
        <f t="shared" si="4"/>
        <v>4066.6666666666665</v>
      </c>
      <c r="F96" s="178">
        <f>IF(AND('Total income package'!$A$24=TRUE,E96&lt;$I$2),'Program specific data'!$B$119*WIC!$G$2,0)</f>
        <v>73.52</v>
      </c>
    </row>
    <row r="97" spans="1:6" x14ac:dyDescent="0.25">
      <c r="A97" s="19">
        <v>44500</v>
      </c>
      <c r="B97" s="20">
        <f t="shared" si="5"/>
        <v>3708.3333333333335</v>
      </c>
      <c r="C97" s="20">
        <f t="shared" si="3"/>
        <v>400</v>
      </c>
      <c r="D97" s="20">
        <f>MAX('TANF-VIEW'!L98,'TANF-VIEW'!T98)</f>
        <v>0</v>
      </c>
      <c r="E97" s="20">
        <f t="shared" si="4"/>
        <v>4108.3333333333339</v>
      </c>
      <c r="F97" s="178">
        <f>IF(AND('Total income package'!$A$24=TRUE,E97&lt;$I$2),'Program specific data'!$B$119*WIC!$G$2,0)</f>
        <v>73.52</v>
      </c>
    </row>
    <row r="98" spans="1:6" x14ac:dyDescent="0.25">
      <c r="A98" s="19">
        <v>45000</v>
      </c>
      <c r="B98" s="20">
        <f t="shared" si="5"/>
        <v>3750</v>
      </c>
      <c r="C98" s="20">
        <f t="shared" si="3"/>
        <v>400</v>
      </c>
      <c r="D98" s="20">
        <f>MAX('TANF-VIEW'!L99,'TANF-VIEW'!T99)</f>
        <v>0</v>
      </c>
      <c r="E98" s="20">
        <f t="shared" si="4"/>
        <v>4150</v>
      </c>
      <c r="F98" s="178">
        <f>IF(AND('Total income package'!$A$24=TRUE,E98&lt;$I$2),'Program specific data'!$B$119*WIC!$G$2,0)</f>
        <v>73.52</v>
      </c>
    </row>
    <row r="99" spans="1:6" x14ac:dyDescent="0.25">
      <c r="A99" s="19">
        <v>45500</v>
      </c>
      <c r="B99" s="20">
        <f t="shared" si="5"/>
        <v>3791.6666666666665</v>
      </c>
      <c r="C99" s="20">
        <f t="shared" si="3"/>
        <v>400</v>
      </c>
      <c r="D99" s="20">
        <f>MAX('TANF-VIEW'!L100,'TANF-VIEW'!T100)</f>
        <v>0</v>
      </c>
      <c r="E99" s="20">
        <f t="shared" si="4"/>
        <v>4191.6666666666661</v>
      </c>
      <c r="F99" s="178">
        <f>IF(AND('Total income package'!$A$24=TRUE,E99&lt;$I$2),'Program specific data'!$B$119*WIC!$G$2,0)</f>
        <v>73.52</v>
      </c>
    </row>
    <row r="100" spans="1:6" x14ac:dyDescent="0.25">
      <c r="A100" s="19">
        <v>46000</v>
      </c>
      <c r="B100" s="20">
        <f t="shared" si="5"/>
        <v>3833.3333333333335</v>
      </c>
      <c r="C100" s="20">
        <f t="shared" si="3"/>
        <v>400</v>
      </c>
      <c r="D100" s="20">
        <f>MAX('TANF-VIEW'!L101,'TANF-VIEW'!T101)</f>
        <v>0</v>
      </c>
      <c r="E100" s="20">
        <f t="shared" si="4"/>
        <v>4233.3333333333339</v>
      </c>
      <c r="F100" s="178">
        <f>IF(AND('Total income package'!$A$24=TRUE,E100&lt;$I$2),'Program specific data'!$B$119*WIC!$G$2,0)</f>
        <v>73.52</v>
      </c>
    </row>
    <row r="101" spans="1:6" x14ac:dyDescent="0.25">
      <c r="A101" s="19">
        <v>46500</v>
      </c>
      <c r="B101" s="20">
        <f t="shared" si="5"/>
        <v>3875</v>
      </c>
      <c r="C101" s="20">
        <f t="shared" si="3"/>
        <v>400</v>
      </c>
      <c r="D101" s="20">
        <f>MAX('TANF-VIEW'!L102,'TANF-VIEW'!T102)</f>
        <v>0</v>
      </c>
      <c r="E101" s="20">
        <f t="shared" si="4"/>
        <v>4275</v>
      </c>
      <c r="F101" s="178">
        <f>IF(AND('Total income package'!$A$24=TRUE,E101&lt;$I$2),'Program specific data'!$B$119*WIC!$G$2,0)</f>
        <v>73.52</v>
      </c>
    </row>
    <row r="102" spans="1:6" x14ac:dyDescent="0.25">
      <c r="A102" s="19">
        <v>47000</v>
      </c>
      <c r="B102" s="20">
        <f t="shared" si="5"/>
        <v>3916.6666666666665</v>
      </c>
      <c r="C102" s="20">
        <f t="shared" si="3"/>
        <v>400</v>
      </c>
      <c r="D102" s="20">
        <f>MAX('TANF-VIEW'!L103,'TANF-VIEW'!T103)</f>
        <v>0</v>
      </c>
      <c r="E102" s="20">
        <f t="shared" si="4"/>
        <v>4316.6666666666661</v>
      </c>
      <c r="F102" s="178">
        <f>IF(AND('Total income package'!$A$24=TRUE,E102&lt;$I$2),'Program specific data'!$B$119*WIC!$G$2,0)</f>
        <v>73.52</v>
      </c>
    </row>
    <row r="103" spans="1:6" x14ac:dyDescent="0.25">
      <c r="A103" s="19">
        <v>47500</v>
      </c>
      <c r="B103" s="20">
        <f t="shared" si="5"/>
        <v>3958.3333333333335</v>
      </c>
      <c r="C103" s="20">
        <f t="shared" si="3"/>
        <v>400</v>
      </c>
      <c r="D103" s="20">
        <f>MAX('TANF-VIEW'!L104,'TANF-VIEW'!T104)</f>
        <v>0</v>
      </c>
      <c r="E103" s="20">
        <f t="shared" si="4"/>
        <v>4358.3333333333339</v>
      </c>
      <c r="F103" s="178">
        <f>IF(AND('Total income package'!$A$24=TRUE,E103&lt;$I$2),'Program specific data'!$B$119*WIC!$G$2,0)</f>
        <v>73.52</v>
      </c>
    </row>
    <row r="104" spans="1:6" x14ac:dyDescent="0.25">
      <c r="A104" s="19">
        <v>48000</v>
      </c>
      <c r="B104" s="20">
        <f t="shared" si="5"/>
        <v>4000</v>
      </c>
      <c r="C104" s="20">
        <f t="shared" si="3"/>
        <v>400</v>
      </c>
      <c r="D104" s="20">
        <f>MAX('TANF-VIEW'!L105,'TANF-VIEW'!T105)</f>
        <v>0</v>
      </c>
      <c r="E104" s="20">
        <f t="shared" si="4"/>
        <v>4400</v>
      </c>
      <c r="F104" s="178">
        <f>IF(AND('Total income package'!$A$24=TRUE,E104&lt;$I$2),'Program specific data'!$B$119*WIC!$G$2,0)</f>
        <v>73.52</v>
      </c>
    </row>
    <row r="105" spans="1:6" x14ac:dyDescent="0.25">
      <c r="A105" s="19">
        <v>48500</v>
      </c>
      <c r="B105" s="20">
        <f t="shared" si="5"/>
        <v>4041.6666666666665</v>
      </c>
      <c r="C105" s="20">
        <f t="shared" si="3"/>
        <v>400</v>
      </c>
      <c r="D105" s="20">
        <f>MAX('TANF-VIEW'!L106,'TANF-VIEW'!T106)</f>
        <v>0</v>
      </c>
      <c r="E105" s="20">
        <f t="shared" si="4"/>
        <v>4441.6666666666661</v>
      </c>
      <c r="F105" s="178">
        <f>IF(AND('Total income package'!$A$24=TRUE,E105&lt;$I$2),'Program specific data'!$B$119*WIC!$G$2,0)</f>
        <v>73.52</v>
      </c>
    </row>
    <row r="106" spans="1:6" x14ac:dyDescent="0.25">
      <c r="A106" s="19">
        <v>49000</v>
      </c>
      <c r="B106" s="20">
        <f t="shared" si="5"/>
        <v>4083.3333333333335</v>
      </c>
      <c r="C106" s="20">
        <f t="shared" si="3"/>
        <v>400</v>
      </c>
      <c r="D106" s="20">
        <f>MAX('TANF-VIEW'!L107,'TANF-VIEW'!T107)</f>
        <v>0</v>
      </c>
      <c r="E106" s="20">
        <f t="shared" si="4"/>
        <v>4483.3333333333339</v>
      </c>
      <c r="F106" s="178">
        <f>IF(AND('Total income package'!$A$24=TRUE,E106&lt;$I$2),'Program specific data'!$B$119*WIC!$G$2,0)</f>
        <v>73.52</v>
      </c>
    </row>
    <row r="107" spans="1:6" x14ac:dyDescent="0.25">
      <c r="A107" s="19">
        <v>49500</v>
      </c>
      <c r="B107" s="20">
        <f t="shared" si="5"/>
        <v>4125</v>
      </c>
      <c r="C107" s="20">
        <f t="shared" si="3"/>
        <v>400</v>
      </c>
      <c r="D107" s="20">
        <f>MAX('TANF-VIEW'!L108,'TANF-VIEW'!T108)</f>
        <v>0</v>
      </c>
      <c r="E107" s="20">
        <f t="shared" si="4"/>
        <v>4525</v>
      </c>
      <c r="F107" s="178">
        <f>IF(AND('Total income package'!$A$24=TRUE,E107&lt;$I$2),'Program specific data'!$B$119*WIC!$G$2,0)</f>
        <v>73.52</v>
      </c>
    </row>
    <row r="108" spans="1:6" x14ac:dyDescent="0.25">
      <c r="A108" s="19">
        <v>50000</v>
      </c>
      <c r="B108" s="20">
        <f t="shared" si="5"/>
        <v>4166.666666666667</v>
      </c>
      <c r="C108" s="20">
        <f t="shared" si="3"/>
        <v>400</v>
      </c>
      <c r="D108" s="20">
        <f>MAX('TANF-VIEW'!L109,'TANF-VIEW'!T109)</f>
        <v>0</v>
      </c>
      <c r="E108" s="20">
        <f t="shared" si="4"/>
        <v>4566.666666666667</v>
      </c>
      <c r="F108" s="178">
        <f>IF(AND('Total income package'!$A$24=TRUE,E108&lt;$I$2),'Program specific data'!$B$119*WIC!$G$2,0)</f>
        <v>73.52</v>
      </c>
    </row>
    <row r="109" spans="1:6" x14ac:dyDescent="0.25">
      <c r="A109" s="19">
        <v>50500</v>
      </c>
      <c r="B109" s="20">
        <f t="shared" si="5"/>
        <v>4208.333333333333</v>
      </c>
      <c r="C109" s="20">
        <f t="shared" si="3"/>
        <v>400</v>
      </c>
      <c r="D109" s="20">
        <f>MAX('TANF-VIEW'!L110,'TANF-VIEW'!T110)</f>
        <v>0</v>
      </c>
      <c r="E109" s="20">
        <f t="shared" si="4"/>
        <v>4608.333333333333</v>
      </c>
      <c r="F109" s="178">
        <f>IF(AND('Total income package'!$A$24=TRUE,E109&lt;$I$2),'Program specific data'!$B$119*WIC!$G$2,0)</f>
        <v>73.52</v>
      </c>
    </row>
    <row r="110" spans="1:6" x14ac:dyDescent="0.25">
      <c r="A110" s="19">
        <v>51000</v>
      </c>
      <c r="B110" s="20">
        <f t="shared" si="5"/>
        <v>4250</v>
      </c>
      <c r="C110" s="20">
        <f t="shared" si="3"/>
        <v>400</v>
      </c>
      <c r="D110" s="20">
        <f>MAX('TANF-VIEW'!L111,'TANF-VIEW'!T111)</f>
        <v>0</v>
      </c>
      <c r="E110" s="20">
        <f t="shared" si="4"/>
        <v>4650</v>
      </c>
      <c r="F110" s="178">
        <f>IF(AND('Total income package'!$A$24=TRUE,E110&lt;$I$2),'Program specific data'!$B$119*WIC!$G$2,0)</f>
        <v>73.52</v>
      </c>
    </row>
    <row r="111" spans="1:6" x14ac:dyDescent="0.25">
      <c r="A111" s="19">
        <v>51500</v>
      </c>
      <c r="B111" s="20">
        <f t="shared" si="5"/>
        <v>4291.666666666667</v>
      </c>
      <c r="C111" s="20">
        <f t="shared" si="3"/>
        <v>400</v>
      </c>
      <c r="D111" s="20">
        <f>MAX('TANF-VIEW'!L112,'TANF-VIEW'!T112)</f>
        <v>0</v>
      </c>
      <c r="E111" s="20">
        <f t="shared" si="4"/>
        <v>4691.666666666667</v>
      </c>
      <c r="F111" s="178">
        <f>IF(AND('Total income package'!$A$24=TRUE,E111&lt;$I$2),'Program specific data'!$B$119*WIC!$G$2,0)</f>
        <v>73.52</v>
      </c>
    </row>
    <row r="112" spans="1:6" x14ac:dyDescent="0.25">
      <c r="A112" s="19">
        <v>52000</v>
      </c>
      <c r="B112" s="20">
        <f t="shared" si="5"/>
        <v>4333.333333333333</v>
      </c>
      <c r="C112" s="20">
        <f t="shared" si="3"/>
        <v>400</v>
      </c>
      <c r="D112" s="20">
        <f>MAX('TANF-VIEW'!L113,'TANF-VIEW'!T113)</f>
        <v>0</v>
      </c>
      <c r="E112" s="20">
        <f t="shared" si="4"/>
        <v>4733.333333333333</v>
      </c>
      <c r="F112" s="178">
        <f>IF(AND('Total income package'!$A$24=TRUE,E112&lt;$I$2),'Program specific data'!$B$119*WIC!$G$2,0)</f>
        <v>73.52</v>
      </c>
    </row>
    <row r="113" spans="1:6" x14ac:dyDescent="0.25">
      <c r="A113" s="19">
        <v>52500</v>
      </c>
      <c r="B113" s="20">
        <f t="shared" si="5"/>
        <v>4375</v>
      </c>
      <c r="C113" s="20">
        <f t="shared" si="3"/>
        <v>400</v>
      </c>
      <c r="D113" s="20">
        <f>MAX('TANF-VIEW'!L114,'TANF-VIEW'!T114)</f>
        <v>0</v>
      </c>
      <c r="E113" s="20">
        <f t="shared" si="4"/>
        <v>4775</v>
      </c>
      <c r="F113" s="178">
        <f>IF(AND('Total income package'!$A$24=TRUE,E113&lt;$I$2),'Program specific data'!$B$119*WIC!$G$2,0)</f>
        <v>73.52</v>
      </c>
    </row>
    <row r="114" spans="1:6" x14ac:dyDescent="0.25">
      <c r="A114" s="19">
        <v>53000</v>
      </c>
      <c r="B114" s="20">
        <f t="shared" si="5"/>
        <v>4416.666666666667</v>
      </c>
      <c r="C114" s="20">
        <f t="shared" si="3"/>
        <v>400</v>
      </c>
      <c r="D114" s="20">
        <f>MAX('TANF-VIEW'!L115,'TANF-VIEW'!T115)</f>
        <v>0</v>
      </c>
      <c r="E114" s="20">
        <f t="shared" si="4"/>
        <v>4816.666666666667</v>
      </c>
      <c r="F114" s="178">
        <f>IF(AND('Total income package'!$A$24=TRUE,E114&lt;$I$2),'Program specific data'!$B$119*WIC!$G$2,0)</f>
        <v>73.52</v>
      </c>
    </row>
    <row r="115" spans="1:6" x14ac:dyDescent="0.25">
      <c r="A115" s="19">
        <v>53500</v>
      </c>
      <c r="B115" s="20">
        <f t="shared" si="5"/>
        <v>4458.333333333333</v>
      </c>
      <c r="C115" s="20">
        <f t="shared" si="3"/>
        <v>400</v>
      </c>
      <c r="D115" s="20">
        <f>MAX('TANF-VIEW'!L116,'TANF-VIEW'!T116)</f>
        <v>0</v>
      </c>
      <c r="E115" s="20">
        <f t="shared" si="4"/>
        <v>4858.333333333333</v>
      </c>
      <c r="F115" s="178">
        <f>IF(AND('Total income package'!$A$24=TRUE,E115&lt;$I$2),'Program specific data'!$B$119*WIC!$G$2,0)</f>
        <v>73.52</v>
      </c>
    </row>
    <row r="116" spans="1:6" x14ac:dyDescent="0.25">
      <c r="A116" s="19">
        <v>54000</v>
      </c>
      <c r="B116" s="20">
        <f t="shared" si="5"/>
        <v>4500</v>
      </c>
      <c r="C116" s="20">
        <f t="shared" si="3"/>
        <v>400</v>
      </c>
      <c r="D116" s="20">
        <f>MAX('TANF-VIEW'!L117,'TANF-VIEW'!T117)</f>
        <v>0</v>
      </c>
      <c r="E116" s="20">
        <f t="shared" si="4"/>
        <v>4900</v>
      </c>
      <c r="F116" s="178">
        <f>IF(AND('Total income package'!$A$24=TRUE,E116&lt;$I$2),'Program specific data'!$B$119*WIC!$G$2,0)</f>
        <v>73.52</v>
      </c>
    </row>
    <row r="117" spans="1:6" x14ac:dyDescent="0.25">
      <c r="A117" s="19">
        <v>54500</v>
      </c>
      <c r="B117" s="20">
        <f t="shared" si="5"/>
        <v>4541.666666666667</v>
      </c>
      <c r="C117" s="20">
        <f t="shared" si="3"/>
        <v>400</v>
      </c>
      <c r="D117" s="20">
        <f>MAX('TANF-VIEW'!L118,'TANF-VIEW'!T118)</f>
        <v>0</v>
      </c>
      <c r="E117" s="20">
        <f t="shared" si="4"/>
        <v>4941.666666666667</v>
      </c>
      <c r="F117" s="178">
        <f>IF(AND('Total income package'!$A$24=TRUE,E117&lt;$I$2),'Program specific data'!$B$119*WIC!$G$2,0)</f>
        <v>73.52</v>
      </c>
    </row>
    <row r="118" spans="1:6" x14ac:dyDescent="0.25">
      <c r="A118" s="19">
        <v>55000</v>
      </c>
      <c r="B118" s="20">
        <f t="shared" si="5"/>
        <v>4583.333333333333</v>
      </c>
      <c r="C118" s="20">
        <f t="shared" si="3"/>
        <v>400</v>
      </c>
      <c r="D118" s="20">
        <f>MAX('TANF-VIEW'!L119,'TANF-VIEW'!T119)</f>
        <v>0</v>
      </c>
      <c r="E118" s="20">
        <f t="shared" si="4"/>
        <v>4983.333333333333</v>
      </c>
      <c r="F118" s="178">
        <f>IF(AND('Total income package'!$A$24=TRUE,E118&lt;$I$2),'Program specific data'!$B$119*WIC!$G$2,0)</f>
        <v>73.52</v>
      </c>
    </row>
    <row r="119" spans="1:6" x14ac:dyDescent="0.25">
      <c r="A119" s="19">
        <v>55500</v>
      </c>
      <c r="B119" s="20">
        <f t="shared" si="5"/>
        <v>4625</v>
      </c>
      <c r="C119" s="20">
        <f t="shared" si="3"/>
        <v>400</v>
      </c>
      <c r="D119" s="20">
        <f>MAX('TANF-VIEW'!L120,'TANF-VIEW'!T120)</f>
        <v>0</v>
      </c>
      <c r="E119" s="20">
        <f t="shared" si="4"/>
        <v>5025</v>
      </c>
      <c r="F119" s="178">
        <f>IF(AND('Total income package'!$A$24=TRUE,E119&lt;$I$2),'Program specific data'!$B$119*WIC!$G$2,0)</f>
        <v>73.52</v>
      </c>
    </row>
    <row r="120" spans="1:6" x14ac:dyDescent="0.25">
      <c r="A120" s="19">
        <v>56000</v>
      </c>
      <c r="B120" s="20">
        <f t="shared" si="5"/>
        <v>4666.666666666667</v>
      </c>
      <c r="C120" s="20">
        <f t="shared" si="3"/>
        <v>400</v>
      </c>
      <c r="D120" s="20">
        <f>MAX('TANF-VIEW'!L121,'TANF-VIEW'!T121)</f>
        <v>0</v>
      </c>
      <c r="E120" s="20">
        <f t="shared" si="4"/>
        <v>5066.666666666667</v>
      </c>
      <c r="F120" s="178">
        <f>IF(AND('Total income package'!$A$24=TRUE,E120&lt;$I$2),'Program specific data'!$B$119*WIC!$G$2,0)</f>
        <v>73.52</v>
      </c>
    </row>
    <row r="121" spans="1:6" x14ac:dyDescent="0.25">
      <c r="A121" s="19">
        <v>56500</v>
      </c>
      <c r="B121" s="20">
        <f t="shared" si="5"/>
        <v>4708.333333333333</v>
      </c>
      <c r="C121" s="20">
        <f t="shared" si="3"/>
        <v>400</v>
      </c>
      <c r="D121" s="20">
        <f>MAX('TANF-VIEW'!L122,'TANF-VIEW'!T122)</f>
        <v>0</v>
      </c>
      <c r="E121" s="20">
        <f t="shared" si="4"/>
        <v>5108.333333333333</v>
      </c>
      <c r="F121" s="178">
        <f>IF(AND('Total income package'!$A$24=TRUE,E121&lt;$I$2),'Program specific data'!$B$119*WIC!$G$2,0)</f>
        <v>73.52</v>
      </c>
    </row>
    <row r="122" spans="1:6" x14ac:dyDescent="0.25">
      <c r="A122" s="19">
        <v>57000</v>
      </c>
      <c r="B122" s="20">
        <f t="shared" si="5"/>
        <v>4750</v>
      </c>
      <c r="C122" s="20">
        <f t="shared" si="3"/>
        <v>400</v>
      </c>
      <c r="D122" s="20">
        <f>MAX('TANF-VIEW'!L123,'TANF-VIEW'!T123)</f>
        <v>0</v>
      </c>
      <c r="E122" s="20">
        <f t="shared" si="4"/>
        <v>5150</v>
      </c>
      <c r="F122" s="178">
        <f>IF(AND('Total income package'!$A$24=TRUE,E122&lt;$I$2),'Program specific data'!$B$119*WIC!$G$2,0)</f>
        <v>73.52</v>
      </c>
    </row>
    <row r="123" spans="1:6" x14ac:dyDescent="0.25">
      <c r="A123" s="19">
        <v>57500</v>
      </c>
      <c r="B123" s="20">
        <f t="shared" si="5"/>
        <v>4791.666666666667</v>
      </c>
      <c r="C123" s="20">
        <f t="shared" si="3"/>
        <v>400</v>
      </c>
      <c r="D123" s="20">
        <f>MAX('TANF-VIEW'!L124,'TANF-VIEW'!T124)</f>
        <v>0</v>
      </c>
      <c r="E123" s="20">
        <f t="shared" si="4"/>
        <v>5191.666666666667</v>
      </c>
      <c r="F123" s="178">
        <f>IF(AND('Total income package'!$A$24=TRUE,E123&lt;$I$2),'Program specific data'!$B$119*WIC!$G$2,0)</f>
        <v>73.52</v>
      </c>
    </row>
    <row r="124" spans="1:6" x14ac:dyDescent="0.25">
      <c r="A124" s="19">
        <v>58000</v>
      </c>
      <c r="B124" s="20">
        <f t="shared" si="5"/>
        <v>4833.333333333333</v>
      </c>
      <c r="C124" s="20">
        <f t="shared" si="3"/>
        <v>400</v>
      </c>
      <c r="D124" s="20">
        <f>MAX('TANF-VIEW'!L125,'TANF-VIEW'!T125)</f>
        <v>0</v>
      </c>
      <c r="E124" s="20">
        <f t="shared" si="4"/>
        <v>5233.333333333333</v>
      </c>
      <c r="F124" s="178">
        <f>IF(AND('Total income package'!$A$24=TRUE,E124&lt;$I$2),'Program specific data'!$B$119*WIC!$G$2,0)</f>
        <v>73.52</v>
      </c>
    </row>
    <row r="125" spans="1:6" x14ac:dyDescent="0.25">
      <c r="A125" s="19">
        <v>58500</v>
      </c>
      <c r="B125" s="20">
        <f t="shared" si="5"/>
        <v>4875</v>
      </c>
      <c r="C125" s="20">
        <f t="shared" si="3"/>
        <v>400</v>
      </c>
      <c r="D125" s="20">
        <f>MAX('TANF-VIEW'!L126,'TANF-VIEW'!T126)</f>
        <v>0</v>
      </c>
      <c r="E125" s="20">
        <f t="shared" si="4"/>
        <v>5275</v>
      </c>
      <c r="F125" s="178">
        <f>IF(AND('Total income package'!$A$24=TRUE,E125&lt;$I$2),'Program specific data'!$B$119*WIC!$G$2,0)</f>
        <v>73.52</v>
      </c>
    </row>
    <row r="126" spans="1:6" x14ac:dyDescent="0.25">
      <c r="A126" s="19">
        <v>59000</v>
      </c>
      <c r="B126" s="20">
        <f t="shared" si="5"/>
        <v>4916.666666666667</v>
      </c>
      <c r="C126" s="20">
        <f t="shared" si="3"/>
        <v>400</v>
      </c>
      <c r="D126" s="20">
        <f>MAX('TANF-VIEW'!L127,'TANF-VIEW'!T127)</f>
        <v>0</v>
      </c>
      <c r="E126" s="20">
        <f t="shared" si="4"/>
        <v>5316.666666666667</v>
      </c>
      <c r="F126" s="178">
        <f>IF(AND('Total income package'!$A$24=TRUE,E126&lt;$I$2),'Program specific data'!$B$119*WIC!$G$2,0)</f>
        <v>73.52</v>
      </c>
    </row>
    <row r="127" spans="1:6" x14ac:dyDescent="0.25">
      <c r="A127" s="19">
        <v>59500</v>
      </c>
      <c r="B127" s="20">
        <f t="shared" si="5"/>
        <v>4958.333333333333</v>
      </c>
      <c r="C127" s="20">
        <f t="shared" si="3"/>
        <v>400</v>
      </c>
      <c r="D127" s="20">
        <f>MAX('TANF-VIEW'!L128,'TANF-VIEW'!T128)</f>
        <v>0</v>
      </c>
      <c r="E127" s="20">
        <f t="shared" si="4"/>
        <v>5358.333333333333</v>
      </c>
      <c r="F127" s="178">
        <f>IF(AND('Total income package'!$A$24=TRUE,E127&lt;$I$2),'Program specific data'!$B$119*WIC!$G$2,0)</f>
        <v>73.52</v>
      </c>
    </row>
    <row r="128" spans="1:6" x14ac:dyDescent="0.25">
      <c r="A128" s="19">
        <v>60000</v>
      </c>
      <c r="B128" s="20">
        <f t="shared" si="5"/>
        <v>5000</v>
      </c>
      <c r="C128" s="20">
        <f t="shared" si="3"/>
        <v>400</v>
      </c>
      <c r="D128" s="20">
        <f>MAX('TANF-VIEW'!L129,'TANF-VIEW'!T129)</f>
        <v>0</v>
      </c>
      <c r="E128" s="20">
        <f t="shared" si="4"/>
        <v>5400</v>
      </c>
      <c r="F128" s="178">
        <f>IF(AND('Total income package'!$A$24=TRUE,E128&lt;$I$2),'Program specific data'!$B$119*WIC!$G$2,0)</f>
        <v>73.52</v>
      </c>
    </row>
    <row r="129" spans="1:6" x14ac:dyDescent="0.25">
      <c r="A129" s="19">
        <v>60500</v>
      </c>
      <c r="B129" s="20">
        <f t="shared" si="5"/>
        <v>5041.666666666667</v>
      </c>
      <c r="C129" s="20">
        <f t="shared" si="3"/>
        <v>400</v>
      </c>
      <c r="D129" s="20">
        <f>MAX('TANF-VIEW'!L130,'TANF-VIEW'!T130)</f>
        <v>0</v>
      </c>
      <c r="E129" s="20">
        <f t="shared" si="4"/>
        <v>5441.666666666667</v>
      </c>
      <c r="F129" s="178">
        <f>IF(AND('Total income package'!$A$24=TRUE,E129&lt;$I$2),'Program specific data'!$B$119*WIC!$G$2,0)</f>
        <v>73.52</v>
      </c>
    </row>
    <row r="130" spans="1:6" x14ac:dyDescent="0.25">
      <c r="A130" s="19">
        <v>61000</v>
      </c>
      <c r="B130" s="20">
        <f t="shared" si="5"/>
        <v>5083.333333333333</v>
      </c>
      <c r="C130" s="20">
        <f t="shared" si="3"/>
        <v>400</v>
      </c>
      <c r="D130" s="20">
        <f>MAX('TANF-VIEW'!L131,'TANF-VIEW'!T131)</f>
        <v>0</v>
      </c>
      <c r="E130" s="20">
        <f t="shared" si="4"/>
        <v>5483.333333333333</v>
      </c>
      <c r="F130" s="178">
        <f>IF(AND('Total income package'!$A$24=TRUE,E130&lt;$I$2),'Program specific data'!$B$119*WIC!$G$2,0)</f>
        <v>73.52</v>
      </c>
    </row>
    <row r="131" spans="1:6" x14ac:dyDescent="0.25">
      <c r="A131" s="19">
        <v>61500</v>
      </c>
      <c r="B131" s="20">
        <f t="shared" si="5"/>
        <v>5125</v>
      </c>
      <c r="C131" s="20">
        <f t="shared" si="3"/>
        <v>400</v>
      </c>
      <c r="D131" s="20">
        <f>MAX('TANF-VIEW'!L132,'TANF-VIEW'!T132)</f>
        <v>0</v>
      </c>
      <c r="E131" s="20">
        <f t="shared" si="4"/>
        <v>5525</v>
      </c>
      <c r="F131" s="178">
        <f>IF(AND('Total income package'!$A$24=TRUE,E131&lt;$I$2),'Program specific data'!$B$119*WIC!$G$2,0)</f>
        <v>73.52</v>
      </c>
    </row>
    <row r="132" spans="1:6" x14ac:dyDescent="0.25">
      <c r="A132" s="19">
        <v>62000</v>
      </c>
      <c r="B132" s="20">
        <f t="shared" si="5"/>
        <v>5166.666666666667</v>
      </c>
      <c r="C132" s="20">
        <f t="shared" si="3"/>
        <v>400</v>
      </c>
      <c r="D132" s="20">
        <f>MAX('TANF-VIEW'!L133,'TANF-VIEW'!T133)</f>
        <v>0</v>
      </c>
      <c r="E132" s="20">
        <f t="shared" si="4"/>
        <v>5566.666666666667</v>
      </c>
      <c r="F132" s="178">
        <f>IF(AND('Total income package'!$A$24=TRUE,E132&lt;$I$2),'Program specific data'!$B$119*WIC!$G$2,0)</f>
        <v>73.52</v>
      </c>
    </row>
    <row r="133" spans="1:6" x14ac:dyDescent="0.25">
      <c r="A133" s="19">
        <v>62500</v>
      </c>
      <c r="B133" s="20">
        <f t="shared" si="5"/>
        <v>5208.333333333333</v>
      </c>
      <c r="C133" s="20">
        <f t="shared" si="3"/>
        <v>400</v>
      </c>
      <c r="D133" s="20">
        <f>MAX('TANF-VIEW'!L134,'TANF-VIEW'!T134)</f>
        <v>0</v>
      </c>
      <c r="E133" s="20">
        <f t="shared" si="4"/>
        <v>5608.333333333333</v>
      </c>
      <c r="F133" s="178">
        <f>IF(AND('Total income package'!$A$24=TRUE,E133&lt;$I$2),'Program specific data'!$B$119*WIC!$G$2,0)</f>
        <v>73.52</v>
      </c>
    </row>
    <row r="134" spans="1:6" x14ac:dyDescent="0.25">
      <c r="A134" s="19">
        <v>63000</v>
      </c>
      <c r="B134" s="20">
        <f t="shared" si="5"/>
        <v>5250</v>
      </c>
      <c r="C134" s="20">
        <f t="shared" si="3"/>
        <v>400</v>
      </c>
      <c r="D134" s="20">
        <f>MAX('TANF-VIEW'!L135,'TANF-VIEW'!T135)</f>
        <v>0</v>
      </c>
      <c r="E134" s="20">
        <f t="shared" si="4"/>
        <v>5650</v>
      </c>
      <c r="F134" s="178">
        <f>IF(AND('Total income package'!$A$24=TRUE,E134&lt;$I$2),'Program specific data'!$B$119*WIC!$G$2,0)</f>
        <v>73.52</v>
      </c>
    </row>
    <row r="135" spans="1:6" x14ac:dyDescent="0.25">
      <c r="A135" s="19">
        <v>63500</v>
      </c>
      <c r="B135" s="20">
        <f t="shared" si="5"/>
        <v>5291.666666666667</v>
      </c>
      <c r="C135" s="20">
        <f t="shared" si="3"/>
        <v>400</v>
      </c>
      <c r="D135" s="20">
        <f>MAX('TANF-VIEW'!L136,'TANF-VIEW'!T136)</f>
        <v>0</v>
      </c>
      <c r="E135" s="20">
        <f t="shared" si="4"/>
        <v>5691.666666666667</v>
      </c>
      <c r="F135" s="178">
        <f>IF(AND('Total income package'!$A$24=TRUE,E135&lt;$I$2),'Program specific data'!$B$119*WIC!$G$2,0)</f>
        <v>73.52</v>
      </c>
    </row>
    <row r="136" spans="1:6" x14ac:dyDescent="0.25">
      <c r="A136" s="19">
        <v>64000</v>
      </c>
      <c r="B136" s="20">
        <f t="shared" si="5"/>
        <v>5333.333333333333</v>
      </c>
      <c r="C136" s="20">
        <f t="shared" si="3"/>
        <v>400</v>
      </c>
      <c r="D136" s="20">
        <f>MAX('TANF-VIEW'!L137,'TANF-VIEW'!T137)</f>
        <v>0</v>
      </c>
      <c r="E136" s="20">
        <f t="shared" si="4"/>
        <v>5733.333333333333</v>
      </c>
      <c r="F136" s="178">
        <f>IF(AND('Total income package'!$A$24=TRUE,E136&lt;$I$2),'Program specific data'!$B$119*WIC!$G$2,0)</f>
        <v>73.52</v>
      </c>
    </row>
    <row r="137" spans="1:6" x14ac:dyDescent="0.25">
      <c r="A137" s="19">
        <v>64500</v>
      </c>
      <c r="B137" s="20">
        <f t="shared" si="5"/>
        <v>5375</v>
      </c>
      <c r="C137" s="20">
        <f t="shared" ref="C137:C200" si="6">$H$2</f>
        <v>400</v>
      </c>
      <c r="D137" s="20">
        <f>MAX('TANF-VIEW'!L138,'TANF-VIEW'!T138)</f>
        <v>0</v>
      </c>
      <c r="E137" s="20">
        <f t="shared" ref="E137:E200" si="7">B137+C137+D137</f>
        <v>5775</v>
      </c>
      <c r="F137" s="178">
        <f>IF(AND('Total income package'!$A$24=TRUE,E137&lt;$I$2),'Program specific data'!$B$119*WIC!$G$2,0)</f>
        <v>73.52</v>
      </c>
    </row>
    <row r="138" spans="1:6" x14ac:dyDescent="0.25">
      <c r="A138" s="19">
        <v>65000</v>
      </c>
      <c r="B138" s="20">
        <f t="shared" ref="B138:B201" si="8">A138/12</f>
        <v>5416.666666666667</v>
      </c>
      <c r="C138" s="20">
        <f t="shared" si="6"/>
        <v>400</v>
      </c>
      <c r="D138" s="20">
        <f>MAX('TANF-VIEW'!L139,'TANF-VIEW'!T139)</f>
        <v>0</v>
      </c>
      <c r="E138" s="20">
        <f t="shared" si="7"/>
        <v>5816.666666666667</v>
      </c>
      <c r="F138" s="178">
        <f>IF(AND('Total income package'!$A$24=TRUE,E138&lt;$I$2),'Program specific data'!$B$119*WIC!$G$2,0)</f>
        <v>0</v>
      </c>
    </row>
    <row r="139" spans="1:6" x14ac:dyDescent="0.25">
      <c r="A139" s="19">
        <v>65500</v>
      </c>
      <c r="B139" s="20">
        <f t="shared" si="8"/>
        <v>5458.333333333333</v>
      </c>
      <c r="C139" s="20">
        <f t="shared" si="6"/>
        <v>400</v>
      </c>
      <c r="D139" s="20">
        <f>MAX('TANF-VIEW'!L140,'TANF-VIEW'!T140)</f>
        <v>0</v>
      </c>
      <c r="E139" s="20">
        <f t="shared" si="7"/>
        <v>5858.333333333333</v>
      </c>
      <c r="F139" s="178">
        <f>IF(AND('Total income package'!$A$24=TRUE,E139&lt;$I$2),'Program specific data'!$B$119*WIC!$G$2,0)</f>
        <v>0</v>
      </c>
    </row>
    <row r="140" spans="1:6" x14ac:dyDescent="0.25">
      <c r="A140" s="19">
        <v>66000</v>
      </c>
      <c r="B140" s="20">
        <f t="shared" si="8"/>
        <v>5500</v>
      </c>
      <c r="C140" s="20">
        <f t="shared" si="6"/>
        <v>400</v>
      </c>
      <c r="D140" s="20">
        <f>MAX('TANF-VIEW'!L141,'TANF-VIEW'!T141)</f>
        <v>0</v>
      </c>
      <c r="E140" s="20">
        <f t="shared" si="7"/>
        <v>5900</v>
      </c>
      <c r="F140" s="178">
        <f>IF(AND('Total income package'!$A$24=TRUE,E140&lt;$I$2),'Program specific data'!$B$119*WIC!$G$2,0)</f>
        <v>0</v>
      </c>
    </row>
    <row r="141" spans="1:6" x14ac:dyDescent="0.25">
      <c r="A141" s="19">
        <v>66500</v>
      </c>
      <c r="B141" s="20">
        <f t="shared" si="8"/>
        <v>5541.666666666667</v>
      </c>
      <c r="C141" s="20">
        <f t="shared" si="6"/>
        <v>400</v>
      </c>
      <c r="D141" s="20">
        <f>MAX('TANF-VIEW'!L142,'TANF-VIEW'!T142)</f>
        <v>0</v>
      </c>
      <c r="E141" s="20">
        <f t="shared" si="7"/>
        <v>5941.666666666667</v>
      </c>
      <c r="F141" s="178">
        <f>IF(AND('Total income package'!$A$24=TRUE,E141&lt;$I$2),'Program specific data'!$B$119*WIC!$G$2,0)</f>
        <v>0</v>
      </c>
    </row>
    <row r="142" spans="1:6" x14ac:dyDescent="0.25">
      <c r="A142" s="19">
        <v>67000</v>
      </c>
      <c r="B142" s="20">
        <f t="shared" si="8"/>
        <v>5583.333333333333</v>
      </c>
      <c r="C142" s="20">
        <f t="shared" si="6"/>
        <v>400</v>
      </c>
      <c r="D142" s="20">
        <f>MAX('TANF-VIEW'!L143,'TANF-VIEW'!T143)</f>
        <v>0</v>
      </c>
      <c r="E142" s="20">
        <f t="shared" si="7"/>
        <v>5983.333333333333</v>
      </c>
      <c r="F142" s="178">
        <f>IF(AND('Total income package'!$A$24=TRUE,E142&lt;$I$2),'Program specific data'!$B$119*WIC!$G$2,0)</f>
        <v>0</v>
      </c>
    </row>
    <row r="143" spans="1:6" x14ac:dyDescent="0.25">
      <c r="A143" s="19">
        <v>67500</v>
      </c>
      <c r="B143" s="20">
        <f t="shared" si="8"/>
        <v>5625</v>
      </c>
      <c r="C143" s="20">
        <f t="shared" si="6"/>
        <v>400</v>
      </c>
      <c r="D143" s="20">
        <f>MAX('TANF-VIEW'!L144,'TANF-VIEW'!T144)</f>
        <v>0</v>
      </c>
      <c r="E143" s="20">
        <f t="shared" si="7"/>
        <v>6025</v>
      </c>
      <c r="F143" s="178">
        <f>IF(AND('Total income package'!$A$24=TRUE,E143&lt;$I$2),'Program specific data'!$B$119*WIC!$G$2,0)</f>
        <v>0</v>
      </c>
    </row>
    <row r="144" spans="1:6" x14ac:dyDescent="0.25">
      <c r="A144" s="19">
        <v>68000</v>
      </c>
      <c r="B144" s="20">
        <f t="shared" si="8"/>
        <v>5666.666666666667</v>
      </c>
      <c r="C144" s="20">
        <f t="shared" si="6"/>
        <v>400</v>
      </c>
      <c r="D144" s="20">
        <f>MAX('TANF-VIEW'!L145,'TANF-VIEW'!T145)</f>
        <v>0</v>
      </c>
      <c r="E144" s="20">
        <f t="shared" si="7"/>
        <v>6066.666666666667</v>
      </c>
      <c r="F144" s="178">
        <f>IF(AND('Total income package'!$A$24=TRUE,E144&lt;$I$2),'Program specific data'!$B$119*WIC!$G$2,0)</f>
        <v>0</v>
      </c>
    </row>
    <row r="145" spans="1:6" x14ac:dyDescent="0.25">
      <c r="A145" s="19">
        <v>68500</v>
      </c>
      <c r="B145" s="20">
        <f t="shared" si="8"/>
        <v>5708.333333333333</v>
      </c>
      <c r="C145" s="20">
        <f t="shared" si="6"/>
        <v>400</v>
      </c>
      <c r="D145" s="20">
        <f>MAX('TANF-VIEW'!L146,'TANF-VIEW'!T146)</f>
        <v>0</v>
      </c>
      <c r="E145" s="20">
        <f t="shared" si="7"/>
        <v>6108.333333333333</v>
      </c>
      <c r="F145" s="178">
        <f>IF(AND('Total income package'!$A$24=TRUE,E145&lt;$I$2),'Program specific data'!$B$119*WIC!$G$2,0)</f>
        <v>0</v>
      </c>
    </row>
    <row r="146" spans="1:6" x14ac:dyDescent="0.25">
      <c r="A146" s="19">
        <v>69000</v>
      </c>
      <c r="B146" s="20">
        <f t="shared" si="8"/>
        <v>5750</v>
      </c>
      <c r="C146" s="20">
        <f t="shared" si="6"/>
        <v>400</v>
      </c>
      <c r="D146" s="20">
        <f>MAX('TANF-VIEW'!L147,'TANF-VIEW'!T147)</f>
        <v>0</v>
      </c>
      <c r="E146" s="20">
        <f t="shared" si="7"/>
        <v>6150</v>
      </c>
      <c r="F146" s="178">
        <f>IF(AND('Total income package'!$A$24=TRUE,E146&lt;$I$2),'Program specific data'!$B$119*WIC!$G$2,0)</f>
        <v>0</v>
      </c>
    </row>
    <row r="147" spans="1:6" x14ac:dyDescent="0.25">
      <c r="A147" s="19">
        <v>69500</v>
      </c>
      <c r="B147" s="20">
        <f t="shared" si="8"/>
        <v>5791.666666666667</v>
      </c>
      <c r="C147" s="20">
        <f t="shared" si="6"/>
        <v>400</v>
      </c>
      <c r="D147" s="20">
        <f>MAX('TANF-VIEW'!L148,'TANF-VIEW'!T148)</f>
        <v>0</v>
      </c>
      <c r="E147" s="20">
        <f t="shared" si="7"/>
        <v>6191.666666666667</v>
      </c>
      <c r="F147" s="178">
        <f>IF(AND('Total income package'!$A$24=TRUE,E147&lt;$I$2),'Program specific data'!$B$119*WIC!$G$2,0)</f>
        <v>0</v>
      </c>
    </row>
    <row r="148" spans="1:6" x14ac:dyDescent="0.25">
      <c r="A148" s="19">
        <v>70000</v>
      </c>
      <c r="B148" s="20">
        <f t="shared" si="8"/>
        <v>5833.333333333333</v>
      </c>
      <c r="C148" s="20">
        <f t="shared" si="6"/>
        <v>400</v>
      </c>
      <c r="D148" s="20">
        <f>MAX('TANF-VIEW'!L149,'TANF-VIEW'!T149)</f>
        <v>0</v>
      </c>
      <c r="E148" s="20">
        <f t="shared" si="7"/>
        <v>6233.333333333333</v>
      </c>
      <c r="F148" s="178">
        <f>IF(AND('Total income package'!$A$24=TRUE,E148&lt;$I$2),'Program specific data'!$B$119*WIC!$G$2,0)</f>
        <v>0</v>
      </c>
    </row>
    <row r="149" spans="1:6" x14ac:dyDescent="0.25">
      <c r="A149" s="19">
        <v>70500</v>
      </c>
      <c r="B149" s="20">
        <f t="shared" si="8"/>
        <v>5875</v>
      </c>
      <c r="C149" s="20">
        <f t="shared" si="6"/>
        <v>400</v>
      </c>
      <c r="D149" s="20">
        <f>MAX('TANF-VIEW'!L150,'TANF-VIEW'!T150)</f>
        <v>0</v>
      </c>
      <c r="E149" s="20">
        <f t="shared" si="7"/>
        <v>6275</v>
      </c>
      <c r="F149" s="178">
        <f>IF(AND('Total income package'!$A$24=TRUE,E149&lt;$I$2),'Program specific data'!$B$119*WIC!$G$2,0)</f>
        <v>0</v>
      </c>
    </row>
    <row r="150" spans="1:6" x14ac:dyDescent="0.25">
      <c r="A150" s="19">
        <v>71000</v>
      </c>
      <c r="B150" s="20">
        <f t="shared" si="8"/>
        <v>5916.666666666667</v>
      </c>
      <c r="C150" s="20">
        <f t="shared" si="6"/>
        <v>400</v>
      </c>
      <c r="D150" s="20">
        <f>MAX('TANF-VIEW'!L151,'TANF-VIEW'!T151)</f>
        <v>0</v>
      </c>
      <c r="E150" s="20">
        <f t="shared" si="7"/>
        <v>6316.666666666667</v>
      </c>
      <c r="F150" s="178">
        <f>IF(AND('Total income package'!$A$24=TRUE,E150&lt;$I$2),'Program specific data'!$B$119*WIC!$G$2,0)</f>
        <v>0</v>
      </c>
    </row>
    <row r="151" spans="1:6" x14ac:dyDescent="0.25">
      <c r="A151" s="19">
        <v>71500</v>
      </c>
      <c r="B151" s="20">
        <f t="shared" si="8"/>
        <v>5958.333333333333</v>
      </c>
      <c r="C151" s="20">
        <f t="shared" si="6"/>
        <v>400</v>
      </c>
      <c r="D151" s="20">
        <f>MAX('TANF-VIEW'!L152,'TANF-VIEW'!T152)</f>
        <v>0</v>
      </c>
      <c r="E151" s="20">
        <f t="shared" si="7"/>
        <v>6358.333333333333</v>
      </c>
      <c r="F151" s="178">
        <f>IF(AND('Total income package'!$A$24=TRUE,E151&lt;$I$2),'Program specific data'!$B$119*WIC!$G$2,0)</f>
        <v>0</v>
      </c>
    </row>
    <row r="152" spans="1:6" x14ac:dyDescent="0.25">
      <c r="A152" s="19">
        <v>72000</v>
      </c>
      <c r="B152" s="20">
        <f t="shared" si="8"/>
        <v>6000</v>
      </c>
      <c r="C152" s="20">
        <f t="shared" si="6"/>
        <v>400</v>
      </c>
      <c r="D152" s="20">
        <f>MAX('TANF-VIEW'!L153,'TANF-VIEW'!T153)</f>
        <v>0</v>
      </c>
      <c r="E152" s="20">
        <f t="shared" si="7"/>
        <v>6400</v>
      </c>
      <c r="F152" s="178">
        <f>IF(AND('Total income package'!$A$24=TRUE,E152&lt;$I$2),'Program specific data'!$B$119*WIC!$G$2,0)</f>
        <v>0</v>
      </c>
    </row>
    <row r="153" spans="1:6" x14ac:dyDescent="0.25">
      <c r="A153" s="19">
        <v>72500</v>
      </c>
      <c r="B153" s="20">
        <f t="shared" si="8"/>
        <v>6041.666666666667</v>
      </c>
      <c r="C153" s="20">
        <f t="shared" si="6"/>
        <v>400</v>
      </c>
      <c r="D153" s="20">
        <f>MAX('TANF-VIEW'!L154,'TANF-VIEW'!T154)</f>
        <v>0</v>
      </c>
      <c r="E153" s="20">
        <f t="shared" si="7"/>
        <v>6441.666666666667</v>
      </c>
      <c r="F153" s="178">
        <f>IF(AND('Total income package'!$A$24=TRUE,E153&lt;$I$2),'Program specific data'!$B$119*WIC!$G$2,0)</f>
        <v>0</v>
      </c>
    </row>
    <row r="154" spans="1:6" x14ac:dyDescent="0.25">
      <c r="A154" s="19">
        <v>73000</v>
      </c>
      <c r="B154" s="20">
        <f t="shared" si="8"/>
        <v>6083.333333333333</v>
      </c>
      <c r="C154" s="20">
        <f t="shared" si="6"/>
        <v>400</v>
      </c>
      <c r="D154" s="20">
        <f>MAX('TANF-VIEW'!L155,'TANF-VIEW'!T155)</f>
        <v>0</v>
      </c>
      <c r="E154" s="20">
        <f t="shared" si="7"/>
        <v>6483.333333333333</v>
      </c>
      <c r="F154" s="178">
        <f>IF(AND('Total income package'!$A$24=TRUE,E154&lt;$I$2),'Program specific data'!$B$119*WIC!$G$2,0)</f>
        <v>0</v>
      </c>
    </row>
    <row r="155" spans="1:6" x14ac:dyDescent="0.25">
      <c r="A155" s="19">
        <v>73500</v>
      </c>
      <c r="B155" s="20">
        <f t="shared" si="8"/>
        <v>6125</v>
      </c>
      <c r="C155" s="20">
        <f t="shared" si="6"/>
        <v>400</v>
      </c>
      <c r="D155" s="20">
        <f>MAX('TANF-VIEW'!L156,'TANF-VIEW'!T156)</f>
        <v>0</v>
      </c>
      <c r="E155" s="20">
        <f t="shared" si="7"/>
        <v>6525</v>
      </c>
      <c r="F155" s="178">
        <f>IF(AND('Total income package'!$A$24=TRUE,E155&lt;$I$2),'Program specific data'!$B$119*WIC!$G$2,0)</f>
        <v>0</v>
      </c>
    </row>
    <row r="156" spans="1:6" x14ac:dyDescent="0.25">
      <c r="A156" s="19">
        <v>74000</v>
      </c>
      <c r="B156" s="20">
        <f t="shared" si="8"/>
        <v>6166.666666666667</v>
      </c>
      <c r="C156" s="20">
        <f t="shared" si="6"/>
        <v>400</v>
      </c>
      <c r="D156" s="20">
        <f>MAX('TANF-VIEW'!L157,'TANF-VIEW'!T157)</f>
        <v>0</v>
      </c>
      <c r="E156" s="20">
        <f t="shared" si="7"/>
        <v>6566.666666666667</v>
      </c>
      <c r="F156" s="178">
        <f>IF(AND('Total income package'!$A$24=TRUE,E156&lt;$I$2),'Program specific data'!$B$119*WIC!$G$2,0)</f>
        <v>0</v>
      </c>
    </row>
    <row r="157" spans="1:6" x14ac:dyDescent="0.25">
      <c r="A157" s="19">
        <v>74500</v>
      </c>
      <c r="B157" s="20">
        <f t="shared" si="8"/>
        <v>6208.333333333333</v>
      </c>
      <c r="C157" s="20">
        <f t="shared" si="6"/>
        <v>400</v>
      </c>
      <c r="D157" s="20">
        <f>MAX('TANF-VIEW'!L158,'TANF-VIEW'!T158)</f>
        <v>0</v>
      </c>
      <c r="E157" s="20">
        <f t="shared" si="7"/>
        <v>6608.333333333333</v>
      </c>
      <c r="F157" s="178">
        <f>IF(AND('Total income package'!$A$24=TRUE,E157&lt;$I$2),'Program specific data'!$B$119*WIC!$G$2,0)</f>
        <v>0</v>
      </c>
    </row>
    <row r="158" spans="1:6" x14ac:dyDescent="0.25">
      <c r="A158" s="19">
        <v>75000</v>
      </c>
      <c r="B158" s="20">
        <f t="shared" si="8"/>
        <v>6250</v>
      </c>
      <c r="C158" s="20">
        <f t="shared" si="6"/>
        <v>400</v>
      </c>
      <c r="D158" s="20">
        <f>MAX('TANF-VIEW'!L159,'TANF-VIEW'!T159)</f>
        <v>0</v>
      </c>
      <c r="E158" s="20">
        <f t="shared" si="7"/>
        <v>6650</v>
      </c>
      <c r="F158" s="178">
        <f>IF(AND('Total income package'!$A$24=TRUE,E158&lt;$I$2),'Program specific data'!$B$119*WIC!$G$2,0)</f>
        <v>0</v>
      </c>
    </row>
    <row r="159" spans="1:6" x14ac:dyDescent="0.25">
      <c r="A159" s="19">
        <v>75500</v>
      </c>
      <c r="B159" s="20">
        <f t="shared" si="8"/>
        <v>6291.666666666667</v>
      </c>
      <c r="C159" s="20">
        <f t="shared" si="6"/>
        <v>400</v>
      </c>
      <c r="D159" s="20">
        <f>MAX('TANF-VIEW'!L160,'TANF-VIEW'!T160)</f>
        <v>0</v>
      </c>
      <c r="E159" s="20">
        <f t="shared" si="7"/>
        <v>6691.666666666667</v>
      </c>
      <c r="F159" s="178">
        <f>IF(AND('Total income package'!$A$24=TRUE,E159&lt;$I$2),'Program specific data'!$B$119*WIC!$G$2,0)</f>
        <v>0</v>
      </c>
    </row>
    <row r="160" spans="1:6" x14ac:dyDescent="0.25">
      <c r="A160" s="19">
        <v>76000</v>
      </c>
      <c r="B160" s="20">
        <f t="shared" si="8"/>
        <v>6333.333333333333</v>
      </c>
      <c r="C160" s="20">
        <f t="shared" si="6"/>
        <v>400</v>
      </c>
      <c r="D160" s="20">
        <f>MAX('TANF-VIEW'!L161,'TANF-VIEW'!T161)</f>
        <v>0</v>
      </c>
      <c r="E160" s="20">
        <f t="shared" si="7"/>
        <v>6733.333333333333</v>
      </c>
      <c r="F160" s="178">
        <f>IF(AND('Total income package'!$A$24=TRUE,E160&lt;$I$2),'Program specific data'!$B$119*WIC!$G$2,0)</f>
        <v>0</v>
      </c>
    </row>
    <row r="161" spans="1:6" x14ac:dyDescent="0.25">
      <c r="A161" s="19">
        <v>76500</v>
      </c>
      <c r="B161" s="20">
        <f t="shared" si="8"/>
        <v>6375</v>
      </c>
      <c r="C161" s="20">
        <f t="shared" si="6"/>
        <v>400</v>
      </c>
      <c r="D161" s="20">
        <f>MAX('TANF-VIEW'!L162,'TANF-VIEW'!T162)</f>
        <v>0</v>
      </c>
      <c r="E161" s="20">
        <f t="shared" si="7"/>
        <v>6775</v>
      </c>
      <c r="F161" s="178">
        <f>IF(AND('Total income package'!$A$24=TRUE,E161&lt;$I$2),'Program specific data'!$B$119*WIC!$G$2,0)</f>
        <v>0</v>
      </c>
    </row>
    <row r="162" spans="1:6" x14ac:dyDescent="0.25">
      <c r="A162" s="19">
        <v>77000</v>
      </c>
      <c r="B162" s="20">
        <f t="shared" si="8"/>
        <v>6416.666666666667</v>
      </c>
      <c r="C162" s="20">
        <f t="shared" si="6"/>
        <v>400</v>
      </c>
      <c r="D162" s="20">
        <f>MAX('TANF-VIEW'!L163,'TANF-VIEW'!T163)</f>
        <v>0</v>
      </c>
      <c r="E162" s="20">
        <f t="shared" si="7"/>
        <v>6816.666666666667</v>
      </c>
      <c r="F162" s="178">
        <f>IF(AND('Total income package'!$A$24=TRUE,E162&lt;$I$2),'Program specific data'!$B$119*WIC!$G$2,0)</f>
        <v>0</v>
      </c>
    </row>
    <row r="163" spans="1:6" x14ac:dyDescent="0.25">
      <c r="A163" s="19">
        <v>77500</v>
      </c>
      <c r="B163" s="20">
        <f t="shared" si="8"/>
        <v>6458.333333333333</v>
      </c>
      <c r="C163" s="20">
        <f t="shared" si="6"/>
        <v>400</v>
      </c>
      <c r="D163" s="20">
        <f>MAX('TANF-VIEW'!L164,'TANF-VIEW'!T164)</f>
        <v>0</v>
      </c>
      <c r="E163" s="20">
        <f t="shared" si="7"/>
        <v>6858.333333333333</v>
      </c>
      <c r="F163" s="178">
        <f>IF(AND('Total income package'!$A$24=TRUE,E163&lt;$I$2),'Program specific data'!$B$119*WIC!$G$2,0)</f>
        <v>0</v>
      </c>
    </row>
    <row r="164" spans="1:6" x14ac:dyDescent="0.25">
      <c r="A164" s="19">
        <v>78000</v>
      </c>
      <c r="B164" s="20">
        <f t="shared" si="8"/>
        <v>6500</v>
      </c>
      <c r="C164" s="20">
        <f t="shared" si="6"/>
        <v>400</v>
      </c>
      <c r="D164" s="20">
        <f>MAX('TANF-VIEW'!L165,'TANF-VIEW'!T165)</f>
        <v>0</v>
      </c>
      <c r="E164" s="20">
        <f t="shared" si="7"/>
        <v>6900</v>
      </c>
      <c r="F164" s="178">
        <f>IF(AND('Total income package'!$A$24=TRUE,E164&lt;$I$2),'Program specific data'!$B$119*WIC!$G$2,0)</f>
        <v>0</v>
      </c>
    </row>
    <row r="165" spans="1:6" x14ac:dyDescent="0.25">
      <c r="A165" s="19">
        <v>78500</v>
      </c>
      <c r="B165" s="20">
        <f t="shared" si="8"/>
        <v>6541.666666666667</v>
      </c>
      <c r="C165" s="20">
        <f t="shared" si="6"/>
        <v>400</v>
      </c>
      <c r="D165" s="20">
        <f>MAX('TANF-VIEW'!L166,'TANF-VIEW'!T166)</f>
        <v>0</v>
      </c>
      <c r="E165" s="20">
        <f t="shared" si="7"/>
        <v>6941.666666666667</v>
      </c>
      <c r="F165" s="178">
        <f>IF(AND('Total income package'!$A$24=TRUE,E165&lt;$I$2),'Program specific data'!$B$119*WIC!$G$2,0)</f>
        <v>0</v>
      </c>
    </row>
    <row r="166" spans="1:6" x14ac:dyDescent="0.25">
      <c r="A166" s="19">
        <v>79000</v>
      </c>
      <c r="B166" s="20">
        <f t="shared" si="8"/>
        <v>6583.333333333333</v>
      </c>
      <c r="C166" s="20">
        <f t="shared" si="6"/>
        <v>400</v>
      </c>
      <c r="D166" s="20">
        <f>MAX('TANF-VIEW'!L167,'TANF-VIEW'!T167)</f>
        <v>0</v>
      </c>
      <c r="E166" s="20">
        <f t="shared" si="7"/>
        <v>6983.333333333333</v>
      </c>
      <c r="F166" s="178">
        <f>IF(AND('Total income package'!$A$24=TRUE,E166&lt;$I$2),'Program specific data'!$B$119*WIC!$G$2,0)</f>
        <v>0</v>
      </c>
    </row>
    <row r="167" spans="1:6" x14ac:dyDescent="0.25">
      <c r="A167" s="19">
        <v>79500</v>
      </c>
      <c r="B167" s="20">
        <f t="shared" si="8"/>
        <v>6625</v>
      </c>
      <c r="C167" s="20">
        <f t="shared" si="6"/>
        <v>400</v>
      </c>
      <c r="D167" s="20">
        <f>MAX('TANF-VIEW'!L168,'TANF-VIEW'!T168)</f>
        <v>0</v>
      </c>
      <c r="E167" s="20">
        <f t="shared" si="7"/>
        <v>7025</v>
      </c>
      <c r="F167" s="178">
        <f>IF(AND('Total income package'!$A$24=TRUE,E167&lt;$I$2),'Program specific data'!$B$119*WIC!$G$2,0)</f>
        <v>0</v>
      </c>
    </row>
    <row r="168" spans="1:6" x14ac:dyDescent="0.25">
      <c r="A168" s="19">
        <v>80000</v>
      </c>
      <c r="B168" s="20">
        <f t="shared" si="8"/>
        <v>6666.666666666667</v>
      </c>
      <c r="C168" s="20">
        <f t="shared" si="6"/>
        <v>400</v>
      </c>
      <c r="D168" s="20">
        <f>MAX('TANF-VIEW'!L169,'TANF-VIEW'!T169)</f>
        <v>0</v>
      </c>
      <c r="E168" s="20">
        <f t="shared" si="7"/>
        <v>7066.666666666667</v>
      </c>
      <c r="F168" s="178">
        <f>IF(AND('Total income package'!$A$24=TRUE,E168&lt;$I$2),'Program specific data'!$B$119*WIC!$G$2,0)</f>
        <v>0</v>
      </c>
    </row>
    <row r="169" spans="1:6" x14ac:dyDescent="0.25">
      <c r="A169" s="19">
        <v>80500</v>
      </c>
      <c r="B169" s="20">
        <f t="shared" si="8"/>
        <v>6708.333333333333</v>
      </c>
      <c r="C169" s="20">
        <f t="shared" si="6"/>
        <v>400</v>
      </c>
      <c r="D169" s="20">
        <f>MAX('TANF-VIEW'!L170,'TANF-VIEW'!T170)</f>
        <v>0</v>
      </c>
      <c r="E169" s="20">
        <f t="shared" si="7"/>
        <v>7108.333333333333</v>
      </c>
      <c r="F169" s="178">
        <f>IF(AND('Total income package'!$A$24=TRUE,E169&lt;$I$2),'Program specific data'!$B$119*WIC!$G$2,0)</f>
        <v>0</v>
      </c>
    </row>
    <row r="170" spans="1:6" x14ac:dyDescent="0.25">
      <c r="A170" s="19">
        <v>81000</v>
      </c>
      <c r="B170" s="20">
        <f t="shared" si="8"/>
        <v>6750</v>
      </c>
      <c r="C170" s="20">
        <f t="shared" si="6"/>
        <v>400</v>
      </c>
      <c r="D170" s="20">
        <f>MAX('TANF-VIEW'!L171,'TANF-VIEW'!T171)</f>
        <v>0</v>
      </c>
      <c r="E170" s="20">
        <f t="shared" si="7"/>
        <v>7150</v>
      </c>
      <c r="F170" s="178">
        <f>IF(AND('Total income package'!$A$24=TRUE,E170&lt;$I$2),'Program specific data'!$B$119*WIC!$G$2,0)</f>
        <v>0</v>
      </c>
    </row>
    <row r="171" spans="1:6" x14ac:dyDescent="0.25">
      <c r="A171" s="19">
        <v>81500</v>
      </c>
      <c r="B171" s="20">
        <f t="shared" si="8"/>
        <v>6791.666666666667</v>
      </c>
      <c r="C171" s="20">
        <f t="shared" si="6"/>
        <v>400</v>
      </c>
      <c r="D171" s="20">
        <f>MAX('TANF-VIEW'!L172,'TANF-VIEW'!T172)</f>
        <v>0</v>
      </c>
      <c r="E171" s="20">
        <f t="shared" si="7"/>
        <v>7191.666666666667</v>
      </c>
      <c r="F171" s="178">
        <f>IF(AND('Total income package'!$A$24=TRUE,E171&lt;$I$2),'Program specific data'!$B$119*WIC!$G$2,0)</f>
        <v>0</v>
      </c>
    </row>
    <row r="172" spans="1:6" x14ac:dyDescent="0.25">
      <c r="A172" s="19">
        <v>82000</v>
      </c>
      <c r="B172" s="20">
        <f t="shared" si="8"/>
        <v>6833.333333333333</v>
      </c>
      <c r="C172" s="20">
        <f t="shared" si="6"/>
        <v>400</v>
      </c>
      <c r="D172" s="20">
        <f>MAX('TANF-VIEW'!L173,'TANF-VIEW'!T173)</f>
        <v>0</v>
      </c>
      <c r="E172" s="20">
        <f t="shared" si="7"/>
        <v>7233.333333333333</v>
      </c>
      <c r="F172" s="178">
        <f>IF(AND('Total income package'!$A$24=TRUE,E172&lt;$I$2),'Program specific data'!$B$119*WIC!$G$2,0)</f>
        <v>0</v>
      </c>
    </row>
    <row r="173" spans="1:6" x14ac:dyDescent="0.25">
      <c r="A173" s="19">
        <v>82500</v>
      </c>
      <c r="B173" s="20">
        <f t="shared" si="8"/>
        <v>6875</v>
      </c>
      <c r="C173" s="20">
        <f t="shared" si="6"/>
        <v>400</v>
      </c>
      <c r="D173" s="20">
        <f>MAX('TANF-VIEW'!L174,'TANF-VIEW'!T174)</f>
        <v>0</v>
      </c>
      <c r="E173" s="20">
        <f t="shared" si="7"/>
        <v>7275</v>
      </c>
      <c r="F173" s="178">
        <f>IF(AND('Total income package'!$A$24=TRUE,E173&lt;$I$2),'Program specific data'!$B$119*WIC!$G$2,0)</f>
        <v>0</v>
      </c>
    </row>
    <row r="174" spans="1:6" x14ac:dyDescent="0.25">
      <c r="A174" s="19">
        <v>83000</v>
      </c>
      <c r="B174" s="20">
        <f t="shared" si="8"/>
        <v>6916.666666666667</v>
      </c>
      <c r="C174" s="20">
        <f t="shared" si="6"/>
        <v>400</v>
      </c>
      <c r="D174" s="20">
        <f>MAX('TANF-VIEW'!L175,'TANF-VIEW'!T175)</f>
        <v>0</v>
      </c>
      <c r="E174" s="20">
        <f t="shared" si="7"/>
        <v>7316.666666666667</v>
      </c>
      <c r="F174" s="178">
        <f>IF(AND('Total income package'!$A$24=TRUE,E174&lt;$I$2),'Program specific data'!$B$119*WIC!$G$2,0)</f>
        <v>0</v>
      </c>
    </row>
    <row r="175" spans="1:6" x14ac:dyDescent="0.25">
      <c r="A175" s="19">
        <v>83500</v>
      </c>
      <c r="B175" s="20">
        <f t="shared" si="8"/>
        <v>6958.333333333333</v>
      </c>
      <c r="C175" s="20">
        <f t="shared" si="6"/>
        <v>400</v>
      </c>
      <c r="D175" s="20">
        <f>MAX('TANF-VIEW'!L176,'TANF-VIEW'!T176)</f>
        <v>0</v>
      </c>
      <c r="E175" s="20">
        <f t="shared" si="7"/>
        <v>7358.333333333333</v>
      </c>
      <c r="F175" s="178">
        <f>IF(AND('Total income package'!$A$24=TRUE,E175&lt;$I$2),'Program specific data'!$B$119*WIC!$G$2,0)</f>
        <v>0</v>
      </c>
    </row>
    <row r="176" spans="1:6" x14ac:dyDescent="0.25">
      <c r="A176" s="19">
        <v>84000</v>
      </c>
      <c r="B176" s="20">
        <f t="shared" si="8"/>
        <v>7000</v>
      </c>
      <c r="C176" s="20">
        <f t="shared" si="6"/>
        <v>400</v>
      </c>
      <c r="D176" s="20">
        <f>MAX('TANF-VIEW'!L177,'TANF-VIEW'!T177)</f>
        <v>0</v>
      </c>
      <c r="E176" s="20">
        <f t="shared" si="7"/>
        <v>7400</v>
      </c>
      <c r="F176" s="178">
        <f>IF(AND('Total income package'!$A$24=TRUE,E176&lt;$I$2),'Program specific data'!$B$119*WIC!$G$2,0)</f>
        <v>0</v>
      </c>
    </row>
    <row r="177" spans="1:6" x14ac:dyDescent="0.25">
      <c r="A177" s="19">
        <v>84500</v>
      </c>
      <c r="B177" s="20">
        <f t="shared" si="8"/>
        <v>7041.666666666667</v>
      </c>
      <c r="C177" s="20">
        <f t="shared" si="6"/>
        <v>400</v>
      </c>
      <c r="D177" s="20">
        <f>MAX('TANF-VIEW'!L178,'TANF-VIEW'!T178)</f>
        <v>0</v>
      </c>
      <c r="E177" s="20">
        <f t="shared" si="7"/>
        <v>7441.666666666667</v>
      </c>
      <c r="F177" s="178">
        <f>IF(AND('Total income package'!$A$24=TRUE,E177&lt;$I$2),'Program specific data'!$B$119*WIC!$G$2,0)</f>
        <v>0</v>
      </c>
    </row>
    <row r="178" spans="1:6" x14ac:dyDescent="0.25">
      <c r="A178" s="19">
        <v>85000</v>
      </c>
      <c r="B178" s="20">
        <f t="shared" si="8"/>
        <v>7083.333333333333</v>
      </c>
      <c r="C178" s="20">
        <f t="shared" si="6"/>
        <v>400</v>
      </c>
      <c r="D178" s="20">
        <f>MAX('TANF-VIEW'!L179,'TANF-VIEW'!T179)</f>
        <v>0</v>
      </c>
      <c r="E178" s="20">
        <f t="shared" si="7"/>
        <v>7483.333333333333</v>
      </c>
      <c r="F178" s="178">
        <f>IF(AND('Total income package'!$A$24=TRUE,E178&lt;$I$2),'Program specific data'!$B$119*WIC!$G$2,0)</f>
        <v>0</v>
      </c>
    </row>
    <row r="179" spans="1:6" x14ac:dyDescent="0.25">
      <c r="A179" s="19">
        <v>85500</v>
      </c>
      <c r="B179" s="20">
        <f t="shared" si="8"/>
        <v>7125</v>
      </c>
      <c r="C179" s="20">
        <f t="shared" si="6"/>
        <v>400</v>
      </c>
      <c r="D179" s="20">
        <f>MAX('TANF-VIEW'!L180,'TANF-VIEW'!T180)</f>
        <v>0</v>
      </c>
      <c r="E179" s="20">
        <f t="shared" si="7"/>
        <v>7525</v>
      </c>
      <c r="F179" s="178">
        <f>IF(AND('Total income package'!$A$24=TRUE,E179&lt;$I$2),'Program specific data'!$B$119*WIC!$G$2,0)</f>
        <v>0</v>
      </c>
    </row>
    <row r="180" spans="1:6" x14ac:dyDescent="0.25">
      <c r="A180" s="19">
        <v>86000</v>
      </c>
      <c r="B180" s="20">
        <f t="shared" si="8"/>
        <v>7166.666666666667</v>
      </c>
      <c r="C180" s="20">
        <f t="shared" si="6"/>
        <v>400</v>
      </c>
      <c r="D180" s="20">
        <f>MAX('TANF-VIEW'!L181,'TANF-VIEW'!T181)</f>
        <v>0</v>
      </c>
      <c r="E180" s="20">
        <f t="shared" si="7"/>
        <v>7566.666666666667</v>
      </c>
      <c r="F180" s="178">
        <f>IF(AND('Total income package'!$A$24=TRUE,E180&lt;$I$2),'Program specific data'!$B$119*WIC!$G$2,0)</f>
        <v>0</v>
      </c>
    </row>
    <row r="181" spans="1:6" x14ac:dyDescent="0.25">
      <c r="A181" s="19">
        <v>86500</v>
      </c>
      <c r="B181" s="20">
        <f t="shared" si="8"/>
        <v>7208.333333333333</v>
      </c>
      <c r="C181" s="20">
        <f t="shared" si="6"/>
        <v>400</v>
      </c>
      <c r="D181" s="20">
        <f>MAX('TANF-VIEW'!L182,'TANF-VIEW'!T182)</f>
        <v>0</v>
      </c>
      <c r="E181" s="20">
        <f t="shared" si="7"/>
        <v>7608.333333333333</v>
      </c>
      <c r="F181" s="178">
        <f>IF(AND('Total income package'!$A$24=TRUE,E181&lt;$I$2),'Program specific data'!$B$119*WIC!$G$2,0)</f>
        <v>0</v>
      </c>
    </row>
    <row r="182" spans="1:6" x14ac:dyDescent="0.25">
      <c r="A182" s="19">
        <v>87000</v>
      </c>
      <c r="B182" s="20">
        <f t="shared" si="8"/>
        <v>7250</v>
      </c>
      <c r="C182" s="20">
        <f t="shared" si="6"/>
        <v>400</v>
      </c>
      <c r="D182" s="20">
        <f>MAX('TANF-VIEW'!L183,'TANF-VIEW'!T183)</f>
        <v>0</v>
      </c>
      <c r="E182" s="20">
        <f t="shared" si="7"/>
        <v>7650</v>
      </c>
      <c r="F182" s="178">
        <f>IF(AND('Total income package'!$A$24=TRUE,E182&lt;$I$2),'Program specific data'!$B$119*WIC!$G$2,0)</f>
        <v>0</v>
      </c>
    </row>
    <row r="183" spans="1:6" x14ac:dyDescent="0.25">
      <c r="A183" s="19">
        <v>87500</v>
      </c>
      <c r="B183" s="20">
        <f t="shared" si="8"/>
        <v>7291.666666666667</v>
      </c>
      <c r="C183" s="20">
        <f t="shared" si="6"/>
        <v>400</v>
      </c>
      <c r="D183" s="20">
        <f>MAX('TANF-VIEW'!L184,'TANF-VIEW'!T184)</f>
        <v>0</v>
      </c>
      <c r="E183" s="20">
        <f t="shared" si="7"/>
        <v>7691.666666666667</v>
      </c>
      <c r="F183" s="178">
        <f>IF(AND('Total income package'!$A$24=TRUE,E183&lt;$I$2),'Program specific data'!$B$119*WIC!$G$2,0)</f>
        <v>0</v>
      </c>
    </row>
    <row r="184" spans="1:6" x14ac:dyDescent="0.25">
      <c r="A184" s="19">
        <v>88000</v>
      </c>
      <c r="B184" s="20">
        <f t="shared" si="8"/>
        <v>7333.333333333333</v>
      </c>
      <c r="C184" s="20">
        <f t="shared" si="6"/>
        <v>400</v>
      </c>
      <c r="D184" s="20">
        <f>MAX('TANF-VIEW'!L185,'TANF-VIEW'!T185)</f>
        <v>0</v>
      </c>
      <c r="E184" s="20">
        <f t="shared" si="7"/>
        <v>7733.333333333333</v>
      </c>
      <c r="F184" s="178">
        <f>IF(AND('Total income package'!$A$24=TRUE,E184&lt;$I$2),'Program specific data'!$B$119*WIC!$G$2,0)</f>
        <v>0</v>
      </c>
    </row>
    <row r="185" spans="1:6" x14ac:dyDescent="0.25">
      <c r="A185" s="19">
        <v>88500</v>
      </c>
      <c r="B185" s="20">
        <f t="shared" si="8"/>
        <v>7375</v>
      </c>
      <c r="C185" s="20">
        <f t="shared" si="6"/>
        <v>400</v>
      </c>
      <c r="D185" s="20">
        <f>MAX('TANF-VIEW'!L186,'TANF-VIEW'!T186)</f>
        <v>0</v>
      </c>
      <c r="E185" s="20">
        <f t="shared" si="7"/>
        <v>7775</v>
      </c>
      <c r="F185" s="178">
        <f>IF(AND('Total income package'!$A$24=TRUE,E185&lt;$I$2),'Program specific data'!$B$119*WIC!$G$2,0)</f>
        <v>0</v>
      </c>
    </row>
    <row r="186" spans="1:6" x14ac:dyDescent="0.25">
      <c r="A186" s="19">
        <v>89000</v>
      </c>
      <c r="B186" s="20">
        <f t="shared" si="8"/>
        <v>7416.666666666667</v>
      </c>
      <c r="C186" s="20">
        <f t="shared" si="6"/>
        <v>400</v>
      </c>
      <c r="D186" s="20">
        <f>MAX('TANF-VIEW'!L187,'TANF-VIEW'!T187)</f>
        <v>0</v>
      </c>
      <c r="E186" s="20">
        <f t="shared" si="7"/>
        <v>7816.666666666667</v>
      </c>
      <c r="F186" s="178">
        <f>IF(AND('Total income package'!$A$24=TRUE,E186&lt;$I$2),'Program specific data'!$B$119*WIC!$G$2,0)</f>
        <v>0</v>
      </c>
    </row>
    <row r="187" spans="1:6" x14ac:dyDescent="0.25">
      <c r="A187" s="19">
        <v>89500</v>
      </c>
      <c r="B187" s="20">
        <f t="shared" si="8"/>
        <v>7458.333333333333</v>
      </c>
      <c r="C187" s="20">
        <f t="shared" si="6"/>
        <v>400</v>
      </c>
      <c r="D187" s="20">
        <f>MAX('TANF-VIEW'!L188,'TANF-VIEW'!T188)</f>
        <v>0</v>
      </c>
      <c r="E187" s="20">
        <f t="shared" si="7"/>
        <v>7858.333333333333</v>
      </c>
      <c r="F187" s="178">
        <f>IF(AND('Total income package'!$A$24=TRUE,E187&lt;$I$2),'Program specific data'!$B$119*WIC!$G$2,0)</f>
        <v>0</v>
      </c>
    </row>
    <row r="188" spans="1:6" x14ac:dyDescent="0.25">
      <c r="A188" s="19">
        <v>90000</v>
      </c>
      <c r="B188" s="20">
        <f t="shared" si="8"/>
        <v>7500</v>
      </c>
      <c r="C188" s="20">
        <f t="shared" si="6"/>
        <v>400</v>
      </c>
      <c r="D188" s="20">
        <f>MAX('TANF-VIEW'!L189,'TANF-VIEW'!T189)</f>
        <v>0</v>
      </c>
      <c r="E188" s="20">
        <f t="shared" si="7"/>
        <v>7900</v>
      </c>
      <c r="F188" s="178">
        <f>IF(AND('Total income package'!$A$24=TRUE,E188&lt;$I$2),'Program specific data'!$B$119*WIC!$G$2,0)</f>
        <v>0</v>
      </c>
    </row>
    <row r="189" spans="1:6" x14ac:dyDescent="0.25">
      <c r="A189" s="19">
        <v>90500</v>
      </c>
      <c r="B189" s="20">
        <f t="shared" si="8"/>
        <v>7541.666666666667</v>
      </c>
      <c r="C189" s="20">
        <f t="shared" si="6"/>
        <v>400</v>
      </c>
      <c r="D189" s="20">
        <f>MAX('TANF-VIEW'!L190,'TANF-VIEW'!T190)</f>
        <v>0</v>
      </c>
      <c r="E189" s="20">
        <f t="shared" si="7"/>
        <v>7941.666666666667</v>
      </c>
      <c r="F189" s="178">
        <f>IF(AND('Total income package'!$A$24=TRUE,E189&lt;$I$2),'Program specific data'!$B$119*WIC!$G$2,0)</f>
        <v>0</v>
      </c>
    </row>
    <row r="190" spans="1:6" x14ac:dyDescent="0.25">
      <c r="A190" s="19">
        <v>91000</v>
      </c>
      <c r="B190" s="20">
        <f t="shared" si="8"/>
        <v>7583.333333333333</v>
      </c>
      <c r="C190" s="20">
        <f t="shared" si="6"/>
        <v>400</v>
      </c>
      <c r="D190" s="20">
        <f>MAX('TANF-VIEW'!L191,'TANF-VIEW'!T191)</f>
        <v>0</v>
      </c>
      <c r="E190" s="20">
        <f t="shared" si="7"/>
        <v>7983.333333333333</v>
      </c>
      <c r="F190" s="178">
        <f>IF(AND('Total income package'!$A$24=TRUE,E190&lt;$I$2),'Program specific data'!$B$119*WIC!$G$2,0)</f>
        <v>0</v>
      </c>
    </row>
    <row r="191" spans="1:6" x14ac:dyDescent="0.25">
      <c r="A191" s="19">
        <v>91500</v>
      </c>
      <c r="B191" s="20">
        <f t="shared" si="8"/>
        <v>7625</v>
      </c>
      <c r="C191" s="20">
        <f t="shared" si="6"/>
        <v>400</v>
      </c>
      <c r="D191" s="20">
        <f>MAX('TANF-VIEW'!L192,'TANF-VIEW'!T192)</f>
        <v>0</v>
      </c>
      <c r="E191" s="20">
        <f t="shared" si="7"/>
        <v>8025</v>
      </c>
      <c r="F191" s="178">
        <f>IF(AND('Total income package'!$A$24=TRUE,E191&lt;$I$2),'Program specific data'!$B$119*WIC!$G$2,0)</f>
        <v>0</v>
      </c>
    </row>
    <row r="192" spans="1:6" x14ac:dyDescent="0.25">
      <c r="A192" s="19">
        <v>92000</v>
      </c>
      <c r="B192" s="20">
        <f t="shared" si="8"/>
        <v>7666.666666666667</v>
      </c>
      <c r="C192" s="20">
        <f t="shared" si="6"/>
        <v>400</v>
      </c>
      <c r="D192" s="20">
        <f>MAX('TANF-VIEW'!L193,'TANF-VIEW'!T193)</f>
        <v>0</v>
      </c>
      <c r="E192" s="20">
        <f t="shared" si="7"/>
        <v>8066.666666666667</v>
      </c>
      <c r="F192" s="178">
        <f>IF(AND('Total income package'!$A$24=TRUE,E192&lt;$I$2),'Program specific data'!$B$119*WIC!$G$2,0)</f>
        <v>0</v>
      </c>
    </row>
    <row r="193" spans="1:6" x14ac:dyDescent="0.25">
      <c r="A193" s="19">
        <v>92500</v>
      </c>
      <c r="B193" s="20">
        <f t="shared" si="8"/>
        <v>7708.333333333333</v>
      </c>
      <c r="C193" s="20">
        <f t="shared" si="6"/>
        <v>400</v>
      </c>
      <c r="D193" s="20">
        <f>MAX('TANF-VIEW'!L194,'TANF-VIEW'!T194)</f>
        <v>0</v>
      </c>
      <c r="E193" s="20">
        <f t="shared" si="7"/>
        <v>8108.333333333333</v>
      </c>
      <c r="F193" s="178">
        <f>IF(AND('Total income package'!$A$24=TRUE,E193&lt;$I$2),'Program specific data'!$B$119*WIC!$G$2,0)</f>
        <v>0</v>
      </c>
    </row>
    <row r="194" spans="1:6" x14ac:dyDescent="0.25">
      <c r="A194" s="19">
        <v>93000</v>
      </c>
      <c r="B194" s="20">
        <f t="shared" si="8"/>
        <v>7750</v>
      </c>
      <c r="C194" s="20">
        <f t="shared" si="6"/>
        <v>400</v>
      </c>
      <c r="D194" s="20">
        <f>MAX('TANF-VIEW'!L195,'TANF-VIEW'!T195)</f>
        <v>0</v>
      </c>
      <c r="E194" s="20">
        <f t="shared" si="7"/>
        <v>8150</v>
      </c>
      <c r="F194" s="178">
        <f>IF(AND('Total income package'!$A$24=TRUE,E194&lt;$I$2),'Program specific data'!$B$119*WIC!$G$2,0)</f>
        <v>0</v>
      </c>
    </row>
    <row r="195" spans="1:6" x14ac:dyDescent="0.25">
      <c r="A195" s="19">
        <v>93500</v>
      </c>
      <c r="B195" s="20">
        <f t="shared" si="8"/>
        <v>7791.666666666667</v>
      </c>
      <c r="C195" s="20">
        <f t="shared" si="6"/>
        <v>400</v>
      </c>
      <c r="D195" s="20">
        <f>MAX('TANF-VIEW'!L196,'TANF-VIEW'!T196)</f>
        <v>0</v>
      </c>
      <c r="E195" s="20">
        <f t="shared" si="7"/>
        <v>8191.666666666667</v>
      </c>
      <c r="F195" s="178">
        <f>IF(AND('Total income package'!$A$24=TRUE,E195&lt;$I$2),'Program specific data'!$B$119*WIC!$G$2,0)</f>
        <v>0</v>
      </c>
    </row>
    <row r="196" spans="1:6" x14ac:dyDescent="0.25">
      <c r="A196" s="19">
        <v>94000</v>
      </c>
      <c r="B196" s="20">
        <f t="shared" si="8"/>
        <v>7833.333333333333</v>
      </c>
      <c r="C196" s="20">
        <f t="shared" si="6"/>
        <v>400</v>
      </c>
      <c r="D196" s="20">
        <f>MAX('TANF-VIEW'!L197,'TANF-VIEW'!T197)</f>
        <v>0</v>
      </c>
      <c r="E196" s="20">
        <f t="shared" si="7"/>
        <v>8233.3333333333321</v>
      </c>
      <c r="F196" s="178">
        <f>IF(AND('Total income package'!$A$24=TRUE,E196&lt;$I$2),'Program specific data'!$B$119*WIC!$G$2,0)</f>
        <v>0</v>
      </c>
    </row>
    <row r="197" spans="1:6" x14ac:dyDescent="0.25">
      <c r="A197" s="19">
        <v>94500</v>
      </c>
      <c r="B197" s="20">
        <f t="shared" si="8"/>
        <v>7875</v>
      </c>
      <c r="C197" s="20">
        <f t="shared" si="6"/>
        <v>400</v>
      </c>
      <c r="D197" s="20">
        <f>MAX('TANF-VIEW'!L198,'TANF-VIEW'!T198)</f>
        <v>0</v>
      </c>
      <c r="E197" s="20">
        <f t="shared" si="7"/>
        <v>8275</v>
      </c>
      <c r="F197" s="178">
        <f>IF(AND('Total income package'!$A$24=TRUE,E197&lt;$I$2),'Program specific data'!$B$119*WIC!$G$2,0)</f>
        <v>0</v>
      </c>
    </row>
    <row r="198" spans="1:6" x14ac:dyDescent="0.25">
      <c r="A198" s="19">
        <v>95000</v>
      </c>
      <c r="B198" s="20">
        <f t="shared" si="8"/>
        <v>7916.666666666667</v>
      </c>
      <c r="C198" s="20">
        <f t="shared" si="6"/>
        <v>400</v>
      </c>
      <c r="D198" s="20">
        <f>MAX('TANF-VIEW'!L199,'TANF-VIEW'!T199)</f>
        <v>0</v>
      </c>
      <c r="E198" s="20">
        <f t="shared" si="7"/>
        <v>8316.6666666666679</v>
      </c>
      <c r="F198" s="178">
        <f>IF(AND('Total income package'!$A$24=TRUE,E198&lt;$I$2),'Program specific data'!$B$119*WIC!$G$2,0)</f>
        <v>0</v>
      </c>
    </row>
    <row r="199" spans="1:6" x14ac:dyDescent="0.25">
      <c r="A199" s="19">
        <v>95500</v>
      </c>
      <c r="B199" s="20">
        <f t="shared" si="8"/>
        <v>7958.333333333333</v>
      </c>
      <c r="C199" s="20">
        <f t="shared" si="6"/>
        <v>400</v>
      </c>
      <c r="D199" s="20">
        <f>MAX('TANF-VIEW'!L200,'TANF-VIEW'!T200)</f>
        <v>0</v>
      </c>
      <c r="E199" s="20">
        <f t="shared" si="7"/>
        <v>8358.3333333333321</v>
      </c>
      <c r="F199" s="178">
        <f>IF(AND('Total income package'!$A$24=TRUE,E199&lt;$I$2),'Program specific data'!$B$119*WIC!$G$2,0)</f>
        <v>0</v>
      </c>
    </row>
    <row r="200" spans="1:6" x14ac:dyDescent="0.25">
      <c r="A200" s="19">
        <v>96000</v>
      </c>
      <c r="B200" s="20">
        <f t="shared" si="8"/>
        <v>8000</v>
      </c>
      <c r="C200" s="20">
        <f t="shared" si="6"/>
        <v>400</v>
      </c>
      <c r="D200" s="20">
        <f>MAX('TANF-VIEW'!L201,'TANF-VIEW'!T201)</f>
        <v>0</v>
      </c>
      <c r="E200" s="20">
        <f t="shared" si="7"/>
        <v>8400</v>
      </c>
      <c r="F200" s="178">
        <f>IF(AND('Total income package'!$A$24=TRUE,E200&lt;$I$2),'Program specific data'!$B$119*WIC!$G$2,0)</f>
        <v>0</v>
      </c>
    </row>
    <row r="201" spans="1:6" x14ac:dyDescent="0.25">
      <c r="A201" s="19">
        <v>96500</v>
      </c>
      <c r="B201" s="20">
        <f t="shared" si="8"/>
        <v>8041.666666666667</v>
      </c>
      <c r="C201" s="20">
        <f t="shared" ref="C201:C213" si="9">$H$2</f>
        <v>400</v>
      </c>
      <c r="D201" s="20">
        <f>MAX('TANF-VIEW'!L202,'TANF-VIEW'!T202)</f>
        <v>0</v>
      </c>
      <c r="E201" s="20">
        <f t="shared" ref="E201:E208" si="10">B201+C201+D201</f>
        <v>8441.6666666666679</v>
      </c>
      <c r="F201" s="178">
        <f>IF(AND('Total income package'!$A$24=TRUE,E201&lt;$I$2),'Program specific data'!$B$119*WIC!$G$2,0)</f>
        <v>0</v>
      </c>
    </row>
    <row r="202" spans="1:6" x14ac:dyDescent="0.25">
      <c r="A202" s="19">
        <v>97000</v>
      </c>
      <c r="B202" s="20">
        <f t="shared" ref="B202:B208" si="11">A202/12</f>
        <v>8083.333333333333</v>
      </c>
      <c r="C202" s="20">
        <f t="shared" si="9"/>
        <v>400</v>
      </c>
      <c r="D202" s="20">
        <f>MAX('TANF-VIEW'!L203,'TANF-VIEW'!T203)</f>
        <v>0</v>
      </c>
      <c r="E202" s="20">
        <f t="shared" si="10"/>
        <v>8483.3333333333321</v>
      </c>
      <c r="F202" s="178">
        <f>IF(AND('Total income package'!$A$24=TRUE,E202&lt;$I$2),'Program specific data'!$B$119*WIC!$G$2,0)</f>
        <v>0</v>
      </c>
    </row>
    <row r="203" spans="1:6" x14ac:dyDescent="0.25">
      <c r="A203" s="19">
        <v>97500</v>
      </c>
      <c r="B203" s="20">
        <f t="shared" si="11"/>
        <v>8125</v>
      </c>
      <c r="C203" s="20">
        <f t="shared" si="9"/>
        <v>400</v>
      </c>
      <c r="D203" s="20">
        <f>MAX('TANF-VIEW'!L204,'TANF-VIEW'!T204)</f>
        <v>0</v>
      </c>
      <c r="E203" s="20">
        <f t="shared" si="10"/>
        <v>8525</v>
      </c>
      <c r="F203" s="178">
        <f>IF(AND('Total income package'!$A$24=TRUE,E203&lt;$I$2),'Program specific data'!$B$119*WIC!$G$2,0)</f>
        <v>0</v>
      </c>
    </row>
    <row r="204" spans="1:6" x14ac:dyDescent="0.25">
      <c r="A204" s="19">
        <v>98000</v>
      </c>
      <c r="B204" s="20">
        <f t="shared" si="11"/>
        <v>8166.666666666667</v>
      </c>
      <c r="C204" s="20">
        <f t="shared" si="9"/>
        <v>400</v>
      </c>
      <c r="D204" s="20">
        <f>MAX('TANF-VIEW'!L205,'TANF-VIEW'!T205)</f>
        <v>0</v>
      </c>
      <c r="E204" s="20">
        <f t="shared" si="10"/>
        <v>8566.6666666666679</v>
      </c>
      <c r="F204" s="178">
        <f>IF(AND('Total income package'!$A$24=TRUE,E204&lt;$I$2),'Program specific data'!$B$119*WIC!$G$2,0)</f>
        <v>0</v>
      </c>
    </row>
    <row r="205" spans="1:6" x14ac:dyDescent="0.25">
      <c r="A205" s="19">
        <v>98500</v>
      </c>
      <c r="B205" s="20">
        <f t="shared" si="11"/>
        <v>8208.3333333333339</v>
      </c>
      <c r="C205" s="20">
        <f t="shared" si="9"/>
        <v>400</v>
      </c>
      <c r="D205" s="20">
        <f>MAX('TANF-VIEW'!L206,'TANF-VIEW'!T206)</f>
        <v>0</v>
      </c>
      <c r="E205" s="20">
        <f t="shared" si="10"/>
        <v>8608.3333333333339</v>
      </c>
      <c r="F205" s="178">
        <f>IF(AND('Total income package'!$A$24=TRUE,E205&lt;$I$2),'Program specific data'!$B$119*WIC!$G$2,0)</f>
        <v>0</v>
      </c>
    </row>
    <row r="206" spans="1:6" x14ac:dyDescent="0.25">
      <c r="A206" s="19">
        <v>99000</v>
      </c>
      <c r="B206" s="20">
        <f t="shared" si="11"/>
        <v>8250</v>
      </c>
      <c r="C206" s="20">
        <f t="shared" si="9"/>
        <v>400</v>
      </c>
      <c r="D206" s="20">
        <f>MAX('TANF-VIEW'!L207,'TANF-VIEW'!T207)</f>
        <v>0</v>
      </c>
      <c r="E206" s="20">
        <f t="shared" si="10"/>
        <v>8650</v>
      </c>
      <c r="F206" s="178">
        <f>IF(AND('Total income package'!$A$24=TRUE,E206&lt;$I$2),'Program specific data'!$B$119*WIC!$G$2,0)</f>
        <v>0</v>
      </c>
    </row>
    <row r="207" spans="1:6" x14ac:dyDescent="0.25">
      <c r="A207" s="19">
        <v>99500</v>
      </c>
      <c r="B207" s="20">
        <f t="shared" si="11"/>
        <v>8291.6666666666661</v>
      </c>
      <c r="C207" s="20">
        <f t="shared" si="9"/>
        <v>400</v>
      </c>
      <c r="D207" s="20">
        <f>MAX('TANF-VIEW'!L208,'TANF-VIEW'!T208)</f>
        <v>0</v>
      </c>
      <c r="E207" s="20">
        <f t="shared" si="10"/>
        <v>8691.6666666666661</v>
      </c>
      <c r="F207" s="178">
        <f>IF(AND('Total income package'!$A$24=TRUE,E207&lt;$I$2),'Program specific data'!$B$119*WIC!$G$2,0)</f>
        <v>0</v>
      </c>
    </row>
    <row r="208" spans="1:6" x14ac:dyDescent="0.25">
      <c r="A208" s="19">
        <v>100000</v>
      </c>
      <c r="B208" s="20">
        <f t="shared" si="11"/>
        <v>8333.3333333333339</v>
      </c>
      <c r="C208" s="20">
        <f t="shared" si="9"/>
        <v>400</v>
      </c>
      <c r="D208" s="20">
        <f>MAX('TANF-VIEW'!L209,'TANF-VIEW'!T209)</f>
        <v>0</v>
      </c>
      <c r="E208" s="20">
        <f t="shared" si="10"/>
        <v>8733.3333333333339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1500</v>
      </c>
      <c r="C211" s="7">
        <f t="shared" si="9"/>
        <v>400</v>
      </c>
      <c r="D211" s="4">
        <f>MAX('TANF-VIEW'!L212,'TANF-VIEW'!T212)</f>
        <v>0</v>
      </c>
      <c r="E211" s="4">
        <f>B211+C211+D211</f>
        <v>1900</v>
      </c>
      <c r="F211" s="179">
        <f>IF(AND('Total income package'!$A$24=TRUE,E211&lt;$I$2),'Program specific data'!$B$119*WIC!$G$2,0)</f>
        <v>73.52</v>
      </c>
    </row>
    <row r="212" spans="1:6" x14ac:dyDescent="0.25">
      <c r="A212" s="116" t="s">
        <v>303</v>
      </c>
      <c r="B212" s="7"/>
      <c r="C212" s="7"/>
    </row>
    <row r="213" spans="1:6" x14ac:dyDescent="0.25">
      <c r="A213" s="7"/>
      <c r="B213" s="7">
        <f>'Total income package'!$B$91</f>
        <v>1500</v>
      </c>
      <c r="C213" s="7">
        <f t="shared" si="9"/>
        <v>400</v>
      </c>
      <c r="D213" s="4">
        <f>MAX('TANF-VIEW'!L214,'TANF-VIEW'!T214)</f>
        <v>0</v>
      </c>
      <c r="E213" s="4">
        <f>B213+C213+D213</f>
        <v>1900</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2026-06-11T19:18:15Z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