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4C21D046-854B-45ED-82ED-8B367B0B1D58}" xr6:coauthVersionLast="47" xr6:coauthVersionMax="47" xr10:uidLastSave="{00000000-0000-0000-0000-000000000000}"/>
  <bookViews>
    <workbookView xWindow="-28920" yWindow="-120" windowWidth="29040" windowHeight="15840" tabRatio="891" activeTab="1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9" i="6" l="1"/>
  <c r="E211" i="6"/>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57" i="3" l="1"/>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<sst xmlns="http://schemas.openxmlformats.org/spreadsheetml/2006/main" count="1200" uniqueCount="742">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</sst>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$1,289.00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2281.3041666666668</c:v>
                </c:pt>
                <c:pt idx="1">
                  <c:v>3570.3041666666668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$1,289.00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2281.3041666666668</c:v>
                </c:pt>
                <c:pt idx="1">
                  <c:v>3570.3041666666668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6552</c:v>
                </c:pt>
                <c:pt idx="1">
                  <c:v>6552</c:v>
                </c:pt>
                <c:pt idx="2">
                  <c:v>6552</c:v>
                </c:pt>
                <c:pt idx="3">
                  <c:v>6552</c:v>
                </c:pt>
                <c:pt idx="4">
                  <c:v>6552</c:v>
                </c:pt>
                <c:pt idx="5">
                  <c:v>6552</c:v>
                </c:pt>
                <c:pt idx="6">
                  <c:v>6552</c:v>
                </c:pt>
                <c:pt idx="7">
                  <c:v>6552</c:v>
                </c:pt>
                <c:pt idx="8">
                  <c:v>6552</c:v>
                </c:pt>
                <c:pt idx="9">
                  <c:v>6552</c:v>
                </c:pt>
                <c:pt idx="10">
                  <c:v>6552</c:v>
                </c:pt>
                <c:pt idx="11">
                  <c:v>6552</c:v>
                </c:pt>
                <c:pt idx="12">
                  <c:v>6552</c:v>
                </c:pt>
                <c:pt idx="13">
                  <c:v>6552</c:v>
                </c:pt>
                <c:pt idx="14">
                  <c:v>6552</c:v>
                </c:pt>
                <c:pt idx="15">
                  <c:v>6552</c:v>
                </c:pt>
                <c:pt idx="16">
                  <c:v>6552</c:v>
                </c:pt>
                <c:pt idx="17">
                  <c:v>6552</c:v>
                </c:pt>
                <c:pt idx="18">
                  <c:v>6552</c:v>
                </c:pt>
                <c:pt idx="19">
                  <c:v>6552</c:v>
                </c:pt>
                <c:pt idx="20">
                  <c:v>6552</c:v>
                </c:pt>
                <c:pt idx="21">
                  <c:v>6552</c:v>
                </c:pt>
                <c:pt idx="22">
                  <c:v>6552</c:v>
                </c:pt>
                <c:pt idx="23">
                  <c:v>6552</c:v>
                </c:pt>
                <c:pt idx="24">
                  <c:v>6420</c:v>
                </c:pt>
                <c:pt idx="25">
                  <c:v>6240</c:v>
                </c:pt>
                <c:pt idx="26">
                  <c:v>6060</c:v>
                </c:pt>
                <c:pt idx="27">
                  <c:v>5880</c:v>
                </c:pt>
                <c:pt idx="28">
                  <c:v>5700</c:v>
                </c:pt>
                <c:pt idx="29">
                  <c:v>5520</c:v>
                </c:pt>
                <c:pt idx="30">
                  <c:v>5340</c:v>
                </c:pt>
                <c:pt idx="31">
                  <c:v>5160</c:v>
                </c:pt>
                <c:pt idx="32">
                  <c:v>4980</c:v>
                </c:pt>
                <c:pt idx="33">
                  <c:v>4800</c:v>
                </c:pt>
                <c:pt idx="34">
                  <c:v>4620</c:v>
                </c:pt>
                <c:pt idx="35">
                  <c:v>4440</c:v>
                </c:pt>
                <c:pt idx="36">
                  <c:v>4260</c:v>
                </c:pt>
                <c:pt idx="37">
                  <c:v>4080</c:v>
                </c:pt>
                <c:pt idx="38">
                  <c:v>3900</c:v>
                </c:pt>
                <c:pt idx="39">
                  <c:v>3720</c:v>
                </c:pt>
                <c:pt idx="40">
                  <c:v>3540</c:v>
                </c:pt>
                <c:pt idx="41">
                  <c:v>3360</c:v>
                </c:pt>
                <c:pt idx="42">
                  <c:v>3180</c:v>
                </c:pt>
                <c:pt idx="43">
                  <c:v>3000</c:v>
                </c:pt>
                <c:pt idx="44">
                  <c:v>2820</c:v>
                </c:pt>
                <c:pt idx="45">
                  <c:v>2640</c:v>
                </c:pt>
                <c:pt idx="46">
                  <c:v>2460</c:v>
                </c:pt>
                <c:pt idx="47">
                  <c:v>2280</c:v>
                </c:pt>
                <c:pt idx="48">
                  <c:v>2100</c:v>
                </c:pt>
                <c:pt idx="49">
                  <c:v>1920</c:v>
                </c:pt>
                <c:pt idx="50">
                  <c:v>1740</c:v>
                </c:pt>
                <c:pt idx="51">
                  <c:v>1560</c:v>
                </c:pt>
                <c:pt idx="52">
                  <c:v>1380</c:v>
                </c:pt>
                <c:pt idx="53">
                  <c:v>1200</c:v>
                </c:pt>
                <c:pt idx="54">
                  <c:v>1020</c:v>
                </c:pt>
                <c:pt idx="55">
                  <c:v>840</c:v>
                </c:pt>
                <c:pt idx="56">
                  <c:v>660</c:v>
                </c:pt>
                <c:pt idx="57">
                  <c:v>480</c:v>
                </c:pt>
                <c:pt idx="58">
                  <c:v>300</c:v>
                </c:pt>
                <c:pt idx="59">
                  <c:v>120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10457.988000000001</c:v>
                </c:pt>
                <c:pt idx="1">
                  <c:v>10188</c:v>
                </c:pt>
                <c:pt idx="2">
                  <c:v>10038</c:v>
                </c:pt>
                <c:pt idx="3">
                  <c:v>9888</c:v>
                </c:pt>
                <c:pt idx="4">
                  <c:v>9738</c:v>
                </c:pt>
                <c:pt idx="5">
                  <c:v>9588</c:v>
                </c:pt>
                <c:pt idx="6">
                  <c:v>9556.08</c:v>
                </c:pt>
                <c:pt idx="7">
                  <c:v>9526.08</c:v>
                </c:pt>
                <c:pt idx="8">
                  <c:v>9496.08</c:v>
                </c:pt>
                <c:pt idx="9">
                  <c:v>9466.08</c:v>
                </c:pt>
                <c:pt idx="10">
                  <c:v>9436.08</c:v>
                </c:pt>
                <c:pt idx="11">
                  <c:v>9406.08</c:v>
                </c:pt>
                <c:pt idx="12">
                  <c:v>9376.08</c:v>
                </c:pt>
                <c:pt idx="13">
                  <c:v>9346.08</c:v>
                </c:pt>
                <c:pt idx="14">
                  <c:v>9316.08</c:v>
                </c:pt>
                <c:pt idx="15">
                  <c:v>9286.08</c:v>
                </c:pt>
                <c:pt idx="16">
                  <c:v>9256.08</c:v>
                </c:pt>
                <c:pt idx="17">
                  <c:v>9174</c:v>
                </c:pt>
                <c:pt idx="18">
                  <c:v>9024</c:v>
                </c:pt>
                <c:pt idx="19">
                  <c:v>8874</c:v>
                </c:pt>
                <c:pt idx="20">
                  <c:v>8724</c:v>
                </c:pt>
                <c:pt idx="21">
                  <c:v>8574</c:v>
                </c:pt>
                <c:pt idx="22">
                  <c:v>8424</c:v>
                </c:pt>
                <c:pt idx="23">
                  <c:v>8274</c:v>
                </c:pt>
                <c:pt idx="24">
                  <c:v>8124</c:v>
                </c:pt>
                <c:pt idx="25">
                  <c:v>7974</c:v>
                </c:pt>
                <c:pt idx="26">
                  <c:v>7824</c:v>
                </c:pt>
                <c:pt idx="27">
                  <c:v>7674</c:v>
                </c:pt>
                <c:pt idx="28">
                  <c:v>7524</c:v>
                </c:pt>
                <c:pt idx="29">
                  <c:v>7374</c:v>
                </c:pt>
                <c:pt idx="30">
                  <c:v>7224</c:v>
                </c:pt>
                <c:pt idx="31">
                  <c:v>7074</c:v>
                </c:pt>
                <c:pt idx="32">
                  <c:v>6924</c:v>
                </c:pt>
                <c:pt idx="33">
                  <c:v>6774</c:v>
                </c:pt>
                <c:pt idx="34">
                  <c:v>6624</c:v>
                </c:pt>
                <c:pt idx="35">
                  <c:v>6474</c:v>
                </c:pt>
                <c:pt idx="36">
                  <c:v>6324</c:v>
                </c:pt>
                <c:pt idx="37">
                  <c:v>6174</c:v>
                </c:pt>
                <c:pt idx="38">
                  <c:v>6024.0000000000009</c:v>
                </c:pt>
                <c:pt idx="39">
                  <c:v>5874</c:v>
                </c:pt>
                <c:pt idx="40">
                  <c:v>5724</c:v>
                </c:pt>
                <c:pt idx="41">
                  <c:v>5574</c:v>
                </c:pt>
                <c:pt idx="42">
                  <c:v>5424</c:v>
                </c:pt>
                <c:pt idx="43">
                  <c:v>5274</c:v>
                </c:pt>
                <c:pt idx="44">
                  <c:v>5124</c:v>
                </c:pt>
                <c:pt idx="45">
                  <c:v>4974</c:v>
                </c:pt>
                <c:pt idx="46">
                  <c:v>4824</c:v>
                </c:pt>
                <c:pt idx="47">
                  <c:v>4674.0000000000018</c:v>
                </c:pt>
                <c:pt idx="48">
                  <c:v>4524</c:v>
                </c:pt>
                <c:pt idx="49">
                  <c:v>4373.9999999999982</c:v>
                </c:pt>
                <c:pt idx="50">
                  <c:v>4224</c:v>
                </c:pt>
                <c:pt idx="51">
                  <c:v>4074</c:v>
                </c:pt>
                <c:pt idx="52">
                  <c:v>3924.0000000000014</c:v>
                </c:pt>
                <c:pt idx="53">
                  <c:v>3774</c:v>
                </c:pt>
                <c:pt idx="54">
                  <c:v>3624</c:v>
                </c:pt>
                <c:pt idx="55">
                  <c:v>3474.0000000000014</c:v>
                </c:pt>
                <c:pt idx="56">
                  <c:v>3324</c:v>
                </c:pt>
                <c:pt idx="57">
                  <c:v>3174</c:v>
                </c:pt>
                <c:pt idx="58">
                  <c:v>3024.0000000000014</c:v>
                </c:pt>
                <c:pt idx="59">
                  <c:v>2874</c:v>
                </c:pt>
                <c:pt idx="60">
                  <c:v>2724</c:v>
                </c:pt>
                <c:pt idx="61">
                  <c:v>2574.0000000000014</c:v>
                </c:pt>
                <c:pt idx="62">
                  <c:v>2424</c:v>
                </c:pt>
                <c:pt idx="63">
                  <c:v>2274</c:v>
                </c:pt>
                <c:pt idx="64">
                  <c:v>2124.0000000000014</c:v>
                </c:pt>
                <c:pt idx="65">
                  <c:v>1974</c:v>
                </c:pt>
                <c:pt idx="66">
                  <c:v>1824</c:v>
                </c:pt>
                <c:pt idx="67">
                  <c:v>1674.0000000000014</c:v>
                </c:pt>
                <c:pt idx="68">
                  <c:v>1524</c:v>
                </c:pt>
                <c:pt idx="69">
                  <c:v>1374</c:v>
                </c:pt>
                <c:pt idx="70">
                  <c:v>1224.0000000000014</c:v>
                </c:pt>
                <c:pt idx="71">
                  <c:v>1074</c:v>
                </c:pt>
                <c:pt idx="72">
                  <c:v>924</c:v>
                </c:pt>
                <c:pt idx="73">
                  <c:v>774.00000000000136</c:v>
                </c:pt>
                <c:pt idx="74">
                  <c:v>624</c:v>
                </c:pt>
                <c:pt idx="75">
                  <c:v>474</c:v>
                </c:pt>
                <c:pt idx="76">
                  <c:v>324.00000000000136</c:v>
                </c:pt>
                <c:pt idx="77">
                  <c:v>174</c:v>
                </c:pt>
                <c:pt idx="78">
                  <c:v>24</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31658.988000000001</c:v>
                      </c:pt>
                      <c:pt idx="1">
                        <c:v>31593</c:v>
                      </c:pt>
                      <c:pt idx="2">
                        <c:v>31647</c:v>
                      </c:pt>
                      <c:pt idx="3">
                        <c:v>31701</c:v>
                      </c:pt>
                      <c:pt idx="4">
                        <c:v>31755</c:v>
                      </c:pt>
                      <c:pt idx="5">
                        <c:v>31809</c:v>
                      </c:pt>
                      <c:pt idx="6">
                        <c:v>31587.48</c:v>
                      </c:pt>
                      <c:pt idx="7">
                        <c:v>31361.48</c:v>
                      </c:pt>
                      <c:pt idx="8">
                        <c:v>31135.480000000003</c:v>
                      </c:pt>
                      <c:pt idx="9">
                        <c:v>30909.48</c:v>
                      </c:pt>
                      <c:pt idx="10">
                        <c:v>30683.48</c:v>
                      </c:pt>
                      <c:pt idx="11">
                        <c:v>30457.480000000003</c:v>
                      </c:pt>
                      <c:pt idx="12">
                        <c:v>30231.48</c:v>
                      </c:pt>
                      <c:pt idx="13">
                        <c:v>30005.48</c:v>
                      </c:pt>
                      <c:pt idx="14">
                        <c:v>29779.48</c:v>
                      </c:pt>
                      <c:pt idx="15">
                        <c:v>29553.48</c:v>
                      </c:pt>
                      <c:pt idx="16">
                        <c:v>29327.48</c:v>
                      </c:pt>
                      <c:pt idx="17">
                        <c:v>29223</c:v>
                      </c:pt>
                      <c:pt idx="18">
                        <c:v>29277</c:v>
                      </c:pt>
                      <c:pt idx="19">
                        <c:v>29331</c:v>
                      </c:pt>
                      <c:pt idx="20">
                        <c:v>29385</c:v>
                      </c:pt>
                      <c:pt idx="21">
                        <c:v>29439</c:v>
                      </c:pt>
                      <c:pt idx="22">
                        <c:v>29493</c:v>
                      </c:pt>
                      <c:pt idx="23">
                        <c:v>29547</c:v>
                      </c:pt>
                      <c:pt idx="24">
                        <c:v>29469</c:v>
                      </c:pt>
                      <c:pt idx="25">
                        <c:v>29343</c:v>
                      </c:pt>
                      <c:pt idx="26">
                        <c:v>29217</c:v>
                      </c:pt>
                      <c:pt idx="27">
                        <c:v>28895.4</c:v>
                      </c:pt>
                      <c:pt idx="28">
                        <c:v>28565.4</c:v>
                      </c:pt>
                      <c:pt idx="29">
                        <c:v>28235.4</c:v>
                      </c:pt>
                      <c:pt idx="30">
                        <c:v>27905.4</c:v>
                      </c:pt>
                      <c:pt idx="31">
                        <c:v>27575.4</c:v>
                      </c:pt>
                      <c:pt idx="32">
                        <c:v>27245.4</c:v>
                      </c:pt>
                      <c:pt idx="33">
                        <c:v>26915.4</c:v>
                      </c:pt>
                      <c:pt idx="34">
                        <c:v>26585.4</c:v>
                      </c:pt>
                      <c:pt idx="35">
                        <c:v>26255.4</c:v>
                      </c:pt>
                      <c:pt idx="36">
                        <c:v>25925.4</c:v>
                      </c:pt>
                      <c:pt idx="37">
                        <c:v>25595.4</c:v>
                      </c:pt>
                      <c:pt idx="38">
                        <c:v>25265.4</c:v>
                      </c:pt>
                      <c:pt idx="39">
                        <c:v>24935.4</c:v>
                      </c:pt>
                      <c:pt idx="40">
                        <c:v>24605.4</c:v>
                      </c:pt>
                      <c:pt idx="41">
                        <c:v>24275.4</c:v>
                      </c:pt>
                      <c:pt idx="42">
                        <c:v>23945.4</c:v>
                      </c:pt>
                      <c:pt idx="43">
                        <c:v>23615.4</c:v>
                      </c:pt>
                      <c:pt idx="44">
                        <c:v>23285.4</c:v>
                      </c:pt>
                      <c:pt idx="45">
                        <c:v>22955.4</c:v>
                      </c:pt>
                      <c:pt idx="46">
                        <c:v>22625.4</c:v>
                      </c:pt>
                      <c:pt idx="47">
                        <c:v>22295.4</c:v>
                      </c:pt>
                      <c:pt idx="48">
                        <c:v>21944.498159999999</c:v>
                      </c:pt>
                      <c:pt idx="49">
                        <c:v>21518.618159999998</c:v>
                      </c:pt>
                      <c:pt idx="50">
                        <c:v>21092.738160000001</c:v>
                      </c:pt>
                      <c:pt idx="51">
                        <c:v>20666.85816</c:v>
                      </c:pt>
                      <c:pt idx="52">
                        <c:v>20240.978160000002</c:v>
                      </c:pt>
                      <c:pt idx="53">
                        <c:v>19815.098160000001</c:v>
                      </c:pt>
                      <c:pt idx="54">
                        <c:v>19389.21816</c:v>
                      </c:pt>
                      <c:pt idx="55">
                        <c:v>18963.338159999999</c:v>
                      </c:pt>
                      <c:pt idx="56">
                        <c:v>18537.458160000002</c:v>
                      </c:pt>
                      <c:pt idx="57">
                        <c:v>18111.578160000001</c:v>
                      </c:pt>
                      <c:pt idx="58">
                        <c:v>17685.69816</c:v>
                      </c:pt>
                      <c:pt idx="59">
                        <c:v>17259.818160000003</c:v>
                      </c:pt>
                      <c:pt idx="60">
                        <c:v>10686.93816</c:v>
                      </c:pt>
                      <c:pt idx="61">
                        <c:v>10441.05816</c:v>
                      </c:pt>
                      <c:pt idx="62">
                        <c:v>10195.178159999999</c:v>
                      </c:pt>
                      <c:pt idx="63">
                        <c:v>9949.2981600000003</c:v>
                      </c:pt>
                      <c:pt idx="64">
                        <c:v>9703.4181600000011</c:v>
                      </c:pt>
                      <c:pt idx="65">
                        <c:v>9457.5381600000001</c:v>
                      </c:pt>
                      <c:pt idx="66">
                        <c:v>9211.658159999999</c:v>
                      </c:pt>
                      <c:pt idx="67">
                        <c:v>8965.7781600000017</c:v>
                      </c:pt>
                      <c:pt idx="68">
                        <c:v>8719.8981600000006</c:v>
                      </c:pt>
                      <c:pt idx="69">
                        <c:v>8474.0181599999996</c:v>
                      </c:pt>
                      <c:pt idx="70">
                        <c:v>8228.1381600000004</c:v>
                      </c:pt>
                      <c:pt idx="71">
                        <c:v>7982.2581600000003</c:v>
                      </c:pt>
                      <c:pt idx="72">
                        <c:v>7736.3781600000002</c:v>
                      </c:pt>
                      <c:pt idx="73">
                        <c:v>7490.498160000001</c:v>
                      </c:pt>
                      <c:pt idx="74">
                        <c:v>7244.61816</c:v>
                      </c:pt>
                      <c:pt idx="75">
                        <c:v>6998.7381600000008</c:v>
                      </c:pt>
                      <c:pt idx="76">
                        <c:v>6752.8581600000016</c:v>
                      </c:pt>
                      <c:pt idx="77">
                        <c:v>6506.9781600000006</c:v>
                      </c:pt>
                      <c:pt idx="78">
                        <c:v>6261.0981599999996</c:v>
                      </c:pt>
                      <c:pt idx="79">
                        <c:v>6141.2181600000004</c:v>
                      </c:pt>
                      <c:pt idx="80">
                        <c:v>6045.3381600000002</c:v>
                      </c:pt>
                      <c:pt idx="81">
                        <c:v>5949.4581600000001</c:v>
                      </c:pt>
                      <c:pt idx="82">
                        <c:v>5853.57816</c:v>
                      </c:pt>
                      <c:pt idx="83">
                        <c:v>5757.6981599999999</c:v>
                      </c:pt>
                      <c:pt idx="84">
                        <c:v>5661.8181599999998</c:v>
                      </c:pt>
                      <c:pt idx="85">
                        <c:v>5565.9381599999997</c:v>
                      </c:pt>
                      <c:pt idx="86">
                        <c:v>5470.0581600000005</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31658.988000000001</c:v>
                      </c:pt>
                      <c:pt idx="1">
                        <c:v>32093</c:v>
                      </c:pt>
                      <c:pt idx="2">
                        <c:v>32647</c:v>
                      </c:pt>
                      <c:pt idx="3">
                        <c:v>33201</c:v>
                      </c:pt>
                      <c:pt idx="4">
                        <c:v>33755</c:v>
                      </c:pt>
                      <c:pt idx="5">
                        <c:v>34309</c:v>
                      </c:pt>
                      <c:pt idx="6">
                        <c:v>34587.479999999996</c:v>
                      </c:pt>
                      <c:pt idx="7">
                        <c:v>34861.479999999996</c:v>
                      </c:pt>
                      <c:pt idx="8">
                        <c:v>35135.480000000003</c:v>
                      </c:pt>
                      <c:pt idx="9">
                        <c:v>35409.479999999996</c:v>
                      </c:pt>
                      <c:pt idx="10">
                        <c:v>35683.479999999996</c:v>
                      </c:pt>
                      <c:pt idx="11">
                        <c:v>35957.480000000003</c:v>
                      </c:pt>
                      <c:pt idx="12">
                        <c:v>36231.479999999996</c:v>
                      </c:pt>
                      <c:pt idx="13">
                        <c:v>36505.479999999996</c:v>
                      </c:pt>
                      <c:pt idx="14">
                        <c:v>36779.479999999996</c:v>
                      </c:pt>
                      <c:pt idx="15">
                        <c:v>37053.479999999996</c:v>
                      </c:pt>
                      <c:pt idx="16">
                        <c:v>37327.479999999996</c:v>
                      </c:pt>
                      <c:pt idx="17">
                        <c:v>37723</c:v>
                      </c:pt>
                      <c:pt idx="18">
                        <c:v>38277</c:v>
                      </c:pt>
                      <c:pt idx="19">
                        <c:v>38831</c:v>
                      </c:pt>
                      <c:pt idx="20">
                        <c:v>39385</c:v>
                      </c:pt>
                      <c:pt idx="21">
                        <c:v>39939</c:v>
                      </c:pt>
                      <c:pt idx="22">
                        <c:v>40493</c:v>
                      </c:pt>
                      <c:pt idx="23">
                        <c:v>41047</c:v>
                      </c:pt>
                      <c:pt idx="24">
                        <c:v>41469</c:v>
                      </c:pt>
                      <c:pt idx="25">
                        <c:v>41843</c:v>
                      </c:pt>
                      <c:pt idx="26">
                        <c:v>42217</c:v>
                      </c:pt>
                      <c:pt idx="27">
                        <c:v>42395.4</c:v>
                      </c:pt>
                      <c:pt idx="28">
                        <c:v>42565.4</c:v>
                      </c:pt>
                      <c:pt idx="29">
                        <c:v>42735.4</c:v>
                      </c:pt>
                      <c:pt idx="30">
                        <c:v>42905.4</c:v>
                      </c:pt>
                      <c:pt idx="31">
                        <c:v>43075.4</c:v>
                      </c:pt>
                      <c:pt idx="32">
                        <c:v>43245.4</c:v>
                      </c:pt>
                      <c:pt idx="33">
                        <c:v>43415.4</c:v>
                      </c:pt>
                      <c:pt idx="34">
                        <c:v>43585.4</c:v>
                      </c:pt>
                      <c:pt idx="35">
                        <c:v>43755.4</c:v>
                      </c:pt>
                      <c:pt idx="36">
                        <c:v>43925.4</c:v>
                      </c:pt>
                      <c:pt idx="37">
                        <c:v>44095.4</c:v>
                      </c:pt>
                      <c:pt idx="38">
                        <c:v>44265.4</c:v>
                      </c:pt>
                      <c:pt idx="39">
                        <c:v>44435.4</c:v>
                      </c:pt>
                      <c:pt idx="40">
                        <c:v>44605.4</c:v>
                      </c:pt>
                      <c:pt idx="41">
                        <c:v>44775.4</c:v>
                      </c:pt>
                      <c:pt idx="42">
                        <c:v>44945.4</c:v>
                      </c:pt>
                      <c:pt idx="43">
                        <c:v>45115.4</c:v>
                      </c:pt>
                      <c:pt idx="44">
                        <c:v>45285.4</c:v>
                      </c:pt>
                      <c:pt idx="45">
                        <c:v>45455.4</c:v>
                      </c:pt>
                      <c:pt idx="46">
                        <c:v>45625.4</c:v>
                      </c:pt>
                      <c:pt idx="47">
                        <c:v>45795.4</c:v>
                      </c:pt>
                      <c:pt idx="48">
                        <c:v>45944.498160000003</c:v>
                      </c:pt>
                      <c:pt idx="49">
                        <c:v>46018.618159999998</c:v>
                      </c:pt>
                      <c:pt idx="50">
                        <c:v>46092.738160000001</c:v>
                      </c:pt>
                      <c:pt idx="51">
                        <c:v>46166.858160000003</c:v>
                      </c:pt>
                      <c:pt idx="52">
                        <c:v>46240.978159999999</c:v>
                      </c:pt>
                      <c:pt idx="53">
                        <c:v>46315.098160000001</c:v>
                      </c:pt>
                      <c:pt idx="54">
                        <c:v>46389.218160000004</c:v>
                      </c:pt>
                      <c:pt idx="55">
                        <c:v>46463.338159999999</c:v>
                      </c:pt>
                      <c:pt idx="56">
                        <c:v>46537.458160000002</c:v>
                      </c:pt>
                      <c:pt idx="57">
                        <c:v>46611.578160000005</c:v>
                      </c:pt>
                      <c:pt idx="58">
                        <c:v>46685.69816</c:v>
                      </c:pt>
                      <c:pt idx="59">
                        <c:v>46759.818160000003</c:v>
                      </c:pt>
                      <c:pt idx="60">
                        <c:v>40686.938159999998</c:v>
                      </c:pt>
                      <c:pt idx="61">
                        <c:v>40941.05816</c:v>
                      </c:pt>
                      <c:pt idx="62">
                        <c:v>41195.178159999996</c:v>
                      </c:pt>
                      <c:pt idx="63">
                        <c:v>41449.298159999998</c:v>
                      </c:pt>
                      <c:pt idx="64">
                        <c:v>41703.418160000001</c:v>
                      </c:pt>
                      <c:pt idx="65">
                        <c:v>41957.538159999996</c:v>
                      </c:pt>
                      <c:pt idx="66">
                        <c:v>42211.658159999999</c:v>
                      </c:pt>
                      <c:pt idx="67">
                        <c:v>42465.778160000002</c:v>
                      </c:pt>
                      <c:pt idx="68">
                        <c:v>42719.898159999997</c:v>
                      </c:pt>
                      <c:pt idx="69">
                        <c:v>42974.01816</c:v>
                      </c:pt>
                      <c:pt idx="70">
                        <c:v>43228.138160000002</c:v>
                      </c:pt>
                      <c:pt idx="71">
                        <c:v>43482.258159999998</c:v>
                      </c:pt>
                      <c:pt idx="72">
                        <c:v>43736.37816</c:v>
                      </c:pt>
                      <c:pt idx="73">
                        <c:v>43990.498160000003</c:v>
                      </c:pt>
                      <c:pt idx="74">
                        <c:v>44244.618159999998</c:v>
                      </c:pt>
                      <c:pt idx="75">
                        <c:v>44498.738160000001</c:v>
                      </c:pt>
                      <c:pt idx="76">
                        <c:v>44752.858160000003</c:v>
                      </c:pt>
                      <c:pt idx="77">
                        <c:v>45006.978159999999</c:v>
                      </c:pt>
                      <c:pt idx="78">
                        <c:v>45261.098160000001</c:v>
                      </c:pt>
                      <c:pt idx="79">
                        <c:v>45641.218160000004</c:v>
                      </c:pt>
                      <c:pt idx="80">
                        <c:v>46045.338159999999</c:v>
                      </c:pt>
                      <c:pt idx="81">
                        <c:v>46449.458160000002</c:v>
                      </c:pt>
                      <c:pt idx="82">
                        <c:v>46853.578159999997</c:v>
                      </c:pt>
                      <c:pt idx="83">
                        <c:v>47257.69816</c:v>
                      </c:pt>
                      <c:pt idx="84">
                        <c:v>47661.818160000003</c:v>
                      </c:pt>
                      <c:pt idx="85">
                        <c:v>48065.938159999998</c:v>
                      </c:pt>
                      <c:pt idx="86">
                        <c:v>48470.05816</c:v>
                      </c:pt>
                      <c:pt idx="87">
                        <c:v>45052.178160000003</c:v>
                      </c:pt>
                      <c:pt idx="88">
                        <c:v>45456.298159999998</c:v>
                      </c:pt>
                      <c:pt idx="89">
                        <c:v>45860.418160000001</c:v>
                      </c:pt>
                      <c:pt idx="90">
                        <c:v>46264.538160000004</c:v>
                      </c:pt>
                      <c:pt idx="91">
                        <c:v>46668.658159999999</c:v>
                      </c:pt>
                      <c:pt idx="92">
                        <c:v>47072.778160000002</c:v>
                      </c:pt>
                      <c:pt idx="93">
                        <c:v>47476.898159999997</c:v>
                      </c:pt>
                      <c:pt idx="94">
                        <c:v>47881.01816</c:v>
                      </c:pt>
                      <c:pt idx="95">
                        <c:v>48285.138160000002</c:v>
                      </c:pt>
                      <c:pt idx="96">
                        <c:v>48689.258159999998</c:v>
                      </c:pt>
                      <c:pt idx="97">
                        <c:v>49093.37816</c:v>
                      </c:pt>
                      <c:pt idx="98">
                        <c:v>49497.498160000003</c:v>
                      </c:pt>
                      <c:pt idx="99">
                        <c:v>49901.618159999998</c:v>
                      </c:pt>
                      <c:pt idx="100">
                        <c:v>50305.738160000001</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4620</c:v>
                </c:pt>
                <c:pt idx="1">
                  <c:v>4620</c:v>
                </c:pt>
                <c:pt idx="2">
                  <c:v>4620</c:v>
                </c:pt>
                <c:pt idx="3">
                  <c:v>4620</c:v>
                </c:pt>
                <c:pt idx="4">
                  <c:v>4620</c:v>
                </c:pt>
                <c:pt idx="5">
                  <c:v>4620</c:v>
                </c:pt>
                <c:pt idx="6">
                  <c:v>4226.3999999999996</c:v>
                </c:pt>
                <c:pt idx="7">
                  <c:v>3826.4</c:v>
                </c:pt>
                <c:pt idx="8">
                  <c:v>3426.4000000000005</c:v>
                </c:pt>
                <c:pt idx="9">
                  <c:v>3026.3999999999996</c:v>
                </c:pt>
                <c:pt idx="10">
                  <c:v>2626.3999999999996</c:v>
                </c:pt>
                <c:pt idx="11">
                  <c:v>2226.4000000000005</c:v>
                </c:pt>
                <c:pt idx="12">
                  <c:v>1826.3999999999999</c:v>
                </c:pt>
                <c:pt idx="13">
                  <c:v>1426.4</c:v>
                </c:pt>
                <c:pt idx="14">
                  <c:v>1026.3999999999996</c:v>
                </c:pt>
                <c:pt idx="15">
                  <c:v>626.39999999999986</c:v>
                </c:pt>
                <c:pt idx="16">
                  <c:v>226.40000000000009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6552</c:v>
                </c:pt>
                <c:pt idx="1">
                  <c:v>6552</c:v>
                </c:pt>
                <c:pt idx="2">
                  <c:v>6552</c:v>
                </c:pt>
                <c:pt idx="3">
                  <c:v>6552</c:v>
                </c:pt>
                <c:pt idx="4">
                  <c:v>6552</c:v>
                </c:pt>
                <c:pt idx="5">
                  <c:v>6552</c:v>
                </c:pt>
                <c:pt idx="6">
                  <c:v>6552</c:v>
                </c:pt>
                <c:pt idx="7">
                  <c:v>6552</c:v>
                </c:pt>
                <c:pt idx="8">
                  <c:v>6552</c:v>
                </c:pt>
                <c:pt idx="9">
                  <c:v>6552</c:v>
                </c:pt>
                <c:pt idx="10">
                  <c:v>6552</c:v>
                </c:pt>
                <c:pt idx="11">
                  <c:v>6552</c:v>
                </c:pt>
                <c:pt idx="12">
                  <c:v>6552</c:v>
                </c:pt>
                <c:pt idx="13">
                  <c:v>6552</c:v>
                </c:pt>
                <c:pt idx="14">
                  <c:v>6552</c:v>
                </c:pt>
                <c:pt idx="15">
                  <c:v>6552</c:v>
                </c:pt>
                <c:pt idx="16">
                  <c:v>6552</c:v>
                </c:pt>
                <c:pt idx="17">
                  <c:v>6552</c:v>
                </c:pt>
                <c:pt idx="18">
                  <c:v>6552</c:v>
                </c:pt>
                <c:pt idx="19">
                  <c:v>6552</c:v>
                </c:pt>
                <c:pt idx="20">
                  <c:v>6552</c:v>
                </c:pt>
                <c:pt idx="21">
                  <c:v>6552</c:v>
                </c:pt>
                <c:pt idx="22">
                  <c:v>6552</c:v>
                </c:pt>
                <c:pt idx="23">
                  <c:v>6552</c:v>
                </c:pt>
                <c:pt idx="24">
                  <c:v>6420</c:v>
                </c:pt>
                <c:pt idx="25">
                  <c:v>6240</c:v>
                </c:pt>
                <c:pt idx="26">
                  <c:v>6060</c:v>
                </c:pt>
                <c:pt idx="27">
                  <c:v>5880</c:v>
                </c:pt>
                <c:pt idx="28">
                  <c:v>5700</c:v>
                </c:pt>
                <c:pt idx="29">
                  <c:v>5520</c:v>
                </c:pt>
                <c:pt idx="30">
                  <c:v>5340</c:v>
                </c:pt>
                <c:pt idx="31">
                  <c:v>5160</c:v>
                </c:pt>
                <c:pt idx="32">
                  <c:v>4980</c:v>
                </c:pt>
                <c:pt idx="33">
                  <c:v>4800</c:v>
                </c:pt>
                <c:pt idx="34">
                  <c:v>4620</c:v>
                </c:pt>
                <c:pt idx="35">
                  <c:v>4440</c:v>
                </c:pt>
                <c:pt idx="36">
                  <c:v>4260</c:v>
                </c:pt>
                <c:pt idx="37">
                  <c:v>4080</c:v>
                </c:pt>
                <c:pt idx="38">
                  <c:v>3900</c:v>
                </c:pt>
                <c:pt idx="39">
                  <c:v>3720</c:v>
                </c:pt>
                <c:pt idx="40">
                  <c:v>3540</c:v>
                </c:pt>
                <c:pt idx="41">
                  <c:v>3360</c:v>
                </c:pt>
                <c:pt idx="42">
                  <c:v>3180</c:v>
                </c:pt>
                <c:pt idx="43">
                  <c:v>3000</c:v>
                </c:pt>
                <c:pt idx="44">
                  <c:v>2820</c:v>
                </c:pt>
                <c:pt idx="45">
                  <c:v>2640</c:v>
                </c:pt>
                <c:pt idx="46">
                  <c:v>2460</c:v>
                </c:pt>
                <c:pt idx="47">
                  <c:v>2280</c:v>
                </c:pt>
                <c:pt idx="48">
                  <c:v>2100</c:v>
                </c:pt>
                <c:pt idx="49">
                  <c:v>1920</c:v>
                </c:pt>
                <c:pt idx="50">
                  <c:v>1740</c:v>
                </c:pt>
                <c:pt idx="51">
                  <c:v>1560</c:v>
                </c:pt>
                <c:pt idx="52">
                  <c:v>1380</c:v>
                </c:pt>
                <c:pt idx="53">
                  <c:v>1200</c:v>
                </c:pt>
                <c:pt idx="54">
                  <c:v>1020</c:v>
                </c:pt>
                <c:pt idx="55">
                  <c:v>840</c:v>
                </c:pt>
                <c:pt idx="56">
                  <c:v>660</c:v>
                </c:pt>
                <c:pt idx="57">
                  <c:v>480</c:v>
                </c:pt>
                <c:pt idx="58">
                  <c:v>300</c:v>
                </c:pt>
                <c:pt idx="59">
                  <c:v>120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10457.988000000001</c:v>
                </c:pt>
                <c:pt idx="1">
                  <c:v>10188</c:v>
                </c:pt>
                <c:pt idx="2">
                  <c:v>10038</c:v>
                </c:pt>
                <c:pt idx="3">
                  <c:v>9888</c:v>
                </c:pt>
                <c:pt idx="4">
                  <c:v>9738</c:v>
                </c:pt>
                <c:pt idx="5">
                  <c:v>9588</c:v>
                </c:pt>
                <c:pt idx="6">
                  <c:v>9556.08</c:v>
                </c:pt>
                <c:pt idx="7">
                  <c:v>9526.08</c:v>
                </c:pt>
                <c:pt idx="8">
                  <c:v>9496.08</c:v>
                </c:pt>
                <c:pt idx="9">
                  <c:v>9466.08</c:v>
                </c:pt>
                <c:pt idx="10">
                  <c:v>9436.08</c:v>
                </c:pt>
                <c:pt idx="11">
                  <c:v>9406.08</c:v>
                </c:pt>
                <c:pt idx="12">
                  <c:v>9376.08</c:v>
                </c:pt>
                <c:pt idx="13">
                  <c:v>9346.08</c:v>
                </c:pt>
                <c:pt idx="14">
                  <c:v>9316.08</c:v>
                </c:pt>
                <c:pt idx="15">
                  <c:v>9286.08</c:v>
                </c:pt>
                <c:pt idx="16">
                  <c:v>9256.08</c:v>
                </c:pt>
                <c:pt idx="17">
                  <c:v>9174</c:v>
                </c:pt>
                <c:pt idx="18">
                  <c:v>9024</c:v>
                </c:pt>
                <c:pt idx="19">
                  <c:v>8874</c:v>
                </c:pt>
                <c:pt idx="20">
                  <c:v>8724</c:v>
                </c:pt>
                <c:pt idx="21">
                  <c:v>8574</c:v>
                </c:pt>
                <c:pt idx="22">
                  <c:v>8424</c:v>
                </c:pt>
                <c:pt idx="23">
                  <c:v>8274</c:v>
                </c:pt>
                <c:pt idx="24">
                  <c:v>8124</c:v>
                </c:pt>
                <c:pt idx="25">
                  <c:v>7974</c:v>
                </c:pt>
                <c:pt idx="26">
                  <c:v>7824</c:v>
                </c:pt>
                <c:pt idx="27">
                  <c:v>7674</c:v>
                </c:pt>
                <c:pt idx="28">
                  <c:v>7524</c:v>
                </c:pt>
                <c:pt idx="29">
                  <c:v>7374</c:v>
                </c:pt>
                <c:pt idx="30">
                  <c:v>7224</c:v>
                </c:pt>
                <c:pt idx="31">
                  <c:v>7074</c:v>
                </c:pt>
                <c:pt idx="32">
                  <c:v>6924</c:v>
                </c:pt>
                <c:pt idx="33">
                  <c:v>6774</c:v>
                </c:pt>
                <c:pt idx="34">
                  <c:v>6624</c:v>
                </c:pt>
                <c:pt idx="35">
                  <c:v>6474</c:v>
                </c:pt>
                <c:pt idx="36">
                  <c:v>6324</c:v>
                </c:pt>
                <c:pt idx="37">
                  <c:v>6174</c:v>
                </c:pt>
                <c:pt idx="38">
                  <c:v>6024.0000000000009</c:v>
                </c:pt>
                <c:pt idx="39">
                  <c:v>5874</c:v>
                </c:pt>
                <c:pt idx="40">
                  <c:v>5724</c:v>
                </c:pt>
                <c:pt idx="41">
                  <c:v>5574</c:v>
                </c:pt>
                <c:pt idx="42">
                  <c:v>5424</c:v>
                </c:pt>
                <c:pt idx="43">
                  <c:v>5274</c:v>
                </c:pt>
                <c:pt idx="44">
                  <c:v>5124</c:v>
                </c:pt>
                <c:pt idx="45">
                  <c:v>4974</c:v>
                </c:pt>
                <c:pt idx="46">
                  <c:v>4824</c:v>
                </c:pt>
                <c:pt idx="47">
                  <c:v>4674.0000000000018</c:v>
                </c:pt>
                <c:pt idx="48">
                  <c:v>4524</c:v>
                </c:pt>
                <c:pt idx="49">
                  <c:v>4373.9999999999982</c:v>
                </c:pt>
                <c:pt idx="50">
                  <c:v>4224</c:v>
                </c:pt>
                <c:pt idx="51">
                  <c:v>4074</c:v>
                </c:pt>
                <c:pt idx="52">
                  <c:v>3924.0000000000014</c:v>
                </c:pt>
                <c:pt idx="53">
                  <c:v>3774</c:v>
                </c:pt>
                <c:pt idx="54">
                  <c:v>3624</c:v>
                </c:pt>
                <c:pt idx="55">
                  <c:v>3474.0000000000014</c:v>
                </c:pt>
                <c:pt idx="56">
                  <c:v>3324</c:v>
                </c:pt>
                <c:pt idx="57">
                  <c:v>3174</c:v>
                </c:pt>
                <c:pt idx="58">
                  <c:v>3024.0000000000014</c:v>
                </c:pt>
                <c:pt idx="59">
                  <c:v>2874</c:v>
                </c:pt>
                <c:pt idx="60">
                  <c:v>2724</c:v>
                </c:pt>
                <c:pt idx="61">
                  <c:v>2574.0000000000014</c:v>
                </c:pt>
                <c:pt idx="62">
                  <c:v>2424</c:v>
                </c:pt>
                <c:pt idx="63">
                  <c:v>2274</c:v>
                </c:pt>
                <c:pt idx="64">
                  <c:v>2124.0000000000014</c:v>
                </c:pt>
                <c:pt idx="65">
                  <c:v>1974</c:v>
                </c:pt>
                <c:pt idx="66">
                  <c:v>1824</c:v>
                </c:pt>
                <c:pt idx="67">
                  <c:v>1674.0000000000014</c:v>
                </c:pt>
                <c:pt idx="68">
                  <c:v>1524</c:v>
                </c:pt>
                <c:pt idx="69">
                  <c:v>1374</c:v>
                </c:pt>
                <c:pt idx="70">
                  <c:v>1224.0000000000014</c:v>
                </c:pt>
                <c:pt idx="71">
                  <c:v>1074</c:v>
                </c:pt>
                <c:pt idx="72">
                  <c:v>924</c:v>
                </c:pt>
                <c:pt idx="73">
                  <c:v>774.00000000000136</c:v>
                </c:pt>
                <c:pt idx="74">
                  <c:v>624</c:v>
                </c:pt>
                <c:pt idx="75">
                  <c:v>474</c:v>
                </c:pt>
                <c:pt idx="76">
                  <c:v>324.00000000000136</c:v>
                </c:pt>
                <c:pt idx="77">
                  <c:v>174</c:v>
                </c:pt>
                <c:pt idx="78">
                  <c:v>24</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5291.4981600000001</c:v>
                </c:pt>
                <c:pt idx="49">
                  <c:v>5195.61816</c:v>
                </c:pt>
                <c:pt idx="50">
                  <c:v>5099.7381599999999</c:v>
                </c:pt>
                <c:pt idx="51">
                  <c:v>5003.8581599999998</c:v>
                </c:pt>
                <c:pt idx="52">
                  <c:v>4907.9781600000006</c:v>
                </c:pt>
                <c:pt idx="53">
                  <c:v>4812.0981599999996</c:v>
                </c:pt>
                <c:pt idx="54">
                  <c:v>4716.2181600000004</c:v>
                </c:pt>
                <c:pt idx="55">
                  <c:v>4620.3381599999993</c:v>
                </c:pt>
                <c:pt idx="56">
                  <c:v>4524.4581600000001</c:v>
                </c:pt>
                <c:pt idx="57">
                  <c:v>4428.57816</c:v>
                </c:pt>
                <c:pt idx="58">
                  <c:v>4332.6981599999999</c:v>
                </c:pt>
                <c:pt idx="59">
                  <c:v>4236.8181600000007</c:v>
                </c:pt>
                <c:pt idx="60">
                  <c:v>4140.9381599999997</c:v>
                </c:pt>
                <c:pt idx="61">
                  <c:v>4045.05816</c:v>
                </c:pt>
                <c:pt idx="62">
                  <c:v>3949.1781599999999</c:v>
                </c:pt>
                <c:pt idx="63">
                  <c:v>3853.2981599999998</c:v>
                </c:pt>
                <c:pt idx="64">
                  <c:v>3757.4181600000002</c:v>
                </c:pt>
                <c:pt idx="65">
                  <c:v>3661.5381599999996</c:v>
                </c:pt>
                <c:pt idx="66">
                  <c:v>3565.65816</c:v>
                </c:pt>
                <c:pt idx="67">
                  <c:v>3469.7781599999998</c:v>
                </c:pt>
                <c:pt idx="68">
                  <c:v>3373.8981599999997</c:v>
                </c:pt>
                <c:pt idx="69">
                  <c:v>3278.0181600000005</c:v>
                </c:pt>
                <c:pt idx="70">
                  <c:v>3182.1381599999995</c:v>
                </c:pt>
                <c:pt idx="71">
                  <c:v>3086.2581600000003</c:v>
                </c:pt>
                <c:pt idx="72">
                  <c:v>2990.3781600000002</c:v>
                </c:pt>
                <c:pt idx="73">
                  <c:v>2894.4981600000001</c:v>
                </c:pt>
                <c:pt idx="74">
                  <c:v>2798.61816</c:v>
                </c:pt>
                <c:pt idx="75">
                  <c:v>2702.7381600000003</c:v>
                </c:pt>
                <c:pt idx="76">
                  <c:v>2606.8581600000002</c:v>
                </c:pt>
                <c:pt idx="77">
                  <c:v>2510.9781600000001</c:v>
                </c:pt>
                <c:pt idx="78">
                  <c:v>2415.09816</c:v>
                </c:pt>
                <c:pt idx="79">
                  <c:v>2319.2181599999999</c:v>
                </c:pt>
                <c:pt idx="80">
                  <c:v>2223.3381600000002</c:v>
                </c:pt>
                <c:pt idx="81">
                  <c:v>2127.4581600000001</c:v>
                </c:pt>
                <c:pt idx="82">
                  <c:v>2031.57816</c:v>
                </c:pt>
                <c:pt idx="83">
                  <c:v>1935.6981599999999</c:v>
                </c:pt>
                <c:pt idx="84">
                  <c:v>1839.8181599999998</c:v>
                </c:pt>
                <c:pt idx="85">
                  <c:v>1743.9381600000002</c:v>
                </c:pt>
                <c:pt idx="86">
                  <c:v>1648.05816</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10029</c:v>
                </c:pt>
                <c:pt idx="1">
                  <c:v>10029</c:v>
                </c:pt>
                <c:pt idx="2">
                  <c:v>10029</c:v>
                </c:pt>
                <c:pt idx="3">
                  <c:v>10029</c:v>
                </c:pt>
                <c:pt idx="4">
                  <c:v>10029</c:v>
                </c:pt>
                <c:pt idx="5">
                  <c:v>10029</c:v>
                </c:pt>
                <c:pt idx="6">
                  <c:v>10029</c:v>
                </c:pt>
                <c:pt idx="7">
                  <c:v>10029</c:v>
                </c:pt>
                <c:pt idx="8">
                  <c:v>10029</c:v>
                </c:pt>
                <c:pt idx="9">
                  <c:v>10029</c:v>
                </c:pt>
                <c:pt idx="10">
                  <c:v>10029</c:v>
                </c:pt>
                <c:pt idx="11">
                  <c:v>10029</c:v>
                </c:pt>
                <c:pt idx="12">
                  <c:v>10029</c:v>
                </c:pt>
                <c:pt idx="13">
                  <c:v>10029</c:v>
                </c:pt>
                <c:pt idx="14">
                  <c:v>10029</c:v>
                </c:pt>
                <c:pt idx="15">
                  <c:v>10029</c:v>
                </c:pt>
                <c:pt idx="16">
                  <c:v>10029</c:v>
                </c:pt>
                <c:pt idx="17">
                  <c:v>10029</c:v>
                </c:pt>
                <c:pt idx="18">
                  <c:v>10029</c:v>
                </c:pt>
                <c:pt idx="19">
                  <c:v>10029</c:v>
                </c:pt>
                <c:pt idx="20">
                  <c:v>10029</c:v>
                </c:pt>
                <c:pt idx="21">
                  <c:v>10029</c:v>
                </c:pt>
                <c:pt idx="22">
                  <c:v>10029</c:v>
                </c:pt>
                <c:pt idx="23">
                  <c:v>10029</c:v>
                </c:pt>
                <c:pt idx="24">
                  <c:v>10029</c:v>
                </c:pt>
                <c:pt idx="25">
                  <c:v>10029</c:v>
                </c:pt>
                <c:pt idx="26">
                  <c:v>10029</c:v>
                </c:pt>
                <c:pt idx="27">
                  <c:v>10029</c:v>
                </c:pt>
                <c:pt idx="28">
                  <c:v>10029</c:v>
                </c:pt>
                <c:pt idx="29">
                  <c:v>10029</c:v>
                </c:pt>
                <c:pt idx="30">
                  <c:v>10029</c:v>
                </c:pt>
                <c:pt idx="31">
                  <c:v>10029</c:v>
                </c:pt>
                <c:pt idx="32">
                  <c:v>10029</c:v>
                </c:pt>
                <c:pt idx="33">
                  <c:v>10029</c:v>
                </c:pt>
                <c:pt idx="34">
                  <c:v>10029</c:v>
                </c:pt>
                <c:pt idx="35">
                  <c:v>10029</c:v>
                </c:pt>
                <c:pt idx="36">
                  <c:v>10029</c:v>
                </c:pt>
                <c:pt idx="37">
                  <c:v>10029</c:v>
                </c:pt>
                <c:pt idx="38">
                  <c:v>10029</c:v>
                </c:pt>
                <c:pt idx="39">
                  <c:v>10029</c:v>
                </c:pt>
                <c:pt idx="40">
                  <c:v>10029</c:v>
                </c:pt>
                <c:pt idx="41">
                  <c:v>10029</c:v>
                </c:pt>
                <c:pt idx="42">
                  <c:v>10029</c:v>
                </c:pt>
                <c:pt idx="43">
                  <c:v>10029</c:v>
                </c:pt>
                <c:pt idx="44">
                  <c:v>10029</c:v>
                </c:pt>
                <c:pt idx="45">
                  <c:v>10029</c:v>
                </c:pt>
                <c:pt idx="46">
                  <c:v>10029</c:v>
                </c:pt>
                <c:pt idx="47">
                  <c:v>10029</c:v>
                </c:pt>
                <c:pt idx="48">
                  <c:v>10029</c:v>
                </c:pt>
                <c:pt idx="49">
                  <c:v>10029</c:v>
                </c:pt>
                <c:pt idx="50">
                  <c:v>10029</c:v>
                </c:pt>
                <c:pt idx="51">
                  <c:v>10029</c:v>
                </c:pt>
                <c:pt idx="52">
                  <c:v>10029</c:v>
                </c:pt>
                <c:pt idx="53">
                  <c:v>10029</c:v>
                </c:pt>
                <c:pt idx="54">
                  <c:v>10029</c:v>
                </c:pt>
                <c:pt idx="55">
                  <c:v>10029</c:v>
                </c:pt>
                <c:pt idx="56">
                  <c:v>10029</c:v>
                </c:pt>
                <c:pt idx="57">
                  <c:v>10029</c:v>
                </c:pt>
                <c:pt idx="58">
                  <c:v>10029</c:v>
                </c:pt>
                <c:pt idx="59">
                  <c:v>10029</c:v>
                </c:pt>
                <c:pt idx="60">
                  <c:v>3822</c:v>
                </c:pt>
                <c:pt idx="61">
                  <c:v>3822</c:v>
                </c:pt>
                <c:pt idx="62">
                  <c:v>3822</c:v>
                </c:pt>
                <c:pt idx="63">
                  <c:v>3822</c:v>
                </c:pt>
                <c:pt idx="64">
                  <c:v>3822</c:v>
                </c:pt>
                <c:pt idx="65">
                  <c:v>3822</c:v>
                </c:pt>
                <c:pt idx="66">
                  <c:v>3822</c:v>
                </c:pt>
                <c:pt idx="67">
                  <c:v>3822</c:v>
                </c:pt>
                <c:pt idx="68">
                  <c:v>3822</c:v>
                </c:pt>
                <c:pt idx="69">
                  <c:v>3822</c:v>
                </c:pt>
                <c:pt idx="70">
                  <c:v>3822</c:v>
                </c:pt>
                <c:pt idx="71">
                  <c:v>3822</c:v>
                </c:pt>
                <c:pt idx="72">
                  <c:v>3822</c:v>
                </c:pt>
                <c:pt idx="73">
                  <c:v>3822</c:v>
                </c:pt>
                <c:pt idx="74">
                  <c:v>3822</c:v>
                </c:pt>
                <c:pt idx="75">
                  <c:v>3822</c:v>
                </c:pt>
                <c:pt idx="76">
                  <c:v>3822</c:v>
                </c:pt>
                <c:pt idx="77">
                  <c:v>3822</c:v>
                </c:pt>
                <c:pt idx="78">
                  <c:v>3822</c:v>
                </c:pt>
                <c:pt idx="79">
                  <c:v>3822</c:v>
                </c:pt>
                <c:pt idx="80">
                  <c:v>3822</c:v>
                </c:pt>
                <c:pt idx="81">
                  <c:v>3822</c:v>
                </c:pt>
                <c:pt idx="82">
                  <c:v>3822</c:v>
                </c:pt>
                <c:pt idx="83">
                  <c:v>3822</c:v>
                </c:pt>
                <c:pt idx="84">
                  <c:v>3822</c:v>
                </c:pt>
                <c:pt idx="85">
                  <c:v>3822</c:v>
                </c:pt>
                <c:pt idx="86">
                  <c:v>3822</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31658.988000000001</c:v>
                      </c:pt>
                      <c:pt idx="1">
                        <c:v>31593</c:v>
                      </c:pt>
                      <c:pt idx="2">
                        <c:v>31647</c:v>
                      </c:pt>
                      <c:pt idx="3">
                        <c:v>31701</c:v>
                      </c:pt>
                      <c:pt idx="4">
                        <c:v>31755</c:v>
                      </c:pt>
                      <c:pt idx="5">
                        <c:v>31809</c:v>
                      </c:pt>
                      <c:pt idx="6">
                        <c:v>31587.48</c:v>
                      </c:pt>
                      <c:pt idx="7">
                        <c:v>31361.48</c:v>
                      </c:pt>
                      <c:pt idx="8">
                        <c:v>31135.480000000003</c:v>
                      </c:pt>
                      <c:pt idx="9">
                        <c:v>30909.48</c:v>
                      </c:pt>
                      <c:pt idx="10">
                        <c:v>30683.48</c:v>
                      </c:pt>
                      <c:pt idx="11">
                        <c:v>30457.480000000003</c:v>
                      </c:pt>
                      <c:pt idx="12">
                        <c:v>30231.48</c:v>
                      </c:pt>
                      <c:pt idx="13">
                        <c:v>30005.48</c:v>
                      </c:pt>
                      <c:pt idx="14">
                        <c:v>29779.48</c:v>
                      </c:pt>
                      <c:pt idx="15">
                        <c:v>29553.48</c:v>
                      </c:pt>
                      <c:pt idx="16">
                        <c:v>29327.48</c:v>
                      </c:pt>
                      <c:pt idx="17">
                        <c:v>29223</c:v>
                      </c:pt>
                      <c:pt idx="18">
                        <c:v>29277</c:v>
                      </c:pt>
                      <c:pt idx="19">
                        <c:v>29331</c:v>
                      </c:pt>
                      <c:pt idx="20">
                        <c:v>29385</c:v>
                      </c:pt>
                      <c:pt idx="21">
                        <c:v>29439</c:v>
                      </c:pt>
                      <c:pt idx="22">
                        <c:v>29493</c:v>
                      </c:pt>
                      <c:pt idx="23">
                        <c:v>29547</c:v>
                      </c:pt>
                      <c:pt idx="24">
                        <c:v>29469</c:v>
                      </c:pt>
                      <c:pt idx="25">
                        <c:v>29343</c:v>
                      </c:pt>
                      <c:pt idx="26">
                        <c:v>29217</c:v>
                      </c:pt>
                      <c:pt idx="27">
                        <c:v>28895.4</c:v>
                      </c:pt>
                      <c:pt idx="28">
                        <c:v>28565.4</c:v>
                      </c:pt>
                      <c:pt idx="29">
                        <c:v>28235.4</c:v>
                      </c:pt>
                      <c:pt idx="30">
                        <c:v>27905.4</c:v>
                      </c:pt>
                      <c:pt idx="31">
                        <c:v>27575.4</c:v>
                      </c:pt>
                      <c:pt idx="32">
                        <c:v>27245.4</c:v>
                      </c:pt>
                      <c:pt idx="33">
                        <c:v>26915.4</c:v>
                      </c:pt>
                      <c:pt idx="34">
                        <c:v>26585.4</c:v>
                      </c:pt>
                      <c:pt idx="35">
                        <c:v>26255.4</c:v>
                      </c:pt>
                      <c:pt idx="36">
                        <c:v>25925.4</c:v>
                      </c:pt>
                      <c:pt idx="37">
                        <c:v>25595.4</c:v>
                      </c:pt>
                      <c:pt idx="38">
                        <c:v>25265.4</c:v>
                      </c:pt>
                      <c:pt idx="39">
                        <c:v>24935.4</c:v>
                      </c:pt>
                      <c:pt idx="40">
                        <c:v>24605.4</c:v>
                      </c:pt>
                      <c:pt idx="41">
                        <c:v>24275.4</c:v>
                      </c:pt>
                      <c:pt idx="42">
                        <c:v>23945.4</c:v>
                      </c:pt>
                      <c:pt idx="43">
                        <c:v>23615.4</c:v>
                      </c:pt>
                      <c:pt idx="44">
                        <c:v>23285.4</c:v>
                      </c:pt>
                      <c:pt idx="45">
                        <c:v>22955.4</c:v>
                      </c:pt>
                      <c:pt idx="46">
                        <c:v>22625.4</c:v>
                      </c:pt>
                      <c:pt idx="47">
                        <c:v>22295.4</c:v>
                      </c:pt>
                      <c:pt idx="48">
                        <c:v>21944.498159999999</c:v>
                      </c:pt>
                      <c:pt idx="49">
                        <c:v>21518.618159999998</c:v>
                      </c:pt>
                      <c:pt idx="50">
                        <c:v>21092.738160000001</c:v>
                      </c:pt>
                      <c:pt idx="51">
                        <c:v>20666.85816</c:v>
                      </c:pt>
                      <c:pt idx="52">
                        <c:v>20240.978160000002</c:v>
                      </c:pt>
                      <c:pt idx="53">
                        <c:v>19815.098160000001</c:v>
                      </c:pt>
                      <c:pt idx="54">
                        <c:v>19389.21816</c:v>
                      </c:pt>
                      <c:pt idx="55">
                        <c:v>18963.338159999999</c:v>
                      </c:pt>
                      <c:pt idx="56">
                        <c:v>18537.458160000002</c:v>
                      </c:pt>
                      <c:pt idx="57">
                        <c:v>18111.578160000001</c:v>
                      </c:pt>
                      <c:pt idx="58">
                        <c:v>17685.69816</c:v>
                      </c:pt>
                      <c:pt idx="59">
                        <c:v>17259.818160000003</c:v>
                      </c:pt>
                      <c:pt idx="60">
                        <c:v>10686.93816</c:v>
                      </c:pt>
                      <c:pt idx="61">
                        <c:v>10441.05816</c:v>
                      </c:pt>
                      <c:pt idx="62">
                        <c:v>10195.178159999999</c:v>
                      </c:pt>
                      <c:pt idx="63">
                        <c:v>9949.2981600000003</c:v>
                      </c:pt>
                      <c:pt idx="64">
                        <c:v>9703.4181600000011</c:v>
                      </c:pt>
                      <c:pt idx="65">
                        <c:v>9457.5381600000001</c:v>
                      </c:pt>
                      <c:pt idx="66">
                        <c:v>9211.658159999999</c:v>
                      </c:pt>
                      <c:pt idx="67">
                        <c:v>8965.7781600000017</c:v>
                      </c:pt>
                      <c:pt idx="68">
                        <c:v>8719.8981600000006</c:v>
                      </c:pt>
                      <c:pt idx="69">
                        <c:v>8474.0181599999996</c:v>
                      </c:pt>
                      <c:pt idx="70">
                        <c:v>8228.1381600000004</c:v>
                      </c:pt>
                      <c:pt idx="71">
                        <c:v>7982.2581600000003</c:v>
                      </c:pt>
                      <c:pt idx="72">
                        <c:v>7736.3781600000002</c:v>
                      </c:pt>
                      <c:pt idx="73">
                        <c:v>7490.498160000001</c:v>
                      </c:pt>
                      <c:pt idx="74">
                        <c:v>7244.61816</c:v>
                      </c:pt>
                      <c:pt idx="75">
                        <c:v>6998.7381600000008</c:v>
                      </c:pt>
                      <c:pt idx="76">
                        <c:v>6752.8581600000016</c:v>
                      </c:pt>
                      <c:pt idx="77">
                        <c:v>6506.9781600000006</c:v>
                      </c:pt>
                      <c:pt idx="78">
                        <c:v>6261.0981599999996</c:v>
                      </c:pt>
                      <c:pt idx="79">
                        <c:v>6141.2181600000004</c:v>
                      </c:pt>
                      <c:pt idx="80">
                        <c:v>6045.3381600000002</c:v>
                      </c:pt>
                      <c:pt idx="81">
                        <c:v>5949.4581600000001</c:v>
                      </c:pt>
                      <c:pt idx="82">
                        <c:v>5853.57816</c:v>
                      </c:pt>
                      <c:pt idx="83">
                        <c:v>5757.6981599999999</c:v>
                      </c:pt>
                      <c:pt idx="84">
                        <c:v>5661.8181599999998</c:v>
                      </c:pt>
                      <c:pt idx="85">
                        <c:v>5565.9381599999997</c:v>
                      </c:pt>
                      <c:pt idx="86">
                        <c:v>5470.0581600000005</c:v>
                      </c:pt>
                      <c:pt idx="87">
                        <c:v>1552.1781599999999</c:v>
                      </c:pt>
                      <c:pt idx="88">
                        <c:v>1456.2981599999998</c:v>
                      </c:pt>
                      <c:pt idx="89">
                        <c:v>1360.4181599999997</c:v>
                      </c:pt>
                      <c:pt idx="90">
                        <c:v>1264.5381600000003</c:v>
                      </c:pt>
                      <c:pt idx="91">
                        <c:v>1168.6581600000002</c:v>
                      </c:pt>
                      <c:pt idx="92">
                        <c:v>1072.7781600000001</c:v>
                      </c:pt>
                      <c:pt idx="93">
                        <c:v>976.89815999999996</c:v>
                      </c:pt>
                      <c:pt idx="94">
                        <c:v>881.01815999999985</c:v>
                      </c:pt>
                      <c:pt idx="95">
                        <c:v>785.1381600000002</c:v>
                      </c:pt>
                      <c:pt idx="96">
                        <c:v>689.25816000000009</c:v>
                      </c:pt>
                      <c:pt idx="97">
                        <c:v>593.37815999999998</c:v>
                      </c:pt>
                      <c:pt idx="98">
                        <c:v>497.49815999999993</c:v>
                      </c:pt>
                      <c:pt idx="99">
                        <c:v>401.61815999999982</c:v>
                      </c:pt>
                      <c:pt idx="100">
                        <c:v>305.73815999999971</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31658.988000000001</c:v>
                      </c:pt>
                      <c:pt idx="1">
                        <c:v>32093</c:v>
                      </c:pt>
                      <c:pt idx="2">
                        <c:v>32647</c:v>
                      </c:pt>
                      <c:pt idx="3">
                        <c:v>33201</c:v>
                      </c:pt>
                      <c:pt idx="4">
                        <c:v>33755</c:v>
                      </c:pt>
                      <c:pt idx="5">
                        <c:v>34309</c:v>
                      </c:pt>
                      <c:pt idx="6">
                        <c:v>34587.479999999996</c:v>
                      </c:pt>
                      <c:pt idx="7">
                        <c:v>34861.479999999996</c:v>
                      </c:pt>
                      <c:pt idx="8">
                        <c:v>35135.480000000003</c:v>
                      </c:pt>
                      <c:pt idx="9">
                        <c:v>35409.479999999996</c:v>
                      </c:pt>
                      <c:pt idx="10">
                        <c:v>35683.479999999996</c:v>
                      </c:pt>
                      <c:pt idx="11">
                        <c:v>35957.480000000003</c:v>
                      </c:pt>
                      <c:pt idx="12">
                        <c:v>36231.479999999996</c:v>
                      </c:pt>
                      <c:pt idx="13">
                        <c:v>36505.479999999996</c:v>
                      </c:pt>
                      <c:pt idx="14">
                        <c:v>36779.479999999996</c:v>
                      </c:pt>
                      <c:pt idx="15">
                        <c:v>37053.479999999996</c:v>
                      </c:pt>
                      <c:pt idx="16">
                        <c:v>37327.479999999996</c:v>
                      </c:pt>
                      <c:pt idx="17">
                        <c:v>37723</c:v>
                      </c:pt>
                      <c:pt idx="18">
                        <c:v>38277</c:v>
                      </c:pt>
                      <c:pt idx="19">
                        <c:v>38831</c:v>
                      </c:pt>
                      <c:pt idx="20">
                        <c:v>39385</c:v>
                      </c:pt>
                      <c:pt idx="21">
                        <c:v>39939</c:v>
                      </c:pt>
                      <c:pt idx="22">
                        <c:v>40493</c:v>
                      </c:pt>
                      <c:pt idx="23">
                        <c:v>41047</c:v>
                      </c:pt>
                      <c:pt idx="24">
                        <c:v>41469</c:v>
                      </c:pt>
                      <c:pt idx="25">
                        <c:v>41843</c:v>
                      </c:pt>
                      <c:pt idx="26">
                        <c:v>42217</c:v>
                      </c:pt>
                      <c:pt idx="27">
                        <c:v>42395.4</c:v>
                      </c:pt>
                      <c:pt idx="28">
                        <c:v>42565.4</c:v>
                      </c:pt>
                      <c:pt idx="29">
                        <c:v>42735.4</c:v>
                      </c:pt>
                      <c:pt idx="30">
                        <c:v>42905.4</c:v>
                      </c:pt>
                      <c:pt idx="31">
                        <c:v>43075.4</c:v>
                      </c:pt>
                      <c:pt idx="32">
                        <c:v>43245.4</c:v>
                      </c:pt>
                      <c:pt idx="33">
                        <c:v>43415.4</c:v>
                      </c:pt>
                      <c:pt idx="34">
                        <c:v>43585.4</c:v>
                      </c:pt>
                      <c:pt idx="35">
                        <c:v>43755.4</c:v>
                      </c:pt>
                      <c:pt idx="36">
                        <c:v>43925.4</c:v>
                      </c:pt>
                      <c:pt idx="37">
                        <c:v>44095.4</c:v>
                      </c:pt>
                      <c:pt idx="38">
                        <c:v>44265.4</c:v>
                      </c:pt>
                      <c:pt idx="39">
                        <c:v>44435.4</c:v>
                      </c:pt>
                      <c:pt idx="40">
                        <c:v>44605.4</c:v>
                      </c:pt>
                      <c:pt idx="41">
                        <c:v>44775.4</c:v>
                      </c:pt>
                      <c:pt idx="42">
                        <c:v>44945.4</c:v>
                      </c:pt>
                      <c:pt idx="43">
                        <c:v>45115.4</c:v>
                      </c:pt>
                      <c:pt idx="44">
                        <c:v>45285.4</c:v>
                      </c:pt>
                      <c:pt idx="45">
                        <c:v>45455.4</c:v>
                      </c:pt>
                      <c:pt idx="46">
                        <c:v>45625.4</c:v>
                      </c:pt>
                      <c:pt idx="47">
                        <c:v>45795.4</c:v>
                      </c:pt>
                      <c:pt idx="48">
                        <c:v>45944.498160000003</c:v>
                      </c:pt>
                      <c:pt idx="49">
                        <c:v>46018.618159999998</c:v>
                      </c:pt>
                      <c:pt idx="50">
                        <c:v>46092.738160000001</c:v>
                      </c:pt>
                      <c:pt idx="51">
                        <c:v>46166.858160000003</c:v>
                      </c:pt>
                      <c:pt idx="52">
                        <c:v>46240.978159999999</c:v>
                      </c:pt>
                      <c:pt idx="53">
                        <c:v>46315.098160000001</c:v>
                      </c:pt>
                      <c:pt idx="54">
                        <c:v>46389.218160000004</c:v>
                      </c:pt>
                      <c:pt idx="55">
                        <c:v>46463.338159999999</c:v>
                      </c:pt>
                      <c:pt idx="56">
                        <c:v>46537.458160000002</c:v>
                      </c:pt>
                      <c:pt idx="57">
                        <c:v>46611.578160000005</c:v>
                      </c:pt>
                      <c:pt idx="58">
                        <c:v>46685.69816</c:v>
                      </c:pt>
                      <c:pt idx="59">
                        <c:v>46759.818160000003</c:v>
                      </c:pt>
                      <c:pt idx="60">
                        <c:v>40686.938159999998</c:v>
                      </c:pt>
                      <c:pt idx="61">
                        <c:v>40941.05816</c:v>
                      </c:pt>
                      <c:pt idx="62">
                        <c:v>41195.178159999996</c:v>
                      </c:pt>
                      <c:pt idx="63">
                        <c:v>41449.298159999998</c:v>
                      </c:pt>
                      <c:pt idx="64">
                        <c:v>41703.418160000001</c:v>
                      </c:pt>
                      <c:pt idx="65">
                        <c:v>41957.538159999996</c:v>
                      </c:pt>
                      <c:pt idx="66">
                        <c:v>42211.658159999999</c:v>
                      </c:pt>
                      <c:pt idx="67">
                        <c:v>42465.778160000002</c:v>
                      </c:pt>
                      <c:pt idx="68">
                        <c:v>42719.898159999997</c:v>
                      </c:pt>
                      <c:pt idx="69">
                        <c:v>42974.01816</c:v>
                      </c:pt>
                      <c:pt idx="70">
                        <c:v>43228.138160000002</c:v>
                      </c:pt>
                      <c:pt idx="71">
                        <c:v>43482.258159999998</c:v>
                      </c:pt>
                      <c:pt idx="72">
                        <c:v>43736.37816</c:v>
                      </c:pt>
                      <c:pt idx="73">
                        <c:v>43990.498160000003</c:v>
                      </c:pt>
                      <c:pt idx="74">
                        <c:v>44244.618159999998</c:v>
                      </c:pt>
                      <c:pt idx="75">
                        <c:v>44498.738160000001</c:v>
                      </c:pt>
                      <c:pt idx="76">
                        <c:v>44752.858160000003</c:v>
                      </c:pt>
                      <c:pt idx="77">
                        <c:v>45006.978159999999</c:v>
                      </c:pt>
                      <c:pt idx="78">
                        <c:v>45261.098160000001</c:v>
                      </c:pt>
                      <c:pt idx="79">
                        <c:v>45641.218160000004</c:v>
                      </c:pt>
                      <c:pt idx="80">
                        <c:v>46045.338159999999</c:v>
                      </c:pt>
                      <c:pt idx="81">
                        <c:v>46449.458160000002</c:v>
                      </c:pt>
                      <c:pt idx="82">
                        <c:v>46853.578159999997</c:v>
                      </c:pt>
                      <c:pt idx="83">
                        <c:v>47257.69816</c:v>
                      </c:pt>
                      <c:pt idx="84">
                        <c:v>47661.818160000003</c:v>
                      </c:pt>
                      <c:pt idx="85">
                        <c:v>48065.938159999998</c:v>
                      </c:pt>
                      <c:pt idx="86">
                        <c:v>48470.05816</c:v>
                      </c:pt>
                      <c:pt idx="87">
                        <c:v>45052.178160000003</c:v>
                      </c:pt>
                      <c:pt idx="88">
                        <c:v>45456.298159999998</c:v>
                      </c:pt>
                      <c:pt idx="89">
                        <c:v>45860.418160000001</c:v>
                      </c:pt>
                      <c:pt idx="90">
                        <c:v>46264.538160000004</c:v>
                      </c:pt>
                      <c:pt idx="91">
                        <c:v>46668.658159999999</c:v>
                      </c:pt>
                      <c:pt idx="92">
                        <c:v>47072.778160000002</c:v>
                      </c:pt>
                      <c:pt idx="93">
                        <c:v>47476.898159999997</c:v>
                      </c:pt>
                      <c:pt idx="94">
                        <c:v>47881.01816</c:v>
                      </c:pt>
                      <c:pt idx="95">
                        <c:v>48285.138160000002</c:v>
                      </c:pt>
                      <c:pt idx="96">
                        <c:v>48689.258159999998</c:v>
                      </c:pt>
                      <c:pt idx="97">
                        <c:v>49093.37816</c:v>
                      </c:pt>
                      <c:pt idx="98">
                        <c:v>49497.498160000003</c:v>
                      </c:pt>
                      <c:pt idx="99">
                        <c:v>49901.618159999998</c:v>
                      </c:pt>
                      <c:pt idx="100">
                        <c:v>50305.738160000001</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opLeftCell="A72" zoomScale="85" zoomScaleNormal="85" workbookViewId="0">
      <selection activeCell="J90" sqref="J90"/>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2</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1</v>
      </c>
      <c r="C30" s="432" t="s">
        <v>34</v>
      </c>
      <c r="D30" s="433"/>
      <c r="O30" s="225"/>
      <c r="P30" s="224"/>
      <c r="Q30" s="216"/>
      <c r="R30" s="216"/>
      <c r="S30" s="216"/>
      <c r="T30" s="215"/>
      <c r="U30" s="224"/>
      <c r="V30" s="215"/>
      <c r="Y30" s="224"/>
      <c r="Z30" s="224"/>
    </row>
    <row r="31" spans="1:26" ht="23.25" customHeight="1" x14ac:dyDescent="0.25">
      <c r="A31" s="229" t="s">
        <v>35</v>
      </c>
      <c r="B31" s="230">
        <v>1</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2</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45</v>
      </c>
      <c r="C37" s="434" t="s">
        <v>680</v>
      </c>
      <c r="D37" s="435"/>
      <c r="E37" s="376" t="s">
        <v>67</v>
      </c>
      <c r="O37" s="225"/>
      <c r="P37" s="224"/>
      <c r="Q37" s="216"/>
      <c r="R37" s="216"/>
      <c r="S37" s="216"/>
      <c r="T37" s="215"/>
      <c r="U37" s="224"/>
      <c r="V37" s="215"/>
      <c r="Y37" s="224"/>
      <c r="Z37" s="224"/>
    </row>
    <row r="38" spans="1:26" ht="14.25" customHeight="1" x14ac:dyDescent="0.25">
      <c r="A38" s="235" t="s">
        <v>41</v>
      </c>
      <c r="B38" s="236"/>
      <c r="C38" s="393" t="s">
        <v>680</v>
      </c>
      <c r="D38" s="394"/>
      <c r="E38" s="377" t="s">
        <v>67</v>
      </c>
      <c r="O38" s="225"/>
      <c r="P38" s="224"/>
      <c r="Q38" s="216"/>
      <c r="R38" s="216"/>
      <c r="S38" s="216"/>
      <c r="T38" s="215"/>
      <c r="U38" s="224"/>
      <c r="V38" s="215"/>
      <c r="Y38" s="224"/>
      <c r="Z38" s="224"/>
    </row>
    <row r="39" spans="1:26" ht="14.25" customHeight="1" x14ac:dyDescent="0.25">
      <c r="A39" s="235" t="s">
        <v>42</v>
      </c>
      <c r="B39" s="236"/>
      <c r="C39" s="393" t="s">
        <v>680</v>
      </c>
      <c r="D39" s="394"/>
      <c r="E39" s="377" t="s">
        <v>62</v>
      </c>
      <c r="O39" s="225"/>
      <c r="P39" s="224"/>
      <c r="Q39" s="216"/>
      <c r="R39" s="216"/>
      <c r="S39" s="216"/>
      <c r="T39" s="215"/>
      <c r="U39" s="224"/>
      <c r="V39" s="215"/>
      <c r="Y39" s="224"/>
      <c r="Z39" s="224"/>
    </row>
    <row r="40" spans="1:26" ht="14.25" customHeight="1" x14ac:dyDescent="0.25">
      <c r="A40" s="235" t="s">
        <v>43</v>
      </c>
      <c r="B40" s="236"/>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131</v>
      </c>
      <c r="C48" s="417"/>
      <c r="O48" s="216"/>
      <c r="P48" s="216"/>
      <c r="Q48" s="216"/>
      <c r="R48" s="216"/>
      <c r="S48" s="216"/>
      <c r="T48" s="215"/>
      <c r="U48" s="224"/>
      <c r="V48" s="215"/>
      <c r="Y48" s="224"/>
      <c r="Z48" s="224"/>
    </row>
    <row r="49" spans="1:30" ht="14.25" customHeight="1" x14ac:dyDescent="0.25">
      <c r="A49" s="235" t="s">
        <v>52</v>
      </c>
      <c r="B49" s="300"/>
      <c r="C49" s="417"/>
      <c r="O49" s="216"/>
      <c r="P49" s="216"/>
      <c r="Q49" s="216"/>
      <c r="R49" s="216"/>
      <c r="S49" s="216"/>
      <c r="T49" s="215"/>
      <c r="U49" s="224"/>
      <c r="V49" s="215"/>
      <c r="Y49" s="224"/>
      <c r="Z49" s="224"/>
    </row>
    <row r="50" spans="1:30" ht="14.25" customHeight="1" x14ac:dyDescent="0.25">
      <c r="A50" s="235" t="s">
        <v>53</v>
      </c>
      <c r="B50" s="300"/>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67</v>
      </c>
      <c r="C59" s="331" t="s">
        <v>64</v>
      </c>
      <c r="D59" s="341">
        <v>1</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1</v>
      </c>
      <c r="E61" s="307" t="s">
        <v>68</v>
      </c>
      <c r="F61" s="343">
        <v>1</v>
      </c>
      <c r="G61" s="333" t="s">
        <v>69</v>
      </c>
      <c r="H61" s="332">
        <v>100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1289</v>
      </c>
      <c r="C77" s="305" t="s">
        <v>83</v>
      </c>
      <c r="D77" s="387" t="s">
        <v>695</v>
      </c>
      <c r="O77" s="225"/>
      <c r="P77" s="224"/>
      <c r="Q77" s="216"/>
      <c r="R77" s="216"/>
      <c r="S77" s="216"/>
      <c r="T77" s="215"/>
      <c r="U77" s="224"/>
      <c r="V77" s="215"/>
      <c r="Y77" s="224"/>
      <c r="Z77" s="224"/>
    </row>
    <row r="78" spans="1:30" ht="35.25" customHeight="1" thickBot="1" x14ac:dyDescent="0.3">
      <c r="A78" s="295" t="s">
        <v>84</v>
      </c>
      <c r="B78" s="296">
        <v>1289</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1289</v>
      </c>
      <c r="C90" s="270">
        <f>SUM(E90:M90)</f>
        <v>2281.3041666666668</v>
      </c>
      <c r="D90" s="271">
        <f>SUM(E90:M90)+B90</f>
        <v>3570.3041666666668</v>
      </c>
      <c r="E90" s="267">
        <f>'Child care subsidy'!S208</f>
        <v>0</v>
      </c>
      <c r="F90" s="268">
        <f>EITC!E208/12</f>
        <v>424.25416666666666</v>
      </c>
      <c r="G90" s="268">
        <f>'Health insurance subsidy '!L220</f>
        <v>0</v>
      </c>
      <c r="H90" s="268">
        <f>'Housing Voucher'!Q209</f>
        <v>590.29999999999995</v>
      </c>
      <c r="I90" s="268">
        <f>Medicaid!N212</f>
        <v>835.75</v>
      </c>
      <c r="J90" s="268">
        <f>SNAP!V209</f>
        <v>431</v>
      </c>
      <c r="K90" s="268">
        <f>MAX('TANF-VIEW'!L212,'TANF-VIEW'!T212)</f>
        <v>0</v>
      </c>
      <c r="L90" s="268">
        <f>'TANF-VIEW'!T212</f>
        <v>0</v>
      </c>
      <c r="M90" s="269">
        <f>WIC!F211</f>
        <v>0</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1289</v>
      </c>
      <c r="C91" s="270">
        <f>SUM(E91:M91)</f>
        <v>2281.3041666666668</v>
      </c>
      <c r="D91" s="271">
        <f>SUM(E91:M91)+B91</f>
        <v>3570.3041666666668</v>
      </c>
      <c r="E91" s="282">
        <f>'Child care subsidy'!S210</f>
        <v>0</v>
      </c>
      <c r="F91" s="283">
        <f>EITC!E210/12</f>
        <v>424.25416666666666</v>
      </c>
      <c r="G91" s="283">
        <f>'Health insurance subsidy '!L222</f>
        <v>0</v>
      </c>
      <c r="H91" s="283">
        <f>'Housing Voucher'!Q211</f>
        <v>590.29999999999995</v>
      </c>
      <c r="I91" s="283">
        <f>Medicaid!N214</f>
        <v>835.75</v>
      </c>
      <c r="J91" s="283">
        <f>SNAP!V211</f>
        <v>431</v>
      </c>
      <c r="K91" s="283">
        <f>MAX('TANF-VIEW'!L214,'TANF-VIEW'!T214)</f>
        <v>0</v>
      </c>
      <c r="L91" s="283">
        <f>'TANF-VIEW'!T214</f>
        <v>0</v>
      </c>
      <c r="M91" s="284">
        <f>WIC!F213</f>
        <v>0</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0</v>
      </c>
      <c r="D2" s="185">
        <f>MAX('TANF-VIEW'!L9,'TANF-VIEW'!T9)*12</f>
        <v>4620</v>
      </c>
      <c r="E2" s="193">
        <f>SNAP!V6*12</f>
        <v>6552</v>
      </c>
      <c r="F2" s="184">
        <f>WIC!F8*12</f>
        <v>0</v>
      </c>
      <c r="G2" s="185">
        <f>'Housing Voucher'!Q6*12</f>
        <v>10457.988000000001</v>
      </c>
      <c r="H2" s="184">
        <f>EITC!E5</f>
        <v>0</v>
      </c>
      <c r="I2" s="205">
        <f>Medicaid!N9*12</f>
        <v>10029</v>
      </c>
      <c r="J2" s="183"/>
      <c r="K2" s="185">
        <f>SUM(C2:I2)</f>
        <v>31658.988000000001</v>
      </c>
      <c r="L2" s="185">
        <f>A2+K2</f>
        <v>31658.988000000001</v>
      </c>
      <c r="M2" s="36">
        <f>L2/12</f>
        <v>2638.2490000000003</v>
      </c>
    </row>
    <row r="3" spans="1:13" x14ac:dyDescent="0.25">
      <c r="A3" s="186">
        <v>500</v>
      </c>
      <c r="B3" s="33">
        <f>A3/12</f>
        <v>41.666666666666664</v>
      </c>
      <c r="C3" s="185">
        <f>'Child care subsidy'!S6*12</f>
        <v>0</v>
      </c>
      <c r="D3" s="185">
        <f>MAX('TANF-VIEW'!L10,'TANF-VIEW'!T10)*12</f>
        <v>4620</v>
      </c>
      <c r="E3" s="193">
        <f>SNAP!V7*12</f>
        <v>6552</v>
      </c>
      <c r="F3" s="184">
        <f>WIC!F9*12</f>
        <v>0</v>
      </c>
      <c r="G3" s="185">
        <f>'Housing Voucher'!Q7*12</f>
        <v>10188</v>
      </c>
      <c r="H3" s="197">
        <f>EITC!E6</f>
        <v>204</v>
      </c>
      <c r="I3" s="205">
        <f>Medicaid!N10*12</f>
        <v>10029</v>
      </c>
      <c r="J3" s="183"/>
      <c r="K3" s="185">
        <f>SUM(C3:I3)</f>
        <v>31593</v>
      </c>
      <c r="L3" s="185">
        <f>A3+K3</f>
        <v>32093</v>
      </c>
      <c r="M3" s="36">
        <f t="shared" ref="M3:M66" si="0">L3/12</f>
        <v>2674.4166666666665</v>
      </c>
    </row>
    <row r="4" spans="1:13" ht="15.75" customHeight="1" x14ac:dyDescent="0.25">
      <c r="A4" s="186">
        <v>1000</v>
      </c>
      <c r="B4" s="33">
        <f>A4/12</f>
        <v>83.333333333333329</v>
      </c>
      <c r="C4" s="185">
        <f>'Child care subsidy'!S7*12</f>
        <v>0</v>
      </c>
      <c r="D4" s="185">
        <f>MAX('TANF-VIEW'!L11,'TANF-VIEW'!T11)*12</f>
        <v>4620</v>
      </c>
      <c r="E4" s="193">
        <f>SNAP!V8*12</f>
        <v>6552</v>
      </c>
      <c r="F4" s="184">
        <f>WIC!F10*12</f>
        <v>0</v>
      </c>
      <c r="G4" s="185">
        <f>'Housing Voucher'!Q8*12</f>
        <v>10038</v>
      </c>
      <c r="H4" s="197">
        <f>EITC!E7</f>
        <v>408</v>
      </c>
      <c r="I4" s="205">
        <f>Medicaid!N11*12</f>
        <v>10029</v>
      </c>
      <c r="K4" s="185">
        <f t="shared" ref="K4:K67" si="1">SUM(C4:I4)</f>
        <v>31647</v>
      </c>
      <c r="L4" s="185">
        <f t="shared" ref="L4:L67" si="2">A4+K4</f>
        <v>32647</v>
      </c>
      <c r="M4" s="36">
        <f t="shared" si="0"/>
        <v>2720.5833333333335</v>
      </c>
    </row>
    <row r="5" spans="1:13" x14ac:dyDescent="0.25">
      <c r="A5" s="186">
        <v>1500</v>
      </c>
      <c r="B5" s="33">
        <f t="shared" ref="B5:B68" si="3">A5/12</f>
        <v>125</v>
      </c>
      <c r="C5" s="185">
        <f>'Child care subsidy'!S8*12</f>
        <v>0</v>
      </c>
      <c r="D5" s="185">
        <f>MAX('TANF-VIEW'!L12,'TANF-VIEW'!T12)*12</f>
        <v>4620</v>
      </c>
      <c r="E5" s="193">
        <f>SNAP!V9*12</f>
        <v>6552</v>
      </c>
      <c r="F5" s="184">
        <f>WIC!F11*12</f>
        <v>0</v>
      </c>
      <c r="G5" s="185">
        <f>'Housing Voucher'!Q9*12</f>
        <v>9888</v>
      </c>
      <c r="H5" s="197">
        <f>EITC!E8</f>
        <v>612.00000000000011</v>
      </c>
      <c r="I5" s="205">
        <f>Medicaid!N12*12</f>
        <v>10029</v>
      </c>
      <c r="K5" s="185">
        <f t="shared" si="1"/>
        <v>31701</v>
      </c>
      <c r="L5" s="185">
        <f t="shared" si="2"/>
        <v>33201</v>
      </c>
      <c r="M5" s="36">
        <f t="shared" si="0"/>
        <v>2766.75</v>
      </c>
    </row>
    <row r="6" spans="1:13" x14ac:dyDescent="0.25">
      <c r="A6" s="186">
        <v>2000</v>
      </c>
      <c r="B6" s="33">
        <f t="shared" si="3"/>
        <v>166.66666666666666</v>
      </c>
      <c r="C6" s="185">
        <f>'Child care subsidy'!S9*12</f>
        <v>0</v>
      </c>
      <c r="D6" s="185">
        <f>MAX('TANF-VIEW'!L13,'TANF-VIEW'!T13)*12</f>
        <v>4620</v>
      </c>
      <c r="E6" s="193">
        <f>SNAP!V10*12</f>
        <v>6552</v>
      </c>
      <c r="F6" s="184">
        <f>WIC!F12*12</f>
        <v>0</v>
      </c>
      <c r="G6" s="185">
        <f>'Housing Voucher'!Q10*12</f>
        <v>9738</v>
      </c>
      <c r="H6" s="197">
        <f>EITC!E9</f>
        <v>816</v>
      </c>
      <c r="I6" s="205">
        <f>Medicaid!N13*12</f>
        <v>10029</v>
      </c>
      <c r="K6" s="185">
        <f t="shared" si="1"/>
        <v>31755</v>
      </c>
      <c r="L6" s="185">
        <f t="shared" si="2"/>
        <v>33755</v>
      </c>
      <c r="M6" s="36">
        <f t="shared" si="0"/>
        <v>2812.9166666666665</v>
      </c>
    </row>
    <row r="7" spans="1:13" x14ac:dyDescent="0.25">
      <c r="A7" s="186">
        <v>2500</v>
      </c>
      <c r="B7" s="33">
        <f t="shared" si="3"/>
        <v>208.33333333333334</v>
      </c>
      <c r="C7" s="185">
        <f>'Child care subsidy'!S10*12</f>
        <v>0</v>
      </c>
      <c r="D7" s="185">
        <f>MAX('TANF-VIEW'!L14,'TANF-VIEW'!T14)*12</f>
        <v>4620</v>
      </c>
      <c r="E7" s="193">
        <f>SNAP!V11*12</f>
        <v>6552</v>
      </c>
      <c r="F7" s="184">
        <f>WIC!F13*12</f>
        <v>0</v>
      </c>
      <c r="G7" s="185">
        <f>'Housing Voucher'!Q11*12</f>
        <v>9588</v>
      </c>
      <c r="H7" s="197">
        <f>EITC!E10</f>
        <v>1020.0000000000001</v>
      </c>
      <c r="I7" s="205">
        <f>Medicaid!N14*12</f>
        <v>10029</v>
      </c>
      <c r="K7" s="185">
        <f t="shared" si="1"/>
        <v>31809</v>
      </c>
      <c r="L7" s="185">
        <f t="shared" si="2"/>
        <v>34309</v>
      </c>
      <c r="M7" s="36">
        <f t="shared" si="0"/>
        <v>2859.0833333333335</v>
      </c>
    </row>
    <row r="8" spans="1:13" x14ac:dyDescent="0.25">
      <c r="A8" s="186">
        <v>3000</v>
      </c>
      <c r="B8" s="33">
        <f t="shared" si="3"/>
        <v>250</v>
      </c>
      <c r="C8" s="185">
        <f>'Child care subsidy'!S11*12</f>
        <v>0</v>
      </c>
      <c r="D8" s="185">
        <f>MAX('TANF-VIEW'!L15,'TANF-VIEW'!T15)*12</f>
        <v>4226.3999999999996</v>
      </c>
      <c r="E8" s="193">
        <f>SNAP!V12*12</f>
        <v>6552</v>
      </c>
      <c r="F8" s="184">
        <f>WIC!F14*12</f>
        <v>0</v>
      </c>
      <c r="G8" s="185">
        <f>'Housing Voucher'!Q12*12</f>
        <v>9556.08</v>
      </c>
      <c r="H8" s="197">
        <f>EITC!E11</f>
        <v>1224.0000000000002</v>
      </c>
      <c r="I8" s="205">
        <f>Medicaid!N15*12</f>
        <v>10029</v>
      </c>
      <c r="K8" s="185">
        <f t="shared" si="1"/>
        <v>31587.48</v>
      </c>
      <c r="L8" s="185">
        <f t="shared" si="2"/>
        <v>34587.479999999996</v>
      </c>
      <c r="M8" s="36">
        <f t="shared" si="0"/>
        <v>2882.2899999999995</v>
      </c>
    </row>
    <row r="9" spans="1:13" x14ac:dyDescent="0.25">
      <c r="A9" s="186">
        <v>3500</v>
      </c>
      <c r="B9" s="33">
        <f t="shared" si="3"/>
        <v>291.66666666666669</v>
      </c>
      <c r="C9" s="185">
        <f>'Child care subsidy'!S12*12</f>
        <v>0</v>
      </c>
      <c r="D9" s="185">
        <f>MAX('TANF-VIEW'!L16,'TANF-VIEW'!T16)*12</f>
        <v>3826.4</v>
      </c>
      <c r="E9" s="193">
        <f>SNAP!V13*12</f>
        <v>6552</v>
      </c>
      <c r="F9" s="184">
        <f>WIC!F15*12</f>
        <v>0</v>
      </c>
      <c r="G9" s="185">
        <f>'Housing Voucher'!Q13*12</f>
        <v>9526.08</v>
      </c>
      <c r="H9" s="197">
        <f>EITC!E12</f>
        <v>1428</v>
      </c>
      <c r="I9" s="205">
        <f>Medicaid!N16*12</f>
        <v>10029</v>
      </c>
      <c r="K9" s="185">
        <f t="shared" si="1"/>
        <v>31361.48</v>
      </c>
      <c r="L9" s="185">
        <f t="shared" si="2"/>
        <v>34861.479999999996</v>
      </c>
      <c r="M9" s="36">
        <f t="shared" si="0"/>
        <v>2905.123333333333</v>
      </c>
    </row>
    <row r="10" spans="1:13" x14ac:dyDescent="0.25">
      <c r="A10" s="186">
        <v>4000</v>
      </c>
      <c r="B10" s="33">
        <f t="shared" si="3"/>
        <v>333.33333333333331</v>
      </c>
      <c r="C10" s="185">
        <f>'Child care subsidy'!S13*12</f>
        <v>0</v>
      </c>
      <c r="D10" s="185">
        <f>MAX('TANF-VIEW'!L17,'TANF-VIEW'!T17)*12</f>
        <v>3426.4000000000005</v>
      </c>
      <c r="E10" s="193">
        <f>SNAP!V14*12</f>
        <v>6552</v>
      </c>
      <c r="F10" s="184">
        <f>WIC!F16*12</f>
        <v>0</v>
      </c>
      <c r="G10" s="185">
        <f>'Housing Voucher'!Q14*12</f>
        <v>9496.08</v>
      </c>
      <c r="H10" s="197">
        <f>EITC!E13</f>
        <v>1632</v>
      </c>
      <c r="I10" s="205">
        <f>Medicaid!N17*12</f>
        <v>10029</v>
      </c>
      <c r="K10" s="185">
        <f t="shared" si="1"/>
        <v>31135.480000000003</v>
      </c>
      <c r="L10" s="185">
        <f t="shared" si="2"/>
        <v>35135.480000000003</v>
      </c>
      <c r="M10" s="36">
        <f t="shared" si="0"/>
        <v>2927.9566666666669</v>
      </c>
    </row>
    <row r="11" spans="1:13" x14ac:dyDescent="0.25">
      <c r="A11" s="186">
        <v>4500</v>
      </c>
      <c r="B11" s="33">
        <f t="shared" si="3"/>
        <v>375</v>
      </c>
      <c r="C11" s="185">
        <f>'Child care subsidy'!S14*12</f>
        <v>0</v>
      </c>
      <c r="D11" s="185">
        <f>MAX('TANF-VIEW'!L18,'TANF-VIEW'!T18)*12</f>
        <v>3026.3999999999996</v>
      </c>
      <c r="E11" s="193">
        <f>SNAP!V15*12</f>
        <v>6552</v>
      </c>
      <c r="F11" s="184">
        <f>WIC!F17*12</f>
        <v>0</v>
      </c>
      <c r="G11" s="185">
        <f>'Housing Voucher'!Q15*12</f>
        <v>9466.08</v>
      </c>
      <c r="H11" s="197">
        <f>EITC!E14</f>
        <v>1836</v>
      </c>
      <c r="I11" s="205">
        <f>Medicaid!N18*12</f>
        <v>10029</v>
      </c>
      <c r="K11" s="185">
        <f t="shared" si="1"/>
        <v>30909.48</v>
      </c>
      <c r="L11" s="185">
        <f t="shared" si="2"/>
        <v>35409.479999999996</v>
      </c>
      <c r="M11" s="36">
        <f t="shared" si="0"/>
        <v>2950.7899999999995</v>
      </c>
    </row>
    <row r="12" spans="1:13" x14ac:dyDescent="0.25">
      <c r="A12" s="186">
        <v>5000</v>
      </c>
      <c r="B12" s="33">
        <f t="shared" si="3"/>
        <v>416.66666666666669</v>
      </c>
      <c r="C12" s="185">
        <f>'Child care subsidy'!S15*12</f>
        <v>0</v>
      </c>
      <c r="D12" s="185">
        <f>MAX('TANF-VIEW'!L19,'TANF-VIEW'!T19)*12</f>
        <v>2626.3999999999996</v>
      </c>
      <c r="E12" s="193">
        <f>SNAP!V16*12</f>
        <v>6552</v>
      </c>
      <c r="F12" s="184">
        <f>WIC!F18*12</f>
        <v>0</v>
      </c>
      <c r="G12" s="185">
        <f>'Housing Voucher'!Q16*12</f>
        <v>9436.08</v>
      </c>
      <c r="H12" s="197">
        <f>EITC!E15</f>
        <v>2040.0000000000002</v>
      </c>
      <c r="I12" s="205">
        <f>Medicaid!N19*12</f>
        <v>10029</v>
      </c>
      <c r="K12" s="185">
        <f t="shared" si="1"/>
        <v>30683.48</v>
      </c>
      <c r="L12" s="185">
        <f t="shared" si="2"/>
        <v>35683.479999999996</v>
      </c>
      <c r="M12" s="36">
        <f t="shared" si="0"/>
        <v>2973.623333333333</v>
      </c>
    </row>
    <row r="13" spans="1:13" x14ac:dyDescent="0.25">
      <c r="A13" s="186">
        <v>5500</v>
      </c>
      <c r="B13" s="33">
        <f t="shared" si="3"/>
        <v>458.33333333333331</v>
      </c>
      <c r="C13" s="185">
        <f>'Child care subsidy'!S16*12</f>
        <v>0</v>
      </c>
      <c r="D13" s="185">
        <f>MAX('TANF-VIEW'!L20,'TANF-VIEW'!T20)*12</f>
        <v>2226.4000000000005</v>
      </c>
      <c r="E13" s="193">
        <f>SNAP!V17*12</f>
        <v>6552</v>
      </c>
      <c r="F13" s="184">
        <f>WIC!F19*12</f>
        <v>0</v>
      </c>
      <c r="G13" s="185">
        <f>'Housing Voucher'!Q17*12</f>
        <v>9406.08</v>
      </c>
      <c r="H13" s="197">
        <f>EITC!E16</f>
        <v>2244.0000000000005</v>
      </c>
      <c r="I13" s="205">
        <f>Medicaid!N20*12</f>
        <v>10029</v>
      </c>
      <c r="K13" s="185">
        <f t="shared" si="1"/>
        <v>30457.480000000003</v>
      </c>
      <c r="L13" s="185">
        <f t="shared" si="2"/>
        <v>35957.480000000003</v>
      </c>
      <c r="M13" s="36">
        <f t="shared" si="0"/>
        <v>2996.4566666666669</v>
      </c>
    </row>
    <row r="14" spans="1:13" x14ac:dyDescent="0.25">
      <c r="A14" s="186">
        <v>6000</v>
      </c>
      <c r="B14" s="33">
        <f t="shared" si="3"/>
        <v>500</v>
      </c>
      <c r="C14" s="185">
        <f>'Child care subsidy'!S17*12</f>
        <v>0</v>
      </c>
      <c r="D14" s="185">
        <f>MAX('TANF-VIEW'!L21,'TANF-VIEW'!T21)*12</f>
        <v>1826.3999999999999</v>
      </c>
      <c r="E14" s="193">
        <f>SNAP!V18*12</f>
        <v>6552</v>
      </c>
      <c r="F14" s="184">
        <f>WIC!F20*12</f>
        <v>0</v>
      </c>
      <c r="G14" s="185">
        <f>'Housing Voucher'!Q18*12</f>
        <v>9376.08</v>
      </c>
      <c r="H14" s="197">
        <f>EITC!E17</f>
        <v>2448.0000000000005</v>
      </c>
      <c r="I14" s="205">
        <f>Medicaid!N21*12</f>
        <v>10029</v>
      </c>
      <c r="K14" s="185">
        <f t="shared" si="1"/>
        <v>30231.48</v>
      </c>
      <c r="L14" s="185">
        <f t="shared" si="2"/>
        <v>36231.479999999996</v>
      </c>
      <c r="M14" s="36">
        <f t="shared" si="0"/>
        <v>3019.2899999999995</v>
      </c>
    </row>
    <row r="15" spans="1:13" x14ac:dyDescent="0.25">
      <c r="A15" s="186">
        <v>6500</v>
      </c>
      <c r="B15" s="33">
        <f t="shared" si="3"/>
        <v>541.66666666666663</v>
      </c>
      <c r="C15" s="185">
        <f>'Child care subsidy'!S18*12</f>
        <v>0</v>
      </c>
      <c r="D15" s="185">
        <f>MAX('TANF-VIEW'!L22,'TANF-VIEW'!T22)*12</f>
        <v>1426.4</v>
      </c>
      <c r="E15" s="193">
        <f>SNAP!V19*12</f>
        <v>6552</v>
      </c>
      <c r="F15" s="184">
        <f>WIC!F21*12</f>
        <v>0</v>
      </c>
      <c r="G15" s="185">
        <f>'Housing Voucher'!Q19*12</f>
        <v>9346.08</v>
      </c>
      <c r="H15" s="197">
        <f>EITC!E18</f>
        <v>2652</v>
      </c>
      <c r="I15" s="205">
        <f>Medicaid!N22*12</f>
        <v>10029</v>
      </c>
      <c r="K15" s="185">
        <f t="shared" si="1"/>
        <v>30005.48</v>
      </c>
      <c r="L15" s="185">
        <f t="shared" si="2"/>
        <v>36505.479999999996</v>
      </c>
      <c r="M15" s="36">
        <f t="shared" si="0"/>
        <v>3042.123333333333</v>
      </c>
    </row>
    <row r="16" spans="1:13" x14ac:dyDescent="0.25">
      <c r="A16" s="186">
        <v>7000</v>
      </c>
      <c r="B16" s="33">
        <f t="shared" si="3"/>
        <v>583.33333333333337</v>
      </c>
      <c r="C16" s="185">
        <f>'Child care subsidy'!S19*12</f>
        <v>0</v>
      </c>
      <c r="D16" s="185">
        <f>MAX('TANF-VIEW'!L23,'TANF-VIEW'!T23)*12</f>
        <v>1026.3999999999996</v>
      </c>
      <c r="E16" s="193">
        <f>SNAP!V20*12</f>
        <v>6552</v>
      </c>
      <c r="F16" s="184">
        <f>WIC!F22*12</f>
        <v>0</v>
      </c>
      <c r="G16" s="185">
        <f>'Housing Voucher'!Q20*12</f>
        <v>9316.08</v>
      </c>
      <c r="H16" s="197">
        <f>EITC!E19</f>
        <v>2856</v>
      </c>
      <c r="I16" s="205">
        <f>Medicaid!N23*12</f>
        <v>10029</v>
      </c>
      <c r="K16" s="185">
        <f t="shared" si="1"/>
        <v>29779.48</v>
      </c>
      <c r="L16" s="185">
        <f t="shared" si="2"/>
        <v>36779.479999999996</v>
      </c>
      <c r="M16" s="36">
        <f t="shared" si="0"/>
        <v>3064.9566666666665</v>
      </c>
    </row>
    <row r="17" spans="1:13" x14ac:dyDescent="0.25">
      <c r="A17" s="186">
        <v>7500</v>
      </c>
      <c r="B17" s="33">
        <f t="shared" si="3"/>
        <v>625</v>
      </c>
      <c r="C17" s="185">
        <f>'Child care subsidy'!S20*12</f>
        <v>0</v>
      </c>
      <c r="D17" s="185">
        <f>MAX('TANF-VIEW'!L24,'TANF-VIEW'!T24)*12</f>
        <v>626.39999999999986</v>
      </c>
      <c r="E17" s="193">
        <f>SNAP!V21*12</f>
        <v>6552</v>
      </c>
      <c r="F17" s="184">
        <f>WIC!F23*12</f>
        <v>0</v>
      </c>
      <c r="G17" s="185">
        <f>'Housing Voucher'!Q21*12</f>
        <v>9286.08</v>
      </c>
      <c r="H17" s="197">
        <f>EITC!E20</f>
        <v>3060</v>
      </c>
      <c r="I17" s="205">
        <f>Medicaid!N24*12</f>
        <v>10029</v>
      </c>
      <c r="K17" s="185">
        <f t="shared" si="1"/>
        <v>29553.48</v>
      </c>
      <c r="L17" s="185">
        <f t="shared" si="2"/>
        <v>37053.479999999996</v>
      </c>
      <c r="M17" s="36">
        <f t="shared" si="0"/>
        <v>3087.7899999999995</v>
      </c>
    </row>
    <row r="18" spans="1:13" x14ac:dyDescent="0.25">
      <c r="A18" s="186">
        <v>8000</v>
      </c>
      <c r="B18" s="33">
        <f t="shared" si="3"/>
        <v>666.66666666666663</v>
      </c>
      <c r="C18" s="185">
        <f>'Child care subsidy'!S21*12</f>
        <v>0</v>
      </c>
      <c r="D18" s="185">
        <f>MAX('TANF-VIEW'!L25,'TANF-VIEW'!T25)*12</f>
        <v>226.40000000000009</v>
      </c>
      <c r="E18" s="193">
        <f>SNAP!V22*12</f>
        <v>6552</v>
      </c>
      <c r="F18" s="184">
        <f>WIC!F24*12</f>
        <v>0</v>
      </c>
      <c r="G18" s="185">
        <f>'Housing Voucher'!Q22*12</f>
        <v>9256.08</v>
      </c>
      <c r="H18" s="197">
        <f>EITC!E21</f>
        <v>3264</v>
      </c>
      <c r="I18" s="205">
        <f>Medicaid!N25*12</f>
        <v>10029</v>
      </c>
      <c r="K18" s="185">
        <f t="shared" si="1"/>
        <v>29327.48</v>
      </c>
      <c r="L18" s="185">
        <f t="shared" si="2"/>
        <v>37327.479999999996</v>
      </c>
      <c r="M18" s="36">
        <f t="shared" si="0"/>
        <v>3110.623333333333</v>
      </c>
    </row>
    <row r="19" spans="1:13" x14ac:dyDescent="0.25">
      <c r="A19" s="186">
        <v>8500</v>
      </c>
      <c r="B19" s="33">
        <f t="shared" si="3"/>
        <v>708.33333333333337</v>
      </c>
      <c r="C19" s="185">
        <f>'Child care subsidy'!S22*12</f>
        <v>0</v>
      </c>
      <c r="D19" s="185">
        <f>MAX('TANF-VIEW'!L26,'TANF-VIEW'!T26)*12</f>
        <v>0</v>
      </c>
      <c r="E19" s="193">
        <f>SNAP!V23*12</f>
        <v>6552</v>
      </c>
      <c r="F19" s="184">
        <f>WIC!F25*12</f>
        <v>0</v>
      </c>
      <c r="G19" s="185">
        <f>'Housing Voucher'!Q23*12</f>
        <v>9174</v>
      </c>
      <c r="H19" s="197">
        <f>EITC!E22</f>
        <v>3468</v>
      </c>
      <c r="I19" s="205">
        <f>Medicaid!N26*12</f>
        <v>10029</v>
      </c>
      <c r="K19" s="185">
        <f t="shared" si="1"/>
        <v>29223</v>
      </c>
      <c r="L19" s="185">
        <f t="shared" si="2"/>
        <v>37723</v>
      </c>
      <c r="M19" s="36">
        <f t="shared" si="0"/>
        <v>3143.5833333333335</v>
      </c>
    </row>
    <row r="20" spans="1:13" x14ac:dyDescent="0.25">
      <c r="A20" s="186">
        <v>9000</v>
      </c>
      <c r="B20" s="33">
        <f t="shared" si="3"/>
        <v>750</v>
      </c>
      <c r="C20" s="185">
        <f>'Child care subsidy'!S23*12</f>
        <v>0</v>
      </c>
      <c r="D20" s="185">
        <f>MAX('TANF-VIEW'!L27,'TANF-VIEW'!T27)*12</f>
        <v>0</v>
      </c>
      <c r="E20" s="193">
        <f>SNAP!V24*12</f>
        <v>6552</v>
      </c>
      <c r="F20" s="184">
        <f>WIC!F26*12</f>
        <v>0</v>
      </c>
      <c r="G20" s="185">
        <f>'Housing Voucher'!Q24*12</f>
        <v>9024</v>
      </c>
      <c r="H20" s="197">
        <f>EITC!E23</f>
        <v>3672</v>
      </c>
      <c r="I20" s="205">
        <f>Medicaid!N27*12</f>
        <v>10029</v>
      </c>
      <c r="K20" s="185">
        <f t="shared" si="1"/>
        <v>29277</v>
      </c>
      <c r="L20" s="185">
        <f t="shared" si="2"/>
        <v>38277</v>
      </c>
      <c r="M20" s="36">
        <f t="shared" si="0"/>
        <v>3189.75</v>
      </c>
    </row>
    <row r="21" spans="1:13" x14ac:dyDescent="0.25">
      <c r="A21" s="186">
        <v>9500</v>
      </c>
      <c r="B21" s="33">
        <f t="shared" si="3"/>
        <v>791.66666666666663</v>
      </c>
      <c r="C21" s="185">
        <f>'Child care subsidy'!S24*12</f>
        <v>0</v>
      </c>
      <c r="D21" s="185">
        <f>MAX('TANF-VIEW'!L28,'TANF-VIEW'!T28)*12</f>
        <v>0</v>
      </c>
      <c r="E21" s="193">
        <f>SNAP!V25*12</f>
        <v>6552</v>
      </c>
      <c r="F21" s="184">
        <f>WIC!F27*12</f>
        <v>0</v>
      </c>
      <c r="G21" s="185">
        <f>'Housing Voucher'!Q25*12</f>
        <v>8874</v>
      </c>
      <c r="H21" s="197">
        <f>EITC!E24</f>
        <v>3876.0000000000005</v>
      </c>
      <c r="I21" s="205">
        <f>Medicaid!N28*12</f>
        <v>10029</v>
      </c>
      <c r="K21" s="185">
        <f t="shared" si="1"/>
        <v>29331</v>
      </c>
      <c r="L21" s="185">
        <f t="shared" si="2"/>
        <v>38831</v>
      </c>
      <c r="M21" s="36">
        <f t="shared" si="0"/>
        <v>3235.9166666666665</v>
      </c>
    </row>
    <row r="22" spans="1:13" x14ac:dyDescent="0.25">
      <c r="A22" s="186">
        <v>10000</v>
      </c>
      <c r="B22" s="33">
        <f t="shared" si="3"/>
        <v>833.33333333333337</v>
      </c>
      <c r="C22" s="185">
        <f>'Child care subsidy'!S25*12</f>
        <v>0</v>
      </c>
      <c r="D22" s="185">
        <f>MAX('TANF-VIEW'!L29,'TANF-VIEW'!T29)*12</f>
        <v>0</v>
      </c>
      <c r="E22" s="193">
        <f>SNAP!V26*12</f>
        <v>6552</v>
      </c>
      <c r="F22" s="184">
        <f>WIC!F28*12</f>
        <v>0</v>
      </c>
      <c r="G22" s="185">
        <f>'Housing Voucher'!Q26*12</f>
        <v>8724</v>
      </c>
      <c r="H22" s="197">
        <f>EITC!E25</f>
        <v>4080.0000000000005</v>
      </c>
      <c r="I22" s="205">
        <f>Medicaid!N29*12</f>
        <v>10029</v>
      </c>
      <c r="K22" s="185">
        <f t="shared" si="1"/>
        <v>29385</v>
      </c>
      <c r="L22" s="185">
        <f t="shared" si="2"/>
        <v>39385</v>
      </c>
      <c r="M22" s="36">
        <f t="shared" si="0"/>
        <v>3282.0833333333335</v>
      </c>
    </row>
    <row r="23" spans="1:13" x14ac:dyDescent="0.25">
      <c r="A23" s="186">
        <v>10500</v>
      </c>
      <c r="B23" s="33">
        <f t="shared" si="3"/>
        <v>875</v>
      </c>
      <c r="C23" s="185">
        <f>'Child care subsidy'!S26*12</f>
        <v>0</v>
      </c>
      <c r="D23" s="185">
        <f>MAX('TANF-VIEW'!L30,'TANF-VIEW'!T30)*12</f>
        <v>0</v>
      </c>
      <c r="E23" s="193">
        <f>SNAP!V27*12</f>
        <v>6552</v>
      </c>
      <c r="F23" s="184">
        <f>WIC!F29*12</f>
        <v>0</v>
      </c>
      <c r="G23" s="185">
        <f>'Housing Voucher'!Q27*12</f>
        <v>8574</v>
      </c>
      <c r="H23" s="197">
        <f>EITC!E26</f>
        <v>4284.0000000000009</v>
      </c>
      <c r="I23" s="205">
        <f>Medicaid!N30*12</f>
        <v>10029</v>
      </c>
      <c r="K23" s="185">
        <f t="shared" si="1"/>
        <v>29439</v>
      </c>
      <c r="L23" s="185">
        <f t="shared" si="2"/>
        <v>39939</v>
      </c>
      <c r="M23" s="36">
        <f t="shared" si="0"/>
        <v>3328.25</v>
      </c>
    </row>
    <row r="24" spans="1:13" ht="15.75" customHeight="1" x14ac:dyDescent="0.25">
      <c r="A24" s="186">
        <v>11000</v>
      </c>
      <c r="B24" s="33">
        <f t="shared" si="3"/>
        <v>916.66666666666663</v>
      </c>
      <c r="C24" s="185">
        <f>'Child care subsidy'!S27*12</f>
        <v>0</v>
      </c>
      <c r="D24" s="185">
        <f>MAX('TANF-VIEW'!L31,'TANF-VIEW'!T31)*12</f>
        <v>0</v>
      </c>
      <c r="E24" s="193">
        <f>SNAP!V28*12</f>
        <v>6552</v>
      </c>
      <c r="F24" s="184">
        <f>WIC!F30*12</f>
        <v>0</v>
      </c>
      <c r="G24" s="185">
        <f>'Housing Voucher'!Q28*12</f>
        <v>8424</v>
      </c>
      <c r="H24" s="197">
        <f>EITC!E27</f>
        <v>4488.0000000000009</v>
      </c>
      <c r="I24" s="205">
        <f>Medicaid!N31*12</f>
        <v>10029</v>
      </c>
      <c r="K24" s="185">
        <f t="shared" si="1"/>
        <v>29493</v>
      </c>
      <c r="L24" s="185">
        <f t="shared" si="2"/>
        <v>40493</v>
      </c>
      <c r="M24" s="36">
        <f t="shared" si="0"/>
        <v>3374.4166666666665</v>
      </c>
    </row>
    <row r="25" spans="1:13" ht="15" customHeight="1" x14ac:dyDescent="0.25">
      <c r="A25" s="186">
        <v>11500</v>
      </c>
      <c r="B25" s="33">
        <f t="shared" si="3"/>
        <v>958.33333333333337</v>
      </c>
      <c r="C25" s="185">
        <f>'Child care subsidy'!S28*12</f>
        <v>0</v>
      </c>
      <c r="D25" s="185">
        <f>MAX('TANF-VIEW'!L32,'TANF-VIEW'!T32)*12</f>
        <v>0</v>
      </c>
      <c r="E25" s="193">
        <f>SNAP!V29*12</f>
        <v>6552</v>
      </c>
      <c r="F25" s="184">
        <f>WIC!F31*12</f>
        <v>0</v>
      </c>
      <c r="G25" s="185">
        <f>'Housing Voucher'!Q29*12</f>
        <v>8274</v>
      </c>
      <c r="H25" s="197">
        <f>EITC!E28</f>
        <v>4692.0000000000009</v>
      </c>
      <c r="I25" s="205">
        <f>Medicaid!N32*12</f>
        <v>10029</v>
      </c>
      <c r="K25" s="185">
        <f t="shared" si="1"/>
        <v>29547</v>
      </c>
      <c r="L25" s="185">
        <f t="shared" si="2"/>
        <v>41047</v>
      </c>
      <c r="M25" s="36">
        <f t="shared" si="0"/>
        <v>3420.5833333333335</v>
      </c>
    </row>
    <row r="26" spans="1:13" ht="15" customHeight="1" x14ac:dyDescent="0.25">
      <c r="A26" s="186">
        <v>12000</v>
      </c>
      <c r="B26" s="33">
        <f t="shared" si="3"/>
        <v>1000</v>
      </c>
      <c r="C26" s="185">
        <f>'Child care subsidy'!S29*12</f>
        <v>0</v>
      </c>
      <c r="D26" s="185">
        <f>MAX('TANF-VIEW'!L33,'TANF-VIEW'!T33)*12</f>
        <v>0</v>
      </c>
      <c r="E26" s="193">
        <f>SNAP!V30*12</f>
        <v>6420</v>
      </c>
      <c r="F26" s="184">
        <f>WIC!F32*12</f>
        <v>0</v>
      </c>
      <c r="G26" s="185">
        <f>'Housing Voucher'!Q30*12</f>
        <v>8124</v>
      </c>
      <c r="H26" s="197">
        <f>EITC!E29</f>
        <v>4896.0000000000009</v>
      </c>
      <c r="I26" s="205">
        <f>Medicaid!N33*12</f>
        <v>10029</v>
      </c>
      <c r="K26" s="185">
        <f t="shared" si="1"/>
        <v>29469</v>
      </c>
      <c r="L26" s="185">
        <f t="shared" si="2"/>
        <v>41469</v>
      </c>
      <c r="M26" s="36">
        <f t="shared" si="0"/>
        <v>3455.75</v>
      </c>
    </row>
    <row r="27" spans="1:13" ht="15" customHeight="1" x14ac:dyDescent="0.25">
      <c r="A27" s="186">
        <v>12500</v>
      </c>
      <c r="B27" s="33">
        <f t="shared" si="3"/>
        <v>1041.6666666666667</v>
      </c>
      <c r="C27" s="185">
        <f>'Child care subsidy'!S30*12</f>
        <v>0</v>
      </c>
      <c r="D27" s="185">
        <f>MAX('TANF-VIEW'!L34,'TANF-VIEW'!T34)*12</f>
        <v>0</v>
      </c>
      <c r="E27" s="193">
        <f>SNAP!V31*12</f>
        <v>6240</v>
      </c>
      <c r="F27" s="184">
        <f>WIC!F33*12</f>
        <v>0</v>
      </c>
      <c r="G27" s="185">
        <f>'Housing Voucher'!Q31*12</f>
        <v>7974</v>
      </c>
      <c r="H27" s="197">
        <f>EITC!E30</f>
        <v>5100</v>
      </c>
      <c r="I27" s="205">
        <f>Medicaid!N34*12</f>
        <v>10029</v>
      </c>
      <c r="K27" s="185">
        <f t="shared" si="1"/>
        <v>29343</v>
      </c>
      <c r="L27" s="185">
        <f t="shared" si="2"/>
        <v>41843</v>
      </c>
      <c r="M27" s="36">
        <f t="shared" si="0"/>
        <v>3486.9166666666665</v>
      </c>
    </row>
    <row r="28" spans="1:13" x14ac:dyDescent="0.25">
      <c r="A28" s="186">
        <v>13000</v>
      </c>
      <c r="B28" s="33">
        <f t="shared" si="3"/>
        <v>1083.3333333333333</v>
      </c>
      <c r="C28" s="185">
        <f>'Child care subsidy'!S31*12</f>
        <v>0</v>
      </c>
      <c r="D28" s="185">
        <f>MAX('TANF-VIEW'!L35,'TANF-VIEW'!T35)*12</f>
        <v>0</v>
      </c>
      <c r="E28" s="193">
        <f>SNAP!V32*12</f>
        <v>6060</v>
      </c>
      <c r="F28" s="184">
        <f>WIC!F34*12</f>
        <v>0</v>
      </c>
      <c r="G28" s="185">
        <f>'Housing Voucher'!Q32*12</f>
        <v>7824</v>
      </c>
      <c r="H28" s="197">
        <f>EITC!E31</f>
        <v>5304</v>
      </c>
      <c r="I28" s="205">
        <f>Medicaid!N35*12</f>
        <v>10029</v>
      </c>
      <c r="K28" s="185">
        <f t="shared" si="1"/>
        <v>29217</v>
      </c>
      <c r="L28" s="185">
        <f t="shared" si="2"/>
        <v>42217</v>
      </c>
      <c r="M28" s="36">
        <f t="shared" si="0"/>
        <v>3518.0833333333335</v>
      </c>
    </row>
    <row r="29" spans="1:13" x14ac:dyDescent="0.25">
      <c r="A29" s="186">
        <v>13500</v>
      </c>
      <c r="B29" s="33">
        <f t="shared" si="3"/>
        <v>1125</v>
      </c>
      <c r="C29" s="185">
        <f>'Child care subsidy'!S32*12</f>
        <v>0</v>
      </c>
      <c r="D29" s="185">
        <f>MAX('TANF-VIEW'!L36,'TANF-VIEW'!T36)*12</f>
        <v>0</v>
      </c>
      <c r="E29" s="193">
        <f>SNAP!V33*12</f>
        <v>5880</v>
      </c>
      <c r="F29" s="184">
        <f>WIC!F35*12</f>
        <v>0</v>
      </c>
      <c r="G29" s="185">
        <f>'Housing Voucher'!Q33*12</f>
        <v>7674</v>
      </c>
      <c r="H29" s="197">
        <f>EITC!E32</f>
        <v>5312.4</v>
      </c>
      <c r="I29" s="205">
        <f>Medicaid!N36*12</f>
        <v>10029</v>
      </c>
      <c r="K29" s="185">
        <f t="shared" si="1"/>
        <v>28895.4</v>
      </c>
      <c r="L29" s="185">
        <f t="shared" si="2"/>
        <v>42395.4</v>
      </c>
      <c r="M29" s="36">
        <f t="shared" si="0"/>
        <v>3532.9500000000003</v>
      </c>
    </row>
    <row r="30" spans="1:13" x14ac:dyDescent="0.25">
      <c r="A30" s="186">
        <v>14000</v>
      </c>
      <c r="B30" s="33">
        <f t="shared" si="3"/>
        <v>1166.6666666666667</v>
      </c>
      <c r="C30" s="185">
        <f>'Child care subsidy'!S33*12</f>
        <v>0</v>
      </c>
      <c r="D30" s="185">
        <f>MAX('TANF-VIEW'!L37,'TANF-VIEW'!T37)*12</f>
        <v>0</v>
      </c>
      <c r="E30" s="193">
        <f>SNAP!V34*12</f>
        <v>5700</v>
      </c>
      <c r="F30" s="184">
        <f>WIC!F36*12</f>
        <v>0</v>
      </c>
      <c r="G30" s="185">
        <f>'Housing Voucher'!Q34*12</f>
        <v>7524</v>
      </c>
      <c r="H30" s="197">
        <f>EITC!E33</f>
        <v>5312.4</v>
      </c>
      <c r="I30" s="205">
        <f>Medicaid!N37*12</f>
        <v>10029</v>
      </c>
      <c r="K30" s="185">
        <f t="shared" si="1"/>
        <v>28565.4</v>
      </c>
      <c r="L30" s="185">
        <f t="shared" si="2"/>
        <v>42565.4</v>
      </c>
      <c r="M30" s="36">
        <f t="shared" si="0"/>
        <v>3547.1166666666668</v>
      </c>
    </row>
    <row r="31" spans="1:13" x14ac:dyDescent="0.25">
      <c r="A31" s="186">
        <v>14500</v>
      </c>
      <c r="B31" s="33">
        <f t="shared" si="3"/>
        <v>1208.3333333333333</v>
      </c>
      <c r="C31" s="185">
        <f>'Child care subsidy'!S34*12</f>
        <v>0</v>
      </c>
      <c r="D31" s="185">
        <f>MAX('TANF-VIEW'!L38,'TANF-VIEW'!T38)*12</f>
        <v>0</v>
      </c>
      <c r="E31" s="193">
        <f>SNAP!V35*12</f>
        <v>5520</v>
      </c>
      <c r="F31" s="184">
        <f>WIC!F37*12</f>
        <v>0</v>
      </c>
      <c r="G31" s="185">
        <f>'Housing Voucher'!Q35*12</f>
        <v>7374</v>
      </c>
      <c r="H31" s="197">
        <f>EITC!E34</f>
        <v>5312.4</v>
      </c>
      <c r="I31" s="205">
        <f>Medicaid!N38*12</f>
        <v>10029</v>
      </c>
      <c r="K31" s="185">
        <f t="shared" si="1"/>
        <v>28235.4</v>
      </c>
      <c r="L31" s="185">
        <f t="shared" si="2"/>
        <v>42735.4</v>
      </c>
      <c r="M31" s="36">
        <f t="shared" si="0"/>
        <v>3561.2833333333333</v>
      </c>
    </row>
    <row r="32" spans="1:13" x14ac:dyDescent="0.25">
      <c r="A32" s="186">
        <v>15000</v>
      </c>
      <c r="B32" s="33">
        <f t="shared" si="3"/>
        <v>1250</v>
      </c>
      <c r="C32" s="185">
        <f>'Child care subsidy'!S35*12</f>
        <v>0</v>
      </c>
      <c r="D32" s="185">
        <f>MAX('TANF-VIEW'!L39,'TANF-VIEW'!T39)*12</f>
        <v>0</v>
      </c>
      <c r="E32" s="193">
        <f>SNAP!V36*12</f>
        <v>5340</v>
      </c>
      <c r="F32" s="184">
        <f>WIC!F38*12</f>
        <v>0</v>
      </c>
      <c r="G32" s="185">
        <f>'Housing Voucher'!Q36*12</f>
        <v>7224</v>
      </c>
      <c r="H32" s="197">
        <f>EITC!E35</f>
        <v>5312.4</v>
      </c>
      <c r="I32" s="205">
        <f>Medicaid!N39*12</f>
        <v>10029</v>
      </c>
      <c r="K32" s="185">
        <f t="shared" si="1"/>
        <v>27905.4</v>
      </c>
      <c r="L32" s="185">
        <f t="shared" si="2"/>
        <v>42905.4</v>
      </c>
      <c r="M32" s="36">
        <f t="shared" si="0"/>
        <v>3575.4500000000003</v>
      </c>
    </row>
    <row r="33" spans="1:13" x14ac:dyDescent="0.25">
      <c r="A33" s="186">
        <v>15500</v>
      </c>
      <c r="B33" s="33">
        <f t="shared" si="3"/>
        <v>1291.6666666666667</v>
      </c>
      <c r="C33" s="185">
        <f>'Child care subsidy'!S36*12</f>
        <v>0</v>
      </c>
      <c r="D33" s="185">
        <f>MAX('TANF-VIEW'!L40,'TANF-VIEW'!T40)*12</f>
        <v>0</v>
      </c>
      <c r="E33" s="193">
        <f>SNAP!V37*12</f>
        <v>5160</v>
      </c>
      <c r="F33" s="184">
        <f>WIC!F39*12</f>
        <v>0</v>
      </c>
      <c r="G33" s="185">
        <f>'Housing Voucher'!Q37*12</f>
        <v>7074</v>
      </c>
      <c r="H33" s="197">
        <f>EITC!E36</f>
        <v>5312.4</v>
      </c>
      <c r="I33" s="205">
        <f>Medicaid!N40*12</f>
        <v>10029</v>
      </c>
      <c r="K33" s="185">
        <f t="shared" si="1"/>
        <v>27575.4</v>
      </c>
      <c r="L33" s="185">
        <f t="shared" si="2"/>
        <v>43075.4</v>
      </c>
      <c r="M33" s="36">
        <f t="shared" si="0"/>
        <v>3589.6166666666668</v>
      </c>
    </row>
    <row r="34" spans="1:13" x14ac:dyDescent="0.25">
      <c r="A34" s="186">
        <v>16000</v>
      </c>
      <c r="B34" s="33">
        <f t="shared" si="3"/>
        <v>1333.3333333333333</v>
      </c>
      <c r="C34" s="185">
        <f>'Child care subsidy'!S37*12</f>
        <v>0</v>
      </c>
      <c r="D34" s="185">
        <f>MAX('TANF-VIEW'!L41,'TANF-VIEW'!T41)*12</f>
        <v>0</v>
      </c>
      <c r="E34" s="193">
        <f>SNAP!V38*12</f>
        <v>4980</v>
      </c>
      <c r="F34" s="184">
        <f>WIC!F40*12</f>
        <v>0</v>
      </c>
      <c r="G34" s="185">
        <f>'Housing Voucher'!Q38*12</f>
        <v>6924</v>
      </c>
      <c r="H34" s="197">
        <f>EITC!E37</f>
        <v>5312.4</v>
      </c>
      <c r="I34" s="205">
        <f>Medicaid!N41*12</f>
        <v>10029</v>
      </c>
      <c r="K34" s="185">
        <f t="shared" si="1"/>
        <v>27245.4</v>
      </c>
      <c r="L34" s="185">
        <f t="shared" si="2"/>
        <v>43245.4</v>
      </c>
      <c r="M34" s="36">
        <f t="shared" si="0"/>
        <v>3603.7833333333333</v>
      </c>
    </row>
    <row r="35" spans="1:13" x14ac:dyDescent="0.25">
      <c r="A35" s="186">
        <v>16500</v>
      </c>
      <c r="B35" s="33">
        <f t="shared" si="3"/>
        <v>1375</v>
      </c>
      <c r="C35" s="185">
        <f>'Child care subsidy'!S38*12</f>
        <v>0</v>
      </c>
      <c r="D35" s="185">
        <f>MAX('TANF-VIEW'!L42,'TANF-VIEW'!T42)*12</f>
        <v>0</v>
      </c>
      <c r="E35" s="193">
        <f>SNAP!V39*12</f>
        <v>4800</v>
      </c>
      <c r="F35" s="184">
        <f>WIC!F41*12</f>
        <v>0</v>
      </c>
      <c r="G35" s="185">
        <f>'Housing Voucher'!Q39*12</f>
        <v>6774</v>
      </c>
      <c r="H35" s="197">
        <f>EITC!E38</f>
        <v>5312.4</v>
      </c>
      <c r="I35" s="205">
        <f>Medicaid!N42*12</f>
        <v>10029</v>
      </c>
      <c r="K35" s="185">
        <f t="shared" si="1"/>
        <v>26915.4</v>
      </c>
      <c r="L35" s="185">
        <f t="shared" si="2"/>
        <v>43415.4</v>
      </c>
      <c r="M35" s="36">
        <f t="shared" si="0"/>
        <v>3617.9500000000003</v>
      </c>
    </row>
    <row r="36" spans="1:13" x14ac:dyDescent="0.25">
      <c r="A36" s="186">
        <v>17000</v>
      </c>
      <c r="B36" s="33">
        <f t="shared" si="3"/>
        <v>1416.6666666666667</v>
      </c>
      <c r="C36" s="185">
        <f>'Child care subsidy'!S39*12</f>
        <v>0</v>
      </c>
      <c r="D36" s="185">
        <f>MAX('TANF-VIEW'!L43,'TANF-VIEW'!T43)*12</f>
        <v>0</v>
      </c>
      <c r="E36" s="193">
        <f>SNAP!V40*12</f>
        <v>4620</v>
      </c>
      <c r="F36" s="184">
        <f>WIC!F42*12</f>
        <v>0</v>
      </c>
      <c r="G36" s="185">
        <f>'Housing Voucher'!Q40*12</f>
        <v>6624</v>
      </c>
      <c r="H36" s="197">
        <f>EITC!E39</f>
        <v>5312.4</v>
      </c>
      <c r="I36" s="205">
        <f>Medicaid!N43*12</f>
        <v>10029</v>
      </c>
      <c r="K36" s="185">
        <f t="shared" si="1"/>
        <v>26585.4</v>
      </c>
      <c r="L36" s="185">
        <f t="shared" si="2"/>
        <v>43585.4</v>
      </c>
      <c r="M36" s="36">
        <f t="shared" si="0"/>
        <v>3632.1166666666668</v>
      </c>
    </row>
    <row r="37" spans="1:13" x14ac:dyDescent="0.25">
      <c r="A37" s="186">
        <v>17500</v>
      </c>
      <c r="B37" s="33">
        <f t="shared" si="3"/>
        <v>1458.3333333333333</v>
      </c>
      <c r="C37" s="185">
        <f>'Child care subsidy'!S40*12</f>
        <v>0</v>
      </c>
      <c r="D37" s="185">
        <f>MAX('TANF-VIEW'!L44,'TANF-VIEW'!T44)*12</f>
        <v>0</v>
      </c>
      <c r="E37" s="193">
        <f>SNAP!V41*12</f>
        <v>4440</v>
      </c>
      <c r="F37" s="184">
        <f>WIC!F43*12</f>
        <v>0</v>
      </c>
      <c r="G37" s="185">
        <f>'Housing Voucher'!Q41*12</f>
        <v>6474</v>
      </c>
      <c r="H37" s="197">
        <f>EITC!E40</f>
        <v>5312.4</v>
      </c>
      <c r="I37" s="205">
        <f>Medicaid!N44*12</f>
        <v>10029</v>
      </c>
      <c r="K37" s="185">
        <f t="shared" si="1"/>
        <v>26255.4</v>
      </c>
      <c r="L37" s="185">
        <f t="shared" si="2"/>
        <v>43755.4</v>
      </c>
      <c r="M37" s="36">
        <f t="shared" si="0"/>
        <v>3646.2833333333333</v>
      </c>
    </row>
    <row r="38" spans="1:13" x14ac:dyDescent="0.25">
      <c r="A38" s="186">
        <v>18000</v>
      </c>
      <c r="B38" s="33">
        <f t="shared" si="3"/>
        <v>1500</v>
      </c>
      <c r="C38" s="185">
        <f>'Child care subsidy'!S41*12</f>
        <v>0</v>
      </c>
      <c r="D38" s="185">
        <f>MAX('TANF-VIEW'!L45,'TANF-VIEW'!T45)*12</f>
        <v>0</v>
      </c>
      <c r="E38" s="193">
        <f>SNAP!V42*12</f>
        <v>4260</v>
      </c>
      <c r="F38" s="184">
        <f>WIC!F44*12</f>
        <v>0</v>
      </c>
      <c r="G38" s="185">
        <f>'Housing Voucher'!Q42*12</f>
        <v>6324</v>
      </c>
      <c r="H38" s="197">
        <f>EITC!E41</f>
        <v>5312.4</v>
      </c>
      <c r="I38" s="205">
        <f>Medicaid!N45*12</f>
        <v>10029</v>
      </c>
      <c r="K38" s="185">
        <f t="shared" si="1"/>
        <v>25925.4</v>
      </c>
      <c r="L38" s="185">
        <f t="shared" si="2"/>
        <v>43925.4</v>
      </c>
      <c r="M38" s="36">
        <f t="shared" si="0"/>
        <v>3660.4500000000003</v>
      </c>
    </row>
    <row r="39" spans="1:13" ht="15" customHeight="1" x14ac:dyDescent="0.25">
      <c r="A39" s="186">
        <v>18500</v>
      </c>
      <c r="B39" s="33">
        <f t="shared" si="3"/>
        <v>1541.6666666666667</v>
      </c>
      <c r="C39" s="185">
        <f>'Child care subsidy'!S42*12</f>
        <v>0</v>
      </c>
      <c r="D39" s="185">
        <f>MAX('TANF-VIEW'!L46,'TANF-VIEW'!T46)*12</f>
        <v>0</v>
      </c>
      <c r="E39" s="193">
        <f>SNAP!V43*12</f>
        <v>4080</v>
      </c>
      <c r="F39" s="184">
        <f>WIC!F45*12</f>
        <v>0</v>
      </c>
      <c r="G39" s="185">
        <f>'Housing Voucher'!Q43*12</f>
        <v>6174</v>
      </c>
      <c r="H39" s="197">
        <f>EITC!E42</f>
        <v>5312.4</v>
      </c>
      <c r="I39" s="205">
        <f>Medicaid!N46*12</f>
        <v>10029</v>
      </c>
      <c r="K39" s="185">
        <f t="shared" si="1"/>
        <v>25595.4</v>
      </c>
      <c r="L39" s="185">
        <f t="shared" si="2"/>
        <v>44095.4</v>
      </c>
      <c r="M39" s="36">
        <f t="shared" si="0"/>
        <v>3674.6166666666668</v>
      </c>
    </row>
    <row r="40" spans="1:13" x14ac:dyDescent="0.25">
      <c r="A40" s="186">
        <v>19000</v>
      </c>
      <c r="B40" s="33">
        <f t="shared" si="3"/>
        <v>1583.3333333333333</v>
      </c>
      <c r="C40" s="185">
        <f>'Child care subsidy'!S43*12</f>
        <v>0</v>
      </c>
      <c r="D40" s="185">
        <f>MAX('TANF-VIEW'!L47,'TANF-VIEW'!T47)*12</f>
        <v>0</v>
      </c>
      <c r="E40" s="193">
        <f>SNAP!V44*12</f>
        <v>3900</v>
      </c>
      <c r="F40" s="184">
        <f>WIC!F46*12</f>
        <v>0</v>
      </c>
      <c r="G40" s="185">
        <f>'Housing Voucher'!Q44*12</f>
        <v>6024.0000000000009</v>
      </c>
      <c r="H40" s="197">
        <f>EITC!E43</f>
        <v>5312.4</v>
      </c>
      <c r="I40" s="205">
        <f>Medicaid!N47*12</f>
        <v>10029</v>
      </c>
      <c r="K40" s="185">
        <f t="shared" si="1"/>
        <v>25265.4</v>
      </c>
      <c r="L40" s="185">
        <f t="shared" si="2"/>
        <v>44265.4</v>
      </c>
      <c r="M40" s="36">
        <f t="shared" si="0"/>
        <v>3688.7833333333333</v>
      </c>
    </row>
    <row r="41" spans="1:13" x14ac:dyDescent="0.25">
      <c r="A41" s="186">
        <v>19500</v>
      </c>
      <c r="B41" s="33">
        <f t="shared" si="3"/>
        <v>1625</v>
      </c>
      <c r="C41" s="185">
        <f>'Child care subsidy'!S44*12</f>
        <v>0</v>
      </c>
      <c r="D41" s="185">
        <f>MAX('TANF-VIEW'!L48,'TANF-VIEW'!T48)*12</f>
        <v>0</v>
      </c>
      <c r="E41" s="193">
        <f>SNAP!V45*12</f>
        <v>3720</v>
      </c>
      <c r="F41" s="184">
        <f>WIC!F47*12</f>
        <v>0</v>
      </c>
      <c r="G41" s="185">
        <f>'Housing Voucher'!Q45*12</f>
        <v>5874</v>
      </c>
      <c r="H41" s="197">
        <f>EITC!E44</f>
        <v>5312.4</v>
      </c>
      <c r="I41" s="205">
        <f>Medicaid!N48*12</f>
        <v>10029</v>
      </c>
      <c r="K41" s="185">
        <f t="shared" si="1"/>
        <v>24935.4</v>
      </c>
      <c r="L41" s="185">
        <f t="shared" si="2"/>
        <v>44435.4</v>
      </c>
      <c r="M41" s="36">
        <f t="shared" si="0"/>
        <v>3702.9500000000003</v>
      </c>
    </row>
    <row r="42" spans="1:13" x14ac:dyDescent="0.25">
      <c r="A42" s="186">
        <v>20000</v>
      </c>
      <c r="B42" s="33">
        <f t="shared" si="3"/>
        <v>1666.6666666666667</v>
      </c>
      <c r="C42" s="185">
        <f>'Child care subsidy'!S45*12</f>
        <v>0</v>
      </c>
      <c r="D42" s="185">
        <f>MAX('TANF-VIEW'!L49,'TANF-VIEW'!T49)*12</f>
        <v>0</v>
      </c>
      <c r="E42" s="193">
        <f>SNAP!V46*12</f>
        <v>3540</v>
      </c>
      <c r="F42" s="184">
        <f>WIC!F48*12</f>
        <v>0</v>
      </c>
      <c r="G42" s="185">
        <f>'Housing Voucher'!Q46*12</f>
        <v>5724</v>
      </c>
      <c r="H42" s="197">
        <f>EITC!E45</f>
        <v>5312.4</v>
      </c>
      <c r="I42" s="205">
        <f>Medicaid!N49*12</f>
        <v>10029</v>
      </c>
      <c r="K42" s="185">
        <f t="shared" si="1"/>
        <v>24605.4</v>
      </c>
      <c r="L42" s="185">
        <f t="shared" si="2"/>
        <v>44605.4</v>
      </c>
      <c r="M42" s="36">
        <f t="shared" si="0"/>
        <v>3717.1166666666668</v>
      </c>
    </row>
    <row r="43" spans="1:13" x14ac:dyDescent="0.25">
      <c r="A43" s="186">
        <v>20500</v>
      </c>
      <c r="B43" s="33">
        <f t="shared" si="3"/>
        <v>1708.3333333333333</v>
      </c>
      <c r="C43" s="185">
        <f>'Child care subsidy'!S46*12</f>
        <v>0</v>
      </c>
      <c r="D43" s="185">
        <f>MAX('TANF-VIEW'!L50,'TANF-VIEW'!T50)*12</f>
        <v>0</v>
      </c>
      <c r="E43" s="193">
        <f>SNAP!V47*12</f>
        <v>3360</v>
      </c>
      <c r="F43" s="184">
        <f>WIC!F49*12</f>
        <v>0</v>
      </c>
      <c r="G43" s="185">
        <f>'Housing Voucher'!Q47*12</f>
        <v>5574</v>
      </c>
      <c r="H43" s="197">
        <f>EITC!E46</f>
        <v>5312.4</v>
      </c>
      <c r="I43" s="205">
        <f>Medicaid!N50*12</f>
        <v>10029</v>
      </c>
      <c r="K43" s="185">
        <f t="shared" si="1"/>
        <v>24275.4</v>
      </c>
      <c r="L43" s="185">
        <f t="shared" si="2"/>
        <v>44775.4</v>
      </c>
      <c r="M43" s="36">
        <f t="shared" si="0"/>
        <v>3731.2833333333333</v>
      </c>
    </row>
    <row r="44" spans="1:13" x14ac:dyDescent="0.25">
      <c r="A44" s="186">
        <v>21000</v>
      </c>
      <c r="B44" s="33">
        <f t="shared" si="3"/>
        <v>1750</v>
      </c>
      <c r="C44" s="185">
        <f>'Child care subsidy'!S47*12</f>
        <v>0</v>
      </c>
      <c r="D44" s="185">
        <f>MAX('TANF-VIEW'!L51,'TANF-VIEW'!T51)*12</f>
        <v>0</v>
      </c>
      <c r="E44" s="193">
        <f>SNAP!V48*12</f>
        <v>3180</v>
      </c>
      <c r="F44" s="184">
        <f>WIC!F50*12</f>
        <v>0</v>
      </c>
      <c r="G44" s="185">
        <f>'Housing Voucher'!Q48*12</f>
        <v>5424</v>
      </c>
      <c r="H44" s="197">
        <f>EITC!E47</f>
        <v>5312.4</v>
      </c>
      <c r="I44" s="205">
        <f>Medicaid!N51*12</f>
        <v>10029</v>
      </c>
      <c r="K44" s="185">
        <f t="shared" si="1"/>
        <v>23945.4</v>
      </c>
      <c r="L44" s="185">
        <f t="shared" si="2"/>
        <v>44945.4</v>
      </c>
      <c r="M44" s="36">
        <f t="shared" si="0"/>
        <v>3745.4500000000003</v>
      </c>
    </row>
    <row r="45" spans="1:13" x14ac:dyDescent="0.25">
      <c r="A45" s="186">
        <v>21500</v>
      </c>
      <c r="B45" s="33">
        <f t="shared" si="3"/>
        <v>1791.6666666666667</v>
      </c>
      <c r="C45" s="185">
        <f>'Child care subsidy'!S48*12</f>
        <v>0</v>
      </c>
      <c r="D45" s="185">
        <f>MAX('TANF-VIEW'!L52,'TANF-VIEW'!T52)*12</f>
        <v>0</v>
      </c>
      <c r="E45" s="193">
        <f>SNAP!V49*12</f>
        <v>3000</v>
      </c>
      <c r="F45" s="184">
        <f>WIC!F51*12</f>
        <v>0</v>
      </c>
      <c r="G45" s="185">
        <f>'Housing Voucher'!Q49*12</f>
        <v>5274</v>
      </c>
      <c r="H45" s="197">
        <f>EITC!E48</f>
        <v>5312.4</v>
      </c>
      <c r="I45" s="205">
        <f>Medicaid!N52*12</f>
        <v>10029</v>
      </c>
      <c r="K45" s="185">
        <f t="shared" si="1"/>
        <v>23615.4</v>
      </c>
      <c r="L45" s="185">
        <f t="shared" si="2"/>
        <v>45115.4</v>
      </c>
      <c r="M45" s="36">
        <f t="shared" si="0"/>
        <v>3759.6166666666668</v>
      </c>
    </row>
    <row r="46" spans="1:13" x14ac:dyDescent="0.25">
      <c r="A46" s="186">
        <v>22000</v>
      </c>
      <c r="B46" s="33">
        <f t="shared" si="3"/>
        <v>1833.3333333333333</v>
      </c>
      <c r="C46" s="185">
        <f>'Child care subsidy'!S49*12</f>
        <v>0</v>
      </c>
      <c r="D46" s="185">
        <f>MAX('TANF-VIEW'!L53,'TANF-VIEW'!T53)*12</f>
        <v>0</v>
      </c>
      <c r="E46" s="193">
        <f>SNAP!V50*12</f>
        <v>2820</v>
      </c>
      <c r="F46" s="184">
        <f>WIC!F52*12</f>
        <v>0</v>
      </c>
      <c r="G46" s="185">
        <f>'Housing Voucher'!Q50*12</f>
        <v>5124</v>
      </c>
      <c r="H46" s="197">
        <f>EITC!E49</f>
        <v>5312.4</v>
      </c>
      <c r="I46" s="205">
        <f>Medicaid!N53*12</f>
        <v>10029</v>
      </c>
      <c r="K46" s="185">
        <f t="shared" si="1"/>
        <v>23285.4</v>
      </c>
      <c r="L46" s="185">
        <f t="shared" si="2"/>
        <v>45285.4</v>
      </c>
      <c r="M46" s="36">
        <f t="shared" si="0"/>
        <v>3773.7833333333333</v>
      </c>
    </row>
    <row r="47" spans="1:13" x14ac:dyDescent="0.25">
      <c r="A47" s="186">
        <v>22500</v>
      </c>
      <c r="B47" s="33">
        <f t="shared" si="3"/>
        <v>1875</v>
      </c>
      <c r="C47" s="185">
        <f>'Child care subsidy'!S50*12</f>
        <v>0</v>
      </c>
      <c r="D47" s="185">
        <f>MAX('TANF-VIEW'!L54,'TANF-VIEW'!T54)*12</f>
        <v>0</v>
      </c>
      <c r="E47" s="193">
        <f>SNAP!V51*12</f>
        <v>2640</v>
      </c>
      <c r="F47" s="184">
        <f>WIC!F53*12</f>
        <v>0</v>
      </c>
      <c r="G47" s="185">
        <f>'Housing Voucher'!Q51*12</f>
        <v>4974</v>
      </c>
      <c r="H47" s="197">
        <f>EITC!E50</f>
        <v>5312.4</v>
      </c>
      <c r="I47" s="205">
        <f>Medicaid!N54*12</f>
        <v>10029</v>
      </c>
      <c r="K47" s="185">
        <f t="shared" si="1"/>
        <v>22955.4</v>
      </c>
      <c r="L47" s="185">
        <f t="shared" si="2"/>
        <v>45455.4</v>
      </c>
      <c r="M47" s="36">
        <f t="shared" si="0"/>
        <v>3787.9500000000003</v>
      </c>
    </row>
    <row r="48" spans="1:13" x14ac:dyDescent="0.25">
      <c r="A48" s="186">
        <v>23000</v>
      </c>
      <c r="B48" s="33">
        <f t="shared" si="3"/>
        <v>1916.6666666666667</v>
      </c>
      <c r="C48" s="185">
        <f>'Child care subsidy'!S51*12</f>
        <v>0</v>
      </c>
      <c r="D48" s="185">
        <f>MAX('TANF-VIEW'!L55,'TANF-VIEW'!T55)*12</f>
        <v>0</v>
      </c>
      <c r="E48" s="193">
        <f>SNAP!V52*12</f>
        <v>2460</v>
      </c>
      <c r="F48" s="184">
        <f>WIC!F54*12</f>
        <v>0</v>
      </c>
      <c r="G48" s="185">
        <f>'Housing Voucher'!Q52*12</f>
        <v>4824</v>
      </c>
      <c r="H48" s="197">
        <f>EITC!E51</f>
        <v>5312.4</v>
      </c>
      <c r="I48" s="205">
        <f>Medicaid!N55*12</f>
        <v>10029</v>
      </c>
      <c r="K48" s="185">
        <f t="shared" si="1"/>
        <v>22625.4</v>
      </c>
      <c r="L48" s="185">
        <f t="shared" si="2"/>
        <v>45625.4</v>
      </c>
      <c r="M48" s="36">
        <f t="shared" si="0"/>
        <v>3802.1166666666668</v>
      </c>
    </row>
    <row r="49" spans="1:13" x14ac:dyDescent="0.25">
      <c r="A49" s="186">
        <v>23500</v>
      </c>
      <c r="B49" s="33">
        <f t="shared" si="3"/>
        <v>1958.3333333333333</v>
      </c>
      <c r="C49" s="185">
        <f>'Child care subsidy'!S52*12</f>
        <v>0</v>
      </c>
      <c r="D49" s="185">
        <f>MAX('TANF-VIEW'!L56,'TANF-VIEW'!T56)*12</f>
        <v>0</v>
      </c>
      <c r="E49" s="193">
        <f>SNAP!V53*12</f>
        <v>2280</v>
      </c>
      <c r="F49" s="184">
        <f>WIC!F55*12</f>
        <v>0</v>
      </c>
      <c r="G49" s="185">
        <f>'Housing Voucher'!Q53*12</f>
        <v>4674.0000000000018</v>
      </c>
      <c r="H49" s="197">
        <f>EITC!E52</f>
        <v>5312.4</v>
      </c>
      <c r="I49" s="205">
        <f>Medicaid!N56*12</f>
        <v>10029</v>
      </c>
      <c r="K49" s="185">
        <f t="shared" si="1"/>
        <v>22295.4</v>
      </c>
      <c r="L49" s="185">
        <f t="shared" si="2"/>
        <v>45795.4</v>
      </c>
      <c r="M49" s="36">
        <f t="shared" si="0"/>
        <v>3816.2833333333333</v>
      </c>
    </row>
    <row r="50" spans="1:13" x14ac:dyDescent="0.25">
      <c r="A50" s="186">
        <v>24000</v>
      </c>
      <c r="B50" s="33">
        <f t="shared" si="3"/>
        <v>2000</v>
      </c>
      <c r="C50" s="185">
        <f>'Child care subsidy'!S53*12</f>
        <v>0</v>
      </c>
      <c r="D50" s="185">
        <f>MAX('TANF-VIEW'!L57,'TANF-VIEW'!T57)*12</f>
        <v>0</v>
      </c>
      <c r="E50" s="193">
        <f>SNAP!V54*12</f>
        <v>2100</v>
      </c>
      <c r="F50" s="184">
        <f>WIC!F56*12</f>
        <v>0</v>
      </c>
      <c r="G50" s="185">
        <f>'Housing Voucher'!Q54*12</f>
        <v>4524</v>
      </c>
      <c r="H50" s="197">
        <f>EITC!E53</f>
        <v>5291.4981600000001</v>
      </c>
      <c r="I50" s="205">
        <f>Medicaid!N57*12</f>
        <v>10029</v>
      </c>
      <c r="K50" s="185">
        <f t="shared" si="1"/>
        <v>21944.498159999999</v>
      </c>
      <c r="L50" s="185">
        <f t="shared" si="2"/>
        <v>45944.498160000003</v>
      </c>
      <c r="M50" s="36">
        <f t="shared" si="0"/>
        <v>3828.7081800000001</v>
      </c>
    </row>
    <row r="51" spans="1:13" x14ac:dyDescent="0.25">
      <c r="A51" s="186">
        <v>24500</v>
      </c>
      <c r="B51" s="33">
        <f t="shared" si="3"/>
        <v>2041.6666666666667</v>
      </c>
      <c r="C51" s="185">
        <f>'Child care subsidy'!S54*12</f>
        <v>0</v>
      </c>
      <c r="D51" s="185">
        <f>MAX('TANF-VIEW'!L58,'TANF-VIEW'!T58)*12</f>
        <v>0</v>
      </c>
      <c r="E51" s="193">
        <f>SNAP!V55*12</f>
        <v>1920</v>
      </c>
      <c r="F51" s="184">
        <f>WIC!F57*12</f>
        <v>0</v>
      </c>
      <c r="G51" s="185">
        <f>'Housing Voucher'!Q55*12</f>
        <v>4373.9999999999982</v>
      </c>
      <c r="H51" s="197">
        <f>EITC!E54</f>
        <v>5195.61816</v>
      </c>
      <c r="I51" s="205">
        <f>Medicaid!N58*12</f>
        <v>10029</v>
      </c>
      <c r="K51" s="185">
        <f t="shared" si="1"/>
        <v>21518.618159999998</v>
      </c>
      <c r="L51" s="185">
        <f t="shared" si="2"/>
        <v>46018.618159999998</v>
      </c>
      <c r="M51" s="36">
        <f t="shared" si="0"/>
        <v>3834.8848466666664</v>
      </c>
    </row>
    <row r="52" spans="1:13" x14ac:dyDescent="0.25">
      <c r="A52" s="186">
        <v>25000</v>
      </c>
      <c r="B52" s="33">
        <f t="shared" si="3"/>
        <v>2083.3333333333335</v>
      </c>
      <c r="C52" s="185">
        <f>'Child care subsidy'!S55*12</f>
        <v>0</v>
      </c>
      <c r="D52" s="185">
        <f>MAX('TANF-VIEW'!L59,'TANF-VIEW'!T59)*12</f>
        <v>0</v>
      </c>
      <c r="E52" s="193">
        <f>SNAP!V56*12</f>
        <v>1740</v>
      </c>
      <c r="F52" s="184">
        <f>WIC!F58*12</f>
        <v>0</v>
      </c>
      <c r="G52" s="185">
        <f>'Housing Voucher'!Q56*12</f>
        <v>4224</v>
      </c>
      <c r="H52" s="197">
        <f>EITC!E55</f>
        <v>5099.7381599999999</v>
      </c>
      <c r="I52" s="205">
        <f>Medicaid!N59*12</f>
        <v>10029</v>
      </c>
      <c r="K52" s="185">
        <f t="shared" si="1"/>
        <v>21092.738160000001</v>
      </c>
      <c r="L52" s="185">
        <f t="shared" si="2"/>
        <v>46092.738160000001</v>
      </c>
      <c r="M52" s="36">
        <f t="shared" si="0"/>
        <v>3841.0615133333336</v>
      </c>
    </row>
    <row r="53" spans="1:13" x14ac:dyDescent="0.25">
      <c r="A53" s="186">
        <v>25500</v>
      </c>
      <c r="B53" s="33">
        <f t="shared" si="3"/>
        <v>2125</v>
      </c>
      <c r="C53" s="185">
        <f>'Child care subsidy'!S56*12</f>
        <v>0</v>
      </c>
      <c r="D53" s="185">
        <f>MAX('TANF-VIEW'!L60,'TANF-VIEW'!T60)*12</f>
        <v>0</v>
      </c>
      <c r="E53" s="193">
        <f>SNAP!V57*12</f>
        <v>1560</v>
      </c>
      <c r="F53" s="184">
        <f>WIC!F59*12</f>
        <v>0</v>
      </c>
      <c r="G53" s="185">
        <f>'Housing Voucher'!Q57*12</f>
        <v>4074</v>
      </c>
      <c r="H53" s="197">
        <f>EITC!E56</f>
        <v>5003.8581599999998</v>
      </c>
      <c r="I53" s="205">
        <f>Medicaid!N60*12</f>
        <v>10029</v>
      </c>
      <c r="K53" s="185">
        <f t="shared" si="1"/>
        <v>20666.85816</v>
      </c>
      <c r="L53" s="185">
        <f t="shared" si="2"/>
        <v>46166.858160000003</v>
      </c>
      <c r="M53" s="36">
        <f t="shared" si="0"/>
        <v>3847.2381800000003</v>
      </c>
    </row>
    <row r="54" spans="1:13" x14ac:dyDescent="0.25">
      <c r="A54" s="186">
        <v>26000</v>
      </c>
      <c r="B54" s="33">
        <f t="shared" si="3"/>
        <v>2166.6666666666665</v>
      </c>
      <c r="C54" s="185">
        <f>'Child care subsidy'!S57*12</f>
        <v>0</v>
      </c>
      <c r="D54" s="185">
        <f>MAX('TANF-VIEW'!L61,'TANF-VIEW'!T61)*12</f>
        <v>0</v>
      </c>
      <c r="E54" s="193">
        <f>SNAP!V58*12</f>
        <v>1380</v>
      </c>
      <c r="F54" s="184">
        <f>WIC!F60*12</f>
        <v>0</v>
      </c>
      <c r="G54" s="185">
        <f>'Housing Voucher'!Q58*12</f>
        <v>3924.0000000000014</v>
      </c>
      <c r="H54" s="197">
        <f>EITC!E57</f>
        <v>4907.9781600000006</v>
      </c>
      <c r="I54" s="205">
        <f>Medicaid!N61*12</f>
        <v>10029</v>
      </c>
      <c r="K54" s="185">
        <f t="shared" si="1"/>
        <v>20240.978160000002</v>
      </c>
      <c r="L54" s="185">
        <f t="shared" si="2"/>
        <v>46240.978159999999</v>
      </c>
      <c r="M54" s="36">
        <f t="shared" si="0"/>
        <v>3853.4148466666666</v>
      </c>
    </row>
    <row r="55" spans="1:13" x14ac:dyDescent="0.25">
      <c r="A55" s="206">
        <v>26500</v>
      </c>
      <c r="B55" s="207">
        <f t="shared" si="3"/>
        <v>2208.3333333333335</v>
      </c>
      <c r="C55" s="208">
        <f>'Child care subsidy'!S58*12</f>
        <v>0</v>
      </c>
      <c r="D55" s="208">
        <f>MAX('TANF-VIEW'!L62,'TANF-VIEW'!T62)*12</f>
        <v>0</v>
      </c>
      <c r="E55" s="209">
        <f>SNAP!V59*12</f>
        <v>1200</v>
      </c>
      <c r="F55" s="210">
        <f>WIC!F61*12</f>
        <v>0</v>
      </c>
      <c r="G55" s="208">
        <f>'Housing Voucher'!Q59*12</f>
        <v>3774</v>
      </c>
      <c r="H55" s="211">
        <f>EITC!E58</f>
        <v>4812.0981599999996</v>
      </c>
      <c r="I55" s="212">
        <f>Medicaid!N62*12</f>
        <v>10029</v>
      </c>
      <c r="J55" s="213"/>
      <c r="K55" s="208">
        <f t="shared" si="1"/>
        <v>19815.098160000001</v>
      </c>
      <c r="L55" s="208">
        <f t="shared" si="2"/>
        <v>46315.098160000001</v>
      </c>
      <c r="M55" s="36">
        <f t="shared" si="0"/>
        <v>3859.5915133333333</v>
      </c>
    </row>
    <row r="56" spans="1:13" x14ac:dyDescent="0.25">
      <c r="A56" s="206">
        <v>27000</v>
      </c>
      <c r="B56" s="207">
        <f t="shared" si="3"/>
        <v>2250</v>
      </c>
      <c r="C56" s="208">
        <f>'Child care subsidy'!S59*12</f>
        <v>0</v>
      </c>
      <c r="D56" s="208">
        <f>MAX('TANF-VIEW'!L63,'TANF-VIEW'!T63)*12</f>
        <v>0</v>
      </c>
      <c r="E56" s="209">
        <f>SNAP!V60*12</f>
        <v>1020</v>
      </c>
      <c r="F56" s="210">
        <f>WIC!F62*12</f>
        <v>0</v>
      </c>
      <c r="G56" s="208">
        <f>'Housing Voucher'!Q60*12</f>
        <v>3624</v>
      </c>
      <c r="H56" s="211">
        <f>EITC!E59</f>
        <v>4716.2181600000004</v>
      </c>
      <c r="I56" s="212">
        <f>Medicaid!N63*12</f>
        <v>10029</v>
      </c>
      <c r="J56" s="213"/>
      <c r="K56" s="208">
        <f t="shared" si="1"/>
        <v>19389.21816</v>
      </c>
      <c r="L56" s="208">
        <f t="shared" si="2"/>
        <v>46389.218160000004</v>
      </c>
      <c r="M56" s="36">
        <f t="shared" si="0"/>
        <v>3865.7681800000005</v>
      </c>
    </row>
    <row r="57" spans="1:13" x14ac:dyDescent="0.25">
      <c r="A57" s="186">
        <v>27500</v>
      </c>
      <c r="B57" s="33">
        <f t="shared" si="3"/>
        <v>2291.6666666666665</v>
      </c>
      <c r="C57" s="185">
        <f>'Child care subsidy'!S60*12</f>
        <v>0</v>
      </c>
      <c r="D57" s="185">
        <f>MAX('TANF-VIEW'!L64,'TANF-VIEW'!T64)*12</f>
        <v>0</v>
      </c>
      <c r="E57" s="193">
        <f>SNAP!V61*12</f>
        <v>840</v>
      </c>
      <c r="F57" s="184">
        <f>WIC!F63*12</f>
        <v>0</v>
      </c>
      <c r="G57" s="185">
        <f>'Housing Voucher'!Q61*12</f>
        <v>3474.0000000000014</v>
      </c>
      <c r="H57" s="197">
        <f>EITC!E60</f>
        <v>4620.3381599999993</v>
      </c>
      <c r="I57" s="205">
        <f>Medicaid!N64*12</f>
        <v>10029</v>
      </c>
      <c r="K57" s="185">
        <f t="shared" si="1"/>
        <v>18963.338159999999</v>
      </c>
      <c r="L57" s="185">
        <f t="shared" si="2"/>
        <v>46463.338159999999</v>
      </c>
      <c r="M57" s="36">
        <f t="shared" si="0"/>
        <v>3871.9448466666668</v>
      </c>
    </row>
    <row r="58" spans="1:13" x14ac:dyDescent="0.25">
      <c r="A58" s="186">
        <v>28000</v>
      </c>
      <c r="B58" s="33">
        <f t="shared" si="3"/>
        <v>2333.3333333333335</v>
      </c>
      <c r="C58" s="185">
        <f>'Child care subsidy'!S61*12</f>
        <v>0</v>
      </c>
      <c r="D58" s="185">
        <f>MAX('TANF-VIEW'!L65,'TANF-VIEW'!T65)*12</f>
        <v>0</v>
      </c>
      <c r="E58" s="193">
        <f>SNAP!V62*12</f>
        <v>660</v>
      </c>
      <c r="F58" s="184">
        <f>WIC!F64*12</f>
        <v>0</v>
      </c>
      <c r="G58" s="185">
        <f>'Housing Voucher'!Q62*12</f>
        <v>3324</v>
      </c>
      <c r="H58" s="197">
        <f>EITC!E61</f>
        <v>4524.4581600000001</v>
      </c>
      <c r="I58" s="205">
        <f>Medicaid!N65*12</f>
        <v>10029</v>
      </c>
      <c r="K58" s="185">
        <f t="shared" si="1"/>
        <v>18537.458160000002</v>
      </c>
      <c r="L58" s="185">
        <f t="shared" si="2"/>
        <v>46537.458160000002</v>
      </c>
      <c r="M58" s="36">
        <f t="shared" si="0"/>
        <v>3878.1215133333335</v>
      </c>
    </row>
    <row r="59" spans="1:13" x14ac:dyDescent="0.25">
      <c r="A59" s="186">
        <v>28500</v>
      </c>
      <c r="B59" s="33">
        <f t="shared" si="3"/>
        <v>2375</v>
      </c>
      <c r="C59" s="185">
        <f>'Child care subsidy'!S62*12</f>
        <v>0</v>
      </c>
      <c r="D59" s="185">
        <f>MAX('TANF-VIEW'!L66,'TANF-VIEW'!T66)*12</f>
        <v>0</v>
      </c>
      <c r="E59" s="193">
        <f>SNAP!V63*12</f>
        <v>480</v>
      </c>
      <c r="F59" s="184">
        <f>WIC!F65*12</f>
        <v>0</v>
      </c>
      <c r="G59" s="185">
        <f>'Housing Voucher'!Q63*12</f>
        <v>3174</v>
      </c>
      <c r="H59" s="197">
        <f>EITC!E62</f>
        <v>4428.57816</v>
      </c>
      <c r="I59" s="205">
        <f>Medicaid!N66*12</f>
        <v>10029</v>
      </c>
      <c r="K59" s="185">
        <f t="shared" si="1"/>
        <v>18111.578160000001</v>
      </c>
      <c r="L59" s="185">
        <f t="shared" si="2"/>
        <v>46611.578160000005</v>
      </c>
      <c r="M59" s="36">
        <f t="shared" si="0"/>
        <v>3884.2981800000002</v>
      </c>
    </row>
    <row r="60" spans="1:13" x14ac:dyDescent="0.25">
      <c r="A60" s="186">
        <v>29000</v>
      </c>
      <c r="B60" s="33">
        <f t="shared" si="3"/>
        <v>2416.6666666666665</v>
      </c>
      <c r="C60" s="185">
        <f>'Child care subsidy'!S63*12</f>
        <v>0</v>
      </c>
      <c r="D60" s="185">
        <f>MAX('TANF-VIEW'!L67,'TANF-VIEW'!T67)*12</f>
        <v>0</v>
      </c>
      <c r="E60" s="193">
        <f>SNAP!V64*12</f>
        <v>300</v>
      </c>
      <c r="F60" s="184">
        <f>WIC!F66*12</f>
        <v>0</v>
      </c>
      <c r="G60" s="185">
        <f>'Housing Voucher'!Q64*12</f>
        <v>3024.0000000000014</v>
      </c>
      <c r="H60" s="197">
        <f>EITC!E63</f>
        <v>4332.6981599999999</v>
      </c>
      <c r="I60" s="205">
        <f>Medicaid!N67*12</f>
        <v>10029</v>
      </c>
      <c r="K60" s="185">
        <f t="shared" si="1"/>
        <v>17685.69816</v>
      </c>
      <c r="L60" s="185">
        <f t="shared" si="2"/>
        <v>46685.69816</v>
      </c>
      <c r="M60" s="36">
        <f t="shared" si="0"/>
        <v>3890.4748466666665</v>
      </c>
    </row>
    <row r="61" spans="1:13" x14ac:dyDescent="0.25">
      <c r="A61" s="186">
        <v>29500</v>
      </c>
      <c r="B61" s="33">
        <f t="shared" si="3"/>
        <v>2458.3333333333335</v>
      </c>
      <c r="C61" s="185">
        <f>'Child care subsidy'!S64*12</f>
        <v>0</v>
      </c>
      <c r="D61" s="185">
        <f>MAX('TANF-VIEW'!L68,'TANF-VIEW'!T68)*12</f>
        <v>0</v>
      </c>
      <c r="E61" s="193">
        <f>SNAP!V65*12</f>
        <v>120</v>
      </c>
      <c r="F61" s="184">
        <f>WIC!F67*12</f>
        <v>0</v>
      </c>
      <c r="G61" s="185">
        <f>'Housing Voucher'!Q65*12</f>
        <v>2874</v>
      </c>
      <c r="H61" s="197">
        <f>EITC!E64</f>
        <v>4236.8181600000007</v>
      </c>
      <c r="I61" s="205">
        <f>Medicaid!N68*12</f>
        <v>10029</v>
      </c>
      <c r="K61" s="185">
        <f t="shared" si="1"/>
        <v>17259.818160000003</v>
      </c>
      <c r="L61" s="185">
        <f t="shared" si="2"/>
        <v>46759.818160000003</v>
      </c>
      <c r="M61" s="36">
        <f t="shared" si="0"/>
        <v>3896.6515133333337</v>
      </c>
    </row>
    <row r="62" spans="1:13" x14ac:dyDescent="0.25">
      <c r="A62" s="186">
        <v>30000</v>
      </c>
      <c r="B62" s="33">
        <f t="shared" si="3"/>
        <v>2500</v>
      </c>
      <c r="C62" s="185">
        <f>'Child care subsidy'!S65*12</f>
        <v>0</v>
      </c>
      <c r="D62" s="185">
        <f>MAX('TANF-VIEW'!L69,'TANF-VIEW'!T69)*12</f>
        <v>0</v>
      </c>
      <c r="E62" s="193">
        <f>SNAP!V66*12</f>
        <v>0</v>
      </c>
      <c r="F62" s="184">
        <f>WIC!F68*12</f>
        <v>0</v>
      </c>
      <c r="G62" s="185">
        <f>'Housing Voucher'!Q66*12</f>
        <v>2724</v>
      </c>
      <c r="H62" s="197">
        <f>EITC!E65</f>
        <v>4140.9381599999997</v>
      </c>
      <c r="I62" s="205">
        <f>Medicaid!N69*12</f>
        <v>3822</v>
      </c>
      <c r="K62" s="185">
        <f t="shared" si="1"/>
        <v>10686.93816</v>
      </c>
      <c r="L62" s="185">
        <f t="shared" si="2"/>
        <v>40686.938159999998</v>
      </c>
      <c r="M62" s="36">
        <f t="shared" si="0"/>
        <v>3390.57818</v>
      </c>
    </row>
    <row r="63" spans="1:13" x14ac:dyDescent="0.25">
      <c r="A63" s="186">
        <v>30500</v>
      </c>
      <c r="B63" s="33">
        <f t="shared" si="3"/>
        <v>2541.6666666666665</v>
      </c>
      <c r="C63" s="185">
        <f>'Child care subsidy'!S66*12</f>
        <v>0</v>
      </c>
      <c r="D63" s="185">
        <f>MAX('TANF-VIEW'!L70,'TANF-VIEW'!T70)*12</f>
        <v>0</v>
      </c>
      <c r="E63" s="193">
        <f>SNAP!V67*12</f>
        <v>0</v>
      </c>
      <c r="F63" s="184">
        <f>WIC!F69*12</f>
        <v>0</v>
      </c>
      <c r="G63" s="185">
        <f>'Housing Voucher'!Q67*12</f>
        <v>2574.0000000000014</v>
      </c>
      <c r="H63" s="197">
        <f>EITC!E66</f>
        <v>4045.05816</v>
      </c>
      <c r="I63" s="205">
        <f>Medicaid!N70*12</f>
        <v>3822</v>
      </c>
      <c r="K63" s="185">
        <f t="shared" si="1"/>
        <v>10441.05816</v>
      </c>
      <c r="L63" s="185">
        <f t="shared" si="2"/>
        <v>40941.05816</v>
      </c>
      <c r="M63" s="36">
        <f t="shared" si="0"/>
        <v>3411.7548466666667</v>
      </c>
    </row>
    <row r="64" spans="1:13" x14ac:dyDescent="0.25">
      <c r="A64" s="186">
        <v>31000</v>
      </c>
      <c r="B64" s="33">
        <f t="shared" si="3"/>
        <v>2583.3333333333335</v>
      </c>
      <c r="C64" s="185">
        <f>'Child care subsidy'!S67*12</f>
        <v>0</v>
      </c>
      <c r="D64" s="185">
        <f>MAX('TANF-VIEW'!L71,'TANF-VIEW'!T71)*12</f>
        <v>0</v>
      </c>
      <c r="E64" s="193">
        <f>SNAP!V68*12</f>
        <v>0</v>
      </c>
      <c r="F64" s="184">
        <f>WIC!F70*12</f>
        <v>0</v>
      </c>
      <c r="G64" s="185">
        <f>'Housing Voucher'!Q68*12</f>
        <v>2424</v>
      </c>
      <c r="H64" s="197">
        <f>EITC!E67</f>
        <v>3949.1781599999999</v>
      </c>
      <c r="I64" s="205">
        <f>Medicaid!N71*12</f>
        <v>3822</v>
      </c>
      <c r="K64" s="185">
        <f t="shared" si="1"/>
        <v>10195.178159999999</v>
      </c>
      <c r="L64" s="185">
        <f t="shared" si="2"/>
        <v>41195.178159999996</v>
      </c>
      <c r="M64" s="36">
        <f t="shared" si="0"/>
        <v>3432.931513333333</v>
      </c>
    </row>
    <row r="65" spans="1:13" x14ac:dyDescent="0.25">
      <c r="A65" s="186">
        <v>31500</v>
      </c>
      <c r="B65" s="33">
        <f t="shared" si="3"/>
        <v>2625</v>
      </c>
      <c r="C65" s="185">
        <f>'Child care subsidy'!S68*12</f>
        <v>0</v>
      </c>
      <c r="D65" s="185">
        <f>MAX('TANF-VIEW'!L72,'TANF-VIEW'!T72)*12</f>
        <v>0</v>
      </c>
      <c r="E65" s="193">
        <f>SNAP!V69*12</f>
        <v>0</v>
      </c>
      <c r="F65" s="184">
        <f>WIC!F71*12</f>
        <v>0</v>
      </c>
      <c r="G65" s="185">
        <f>'Housing Voucher'!Q69*12</f>
        <v>2274</v>
      </c>
      <c r="H65" s="197">
        <f>EITC!E68</f>
        <v>3853.2981599999998</v>
      </c>
      <c r="I65" s="205">
        <f>Medicaid!N72*12</f>
        <v>3822</v>
      </c>
      <c r="K65" s="185">
        <f t="shared" si="1"/>
        <v>9949.2981600000003</v>
      </c>
      <c r="L65" s="185">
        <f t="shared" si="2"/>
        <v>41449.298159999998</v>
      </c>
      <c r="M65" s="36">
        <f t="shared" si="0"/>
        <v>3454.1081799999997</v>
      </c>
    </row>
    <row r="66" spans="1:13" x14ac:dyDescent="0.25">
      <c r="A66" s="186">
        <v>32000</v>
      </c>
      <c r="B66" s="33">
        <f t="shared" si="3"/>
        <v>2666.6666666666665</v>
      </c>
      <c r="C66" s="185">
        <f>'Child care subsidy'!S69*12</f>
        <v>0</v>
      </c>
      <c r="D66" s="185">
        <f>MAX('TANF-VIEW'!L73,'TANF-VIEW'!T73)*12</f>
        <v>0</v>
      </c>
      <c r="E66" s="193">
        <f>SNAP!V70*12</f>
        <v>0</v>
      </c>
      <c r="F66" s="184">
        <f>WIC!F72*12</f>
        <v>0</v>
      </c>
      <c r="G66" s="185">
        <f>'Housing Voucher'!Q70*12</f>
        <v>2124.0000000000014</v>
      </c>
      <c r="H66" s="197">
        <f>EITC!E69</f>
        <v>3757.4181600000002</v>
      </c>
      <c r="I66" s="205">
        <f>Medicaid!N73*12</f>
        <v>3822</v>
      </c>
      <c r="K66" s="185">
        <f t="shared" si="1"/>
        <v>9703.4181600000011</v>
      </c>
      <c r="L66" s="185">
        <f t="shared" si="2"/>
        <v>41703.418160000001</v>
      </c>
      <c r="M66" s="36">
        <f t="shared" si="0"/>
        <v>3475.2848466666669</v>
      </c>
    </row>
    <row r="67" spans="1:13" x14ac:dyDescent="0.25">
      <c r="A67" s="186">
        <v>32500</v>
      </c>
      <c r="B67" s="33">
        <f t="shared" si="3"/>
        <v>2708.3333333333335</v>
      </c>
      <c r="C67" s="185">
        <f>'Child care subsidy'!S70*12</f>
        <v>0</v>
      </c>
      <c r="D67" s="185">
        <f>MAX('TANF-VIEW'!L74,'TANF-VIEW'!T74)*12</f>
        <v>0</v>
      </c>
      <c r="E67" s="193">
        <f>SNAP!V71*12</f>
        <v>0</v>
      </c>
      <c r="F67" s="184">
        <f>WIC!F73*12</f>
        <v>0</v>
      </c>
      <c r="G67" s="185">
        <f>'Housing Voucher'!Q71*12</f>
        <v>1974</v>
      </c>
      <c r="H67" s="197">
        <f>EITC!E70</f>
        <v>3661.5381599999996</v>
      </c>
      <c r="I67" s="205">
        <f>Medicaid!N74*12</f>
        <v>3822</v>
      </c>
      <c r="K67" s="185">
        <f t="shared" si="1"/>
        <v>9457.5381600000001</v>
      </c>
      <c r="L67" s="185">
        <f t="shared" si="2"/>
        <v>41957.538159999996</v>
      </c>
      <c r="M67" s="36">
        <f t="shared" ref="M67:M130" si="4">L67/12</f>
        <v>3496.4615133333332</v>
      </c>
    </row>
    <row r="68" spans="1:13" x14ac:dyDescent="0.25">
      <c r="A68" s="206">
        <v>33000</v>
      </c>
      <c r="B68" s="207">
        <f t="shared" si="3"/>
        <v>2750</v>
      </c>
      <c r="C68" s="208">
        <f>'Child care subsidy'!S71*12</f>
        <v>0</v>
      </c>
      <c r="D68" s="208">
        <f>MAX('TANF-VIEW'!L75,'TANF-VIEW'!T75)*12</f>
        <v>0</v>
      </c>
      <c r="E68" s="209">
        <f>SNAP!V72*12</f>
        <v>0</v>
      </c>
      <c r="F68" s="210">
        <f>WIC!F74*12</f>
        <v>0</v>
      </c>
      <c r="G68" s="208">
        <f>'Housing Voucher'!Q72*12</f>
        <v>1824</v>
      </c>
      <c r="H68" s="211">
        <f>EITC!E71</f>
        <v>3565.65816</v>
      </c>
      <c r="I68" s="212">
        <f>Medicaid!N75*12</f>
        <v>3822</v>
      </c>
      <c r="J68" s="213"/>
      <c r="K68" s="208">
        <f t="shared" ref="K68:K131" si="5">SUM(C68:I68)</f>
        <v>9211.658159999999</v>
      </c>
      <c r="L68" s="208">
        <f t="shared" ref="L68:L131" si="6">A68+K68</f>
        <v>42211.658159999999</v>
      </c>
      <c r="M68" s="36">
        <f t="shared" si="4"/>
        <v>3517.6381799999999</v>
      </c>
    </row>
    <row r="69" spans="1:13" x14ac:dyDescent="0.25">
      <c r="A69" s="206">
        <v>33500</v>
      </c>
      <c r="B69" s="207">
        <f t="shared" ref="B69:B102" si="7">A69/12</f>
        <v>2791.6666666666665</v>
      </c>
      <c r="C69" s="208">
        <f>'Child care subsidy'!S72*12</f>
        <v>0</v>
      </c>
      <c r="D69" s="208">
        <f>MAX('TANF-VIEW'!L76,'TANF-VIEW'!T76)*12</f>
        <v>0</v>
      </c>
      <c r="E69" s="209">
        <f>SNAP!V73*12</f>
        <v>0</v>
      </c>
      <c r="F69" s="210">
        <f>WIC!F75*12</f>
        <v>0</v>
      </c>
      <c r="G69" s="208">
        <f>'Housing Voucher'!Q73*12</f>
        <v>1674.0000000000014</v>
      </c>
      <c r="H69" s="211">
        <f>EITC!E72</f>
        <v>3469.7781599999998</v>
      </c>
      <c r="I69" s="212">
        <f>Medicaid!N76*12</f>
        <v>3822</v>
      </c>
      <c r="J69" s="213"/>
      <c r="K69" s="208">
        <f t="shared" si="5"/>
        <v>8965.7781600000017</v>
      </c>
      <c r="L69" s="208">
        <f t="shared" si="6"/>
        <v>42465.778160000002</v>
      </c>
      <c r="M69" s="36">
        <f t="shared" si="4"/>
        <v>3538.8148466666667</v>
      </c>
    </row>
    <row r="70" spans="1:13" x14ac:dyDescent="0.25">
      <c r="A70" s="186">
        <v>34000</v>
      </c>
      <c r="B70" s="33">
        <f t="shared" si="7"/>
        <v>2833.3333333333335</v>
      </c>
      <c r="C70" s="185">
        <f>'Child care subsidy'!S73*12</f>
        <v>0</v>
      </c>
      <c r="D70" s="185">
        <f>MAX('TANF-VIEW'!L77,'TANF-VIEW'!T77)*12</f>
        <v>0</v>
      </c>
      <c r="E70" s="193">
        <f>SNAP!V74*12</f>
        <v>0</v>
      </c>
      <c r="F70" s="184">
        <f>WIC!F76*12</f>
        <v>0</v>
      </c>
      <c r="G70" s="185">
        <f>'Housing Voucher'!Q74*12</f>
        <v>1524</v>
      </c>
      <c r="H70" s="197">
        <f>EITC!E73</f>
        <v>3373.8981599999997</v>
      </c>
      <c r="I70" s="205">
        <f>Medicaid!N77*12</f>
        <v>3822</v>
      </c>
      <c r="K70" s="185">
        <f t="shared" si="5"/>
        <v>8719.8981600000006</v>
      </c>
      <c r="L70" s="185">
        <f t="shared" si="6"/>
        <v>42719.898159999997</v>
      </c>
      <c r="M70" s="36">
        <f t="shared" si="4"/>
        <v>3559.9915133333329</v>
      </c>
    </row>
    <row r="71" spans="1:13" x14ac:dyDescent="0.25">
      <c r="A71" s="186">
        <v>34500</v>
      </c>
      <c r="B71" s="33">
        <f t="shared" si="7"/>
        <v>2875</v>
      </c>
      <c r="C71" s="185">
        <f>'Child care subsidy'!S74*12</f>
        <v>0</v>
      </c>
      <c r="D71" s="185">
        <f>MAX('TANF-VIEW'!L78,'TANF-VIEW'!T78)*12</f>
        <v>0</v>
      </c>
      <c r="E71" s="193">
        <f>SNAP!V75*12</f>
        <v>0</v>
      </c>
      <c r="F71" s="184">
        <f>WIC!F77*12</f>
        <v>0</v>
      </c>
      <c r="G71" s="185">
        <f>'Housing Voucher'!Q75*12</f>
        <v>1374</v>
      </c>
      <c r="H71" s="197">
        <f>EITC!E74</f>
        <v>3278.0181600000005</v>
      </c>
      <c r="I71" s="205">
        <f>Medicaid!N78*12</f>
        <v>3822</v>
      </c>
      <c r="K71" s="185">
        <f t="shared" si="5"/>
        <v>8474.0181599999996</v>
      </c>
      <c r="L71" s="185">
        <f t="shared" si="6"/>
        <v>42974.01816</v>
      </c>
      <c r="M71" s="36">
        <f t="shared" si="4"/>
        <v>3581.1681800000001</v>
      </c>
    </row>
    <row r="72" spans="1:13" x14ac:dyDescent="0.25">
      <c r="A72" s="186">
        <v>35000</v>
      </c>
      <c r="B72" s="33">
        <f t="shared" si="7"/>
        <v>2916.6666666666665</v>
      </c>
      <c r="C72" s="185">
        <f>'Child care subsidy'!S75*12</f>
        <v>0</v>
      </c>
      <c r="D72" s="185">
        <f>MAX('TANF-VIEW'!L79,'TANF-VIEW'!T79)*12</f>
        <v>0</v>
      </c>
      <c r="E72" s="193">
        <f>SNAP!V76*12</f>
        <v>0</v>
      </c>
      <c r="F72" s="184">
        <f>WIC!F78*12</f>
        <v>0</v>
      </c>
      <c r="G72" s="185">
        <f>'Housing Voucher'!Q76*12</f>
        <v>1224.0000000000014</v>
      </c>
      <c r="H72" s="197">
        <f>EITC!E75</f>
        <v>3182.1381599999995</v>
      </c>
      <c r="I72" s="205">
        <f>Medicaid!N79*12</f>
        <v>3822</v>
      </c>
      <c r="K72" s="185">
        <f t="shared" si="5"/>
        <v>8228.1381600000004</v>
      </c>
      <c r="L72" s="185">
        <f t="shared" si="6"/>
        <v>43228.138160000002</v>
      </c>
      <c r="M72" s="36">
        <f t="shared" si="4"/>
        <v>3602.3448466666669</v>
      </c>
    </row>
    <row r="73" spans="1:13" x14ac:dyDescent="0.25">
      <c r="A73" s="186">
        <v>35500</v>
      </c>
      <c r="B73" s="33">
        <f t="shared" si="7"/>
        <v>2958.3333333333335</v>
      </c>
      <c r="C73" s="185">
        <f>'Child care subsidy'!S76*12</f>
        <v>0</v>
      </c>
      <c r="D73" s="185">
        <f>MAX('TANF-VIEW'!L80,'TANF-VIEW'!T80)*12</f>
        <v>0</v>
      </c>
      <c r="E73" s="193">
        <f>SNAP!V77*12</f>
        <v>0</v>
      </c>
      <c r="F73" s="184">
        <f>WIC!F79*12</f>
        <v>0</v>
      </c>
      <c r="G73" s="185">
        <f>'Housing Voucher'!Q77*12</f>
        <v>1074</v>
      </c>
      <c r="H73" s="197">
        <f>EITC!E76</f>
        <v>3086.2581600000003</v>
      </c>
      <c r="I73" s="205">
        <f>Medicaid!N80*12</f>
        <v>3822</v>
      </c>
      <c r="K73" s="185">
        <f t="shared" si="5"/>
        <v>7982.2581600000003</v>
      </c>
      <c r="L73" s="185">
        <f t="shared" si="6"/>
        <v>43482.258159999998</v>
      </c>
      <c r="M73" s="36">
        <f t="shared" si="4"/>
        <v>3623.5215133333331</v>
      </c>
    </row>
    <row r="74" spans="1:13" x14ac:dyDescent="0.25">
      <c r="A74" s="186">
        <v>36000</v>
      </c>
      <c r="B74" s="33">
        <f t="shared" si="7"/>
        <v>3000</v>
      </c>
      <c r="C74" s="185">
        <f>'Child care subsidy'!S77*12</f>
        <v>0</v>
      </c>
      <c r="D74" s="185">
        <f>MAX('TANF-VIEW'!L81,'TANF-VIEW'!T81)*12</f>
        <v>0</v>
      </c>
      <c r="E74" s="193">
        <f>SNAP!V78*12</f>
        <v>0</v>
      </c>
      <c r="F74" s="184">
        <f>WIC!F80*12</f>
        <v>0</v>
      </c>
      <c r="G74" s="185">
        <f>'Housing Voucher'!Q78*12</f>
        <v>924</v>
      </c>
      <c r="H74" s="197">
        <f>EITC!E77</f>
        <v>2990.3781600000002</v>
      </c>
      <c r="I74" s="205">
        <f>Medicaid!N81*12</f>
        <v>3822</v>
      </c>
      <c r="K74" s="185">
        <f t="shared" si="5"/>
        <v>7736.3781600000002</v>
      </c>
      <c r="L74" s="185">
        <f t="shared" si="6"/>
        <v>43736.37816</v>
      </c>
      <c r="M74" s="36">
        <f t="shared" si="4"/>
        <v>3644.6981799999999</v>
      </c>
    </row>
    <row r="75" spans="1:13" x14ac:dyDescent="0.25">
      <c r="A75" s="206">
        <v>36500</v>
      </c>
      <c r="B75" s="207">
        <f t="shared" si="7"/>
        <v>3041.6666666666665</v>
      </c>
      <c r="C75" s="208">
        <f>'Child care subsidy'!S78*12</f>
        <v>0</v>
      </c>
      <c r="D75" s="208">
        <f>MAX('TANF-VIEW'!L82,'TANF-VIEW'!T82)*12</f>
        <v>0</v>
      </c>
      <c r="E75" s="209">
        <f>SNAP!V79*12</f>
        <v>0</v>
      </c>
      <c r="F75" s="210">
        <f>WIC!F81*12</f>
        <v>0</v>
      </c>
      <c r="G75" s="208">
        <f>'Housing Voucher'!Q79*12</f>
        <v>774.00000000000136</v>
      </c>
      <c r="H75" s="211">
        <f>EITC!E78</f>
        <v>2894.4981600000001</v>
      </c>
      <c r="I75" s="212">
        <f>Medicaid!N82*12</f>
        <v>3822</v>
      </c>
      <c r="J75" s="213"/>
      <c r="K75" s="208">
        <f t="shared" si="5"/>
        <v>7490.498160000001</v>
      </c>
      <c r="L75" s="208">
        <f t="shared" si="6"/>
        <v>43990.498160000003</v>
      </c>
      <c r="M75" s="36">
        <f t="shared" si="4"/>
        <v>3665.8748466666671</v>
      </c>
    </row>
    <row r="76" spans="1:13" x14ac:dyDescent="0.25">
      <c r="A76" s="206">
        <v>37000</v>
      </c>
      <c r="B76" s="207">
        <f t="shared" si="7"/>
        <v>3083.3333333333335</v>
      </c>
      <c r="C76" s="208">
        <f>'Child care subsidy'!S79*12</f>
        <v>0</v>
      </c>
      <c r="D76" s="208">
        <f>MAX('TANF-VIEW'!L83,'TANF-VIEW'!T83)*12</f>
        <v>0</v>
      </c>
      <c r="E76" s="209">
        <f>SNAP!V80*12</f>
        <v>0</v>
      </c>
      <c r="F76" s="210">
        <f>WIC!F82*12</f>
        <v>0</v>
      </c>
      <c r="G76" s="208">
        <f>'Housing Voucher'!Q80*12</f>
        <v>624</v>
      </c>
      <c r="H76" s="211">
        <f>EITC!E79</f>
        <v>2798.61816</v>
      </c>
      <c r="I76" s="212">
        <f>Medicaid!N83*12</f>
        <v>3822</v>
      </c>
      <c r="J76" s="213"/>
      <c r="K76" s="208">
        <f t="shared" si="5"/>
        <v>7244.61816</v>
      </c>
      <c r="L76" s="208">
        <f t="shared" si="6"/>
        <v>44244.618159999998</v>
      </c>
      <c r="M76" s="36">
        <f t="shared" si="4"/>
        <v>3687.0515133333333</v>
      </c>
    </row>
    <row r="77" spans="1:13" x14ac:dyDescent="0.25">
      <c r="A77" s="186">
        <v>37500</v>
      </c>
      <c r="B77" s="33">
        <f t="shared" si="7"/>
        <v>3125</v>
      </c>
      <c r="C77" s="185">
        <f>'Child care subsidy'!S80*12</f>
        <v>0</v>
      </c>
      <c r="D77" s="185">
        <f>MAX('TANF-VIEW'!L84,'TANF-VIEW'!T84)*12</f>
        <v>0</v>
      </c>
      <c r="E77" s="193">
        <f>SNAP!V81*12</f>
        <v>0</v>
      </c>
      <c r="F77" s="184">
        <f>WIC!F83*12</f>
        <v>0</v>
      </c>
      <c r="G77" s="185">
        <f>'Housing Voucher'!Q81*12</f>
        <v>474</v>
      </c>
      <c r="H77" s="197">
        <f>EITC!E80</f>
        <v>2702.7381600000003</v>
      </c>
      <c r="I77" s="205">
        <f>Medicaid!N84*12</f>
        <v>3822</v>
      </c>
      <c r="K77" s="185">
        <f t="shared" si="5"/>
        <v>6998.7381600000008</v>
      </c>
      <c r="L77" s="185">
        <f t="shared" si="6"/>
        <v>44498.738160000001</v>
      </c>
      <c r="M77" s="36">
        <f t="shared" si="4"/>
        <v>3708.2281800000001</v>
      </c>
    </row>
    <row r="78" spans="1:13" x14ac:dyDescent="0.25">
      <c r="A78" s="186">
        <v>38000</v>
      </c>
      <c r="B78" s="33">
        <f t="shared" si="7"/>
        <v>3166.6666666666665</v>
      </c>
      <c r="C78" s="185">
        <f>'Child care subsidy'!S81*12</f>
        <v>0</v>
      </c>
      <c r="D78" s="185">
        <f>MAX('TANF-VIEW'!L85,'TANF-VIEW'!T85)*12</f>
        <v>0</v>
      </c>
      <c r="E78" s="193">
        <f>SNAP!V82*12</f>
        <v>0</v>
      </c>
      <c r="F78" s="184">
        <f>WIC!F84*12</f>
        <v>0</v>
      </c>
      <c r="G78" s="185">
        <f>'Housing Voucher'!Q82*12</f>
        <v>324.00000000000136</v>
      </c>
      <c r="H78" s="197">
        <f>EITC!E81</f>
        <v>2606.8581600000002</v>
      </c>
      <c r="I78" s="205">
        <f>Medicaid!N85*12</f>
        <v>3822</v>
      </c>
      <c r="K78" s="185">
        <f t="shared" si="5"/>
        <v>6752.8581600000016</v>
      </c>
      <c r="L78" s="185">
        <f t="shared" si="6"/>
        <v>44752.858160000003</v>
      </c>
      <c r="M78" s="36">
        <f t="shared" si="4"/>
        <v>3729.4048466666668</v>
      </c>
    </row>
    <row r="79" spans="1:13" x14ac:dyDescent="0.25">
      <c r="A79" s="186">
        <v>38500</v>
      </c>
      <c r="B79" s="33">
        <f t="shared" si="7"/>
        <v>3208.3333333333335</v>
      </c>
      <c r="C79" s="185">
        <f>'Child care subsidy'!S82*12</f>
        <v>0</v>
      </c>
      <c r="D79" s="185">
        <f>MAX('TANF-VIEW'!L86,'TANF-VIEW'!T86)*12</f>
        <v>0</v>
      </c>
      <c r="E79" s="193">
        <f>SNAP!V83*12</f>
        <v>0</v>
      </c>
      <c r="F79" s="184">
        <f>WIC!F85*12</f>
        <v>0</v>
      </c>
      <c r="G79" s="185">
        <f>'Housing Voucher'!Q83*12</f>
        <v>174</v>
      </c>
      <c r="H79" s="197">
        <f>EITC!E82</f>
        <v>2510.9781600000001</v>
      </c>
      <c r="I79" s="205">
        <f>Medicaid!N86*12</f>
        <v>3822</v>
      </c>
      <c r="K79" s="185">
        <f t="shared" si="5"/>
        <v>6506.9781600000006</v>
      </c>
      <c r="L79" s="185">
        <f t="shared" si="6"/>
        <v>45006.978159999999</v>
      </c>
      <c r="M79" s="36">
        <f t="shared" si="4"/>
        <v>3750.5815133333331</v>
      </c>
    </row>
    <row r="80" spans="1:13" x14ac:dyDescent="0.25">
      <c r="A80" s="186">
        <v>39000</v>
      </c>
      <c r="B80" s="33">
        <f t="shared" si="7"/>
        <v>3250</v>
      </c>
      <c r="C80" s="185">
        <f>'Child care subsidy'!S83*12</f>
        <v>0</v>
      </c>
      <c r="D80" s="185">
        <f>MAX('TANF-VIEW'!L87,'TANF-VIEW'!T87)*12</f>
        <v>0</v>
      </c>
      <c r="E80" s="193">
        <f>SNAP!V84*12</f>
        <v>0</v>
      </c>
      <c r="F80" s="184">
        <f>WIC!F86*12</f>
        <v>0</v>
      </c>
      <c r="G80" s="185">
        <f>'Housing Voucher'!Q84*12</f>
        <v>24</v>
      </c>
      <c r="H80" s="197">
        <f>EITC!E83</f>
        <v>2415.09816</v>
      </c>
      <c r="I80" s="205">
        <f>Medicaid!N87*12</f>
        <v>3822</v>
      </c>
      <c r="K80" s="185">
        <f t="shared" si="5"/>
        <v>6261.0981599999996</v>
      </c>
      <c r="L80" s="185">
        <f t="shared" si="6"/>
        <v>45261.098160000001</v>
      </c>
      <c r="M80" s="36">
        <f t="shared" si="4"/>
        <v>3771.7581800000003</v>
      </c>
    </row>
    <row r="81" spans="1:13" x14ac:dyDescent="0.25">
      <c r="A81" s="186">
        <v>39500</v>
      </c>
      <c r="B81" s="33">
        <f t="shared" si="7"/>
        <v>3291.6666666666665</v>
      </c>
      <c r="C81" s="185">
        <f>'Child care subsidy'!S84*12</f>
        <v>0</v>
      </c>
      <c r="D81" s="185">
        <f>MAX('TANF-VIEW'!L88,'TANF-VIEW'!T88)*12</f>
        <v>0</v>
      </c>
      <c r="E81" s="193">
        <f>SNAP!V85*12</f>
        <v>0</v>
      </c>
      <c r="F81" s="184">
        <f>WIC!F87*12</f>
        <v>0</v>
      </c>
      <c r="G81" s="185">
        <f>'Housing Voucher'!Q85*12</f>
        <v>0</v>
      </c>
      <c r="H81" s="197">
        <f>EITC!E84</f>
        <v>2319.2181599999999</v>
      </c>
      <c r="I81" s="205">
        <f>Medicaid!N88*12</f>
        <v>3822</v>
      </c>
      <c r="K81" s="185">
        <f t="shared" si="5"/>
        <v>6141.2181600000004</v>
      </c>
      <c r="L81" s="185">
        <f t="shared" si="6"/>
        <v>45641.218160000004</v>
      </c>
      <c r="M81" s="36">
        <f t="shared" si="4"/>
        <v>3803.434846666667</v>
      </c>
    </row>
    <row r="82" spans="1:13" x14ac:dyDescent="0.25">
      <c r="A82" s="186">
        <v>40000</v>
      </c>
      <c r="B82" s="33">
        <f t="shared" si="7"/>
        <v>3333.3333333333335</v>
      </c>
      <c r="C82" s="185">
        <f>'Child care subsidy'!S85*12</f>
        <v>0</v>
      </c>
      <c r="D82" s="185">
        <f>MAX('TANF-VIEW'!L89,'TANF-VIEW'!T89)*12</f>
        <v>0</v>
      </c>
      <c r="E82" s="193">
        <f>SNAP!V86*12</f>
        <v>0</v>
      </c>
      <c r="F82" s="184">
        <f>WIC!F88*12</f>
        <v>0</v>
      </c>
      <c r="G82" s="185">
        <f>'Housing Voucher'!Q86*12</f>
        <v>0</v>
      </c>
      <c r="H82" s="197">
        <f>EITC!E85</f>
        <v>2223.3381600000002</v>
      </c>
      <c r="I82" s="205">
        <f>Medicaid!N89*12</f>
        <v>3822</v>
      </c>
      <c r="K82" s="185">
        <f t="shared" si="5"/>
        <v>6045.3381600000002</v>
      </c>
      <c r="L82" s="185">
        <f t="shared" si="6"/>
        <v>46045.338159999999</v>
      </c>
      <c r="M82" s="36">
        <f t="shared" si="4"/>
        <v>3837.1115133333333</v>
      </c>
    </row>
    <row r="83" spans="1:13" x14ac:dyDescent="0.25">
      <c r="A83" s="186">
        <v>40500</v>
      </c>
      <c r="B83" s="33">
        <f t="shared" si="7"/>
        <v>3375</v>
      </c>
      <c r="C83" s="185">
        <f>'Child care subsidy'!S86*12</f>
        <v>0</v>
      </c>
      <c r="D83" s="185">
        <f>MAX('TANF-VIEW'!L90,'TANF-VIEW'!T90)*12</f>
        <v>0</v>
      </c>
      <c r="E83" s="193">
        <f>SNAP!V87*12</f>
        <v>0</v>
      </c>
      <c r="F83" s="184">
        <f>WIC!F89*12</f>
        <v>0</v>
      </c>
      <c r="G83" s="185">
        <f>'Housing Voucher'!Q87*12</f>
        <v>0</v>
      </c>
      <c r="H83" s="197">
        <f>EITC!E86</f>
        <v>2127.4581600000001</v>
      </c>
      <c r="I83" s="205">
        <f>Medicaid!N90*12</f>
        <v>3822</v>
      </c>
      <c r="K83" s="185">
        <f t="shared" si="5"/>
        <v>5949.4581600000001</v>
      </c>
      <c r="L83" s="185">
        <f t="shared" si="6"/>
        <v>46449.458160000002</v>
      </c>
      <c r="M83" s="36">
        <f t="shared" si="4"/>
        <v>3870.78818</v>
      </c>
    </row>
    <row r="84" spans="1:13" x14ac:dyDescent="0.25">
      <c r="A84" s="186">
        <v>41000</v>
      </c>
      <c r="B84" s="33">
        <f t="shared" si="7"/>
        <v>3416.6666666666665</v>
      </c>
      <c r="C84" s="185">
        <f>'Child care subsidy'!S87*12</f>
        <v>0</v>
      </c>
      <c r="D84" s="185">
        <f>MAX('TANF-VIEW'!L91,'TANF-VIEW'!T91)*12</f>
        <v>0</v>
      </c>
      <c r="E84" s="193">
        <f>SNAP!V88*12</f>
        <v>0</v>
      </c>
      <c r="F84" s="184">
        <f>WIC!F90*12</f>
        <v>0</v>
      </c>
      <c r="G84" s="185">
        <f>'Housing Voucher'!Q88*12</f>
        <v>0</v>
      </c>
      <c r="H84" s="197">
        <f>EITC!E87</f>
        <v>2031.57816</v>
      </c>
      <c r="I84" s="205">
        <f>Medicaid!N91*12</f>
        <v>3822</v>
      </c>
      <c r="K84" s="185">
        <f t="shared" si="5"/>
        <v>5853.57816</v>
      </c>
      <c r="L84" s="185">
        <f t="shared" si="6"/>
        <v>46853.578159999997</v>
      </c>
      <c r="M84" s="36">
        <f t="shared" si="4"/>
        <v>3904.4648466666663</v>
      </c>
    </row>
    <row r="85" spans="1:13" x14ac:dyDescent="0.25">
      <c r="A85" s="186">
        <v>41500</v>
      </c>
      <c r="B85" s="33">
        <f t="shared" si="7"/>
        <v>3458.3333333333335</v>
      </c>
      <c r="C85" s="185">
        <f>'Child care subsidy'!S88*12</f>
        <v>0</v>
      </c>
      <c r="D85" s="185">
        <f>MAX('TANF-VIEW'!L92,'TANF-VIEW'!T92)*12</f>
        <v>0</v>
      </c>
      <c r="E85" s="193">
        <f>SNAP!V89*12</f>
        <v>0</v>
      </c>
      <c r="F85" s="184">
        <f>WIC!F91*12</f>
        <v>0</v>
      </c>
      <c r="G85" s="185">
        <f>'Housing Voucher'!Q89*12</f>
        <v>0</v>
      </c>
      <c r="H85" s="197">
        <f>EITC!E88</f>
        <v>1935.6981599999999</v>
      </c>
      <c r="I85" s="205">
        <f>Medicaid!N92*12</f>
        <v>3822</v>
      </c>
      <c r="K85" s="185">
        <f t="shared" si="5"/>
        <v>5757.6981599999999</v>
      </c>
      <c r="L85" s="185">
        <f t="shared" si="6"/>
        <v>47257.69816</v>
      </c>
      <c r="M85" s="36">
        <f t="shared" si="4"/>
        <v>3938.1415133333335</v>
      </c>
    </row>
    <row r="86" spans="1:13" x14ac:dyDescent="0.25">
      <c r="A86" s="186">
        <v>42000</v>
      </c>
      <c r="B86" s="33">
        <f t="shared" si="7"/>
        <v>3500</v>
      </c>
      <c r="C86" s="185">
        <f>'Child care subsidy'!S89*12</f>
        <v>0</v>
      </c>
      <c r="D86" s="185">
        <f>MAX('TANF-VIEW'!L93,'TANF-VIEW'!T93)*12</f>
        <v>0</v>
      </c>
      <c r="E86" s="193">
        <f>SNAP!V90*12</f>
        <v>0</v>
      </c>
      <c r="F86" s="184">
        <f>WIC!F92*12</f>
        <v>0</v>
      </c>
      <c r="G86" s="185">
        <f>'Housing Voucher'!Q90*12</f>
        <v>0</v>
      </c>
      <c r="H86" s="197">
        <f>EITC!E89</f>
        <v>1839.8181599999998</v>
      </c>
      <c r="I86" s="205">
        <f>Medicaid!N93*12</f>
        <v>3822</v>
      </c>
      <c r="K86" s="185">
        <f t="shared" si="5"/>
        <v>5661.8181599999998</v>
      </c>
      <c r="L86" s="185">
        <f t="shared" si="6"/>
        <v>47661.818160000003</v>
      </c>
      <c r="M86" s="36">
        <f t="shared" si="4"/>
        <v>3971.8181800000002</v>
      </c>
    </row>
    <row r="87" spans="1:13" x14ac:dyDescent="0.25">
      <c r="A87" s="186">
        <v>42500</v>
      </c>
      <c r="B87" s="33">
        <f t="shared" si="7"/>
        <v>3541.6666666666665</v>
      </c>
      <c r="C87" s="185">
        <f>'Child care subsidy'!S90*12</f>
        <v>0</v>
      </c>
      <c r="D87" s="185">
        <f>MAX('TANF-VIEW'!L94,'TANF-VIEW'!T94)*12</f>
        <v>0</v>
      </c>
      <c r="E87" s="193">
        <f>SNAP!V91*12</f>
        <v>0</v>
      </c>
      <c r="F87" s="184">
        <f>WIC!F93*12</f>
        <v>0</v>
      </c>
      <c r="G87" s="185">
        <f>'Housing Voucher'!Q91*12</f>
        <v>0</v>
      </c>
      <c r="H87" s="197">
        <f>EITC!E90</f>
        <v>1743.9381600000002</v>
      </c>
      <c r="I87" s="205">
        <f>Medicaid!N94*12</f>
        <v>3822</v>
      </c>
      <c r="K87" s="185">
        <f t="shared" si="5"/>
        <v>5565.9381599999997</v>
      </c>
      <c r="L87" s="185">
        <f t="shared" si="6"/>
        <v>48065.938159999998</v>
      </c>
      <c r="M87" s="36">
        <f t="shared" si="4"/>
        <v>4005.4948466666665</v>
      </c>
    </row>
    <row r="88" spans="1:13" x14ac:dyDescent="0.25">
      <c r="A88" s="186">
        <v>43000</v>
      </c>
      <c r="B88" s="33">
        <f t="shared" si="7"/>
        <v>3583.3333333333335</v>
      </c>
      <c r="C88" s="185">
        <f>'Child care subsidy'!S91*12</f>
        <v>0</v>
      </c>
      <c r="D88" s="185">
        <f>MAX('TANF-VIEW'!L95,'TANF-VIEW'!T95)*12</f>
        <v>0</v>
      </c>
      <c r="E88" s="193">
        <f>SNAP!V92*12</f>
        <v>0</v>
      </c>
      <c r="F88" s="184">
        <f>WIC!F94*12</f>
        <v>0</v>
      </c>
      <c r="G88" s="185">
        <f>'Housing Voucher'!Q92*12</f>
        <v>0</v>
      </c>
      <c r="H88" s="197">
        <f>EITC!E91</f>
        <v>1648.05816</v>
      </c>
      <c r="I88" s="205">
        <f>Medicaid!N95*12</f>
        <v>3822</v>
      </c>
      <c r="K88" s="185">
        <f t="shared" si="5"/>
        <v>5470.0581600000005</v>
      </c>
      <c r="L88" s="185">
        <f t="shared" si="6"/>
        <v>48470.05816</v>
      </c>
      <c r="M88" s="36">
        <f t="shared" si="4"/>
        <v>4039.1715133333332</v>
      </c>
    </row>
    <row r="89" spans="1:13" x14ac:dyDescent="0.25">
      <c r="A89" s="186">
        <v>43500</v>
      </c>
      <c r="B89" s="33">
        <f t="shared" si="7"/>
        <v>3625</v>
      </c>
      <c r="C89" s="185">
        <f>'Child care subsidy'!S92*12</f>
        <v>0</v>
      </c>
      <c r="D89" s="185">
        <f>MAX('TANF-VIEW'!L96,'TANF-VIEW'!T96)*12</f>
        <v>0</v>
      </c>
      <c r="E89" s="193">
        <f>SNAP!V93*12</f>
        <v>0</v>
      </c>
      <c r="F89" s="184">
        <f>WIC!F95*12</f>
        <v>0</v>
      </c>
      <c r="G89" s="185">
        <f>'Housing Voucher'!Q93*12</f>
        <v>0</v>
      </c>
      <c r="H89" s="197">
        <f>EITC!E92</f>
        <v>1552.1781599999999</v>
      </c>
      <c r="I89" s="205">
        <f>Medicaid!N96*12</f>
        <v>0</v>
      </c>
      <c r="K89" s="185">
        <f t="shared" si="5"/>
        <v>1552.1781599999999</v>
      </c>
      <c r="L89" s="185">
        <f t="shared" si="6"/>
        <v>45052.178160000003</v>
      </c>
      <c r="M89" s="36">
        <f t="shared" si="4"/>
        <v>3754.3481800000004</v>
      </c>
    </row>
    <row r="90" spans="1:13" x14ac:dyDescent="0.25">
      <c r="A90" s="186">
        <v>44000</v>
      </c>
      <c r="B90" s="33">
        <f t="shared" si="7"/>
        <v>3666.6666666666665</v>
      </c>
      <c r="C90" s="185">
        <f>'Child care subsidy'!S93*12</f>
        <v>0</v>
      </c>
      <c r="D90" s="185">
        <f>MAX('TANF-VIEW'!L97,'TANF-VIEW'!T97)*12</f>
        <v>0</v>
      </c>
      <c r="E90" s="193">
        <f>SNAP!V94*12</f>
        <v>0</v>
      </c>
      <c r="F90" s="184">
        <f>WIC!F96*12</f>
        <v>0</v>
      </c>
      <c r="G90" s="185">
        <f>'Housing Voucher'!Q94*12</f>
        <v>0</v>
      </c>
      <c r="H90" s="197">
        <f>EITC!E93</f>
        <v>1456.2981599999998</v>
      </c>
      <c r="I90" s="205">
        <f>Medicaid!N97*12</f>
        <v>0</v>
      </c>
      <c r="K90" s="185">
        <f t="shared" si="5"/>
        <v>1456.2981599999998</v>
      </c>
      <c r="L90" s="185">
        <f t="shared" si="6"/>
        <v>45456.298159999998</v>
      </c>
      <c r="M90" s="36">
        <f t="shared" si="4"/>
        <v>3788.0248466666667</v>
      </c>
    </row>
    <row r="91" spans="1:13" x14ac:dyDescent="0.25">
      <c r="A91" s="186">
        <v>44500</v>
      </c>
      <c r="B91" s="33">
        <f t="shared" si="7"/>
        <v>3708.3333333333335</v>
      </c>
      <c r="C91" s="185">
        <f>'Child care subsidy'!S94*12</f>
        <v>0</v>
      </c>
      <c r="D91" s="185">
        <f>MAX('TANF-VIEW'!L98,'TANF-VIEW'!T98)*12</f>
        <v>0</v>
      </c>
      <c r="E91" s="193">
        <f>SNAP!V95*12</f>
        <v>0</v>
      </c>
      <c r="F91" s="184">
        <f>WIC!F97*12</f>
        <v>0</v>
      </c>
      <c r="G91" s="185">
        <f>'Housing Voucher'!Q95*12</f>
        <v>0</v>
      </c>
      <c r="H91" s="197">
        <f>EITC!E94</f>
        <v>1360.4181599999997</v>
      </c>
      <c r="I91" s="205">
        <f>Medicaid!N98*12</f>
        <v>0</v>
      </c>
      <c r="K91" s="185">
        <f t="shared" si="5"/>
        <v>1360.4181599999997</v>
      </c>
      <c r="L91" s="185">
        <f t="shared" si="6"/>
        <v>45860.418160000001</v>
      </c>
      <c r="M91" s="36">
        <f t="shared" si="4"/>
        <v>3821.7015133333334</v>
      </c>
    </row>
    <row r="92" spans="1:13" x14ac:dyDescent="0.25">
      <c r="A92" s="186">
        <v>45000</v>
      </c>
      <c r="B92" s="33">
        <f t="shared" si="7"/>
        <v>3750</v>
      </c>
      <c r="C92" s="185">
        <f>'Child care subsidy'!S95*12</f>
        <v>0</v>
      </c>
      <c r="D92" s="185">
        <f>MAX('TANF-VIEW'!L99,'TANF-VIEW'!T99)*12</f>
        <v>0</v>
      </c>
      <c r="E92" s="193">
        <f>SNAP!V96*12</f>
        <v>0</v>
      </c>
      <c r="F92" s="184">
        <f>WIC!F98*12</f>
        <v>0</v>
      </c>
      <c r="G92" s="185">
        <f>'Housing Voucher'!Q96*12</f>
        <v>0</v>
      </c>
      <c r="H92" s="197">
        <f>EITC!E95</f>
        <v>1264.5381600000003</v>
      </c>
      <c r="I92" s="205">
        <f>Medicaid!N99*12</f>
        <v>0</v>
      </c>
      <c r="K92" s="185">
        <f t="shared" si="5"/>
        <v>1264.5381600000003</v>
      </c>
      <c r="L92" s="185">
        <f t="shared" si="6"/>
        <v>46264.538160000004</v>
      </c>
      <c r="M92" s="36">
        <f t="shared" si="4"/>
        <v>3855.3781800000002</v>
      </c>
    </row>
    <row r="93" spans="1:13" x14ac:dyDescent="0.25">
      <c r="A93" s="186">
        <v>45500</v>
      </c>
      <c r="B93" s="33">
        <f t="shared" si="7"/>
        <v>3791.6666666666665</v>
      </c>
      <c r="C93" s="185">
        <f>'Child care subsidy'!S96*12</f>
        <v>0</v>
      </c>
      <c r="D93" s="185">
        <f>MAX('TANF-VIEW'!L100,'TANF-VIEW'!T100)*12</f>
        <v>0</v>
      </c>
      <c r="E93" s="193">
        <f>SNAP!V97*12</f>
        <v>0</v>
      </c>
      <c r="F93" s="184">
        <f>WIC!F99*12</f>
        <v>0</v>
      </c>
      <c r="G93" s="185">
        <f>'Housing Voucher'!Q97*12</f>
        <v>0</v>
      </c>
      <c r="H93" s="197">
        <f>EITC!E96</f>
        <v>1168.6581600000002</v>
      </c>
      <c r="I93" s="205">
        <f>Medicaid!N100*12</f>
        <v>0</v>
      </c>
      <c r="K93" s="185">
        <f t="shared" si="5"/>
        <v>1168.6581600000002</v>
      </c>
      <c r="L93" s="185">
        <f t="shared" si="6"/>
        <v>46668.658159999999</v>
      </c>
      <c r="M93" s="36">
        <f t="shared" si="4"/>
        <v>3889.0548466666664</v>
      </c>
    </row>
    <row r="94" spans="1:13" x14ac:dyDescent="0.25">
      <c r="A94" s="186">
        <v>46000</v>
      </c>
      <c r="B94" s="33">
        <f>A94/12</f>
        <v>3833.3333333333335</v>
      </c>
      <c r="C94" s="185">
        <f>'Child care subsidy'!S97*12</f>
        <v>0</v>
      </c>
      <c r="D94" s="185">
        <f>MAX('TANF-VIEW'!L101,'TANF-VIEW'!T101)*12</f>
        <v>0</v>
      </c>
      <c r="E94" s="193">
        <f>SNAP!V98*12</f>
        <v>0</v>
      </c>
      <c r="F94" s="184">
        <f>WIC!F100*12</f>
        <v>0</v>
      </c>
      <c r="G94" s="185">
        <f>'Housing Voucher'!Q98*12</f>
        <v>0</v>
      </c>
      <c r="H94" s="197">
        <f>EITC!E97</f>
        <v>1072.7781600000001</v>
      </c>
      <c r="I94" s="205">
        <f>Medicaid!N101*12</f>
        <v>0</v>
      </c>
      <c r="K94" s="185">
        <f t="shared" si="5"/>
        <v>1072.7781600000001</v>
      </c>
      <c r="L94" s="185">
        <f t="shared" si="6"/>
        <v>47072.778160000002</v>
      </c>
      <c r="M94" s="36">
        <f t="shared" si="4"/>
        <v>3922.7315133333336</v>
      </c>
    </row>
    <row r="95" spans="1:13" x14ac:dyDescent="0.25">
      <c r="A95" s="186">
        <v>46500</v>
      </c>
      <c r="B95" s="33">
        <f t="shared" si="7"/>
        <v>3875</v>
      </c>
      <c r="C95" s="185">
        <f>'Child care subsidy'!S98*12</f>
        <v>0</v>
      </c>
      <c r="D95" s="185">
        <f>MAX('TANF-VIEW'!L102,'TANF-VIEW'!T102)*12</f>
        <v>0</v>
      </c>
      <c r="E95" s="193">
        <f>SNAP!V99*12</f>
        <v>0</v>
      </c>
      <c r="F95" s="184">
        <f>WIC!F101*12</f>
        <v>0</v>
      </c>
      <c r="G95" s="185">
        <f>'Housing Voucher'!Q99*12</f>
        <v>0</v>
      </c>
      <c r="H95" s="197">
        <f>EITC!E98</f>
        <v>976.89815999999996</v>
      </c>
      <c r="I95" s="205">
        <f>Medicaid!N102*12</f>
        <v>0</v>
      </c>
      <c r="K95" s="185">
        <f t="shared" si="5"/>
        <v>976.89815999999996</v>
      </c>
      <c r="L95" s="185">
        <f t="shared" si="6"/>
        <v>47476.898159999997</v>
      </c>
      <c r="M95" s="36">
        <f t="shared" si="4"/>
        <v>3956.4081799999999</v>
      </c>
    </row>
    <row r="96" spans="1:13" x14ac:dyDescent="0.25">
      <c r="A96" s="186">
        <v>47000</v>
      </c>
      <c r="B96" s="33">
        <f t="shared" si="7"/>
        <v>3916.6666666666665</v>
      </c>
      <c r="C96" s="185">
        <f>'Child care subsidy'!S99*12</f>
        <v>0</v>
      </c>
      <c r="D96" s="185">
        <f>MAX('TANF-VIEW'!L103,'TANF-VIEW'!T103)*12</f>
        <v>0</v>
      </c>
      <c r="E96" s="193">
        <f>SNAP!V100*12</f>
        <v>0</v>
      </c>
      <c r="F96" s="184">
        <f>WIC!F102*12</f>
        <v>0</v>
      </c>
      <c r="G96" s="185">
        <f>'Housing Voucher'!Q100*12</f>
        <v>0</v>
      </c>
      <c r="H96" s="197">
        <f>EITC!E99</f>
        <v>881.01815999999985</v>
      </c>
      <c r="I96" s="205">
        <f>Medicaid!N103*12</f>
        <v>0</v>
      </c>
      <c r="K96" s="185">
        <f t="shared" si="5"/>
        <v>881.01815999999985</v>
      </c>
      <c r="L96" s="185">
        <f t="shared" si="6"/>
        <v>47881.01816</v>
      </c>
      <c r="M96" s="36">
        <f t="shared" si="4"/>
        <v>3990.0848466666666</v>
      </c>
    </row>
    <row r="97" spans="1:13" x14ac:dyDescent="0.25">
      <c r="A97" s="186">
        <v>47500</v>
      </c>
      <c r="B97" s="33">
        <f t="shared" si="7"/>
        <v>3958.3333333333335</v>
      </c>
      <c r="C97" s="185">
        <f>'Child care subsidy'!S100*12</f>
        <v>0</v>
      </c>
      <c r="D97" s="185">
        <f>MAX('TANF-VIEW'!L104,'TANF-VIEW'!T104)*12</f>
        <v>0</v>
      </c>
      <c r="E97" s="193">
        <f>SNAP!V101*12</f>
        <v>0</v>
      </c>
      <c r="F97" s="184">
        <f>WIC!F103*12</f>
        <v>0</v>
      </c>
      <c r="G97" s="185">
        <f>'Housing Voucher'!Q101*12</f>
        <v>0</v>
      </c>
      <c r="H97" s="197">
        <f>EITC!E100</f>
        <v>785.1381600000002</v>
      </c>
      <c r="I97" s="205">
        <f>Medicaid!N104*12</f>
        <v>0</v>
      </c>
      <c r="K97" s="185">
        <f t="shared" si="5"/>
        <v>785.1381600000002</v>
      </c>
      <c r="L97" s="185">
        <f t="shared" si="6"/>
        <v>48285.138160000002</v>
      </c>
      <c r="M97" s="36">
        <f t="shared" si="4"/>
        <v>4023.7615133333334</v>
      </c>
    </row>
    <row r="98" spans="1:13" x14ac:dyDescent="0.25">
      <c r="A98" s="186">
        <v>48000</v>
      </c>
      <c r="B98" s="33">
        <f t="shared" si="7"/>
        <v>4000</v>
      </c>
      <c r="C98" s="185">
        <f>'Child care subsidy'!S101*12</f>
        <v>0</v>
      </c>
      <c r="D98" s="185">
        <f>MAX('TANF-VIEW'!L105,'TANF-VIEW'!T105)*12</f>
        <v>0</v>
      </c>
      <c r="E98" s="193">
        <f>SNAP!V102*12</f>
        <v>0</v>
      </c>
      <c r="F98" s="184">
        <f>WIC!F104*12</f>
        <v>0</v>
      </c>
      <c r="G98" s="185">
        <f>'Housing Voucher'!Q102*12</f>
        <v>0</v>
      </c>
      <c r="H98" s="197">
        <f>EITC!E101</f>
        <v>689.25816000000009</v>
      </c>
      <c r="I98" s="205">
        <f>Medicaid!N105*12</f>
        <v>0</v>
      </c>
      <c r="K98" s="185">
        <f t="shared" si="5"/>
        <v>689.25816000000009</v>
      </c>
      <c r="L98" s="185">
        <f t="shared" si="6"/>
        <v>48689.258159999998</v>
      </c>
      <c r="M98" s="36">
        <f t="shared" si="4"/>
        <v>4057.4381799999996</v>
      </c>
    </row>
    <row r="99" spans="1:13" x14ac:dyDescent="0.25">
      <c r="A99" s="186">
        <v>48500</v>
      </c>
      <c r="B99" s="33">
        <f t="shared" si="7"/>
        <v>4041.6666666666665</v>
      </c>
      <c r="C99" s="185">
        <f>'Child care subsidy'!S102*12</f>
        <v>0</v>
      </c>
      <c r="D99" s="185">
        <f>MAX('TANF-VIEW'!L106,'TANF-VIEW'!T106)*12</f>
        <v>0</v>
      </c>
      <c r="E99" s="193">
        <f>SNAP!V103*12</f>
        <v>0</v>
      </c>
      <c r="F99" s="184">
        <f>WIC!F105*12</f>
        <v>0</v>
      </c>
      <c r="G99" s="185">
        <f>'Housing Voucher'!Q103*12</f>
        <v>0</v>
      </c>
      <c r="H99" s="197">
        <f>EITC!E102</f>
        <v>593.37815999999998</v>
      </c>
      <c r="I99" s="205">
        <f>Medicaid!N106*12</f>
        <v>0</v>
      </c>
      <c r="K99" s="185">
        <f t="shared" si="5"/>
        <v>593.37815999999998</v>
      </c>
      <c r="L99" s="185">
        <f t="shared" si="6"/>
        <v>49093.37816</v>
      </c>
      <c r="M99" s="36">
        <f t="shared" si="4"/>
        <v>4091.1148466666668</v>
      </c>
    </row>
    <row r="100" spans="1:13" x14ac:dyDescent="0.25">
      <c r="A100" s="186">
        <v>49000</v>
      </c>
      <c r="B100" s="33">
        <f t="shared" si="7"/>
        <v>4083.3333333333335</v>
      </c>
      <c r="C100" s="185">
        <f>'Child care subsidy'!S103*12</f>
        <v>0</v>
      </c>
      <c r="D100" s="185">
        <f>MAX('TANF-VIEW'!L107,'TANF-VIEW'!T107)*12</f>
        <v>0</v>
      </c>
      <c r="E100" s="193">
        <f>SNAP!V104*12</f>
        <v>0</v>
      </c>
      <c r="F100" s="184">
        <f>WIC!F106*12</f>
        <v>0</v>
      </c>
      <c r="G100" s="185">
        <f>'Housing Voucher'!Q104*12</f>
        <v>0</v>
      </c>
      <c r="H100" s="197">
        <f>EITC!E103</f>
        <v>497.49815999999993</v>
      </c>
      <c r="I100" s="205">
        <f>Medicaid!N107*12</f>
        <v>0</v>
      </c>
      <c r="K100" s="185">
        <f t="shared" si="5"/>
        <v>497.49815999999993</v>
      </c>
      <c r="L100" s="185">
        <f t="shared" si="6"/>
        <v>49497.498160000003</v>
      </c>
      <c r="M100" s="36">
        <f t="shared" si="4"/>
        <v>4124.7915133333336</v>
      </c>
    </row>
    <row r="101" spans="1:13" x14ac:dyDescent="0.25">
      <c r="A101" s="186">
        <v>49500</v>
      </c>
      <c r="B101" s="33">
        <f t="shared" si="7"/>
        <v>4125</v>
      </c>
      <c r="C101" s="185">
        <f>'Child care subsidy'!S104*12</f>
        <v>0</v>
      </c>
      <c r="D101" s="185">
        <f>MAX('TANF-VIEW'!L108,'TANF-VIEW'!T108)*12</f>
        <v>0</v>
      </c>
      <c r="E101" s="193">
        <f>SNAP!V105*12</f>
        <v>0</v>
      </c>
      <c r="F101" s="184">
        <f>WIC!F107*12</f>
        <v>0</v>
      </c>
      <c r="G101" s="185">
        <f>'Housing Voucher'!Q105*12</f>
        <v>0</v>
      </c>
      <c r="H101" s="197">
        <f>EITC!E104</f>
        <v>401.61815999999982</v>
      </c>
      <c r="I101" s="205">
        <f>Medicaid!N108*12</f>
        <v>0</v>
      </c>
      <c r="K101" s="185">
        <f t="shared" si="5"/>
        <v>401.61815999999982</v>
      </c>
      <c r="L101" s="185">
        <f t="shared" si="6"/>
        <v>49901.618159999998</v>
      </c>
      <c r="M101" s="36">
        <f t="shared" si="4"/>
        <v>4158.4681799999998</v>
      </c>
    </row>
    <row r="102" spans="1:13" x14ac:dyDescent="0.25">
      <c r="A102" s="186">
        <v>50000</v>
      </c>
      <c r="B102" s="33">
        <f t="shared" si="7"/>
        <v>4166.666666666667</v>
      </c>
      <c r="C102" s="185">
        <f>'Child care subsidy'!S105*12</f>
        <v>0</v>
      </c>
      <c r="D102" s="185">
        <f>MAX('TANF-VIEW'!L109,'TANF-VIEW'!T109)*12</f>
        <v>0</v>
      </c>
      <c r="E102" s="193">
        <f>SNAP!V106*12</f>
        <v>0</v>
      </c>
      <c r="F102" s="184">
        <f>WIC!F108*12</f>
        <v>0</v>
      </c>
      <c r="G102" s="185">
        <f>'Housing Voucher'!Q106*12</f>
        <v>0</v>
      </c>
      <c r="H102" s="197">
        <f>EITC!E105</f>
        <v>305.73815999999971</v>
      </c>
      <c r="I102" s="205">
        <f>Medicaid!N109*12</f>
        <v>0</v>
      </c>
      <c r="K102" s="185">
        <f t="shared" si="5"/>
        <v>305.73815999999971</v>
      </c>
      <c r="L102" s="185">
        <f t="shared" si="6"/>
        <v>50305.738160000001</v>
      </c>
      <c r="M102" s="36">
        <f t="shared" si="4"/>
        <v>4192.144846666667</v>
      </c>
    </row>
    <row r="103" spans="1:13" x14ac:dyDescent="0.25">
      <c r="A103" s="186">
        <v>50500</v>
      </c>
      <c r="B103" s="33">
        <f>A103/12</f>
        <v>4208.333333333333</v>
      </c>
      <c r="C103" s="185">
        <f>'Child care subsidy'!S106*12</f>
        <v>0</v>
      </c>
      <c r="D103" s="185">
        <f>MAX('TANF-VIEW'!L110,'TANF-VIEW'!T110)*12</f>
        <v>0</v>
      </c>
      <c r="E103" s="193">
        <f>SNAP!V107*12</f>
        <v>0</v>
      </c>
      <c r="F103" s="184">
        <f>WIC!F109*12</f>
        <v>0</v>
      </c>
      <c r="G103" s="185">
        <f>'Housing Voucher'!Q107*12</f>
        <v>0</v>
      </c>
      <c r="H103" s="197">
        <f>EITC!E106</f>
        <v>0</v>
      </c>
      <c r="I103" s="205">
        <f>Medicaid!N110*12</f>
        <v>0</v>
      </c>
      <c r="K103" s="185">
        <f t="shared" si="5"/>
        <v>0</v>
      </c>
      <c r="L103" s="185">
        <f t="shared" si="6"/>
        <v>50500</v>
      </c>
      <c r="M103" s="36">
        <f t="shared" si="4"/>
        <v>4208.333333333333</v>
      </c>
    </row>
    <row r="104" spans="1:13" x14ac:dyDescent="0.25">
      <c r="A104" s="186">
        <v>51000</v>
      </c>
      <c r="B104" s="33">
        <f t="shared" ref="B104:B167" si="8">A104/12</f>
        <v>4250</v>
      </c>
      <c r="C104" s="185">
        <f>'Child care subsidy'!S107*12</f>
        <v>0</v>
      </c>
      <c r="D104" s="185">
        <f>MAX('TANF-VIEW'!L111,'TANF-VIEW'!T111)*12</f>
        <v>0</v>
      </c>
      <c r="E104" s="193">
        <f>SNAP!V108*12</f>
        <v>0</v>
      </c>
      <c r="F104" s="184">
        <f>WIC!F110*12</f>
        <v>0</v>
      </c>
      <c r="G104" s="185">
        <f>'Housing Voucher'!Q108*12</f>
        <v>0</v>
      </c>
      <c r="H104" s="197">
        <f>EITC!E107</f>
        <v>0</v>
      </c>
      <c r="I104" s="205">
        <f>Medicaid!N111*12</f>
        <v>0</v>
      </c>
      <c r="K104" s="185">
        <f t="shared" si="5"/>
        <v>0</v>
      </c>
      <c r="L104" s="185">
        <f t="shared" si="6"/>
        <v>51000</v>
      </c>
      <c r="M104" s="36">
        <f t="shared" si="4"/>
        <v>4250</v>
      </c>
    </row>
    <row r="105" spans="1:13" x14ac:dyDescent="0.25">
      <c r="A105" s="186">
        <v>51500</v>
      </c>
      <c r="B105" s="33">
        <f t="shared" si="8"/>
        <v>4291.666666666667</v>
      </c>
      <c r="C105" s="185">
        <f>'Child care subsidy'!S108*12</f>
        <v>0</v>
      </c>
      <c r="D105" s="185">
        <f>MAX('TANF-VIEW'!L112,'TANF-VIEW'!T112)*12</f>
        <v>0</v>
      </c>
      <c r="E105" s="193">
        <f>SNAP!V109*12</f>
        <v>0</v>
      </c>
      <c r="F105" s="184">
        <f>WIC!F111*12</f>
        <v>0</v>
      </c>
      <c r="G105" s="185">
        <f>'Housing Voucher'!Q109*12</f>
        <v>0</v>
      </c>
      <c r="H105" s="197">
        <f>EITC!E108</f>
        <v>0</v>
      </c>
      <c r="I105" s="205">
        <f>Medicaid!N112*12</f>
        <v>0</v>
      </c>
      <c r="K105" s="185">
        <f t="shared" si="5"/>
        <v>0</v>
      </c>
      <c r="L105" s="185">
        <f t="shared" si="6"/>
        <v>51500</v>
      </c>
      <c r="M105" s="36">
        <f t="shared" si="4"/>
        <v>4291.666666666667</v>
      </c>
    </row>
    <row r="106" spans="1:13" x14ac:dyDescent="0.25">
      <c r="A106" s="186">
        <v>52000</v>
      </c>
      <c r="B106" s="33">
        <f t="shared" si="8"/>
        <v>4333.333333333333</v>
      </c>
      <c r="C106" s="185">
        <f>'Child care subsidy'!S109*12</f>
        <v>0</v>
      </c>
      <c r="D106" s="185">
        <f>MAX('TANF-VIEW'!L113,'TANF-VIEW'!T113)*12</f>
        <v>0</v>
      </c>
      <c r="E106" s="193">
        <f>SNAP!V110*12</f>
        <v>0</v>
      </c>
      <c r="F106" s="184">
        <f>WIC!F112*12</f>
        <v>0</v>
      </c>
      <c r="G106" s="185">
        <f>'Housing Voucher'!Q110*12</f>
        <v>0</v>
      </c>
      <c r="H106" s="197">
        <f>EITC!E109</f>
        <v>0</v>
      </c>
      <c r="I106" s="205">
        <f>Medicaid!N113*12</f>
        <v>0</v>
      </c>
      <c r="K106" s="185">
        <f t="shared" si="5"/>
        <v>0</v>
      </c>
      <c r="L106" s="185">
        <f t="shared" si="6"/>
        <v>52000</v>
      </c>
      <c r="M106" s="36">
        <f t="shared" si="4"/>
        <v>4333.333333333333</v>
      </c>
    </row>
    <row r="107" spans="1:13" x14ac:dyDescent="0.25">
      <c r="A107" s="186">
        <v>52500</v>
      </c>
      <c r="B107" s="33">
        <f t="shared" si="8"/>
        <v>4375</v>
      </c>
      <c r="C107" s="185">
        <f>'Child care subsidy'!S110*12</f>
        <v>0</v>
      </c>
      <c r="D107" s="185">
        <f>MAX('TANF-VIEW'!L114,'TANF-VIEW'!T114)*12</f>
        <v>0</v>
      </c>
      <c r="E107" s="193">
        <f>SNAP!V111*12</f>
        <v>0</v>
      </c>
      <c r="F107" s="184">
        <f>WIC!F113*12</f>
        <v>0</v>
      </c>
      <c r="G107" s="185">
        <f>'Housing Voucher'!Q111*12</f>
        <v>0</v>
      </c>
      <c r="H107" s="197">
        <f>EITC!E110</f>
        <v>0</v>
      </c>
      <c r="I107" s="205">
        <f>Medicaid!N114*12</f>
        <v>0</v>
      </c>
      <c r="K107" s="185">
        <f t="shared" si="5"/>
        <v>0</v>
      </c>
      <c r="L107" s="185">
        <f t="shared" si="6"/>
        <v>52500</v>
      </c>
      <c r="M107" s="36">
        <f t="shared" si="4"/>
        <v>4375</v>
      </c>
    </row>
    <row r="108" spans="1:13" x14ac:dyDescent="0.25">
      <c r="A108" s="186">
        <v>53000</v>
      </c>
      <c r="B108" s="33">
        <f t="shared" si="8"/>
        <v>4416.666666666667</v>
      </c>
      <c r="C108" s="185">
        <f>'Child care subsidy'!S111*12</f>
        <v>0</v>
      </c>
      <c r="D108" s="185">
        <f>MAX('TANF-VIEW'!L115,'TANF-VIEW'!T115)*12</f>
        <v>0</v>
      </c>
      <c r="E108" s="193">
        <f>SNAP!V112*12</f>
        <v>0</v>
      </c>
      <c r="F108" s="184">
        <f>WIC!F114*12</f>
        <v>0</v>
      </c>
      <c r="G108" s="185">
        <f>'Housing Voucher'!Q112*12</f>
        <v>0</v>
      </c>
      <c r="H108" s="197">
        <f>EITC!E111</f>
        <v>0</v>
      </c>
      <c r="I108" s="205">
        <f>Medicaid!N115*12</f>
        <v>0</v>
      </c>
      <c r="K108" s="185">
        <f t="shared" si="5"/>
        <v>0</v>
      </c>
      <c r="L108" s="185">
        <f t="shared" si="6"/>
        <v>53000</v>
      </c>
      <c r="M108" s="36">
        <f t="shared" si="4"/>
        <v>4416.666666666667</v>
      </c>
    </row>
    <row r="109" spans="1:13" x14ac:dyDescent="0.25">
      <c r="A109" s="186">
        <v>53500</v>
      </c>
      <c r="B109" s="33">
        <f t="shared" si="8"/>
        <v>4458.333333333333</v>
      </c>
      <c r="C109" s="185">
        <f>'Child care subsidy'!S112*12</f>
        <v>0</v>
      </c>
      <c r="D109" s="185">
        <f>MAX('TANF-VIEW'!L116,'TANF-VIEW'!T116)*12</f>
        <v>0</v>
      </c>
      <c r="E109" s="193">
        <f>SNAP!V113*12</f>
        <v>0</v>
      </c>
      <c r="F109" s="184">
        <f>WIC!F115*12</f>
        <v>0</v>
      </c>
      <c r="G109" s="185">
        <f>'Housing Voucher'!Q113*12</f>
        <v>0</v>
      </c>
      <c r="H109" s="197">
        <f>EITC!E112</f>
        <v>0</v>
      </c>
      <c r="I109" s="205">
        <f>Medicaid!N116*12</f>
        <v>0</v>
      </c>
      <c r="K109" s="185">
        <f t="shared" si="5"/>
        <v>0</v>
      </c>
      <c r="L109" s="185">
        <f t="shared" si="6"/>
        <v>53500</v>
      </c>
      <c r="M109" s="36">
        <f t="shared" si="4"/>
        <v>4458.333333333333</v>
      </c>
    </row>
    <row r="110" spans="1:13" x14ac:dyDescent="0.25">
      <c r="A110" s="186">
        <v>54000</v>
      </c>
      <c r="B110" s="33">
        <f t="shared" si="8"/>
        <v>4500</v>
      </c>
      <c r="C110" s="185">
        <f>'Child care subsidy'!S113*12</f>
        <v>0</v>
      </c>
      <c r="D110" s="185">
        <f>MAX('TANF-VIEW'!L117,'TANF-VIEW'!T117)*12</f>
        <v>0</v>
      </c>
      <c r="E110" s="193">
        <f>SNAP!V114*12</f>
        <v>0</v>
      </c>
      <c r="F110" s="184">
        <f>WIC!F116*12</f>
        <v>0</v>
      </c>
      <c r="G110" s="185">
        <f>'Housing Voucher'!Q114*12</f>
        <v>0</v>
      </c>
      <c r="H110" s="197">
        <f>EITC!E113</f>
        <v>0</v>
      </c>
      <c r="I110" s="205">
        <f>Medicaid!N117*12</f>
        <v>0</v>
      </c>
      <c r="K110" s="185">
        <f t="shared" si="5"/>
        <v>0</v>
      </c>
      <c r="L110" s="185">
        <f t="shared" si="6"/>
        <v>54000</v>
      </c>
      <c r="M110" s="36">
        <f t="shared" si="4"/>
        <v>4500</v>
      </c>
    </row>
    <row r="111" spans="1:13" x14ac:dyDescent="0.25">
      <c r="A111" s="186">
        <v>54500</v>
      </c>
      <c r="B111" s="33">
        <f t="shared" si="8"/>
        <v>4541.666666666667</v>
      </c>
      <c r="C111" s="185">
        <f>'Child care subsidy'!S114*12</f>
        <v>0</v>
      </c>
      <c r="D111" s="185">
        <f>MAX('TANF-VIEW'!L118,'TANF-VIEW'!T118)*12</f>
        <v>0</v>
      </c>
      <c r="E111" s="193">
        <f>SNAP!V115*12</f>
        <v>0</v>
      </c>
      <c r="F111" s="184">
        <f>WIC!F117*12</f>
        <v>0</v>
      </c>
      <c r="G111" s="185">
        <f>'Housing Voucher'!Q115*12</f>
        <v>0</v>
      </c>
      <c r="H111" s="197">
        <f>EITC!E114</f>
        <v>0</v>
      </c>
      <c r="I111" s="205">
        <f>Medicaid!N118*12</f>
        <v>0</v>
      </c>
      <c r="K111" s="185">
        <f t="shared" si="5"/>
        <v>0</v>
      </c>
      <c r="L111" s="185">
        <f t="shared" si="6"/>
        <v>54500</v>
      </c>
      <c r="M111" s="36">
        <f t="shared" si="4"/>
        <v>4541.666666666667</v>
      </c>
    </row>
    <row r="112" spans="1:13" x14ac:dyDescent="0.25">
      <c r="A112" s="186">
        <v>55000</v>
      </c>
      <c r="B112" s="33">
        <f t="shared" si="8"/>
        <v>4583.333333333333</v>
      </c>
      <c r="C112" s="185">
        <f>'Child care subsidy'!S115*12</f>
        <v>0</v>
      </c>
      <c r="D112" s="185">
        <f>MAX('TANF-VIEW'!L119,'TANF-VIEW'!T119)*12</f>
        <v>0</v>
      </c>
      <c r="E112" s="193">
        <f>SNAP!V116*12</f>
        <v>0</v>
      </c>
      <c r="F112" s="184">
        <f>WIC!F118*12</f>
        <v>0</v>
      </c>
      <c r="G112" s="185">
        <f>'Housing Voucher'!Q116*12</f>
        <v>0</v>
      </c>
      <c r="H112" s="197">
        <f>EITC!E115</f>
        <v>0</v>
      </c>
      <c r="I112" s="205">
        <f>Medicaid!N119*12</f>
        <v>0</v>
      </c>
      <c r="K112" s="185">
        <f t="shared" si="5"/>
        <v>0</v>
      </c>
      <c r="L112" s="185">
        <f t="shared" si="6"/>
        <v>55000</v>
      </c>
      <c r="M112" s="36">
        <f t="shared" si="4"/>
        <v>4583.333333333333</v>
      </c>
    </row>
    <row r="113" spans="1:13" x14ac:dyDescent="0.25">
      <c r="A113" s="206">
        <v>55500</v>
      </c>
      <c r="B113" s="207">
        <f t="shared" si="8"/>
        <v>4625</v>
      </c>
      <c r="C113" s="208">
        <f>'Child care subsidy'!S116*12</f>
        <v>0</v>
      </c>
      <c r="D113" s="208">
        <f>MAX('TANF-VIEW'!L120,'TANF-VIEW'!T120)*12</f>
        <v>0</v>
      </c>
      <c r="E113" s="209">
        <f>SNAP!V117*12</f>
        <v>0</v>
      </c>
      <c r="F113" s="210">
        <f>WIC!F119*12</f>
        <v>0</v>
      </c>
      <c r="G113" s="208">
        <f>'Housing Voucher'!Q117*12</f>
        <v>0</v>
      </c>
      <c r="H113" s="211">
        <f>EITC!E116</f>
        <v>0</v>
      </c>
      <c r="I113" s="212">
        <f>Medicaid!N120*12</f>
        <v>0</v>
      </c>
      <c r="J113" s="213"/>
      <c r="K113" s="208">
        <f t="shared" si="5"/>
        <v>0</v>
      </c>
      <c r="L113" s="208">
        <f t="shared" si="6"/>
        <v>55500</v>
      </c>
      <c r="M113" s="36">
        <f t="shared" si="4"/>
        <v>4625</v>
      </c>
    </row>
    <row r="114" spans="1:13" x14ac:dyDescent="0.25">
      <c r="A114" s="206">
        <v>56000</v>
      </c>
      <c r="B114" s="207">
        <f t="shared" si="8"/>
        <v>4666.666666666667</v>
      </c>
      <c r="C114" s="208">
        <f>'Child care subsidy'!S117*12</f>
        <v>0</v>
      </c>
      <c r="D114" s="208">
        <f>MAX('TANF-VIEW'!L121,'TANF-VIEW'!T121)*12</f>
        <v>0</v>
      </c>
      <c r="E114" s="209">
        <f>SNAP!V118*12</f>
        <v>0</v>
      </c>
      <c r="F114" s="210">
        <f>WIC!F120*12</f>
        <v>0</v>
      </c>
      <c r="G114" s="208">
        <f>'Housing Voucher'!Q118*12</f>
        <v>0</v>
      </c>
      <c r="H114" s="211">
        <f>EITC!E117</f>
        <v>0</v>
      </c>
      <c r="I114" s="212">
        <f>Medicaid!N121*12</f>
        <v>0</v>
      </c>
      <c r="J114" s="213"/>
      <c r="K114" s="208">
        <f t="shared" si="5"/>
        <v>0</v>
      </c>
      <c r="L114" s="208">
        <f t="shared" si="6"/>
        <v>56000</v>
      </c>
      <c r="M114" s="36">
        <f t="shared" si="4"/>
        <v>4666.666666666667</v>
      </c>
    </row>
    <row r="115" spans="1:13" x14ac:dyDescent="0.25">
      <c r="A115" s="186">
        <v>56500</v>
      </c>
      <c r="B115" s="33">
        <f t="shared" si="8"/>
        <v>4708.333333333333</v>
      </c>
      <c r="C115" s="185">
        <f>'Child care subsidy'!S118*12</f>
        <v>0</v>
      </c>
      <c r="D115" s="185">
        <f>MAX('TANF-VIEW'!L122,'TANF-VIEW'!T122)*12</f>
        <v>0</v>
      </c>
      <c r="E115" s="193">
        <f>SNAP!V119*12</f>
        <v>0</v>
      </c>
      <c r="F115" s="184">
        <f>WIC!F121*12</f>
        <v>0</v>
      </c>
      <c r="G115" s="185">
        <f>'Housing Voucher'!Q119*12</f>
        <v>0</v>
      </c>
      <c r="H115" s="197">
        <f>EITC!E118</f>
        <v>0</v>
      </c>
      <c r="I115" s="205">
        <f>Medicaid!N122*12</f>
        <v>0</v>
      </c>
      <c r="K115" s="185">
        <f t="shared" si="5"/>
        <v>0</v>
      </c>
      <c r="L115" s="185">
        <f t="shared" si="6"/>
        <v>56500</v>
      </c>
      <c r="M115" s="36">
        <f t="shared" si="4"/>
        <v>4708.333333333333</v>
      </c>
    </row>
    <row r="116" spans="1:13" x14ac:dyDescent="0.25">
      <c r="A116" s="186">
        <v>57000</v>
      </c>
      <c r="B116" s="33">
        <f t="shared" si="8"/>
        <v>4750</v>
      </c>
      <c r="C116" s="185">
        <f>'Child care subsidy'!S119*12</f>
        <v>0</v>
      </c>
      <c r="D116" s="185">
        <f>MAX('TANF-VIEW'!L123,'TANF-VIEW'!T123)*12</f>
        <v>0</v>
      </c>
      <c r="E116" s="193">
        <f>SNAP!V120*12</f>
        <v>0</v>
      </c>
      <c r="F116" s="184">
        <f>WIC!F122*12</f>
        <v>0</v>
      </c>
      <c r="G116" s="185">
        <f>'Housing Voucher'!Q120*12</f>
        <v>0</v>
      </c>
      <c r="H116" s="197">
        <f>EITC!E119</f>
        <v>0</v>
      </c>
      <c r="I116" s="205">
        <f>Medicaid!N123*12</f>
        <v>0</v>
      </c>
      <c r="K116" s="185">
        <f t="shared" si="5"/>
        <v>0</v>
      </c>
      <c r="L116" s="185">
        <f t="shared" si="6"/>
        <v>57000</v>
      </c>
      <c r="M116" s="36">
        <f t="shared" si="4"/>
        <v>4750</v>
      </c>
    </row>
    <row r="117" spans="1:13" x14ac:dyDescent="0.25">
      <c r="A117" s="186">
        <v>57500</v>
      </c>
      <c r="B117" s="33">
        <f t="shared" si="8"/>
        <v>4791.666666666667</v>
      </c>
      <c r="C117" s="185">
        <f>'Child care subsidy'!S120*12</f>
        <v>0</v>
      </c>
      <c r="D117" s="185">
        <f>MAX('TANF-VIEW'!L124,'TANF-VIEW'!T124)*12</f>
        <v>0</v>
      </c>
      <c r="E117" s="193">
        <f>SNAP!V121*12</f>
        <v>0</v>
      </c>
      <c r="F117" s="184">
        <f>WIC!F123*12</f>
        <v>0</v>
      </c>
      <c r="G117" s="185">
        <f>'Housing Voucher'!Q121*12</f>
        <v>0</v>
      </c>
      <c r="H117" s="197">
        <f>EITC!E120</f>
        <v>0</v>
      </c>
      <c r="I117" s="205">
        <f>Medicaid!N124*12</f>
        <v>0</v>
      </c>
      <c r="K117" s="185">
        <f t="shared" si="5"/>
        <v>0</v>
      </c>
      <c r="L117" s="185">
        <f t="shared" si="6"/>
        <v>57500</v>
      </c>
      <c r="M117" s="36">
        <f t="shared" si="4"/>
        <v>4791.666666666667</v>
      </c>
    </row>
    <row r="118" spans="1:13" x14ac:dyDescent="0.25">
      <c r="A118" s="186">
        <v>58000</v>
      </c>
      <c r="B118" s="33">
        <f t="shared" si="8"/>
        <v>4833.333333333333</v>
      </c>
      <c r="C118" s="185">
        <f>'Child care subsidy'!S121*12</f>
        <v>0</v>
      </c>
      <c r="D118" s="185">
        <f>MAX('TANF-VIEW'!L125,'TANF-VIEW'!T125)*12</f>
        <v>0</v>
      </c>
      <c r="E118" s="193">
        <f>SNAP!V122*12</f>
        <v>0</v>
      </c>
      <c r="F118" s="184">
        <f>WIC!F124*12</f>
        <v>0</v>
      </c>
      <c r="G118" s="185">
        <f>'Housing Voucher'!Q122*12</f>
        <v>0</v>
      </c>
      <c r="H118" s="197">
        <f>EITC!E121</f>
        <v>0</v>
      </c>
      <c r="I118" s="205">
        <f>Medicaid!N125*12</f>
        <v>0</v>
      </c>
      <c r="K118" s="185">
        <f t="shared" si="5"/>
        <v>0</v>
      </c>
      <c r="L118" s="185">
        <f t="shared" si="6"/>
        <v>58000</v>
      </c>
      <c r="M118" s="36">
        <f t="shared" si="4"/>
        <v>4833.333333333333</v>
      </c>
    </row>
    <row r="119" spans="1:13" x14ac:dyDescent="0.25">
      <c r="A119" s="186">
        <v>58500</v>
      </c>
      <c r="B119" s="33">
        <f t="shared" si="8"/>
        <v>4875</v>
      </c>
      <c r="C119" s="185">
        <f>'Child care subsidy'!S122*12</f>
        <v>0</v>
      </c>
      <c r="D119" s="185">
        <f>MAX('TANF-VIEW'!L126,'TANF-VIEW'!T126)*12</f>
        <v>0</v>
      </c>
      <c r="E119" s="193">
        <f>SNAP!V123*12</f>
        <v>0</v>
      </c>
      <c r="F119" s="184">
        <f>WIC!F125*12</f>
        <v>0</v>
      </c>
      <c r="G119" s="185">
        <f>'Housing Voucher'!Q123*12</f>
        <v>0</v>
      </c>
      <c r="H119" s="197">
        <f>EITC!E122</f>
        <v>0</v>
      </c>
      <c r="I119" s="205">
        <f>Medicaid!N126*12</f>
        <v>0</v>
      </c>
      <c r="K119" s="185">
        <f t="shared" si="5"/>
        <v>0</v>
      </c>
      <c r="L119" s="185">
        <f t="shared" si="6"/>
        <v>58500</v>
      </c>
      <c r="M119" s="36">
        <f t="shared" si="4"/>
        <v>4875</v>
      </c>
    </row>
    <row r="120" spans="1:13" x14ac:dyDescent="0.25">
      <c r="A120" s="186">
        <v>59000</v>
      </c>
      <c r="B120" s="33">
        <f t="shared" si="8"/>
        <v>4916.666666666667</v>
      </c>
      <c r="C120" s="185">
        <f>'Child care subsidy'!S123*12</f>
        <v>0</v>
      </c>
      <c r="D120" s="185">
        <f>MAX('TANF-VIEW'!L127,'TANF-VIEW'!T127)*12</f>
        <v>0</v>
      </c>
      <c r="E120" s="193">
        <f>SNAP!V124*12</f>
        <v>0</v>
      </c>
      <c r="F120" s="184">
        <f>WIC!F126*12</f>
        <v>0</v>
      </c>
      <c r="G120" s="185">
        <f>'Housing Voucher'!Q124*12</f>
        <v>0</v>
      </c>
      <c r="H120" s="197">
        <f>EITC!E123</f>
        <v>0</v>
      </c>
      <c r="I120" s="205">
        <f>Medicaid!N127*12</f>
        <v>0</v>
      </c>
      <c r="K120" s="185">
        <f t="shared" si="5"/>
        <v>0</v>
      </c>
      <c r="L120" s="185">
        <f t="shared" si="6"/>
        <v>59000</v>
      </c>
      <c r="M120" s="36">
        <f t="shared" si="4"/>
        <v>4916.666666666667</v>
      </c>
    </row>
    <row r="121" spans="1:13" x14ac:dyDescent="0.25">
      <c r="A121" s="186">
        <v>59500</v>
      </c>
      <c r="B121" s="33">
        <f t="shared" si="8"/>
        <v>4958.333333333333</v>
      </c>
      <c r="C121" s="185">
        <f>'Child care subsidy'!S124*12</f>
        <v>0</v>
      </c>
      <c r="D121" s="185">
        <f>MAX('TANF-VIEW'!L128,'TANF-VIEW'!T128)*12</f>
        <v>0</v>
      </c>
      <c r="E121" s="193">
        <f>SNAP!V125*12</f>
        <v>0</v>
      </c>
      <c r="F121" s="184">
        <f>WIC!F127*12</f>
        <v>0</v>
      </c>
      <c r="G121" s="185">
        <f>'Housing Voucher'!Q125*12</f>
        <v>0</v>
      </c>
      <c r="H121" s="197">
        <f>EITC!E124</f>
        <v>0</v>
      </c>
      <c r="I121" s="205">
        <f>Medicaid!N128*12</f>
        <v>0</v>
      </c>
      <c r="K121" s="185">
        <f t="shared" si="5"/>
        <v>0</v>
      </c>
      <c r="L121" s="185">
        <f t="shared" si="6"/>
        <v>59500</v>
      </c>
      <c r="M121" s="36">
        <f t="shared" si="4"/>
        <v>4958.333333333333</v>
      </c>
    </row>
    <row r="122" spans="1:13" x14ac:dyDescent="0.25">
      <c r="A122" s="186">
        <v>60000</v>
      </c>
      <c r="B122" s="33">
        <f t="shared" si="8"/>
        <v>5000</v>
      </c>
      <c r="C122" s="185">
        <f>'Child care subsidy'!S125*12</f>
        <v>0</v>
      </c>
      <c r="D122" s="185">
        <f>MAX('TANF-VIEW'!L129,'TANF-VIEW'!T129)*12</f>
        <v>0</v>
      </c>
      <c r="E122" s="193">
        <f>SNAP!V126*12</f>
        <v>0</v>
      </c>
      <c r="F122" s="184">
        <f>WIC!F128*12</f>
        <v>0</v>
      </c>
      <c r="G122" s="185">
        <f>'Housing Voucher'!Q126*12</f>
        <v>0</v>
      </c>
      <c r="H122" s="197">
        <f>EITC!E125</f>
        <v>0</v>
      </c>
      <c r="I122" s="205">
        <f>Medicaid!N129*12</f>
        <v>0</v>
      </c>
      <c r="K122" s="185">
        <f t="shared" si="5"/>
        <v>0</v>
      </c>
      <c r="L122" s="185">
        <f t="shared" si="6"/>
        <v>60000</v>
      </c>
      <c r="M122" s="36">
        <f t="shared" si="4"/>
        <v>5000</v>
      </c>
    </row>
    <row r="123" spans="1:13" x14ac:dyDescent="0.25">
      <c r="A123" s="186">
        <v>60500</v>
      </c>
      <c r="B123" s="33">
        <f t="shared" si="8"/>
        <v>5041.666666666667</v>
      </c>
      <c r="C123" s="185">
        <f>'Child care subsidy'!S126*12</f>
        <v>0</v>
      </c>
      <c r="D123" s="185">
        <f>MAX('TANF-VIEW'!L130,'TANF-VIEW'!T130)*12</f>
        <v>0</v>
      </c>
      <c r="E123" s="193">
        <f>SNAP!V127*12</f>
        <v>0</v>
      </c>
      <c r="F123" s="184">
        <f>WIC!F129*12</f>
        <v>0</v>
      </c>
      <c r="G123" s="185">
        <f>'Housing Voucher'!Q127*12</f>
        <v>0</v>
      </c>
      <c r="H123" s="197">
        <f>EITC!E126</f>
        <v>0</v>
      </c>
      <c r="I123" s="205">
        <f>Medicaid!N130*12</f>
        <v>0</v>
      </c>
      <c r="K123" s="185">
        <f t="shared" si="5"/>
        <v>0</v>
      </c>
      <c r="L123" s="185">
        <f t="shared" si="6"/>
        <v>60500</v>
      </c>
      <c r="M123" s="36">
        <f t="shared" si="4"/>
        <v>5041.666666666667</v>
      </c>
    </row>
    <row r="124" spans="1:13" x14ac:dyDescent="0.25">
      <c r="A124" s="186">
        <v>61000</v>
      </c>
      <c r="B124" s="33">
        <f t="shared" si="8"/>
        <v>5083.333333333333</v>
      </c>
      <c r="C124" s="185">
        <f>'Child care subsidy'!S127*12</f>
        <v>0</v>
      </c>
      <c r="D124" s="185">
        <f>MAX('TANF-VIEW'!L131,'TANF-VIEW'!T131)*12</f>
        <v>0</v>
      </c>
      <c r="E124" s="193">
        <f>SNAP!V128*12</f>
        <v>0</v>
      </c>
      <c r="F124" s="184">
        <f>WIC!F130*12</f>
        <v>0</v>
      </c>
      <c r="G124" s="185">
        <f>'Housing Voucher'!Q128*12</f>
        <v>0</v>
      </c>
      <c r="H124" s="197">
        <f>EITC!E127</f>
        <v>0</v>
      </c>
      <c r="I124" s="205">
        <f>Medicaid!N131*12</f>
        <v>0</v>
      </c>
      <c r="K124" s="185">
        <f t="shared" si="5"/>
        <v>0</v>
      </c>
      <c r="L124" s="185">
        <f t="shared" si="6"/>
        <v>61000</v>
      </c>
      <c r="M124" s="36">
        <f t="shared" si="4"/>
        <v>5083.333333333333</v>
      </c>
    </row>
    <row r="125" spans="1:13" x14ac:dyDescent="0.25">
      <c r="A125" s="186">
        <v>61500</v>
      </c>
      <c r="B125" s="33">
        <f t="shared" si="8"/>
        <v>5125</v>
      </c>
      <c r="C125" s="185">
        <f>'Child care subsidy'!S128*12</f>
        <v>0</v>
      </c>
      <c r="D125" s="185">
        <f>MAX('TANF-VIEW'!L132,'TANF-VIEW'!T132)*12</f>
        <v>0</v>
      </c>
      <c r="E125" s="193">
        <f>SNAP!V129*12</f>
        <v>0</v>
      </c>
      <c r="F125" s="184">
        <f>WIC!F131*12</f>
        <v>0</v>
      </c>
      <c r="G125" s="185">
        <f>'Housing Voucher'!Q129*12</f>
        <v>0</v>
      </c>
      <c r="H125" s="197">
        <f>EITC!E128</f>
        <v>0</v>
      </c>
      <c r="I125" s="205">
        <f>Medicaid!N132*12</f>
        <v>0</v>
      </c>
      <c r="K125" s="185">
        <f t="shared" si="5"/>
        <v>0</v>
      </c>
      <c r="L125" s="185">
        <f t="shared" si="6"/>
        <v>61500</v>
      </c>
      <c r="M125" s="36">
        <f t="shared" si="4"/>
        <v>5125</v>
      </c>
    </row>
    <row r="126" spans="1:13" x14ac:dyDescent="0.25">
      <c r="A126" s="186">
        <v>62000</v>
      </c>
      <c r="B126" s="33">
        <f t="shared" si="8"/>
        <v>5166.666666666667</v>
      </c>
      <c r="C126" s="185">
        <f>'Child care subsidy'!S129*12</f>
        <v>0</v>
      </c>
      <c r="D126" s="185">
        <f>MAX('TANF-VIEW'!L133,'TANF-VIEW'!T133)*12</f>
        <v>0</v>
      </c>
      <c r="E126" s="193">
        <f>SNAP!V130*12</f>
        <v>0</v>
      </c>
      <c r="F126" s="184">
        <f>WIC!F132*12</f>
        <v>0</v>
      </c>
      <c r="G126" s="185">
        <f>'Housing Voucher'!Q130*12</f>
        <v>0</v>
      </c>
      <c r="H126" s="197">
        <f>EITC!E129</f>
        <v>0</v>
      </c>
      <c r="I126" s="205">
        <f>Medicaid!N133*12</f>
        <v>0</v>
      </c>
      <c r="K126" s="185">
        <f t="shared" si="5"/>
        <v>0</v>
      </c>
      <c r="L126" s="185">
        <f t="shared" si="6"/>
        <v>62000</v>
      </c>
      <c r="M126" s="36">
        <f t="shared" si="4"/>
        <v>5166.666666666667</v>
      </c>
    </row>
    <row r="127" spans="1:13" x14ac:dyDescent="0.25">
      <c r="A127" s="186">
        <v>62500</v>
      </c>
      <c r="B127" s="33">
        <f t="shared" si="8"/>
        <v>5208.333333333333</v>
      </c>
      <c r="C127" s="185">
        <f>'Child care subsidy'!S130*12</f>
        <v>0</v>
      </c>
      <c r="D127" s="185">
        <f>MAX('TANF-VIEW'!L134,'TANF-VIEW'!T134)*12</f>
        <v>0</v>
      </c>
      <c r="E127" s="193">
        <f>SNAP!V131*12</f>
        <v>0</v>
      </c>
      <c r="F127" s="184">
        <f>WIC!F133*12</f>
        <v>0</v>
      </c>
      <c r="G127" s="185">
        <f>'Housing Voucher'!Q131*12</f>
        <v>0</v>
      </c>
      <c r="H127" s="197">
        <f>EITC!E130</f>
        <v>0</v>
      </c>
      <c r="I127" s="205">
        <f>Medicaid!N134*12</f>
        <v>0</v>
      </c>
      <c r="K127" s="185">
        <f t="shared" si="5"/>
        <v>0</v>
      </c>
      <c r="L127" s="185">
        <f t="shared" si="6"/>
        <v>62500</v>
      </c>
      <c r="M127" s="36">
        <f t="shared" si="4"/>
        <v>5208.333333333333</v>
      </c>
    </row>
    <row r="128" spans="1:13" x14ac:dyDescent="0.25">
      <c r="A128" s="186">
        <v>63000</v>
      </c>
      <c r="B128" s="33">
        <f t="shared" si="8"/>
        <v>5250</v>
      </c>
      <c r="C128" s="185">
        <f>'Child care subsidy'!S131*12</f>
        <v>0</v>
      </c>
      <c r="D128" s="185">
        <f>MAX('TANF-VIEW'!L135,'TANF-VIEW'!T135)*12</f>
        <v>0</v>
      </c>
      <c r="E128" s="193">
        <f>SNAP!V132*12</f>
        <v>0</v>
      </c>
      <c r="F128" s="184">
        <f>WIC!F134*12</f>
        <v>0</v>
      </c>
      <c r="G128" s="185">
        <f>'Housing Voucher'!Q132*12</f>
        <v>0</v>
      </c>
      <c r="H128" s="197">
        <f>EITC!E131</f>
        <v>0</v>
      </c>
      <c r="I128" s="205">
        <f>Medicaid!N135*12</f>
        <v>0</v>
      </c>
      <c r="K128" s="185">
        <f t="shared" si="5"/>
        <v>0</v>
      </c>
      <c r="L128" s="185">
        <f t="shared" si="6"/>
        <v>63000</v>
      </c>
      <c r="M128" s="36">
        <f t="shared" si="4"/>
        <v>5250</v>
      </c>
    </row>
    <row r="129" spans="1:16" x14ac:dyDescent="0.25">
      <c r="A129" s="186">
        <v>63500</v>
      </c>
      <c r="B129" s="33">
        <f t="shared" si="8"/>
        <v>5291.666666666667</v>
      </c>
      <c r="C129" s="185">
        <f>'Child care subsidy'!S132*12</f>
        <v>0</v>
      </c>
      <c r="D129" s="185">
        <f>MAX('TANF-VIEW'!L136,'TANF-VIEW'!T136)*12</f>
        <v>0</v>
      </c>
      <c r="E129" s="193">
        <f>SNAP!V133*12</f>
        <v>0</v>
      </c>
      <c r="F129" s="184">
        <f>WIC!F135*12</f>
        <v>0</v>
      </c>
      <c r="G129" s="185">
        <f>'Housing Voucher'!Q133*12</f>
        <v>0</v>
      </c>
      <c r="H129" s="197">
        <f>EITC!E132</f>
        <v>0</v>
      </c>
      <c r="I129" s="205">
        <f>Medicaid!N136*12</f>
        <v>0</v>
      </c>
      <c r="K129" s="185">
        <f t="shared" si="5"/>
        <v>0</v>
      </c>
      <c r="L129" s="185">
        <f t="shared" si="6"/>
        <v>63500</v>
      </c>
      <c r="M129" s="36">
        <f t="shared" si="4"/>
        <v>5291.666666666667</v>
      </c>
    </row>
    <row r="130" spans="1:16" x14ac:dyDescent="0.25">
      <c r="A130" s="186">
        <v>64000</v>
      </c>
      <c r="B130" s="33">
        <f t="shared" si="8"/>
        <v>5333.333333333333</v>
      </c>
      <c r="C130" s="185">
        <f>'Child care subsidy'!S133*12</f>
        <v>0</v>
      </c>
      <c r="D130" s="185">
        <f>MAX('TANF-VIEW'!L137,'TANF-VIEW'!T137)*12</f>
        <v>0</v>
      </c>
      <c r="E130" s="193">
        <f>SNAP!V134*12</f>
        <v>0</v>
      </c>
      <c r="F130" s="184">
        <f>WIC!F136*12</f>
        <v>0</v>
      </c>
      <c r="G130" s="185">
        <f>'Housing Voucher'!Q134*12</f>
        <v>0</v>
      </c>
      <c r="H130" s="197">
        <f>EITC!E133</f>
        <v>0</v>
      </c>
      <c r="I130" s="205">
        <f>Medicaid!N137*12</f>
        <v>0</v>
      </c>
      <c r="K130" s="185">
        <f t="shared" si="5"/>
        <v>0</v>
      </c>
      <c r="L130" s="185">
        <f t="shared" si="6"/>
        <v>64000</v>
      </c>
      <c r="M130" s="36">
        <f t="shared" si="4"/>
        <v>5333.333333333333</v>
      </c>
    </row>
    <row r="131" spans="1:16" x14ac:dyDescent="0.25">
      <c r="A131" s="186">
        <v>64500</v>
      </c>
      <c r="B131" s="33">
        <f t="shared" si="8"/>
        <v>5375</v>
      </c>
      <c r="C131" s="185">
        <f>'Child care subsidy'!S134*12</f>
        <v>0</v>
      </c>
      <c r="D131" s="185">
        <f>MAX('TANF-VIEW'!L138,'TANF-VIEW'!T138)*12</f>
        <v>0</v>
      </c>
      <c r="E131" s="193">
        <f>SNAP!V135*12</f>
        <v>0</v>
      </c>
      <c r="F131" s="184">
        <f>WIC!F137*12</f>
        <v>0</v>
      </c>
      <c r="G131" s="185">
        <f>'Housing Voucher'!Q135*12</f>
        <v>0</v>
      </c>
      <c r="H131" s="197">
        <f>EITC!E134</f>
        <v>0</v>
      </c>
      <c r="I131" s="205">
        <f>Medicaid!N138*12</f>
        <v>0</v>
      </c>
      <c r="K131" s="185">
        <f t="shared" si="5"/>
        <v>0</v>
      </c>
      <c r="L131" s="185">
        <f t="shared" si="6"/>
        <v>64500</v>
      </c>
      <c r="M131" s="36">
        <f t="shared" ref="M131:M194" si="9">L131/12</f>
        <v>5375</v>
      </c>
    </row>
    <row r="132" spans="1:16" x14ac:dyDescent="0.25">
      <c r="A132" s="186">
        <v>65000</v>
      </c>
      <c r="B132" s="33">
        <f t="shared" si="8"/>
        <v>5416.666666666667</v>
      </c>
      <c r="C132" s="185">
        <f>'Child care subsidy'!S135*12</f>
        <v>0</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0</v>
      </c>
      <c r="L132" s="185">
        <f t="shared" ref="L132:L195" si="11">A132+K132</f>
        <v>65000</v>
      </c>
      <c r="M132" s="36">
        <f t="shared" si="9"/>
        <v>5416.666666666667</v>
      </c>
    </row>
    <row r="133" spans="1:16" x14ac:dyDescent="0.25">
      <c r="A133" s="186">
        <v>65500</v>
      </c>
      <c r="B133" s="33">
        <f t="shared" si="8"/>
        <v>5458.333333333333</v>
      </c>
      <c r="C133" s="185">
        <f>'Child care subsidy'!S136*12</f>
        <v>0</v>
      </c>
      <c r="D133" s="185">
        <f>MAX('TANF-VIEW'!L140,'TANF-VIEW'!T140)*12</f>
        <v>0</v>
      </c>
      <c r="E133" s="193">
        <f>SNAP!V137*12</f>
        <v>0</v>
      </c>
      <c r="F133" s="184">
        <f>WIC!F139*12</f>
        <v>0</v>
      </c>
      <c r="G133" s="185">
        <f>'Housing Voucher'!Q137*12</f>
        <v>0</v>
      </c>
      <c r="H133" s="197">
        <f>EITC!E136</f>
        <v>0</v>
      </c>
      <c r="I133" s="205">
        <f>Medicaid!N140*12</f>
        <v>0</v>
      </c>
      <c r="K133" s="185">
        <f t="shared" si="10"/>
        <v>0</v>
      </c>
      <c r="L133" s="185">
        <f t="shared" si="11"/>
        <v>65500</v>
      </c>
      <c r="M133" s="36">
        <f t="shared" si="9"/>
        <v>5458.333333333333</v>
      </c>
      <c r="P133" s="34">
        <f>C135/12</f>
        <v>0</v>
      </c>
    </row>
    <row r="134" spans="1:16" x14ac:dyDescent="0.25">
      <c r="A134" s="186">
        <v>66000</v>
      </c>
      <c r="B134" s="33">
        <f t="shared" si="8"/>
        <v>5500</v>
      </c>
      <c r="C134" s="185">
        <f>'Child care subsidy'!S137*12</f>
        <v>0</v>
      </c>
      <c r="D134" s="185">
        <f>MAX('TANF-VIEW'!L141,'TANF-VIEW'!T141)*12</f>
        <v>0</v>
      </c>
      <c r="E134" s="193">
        <f>SNAP!V138*12</f>
        <v>0</v>
      </c>
      <c r="F134" s="184">
        <f>WIC!F140*12</f>
        <v>0</v>
      </c>
      <c r="G134" s="185">
        <f>'Housing Voucher'!Q138*12</f>
        <v>0</v>
      </c>
      <c r="H134" s="197">
        <f>EITC!E137</f>
        <v>0</v>
      </c>
      <c r="I134" s="205">
        <f>Medicaid!N141*12</f>
        <v>0</v>
      </c>
      <c r="K134" s="185">
        <f t="shared" si="10"/>
        <v>0</v>
      </c>
      <c r="L134" s="185">
        <f t="shared" si="11"/>
        <v>66000</v>
      </c>
      <c r="M134" s="36">
        <f t="shared" si="9"/>
        <v>5500</v>
      </c>
    </row>
    <row r="135" spans="1:16" x14ac:dyDescent="0.25">
      <c r="A135" s="186">
        <v>66500</v>
      </c>
      <c r="B135" s="33">
        <f t="shared" si="8"/>
        <v>5541.666666666667</v>
      </c>
      <c r="C135" s="185">
        <f>'Child care subsidy'!S138*12</f>
        <v>0</v>
      </c>
      <c r="D135" s="185">
        <f>MAX('TANF-VIEW'!L142,'TANF-VIEW'!T142)*12</f>
        <v>0</v>
      </c>
      <c r="E135" s="193">
        <f>SNAP!V139*12</f>
        <v>0</v>
      </c>
      <c r="F135" s="184">
        <f>WIC!F141*12</f>
        <v>0</v>
      </c>
      <c r="G135" s="185">
        <f>'Housing Voucher'!Q139*12</f>
        <v>0</v>
      </c>
      <c r="H135" s="197">
        <f>EITC!E138</f>
        <v>0</v>
      </c>
      <c r="I135" s="205">
        <f>Medicaid!N142*12</f>
        <v>0</v>
      </c>
      <c r="K135" s="185">
        <f t="shared" si="10"/>
        <v>0</v>
      </c>
      <c r="L135" s="185">
        <f t="shared" si="11"/>
        <v>66500</v>
      </c>
      <c r="M135" s="36">
        <f t="shared" si="9"/>
        <v>5541.666666666667</v>
      </c>
    </row>
    <row r="136" spans="1:16" x14ac:dyDescent="0.25">
      <c r="A136" s="186">
        <v>67000</v>
      </c>
      <c r="B136" s="33">
        <f t="shared" si="8"/>
        <v>5583.333333333333</v>
      </c>
      <c r="C136" s="185">
        <f>'Child care subsidy'!S139*12</f>
        <v>0</v>
      </c>
      <c r="D136" s="185">
        <f>MAX('TANF-VIEW'!L143,'TANF-VIEW'!T143)*12</f>
        <v>0</v>
      </c>
      <c r="E136" s="193">
        <f>SNAP!V140*12</f>
        <v>0</v>
      </c>
      <c r="F136" s="184">
        <f>WIC!F142*12</f>
        <v>0</v>
      </c>
      <c r="G136" s="185">
        <f>'Housing Voucher'!Q140*12</f>
        <v>0</v>
      </c>
      <c r="H136" s="197">
        <f>EITC!E139</f>
        <v>0</v>
      </c>
      <c r="I136" s="205">
        <f>Medicaid!N143*12</f>
        <v>0</v>
      </c>
      <c r="K136" s="185">
        <f t="shared" si="10"/>
        <v>0</v>
      </c>
      <c r="L136" s="185">
        <f t="shared" si="11"/>
        <v>67000</v>
      </c>
      <c r="M136" s="36">
        <f t="shared" si="9"/>
        <v>5583.333333333333</v>
      </c>
    </row>
    <row r="137" spans="1:16" x14ac:dyDescent="0.25">
      <c r="A137" s="186">
        <v>67500</v>
      </c>
      <c r="B137" s="33">
        <f t="shared" si="8"/>
        <v>5625</v>
      </c>
      <c r="C137" s="185">
        <f>'Child care subsidy'!S140*12</f>
        <v>0</v>
      </c>
      <c r="D137" s="185">
        <f>MAX('TANF-VIEW'!L144,'TANF-VIEW'!T144)*12</f>
        <v>0</v>
      </c>
      <c r="E137" s="193">
        <f>SNAP!V141*12</f>
        <v>0</v>
      </c>
      <c r="F137" s="184">
        <f>WIC!F143*12</f>
        <v>0</v>
      </c>
      <c r="G137" s="185">
        <f>'Housing Voucher'!Q141*12</f>
        <v>0</v>
      </c>
      <c r="H137" s="197">
        <f>EITC!E140</f>
        <v>0</v>
      </c>
      <c r="I137" s="205">
        <f>Medicaid!N144*12</f>
        <v>0</v>
      </c>
      <c r="K137" s="185">
        <f t="shared" si="10"/>
        <v>0</v>
      </c>
      <c r="L137" s="185">
        <f t="shared" si="11"/>
        <v>67500</v>
      </c>
      <c r="M137" s="36">
        <f t="shared" si="9"/>
        <v>5625</v>
      </c>
    </row>
    <row r="138" spans="1:16" x14ac:dyDescent="0.25">
      <c r="A138" s="186">
        <v>68000</v>
      </c>
      <c r="B138" s="33">
        <f t="shared" si="8"/>
        <v>5666.666666666667</v>
      </c>
      <c r="C138" s="185">
        <f>'Child care subsidy'!S141*12</f>
        <v>0</v>
      </c>
      <c r="D138" s="185">
        <f>MAX('TANF-VIEW'!L145,'TANF-VIEW'!T145)*12</f>
        <v>0</v>
      </c>
      <c r="E138" s="193">
        <f>SNAP!V142*12</f>
        <v>0</v>
      </c>
      <c r="F138" s="184">
        <f>WIC!F144*12</f>
        <v>0</v>
      </c>
      <c r="G138" s="185">
        <f>'Housing Voucher'!Q142*12</f>
        <v>0</v>
      </c>
      <c r="H138" s="197">
        <f>EITC!E141</f>
        <v>0</v>
      </c>
      <c r="I138" s="205">
        <f>Medicaid!N145*12</f>
        <v>0</v>
      </c>
      <c r="K138" s="185">
        <f t="shared" si="10"/>
        <v>0</v>
      </c>
      <c r="L138" s="185">
        <f t="shared" si="11"/>
        <v>68000</v>
      </c>
      <c r="M138" s="36">
        <f t="shared" si="9"/>
        <v>5666.666666666667</v>
      </c>
    </row>
    <row r="139" spans="1:16" x14ac:dyDescent="0.25">
      <c r="A139" s="186">
        <v>68500</v>
      </c>
      <c r="B139" s="33">
        <f t="shared" si="8"/>
        <v>5708.333333333333</v>
      </c>
      <c r="C139" s="185">
        <f>'Child care subsidy'!S142*12</f>
        <v>0</v>
      </c>
      <c r="D139" s="185">
        <f>MAX('TANF-VIEW'!L146,'TANF-VIEW'!T146)*12</f>
        <v>0</v>
      </c>
      <c r="E139" s="193">
        <f>SNAP!V143*12</f>
        <v>0</v>
      </c>
      <c r="F139" s="184">
        <f>WIC!F145*12</f>
        <v>0</v>
      </c>
      <c r="G139" s="185">
        <f>'Housing Voucher'!Q143*12</f>
        <v>0</v>
      </c>
      <c r="H139" s="197">
        <f>EITC!E142</f>
        <v>0</v>
      </c>
      <c r="I139" s="205">
        <f>Medicaid!N146*12</f>
        <v>0</v>
      </c>
      <c r="K139" s="185">
        <f t="shared" si="10"/>
        <v>0</v>
      </c>
      <c r="L139" s="185">
        <f t="shared" si="11"/>
        <v>68500</v>
      </c>
      <c r="M139" s="36">
        <f t="shared" si="9"/>
        <v>5708.333333333333</v>
      </c>
    </row>
    <row r="140" spans="1:16" x14ac:dyDescent="0.25">
      <c r="A140" s="186">
        <v>69000</v>
      </c>
      <c r="B140" s="33">
        <f t="shared" si="8"/>
        <v>5750</v>
      </c>
      <c r="C140" s="185">
        <f>'Child care subsidy'!S143*12</f>
        <v>0</v>
      </c>
      <c r="D140" s="185">
        <f>MAX('TANF-VIEW'!L147,'TANF-VIEW'!T147)*12</f>
        <v>0</v>
      </c>
      <c r="E140" s="193">
        <f>SNAP!V144*12</f>
        <v>0</v>
      </c>
      <c r="F140" s="184">
        <f>WIC!F146*12</f>
        <v>0</v>
      </c>
      <c r="G140" s="185">
        <f>'Housing Voucher'!Q144*12</f>
        <v>0</v>
      </c>
      <c r="H140" s="197">
        <f>EITC!E143</f>
        <v>0</v>
      </c>
      <c r="I140" s="205">
        <f>Medicaid!N147*12</f>
        <v>0</v>
      </c>
      <c r="K140" s="185">
        <f t="shared" si="10"/>
        <v>0</v>
      </c>
      <c r="L140" s="185">
        <f t="shared" si="11"/>
        <v>69000</v>
      </c>
      <c r="M140" s="36">
        <f t="shared" si="9"/>
        <v>5750</v>
      </c>
    </row>
    <row r="141" spans="1:16" x14ac:dyDescent="0.25">
      <c r="A141" s="186">
        <v>69500</v>
      </c>
      <c r="B141" s="33">
        <f t="shared" si="8"/>
        <v>5791.666666666667</v>
      </c>
      <c r="C141" s="185">
        <f>'Child care subsidy'!S144*12</f>
        <v>0</v>
      </c>
      <c r="D141" s="185">
        <f>MAX('TANF-VIEW'!L148,'TANF-VIEW'!T148)*12</f>
        <v>0</v>
      </c>
      <c r="E141" s="193">
        <f>SNAP!V145*12</f>
        <v>0</v>
      </c>
      <c r="F141" s="184">
        <f>WIC!F147*12</f>
        <v>0</v>
      </c>
      <c r="G141" s="185">
        <f>'Housing Voucher'!Q145*12</f>
        <v>0</v>
      </c>
      <c r="H141" s="197">
        <f>EITC!E144</f>
        <v>0</v>
      </c>
      <c r="I141" s="205">
        <f>Medicaid!N148*12</f>
        <v>0</v>
      </c>
      <c r="K141" s="185">
        <f t="shared" si="10"/>
        <v>0</v>
      </c>
      <c r="L141" s="185">
        <f t="shared" si="11"/>
        <v>69500</v>
      </c>
      <c r="M141" s="36">
        <f t="shared" si="9"/>
        <v>5791.666666666667</v>
      </c>
    </row>
    <row r="142" spans="1:16" x14ac:dyDescent="0.25">
      <c r="A142" s="186">
        <v>70000</v>
      </c>
      <c r="B142" s="33">
        <f t="shared" si="8"/>
        <v>5833.333333333333</v>
      </c>
      <c r="C142" s="185">
        <f>'Child care subsidy'!S145*12</f>
        <v>0</v>
      </c>
      <c r="D142" s="185">
        <f>MAX('TANF-VIEW'!L149,'TANF-VIEW'!T149)*12</f>
        <v>0</v>
      </c>
      <c r="E142" s="193">
        <f>SNAP!V146*12</f>
        <v>0</v>
      </c>
      <c r="F142" s="184">
        <f>WIC!F148*12</f>
        <v>0</v>
      </c>
      <c r="G142" s="185">
        <f>'Housing Voucher'!Q146*12</f>
        <v>0</v>
      </c>
      <c r="H142" s="197">
        <f>EITC!E145</f>
        <v>0</v>
      </c>
      <c r="I142" s="205">
        <f>Medicaid!N149*12</f>
        <v>0</v>
      </c>
      <c r="K142" s="185">
        <f t="shared" si="10"/>
        <v>0</v>
      </c>
      <c r="L142" s="185">
        <f t="shared" si="11"/>
        <v>70000</v>
      </c>
      <c r="M142" s="36">
        <f t="shared" si="9"/>
        <v>5833.333333333333</v>
      </c>
    </row>
    <row r="143" spans="1:16" x14ac:dyDescent="0.25">
      <c r="A143" s="186">
        <v>70500</v>
      </c>
      <c r="B143" s="33">
        <f t="shared" si="8"/>
        <v>5875</v>
      </c>
      <c r="C143" s="185">
        <f>'Child care subsidy'!S146*12</f>
        <v>0</v>
      </c>
      <c r="D143" s="185">
        <f>MAX('TANF-VIEW'!L150,'TANF-VIEW'!T150)*12</f>
        <v>0</v>
      </c>
      <c r="E143" s="193">
        <f>SNAP!V147*12</f>
        <v>0</v>
      </c>
      <c r="F143" s="184">
        <f>WIC!F149*12</f>
        <v>0</v>
      </c>
      <c r="G143" s="185">
        <f>'Housing Voucher'!Q147*12</f>
        <v>0</v>
      </c>
      <c r="H143" s="197">
        <f>EITC!E146</f>
        <v>0</v>
      </c>
      <c r="I143" s="205">
        <f>Medicaid!N150*12</f>
        <v>0</v>
      </c>
      <c r="K143" s="185">
        <f t="shared" si="10"/>
        <v>0</v>
      </c>
      <c r="L143" s="185">
        <f t="shared" si="11"/>
        <v>70500</v>
      </c>
      <c r="M143" s="36">
        <f t="shared" si="9"/>
        <v>5875</v>
      </c>
    </row>
    <row r="144" spans="1:16" x14ac:dyDescent="0.25">
      <c r="A144" s="186">
        <v>71000</v>
      </c>
      <c r="B144" s="33">
        <f t="shared" si="8"/>
        <v>5916.666666666667</v>
      </c>
      <c r="C144" s="185">
        <f>'Child care subsidy'!S147*12</f>
        <v>0</v>
      </c>
      <c r="D144" s="185">
        <f>MAX('TANF-VIEW'!L151,'TANF-VIEW'!T151)*12</f>
        <v>0</v>
      </c>
      <c r="E144" s="193">
        <f>SNAP!V148*12</f>
        <v>0</v>
      </c>
      <c r="F144" s="184">
        <f>WIC!F150*12</f>
        <v>0</v>
      </c>
      <c r="G144" s="185">
        <f>'Housing Voucher'!Q148*12</f>
        <v>0</v>
      </c>
      <c r="H144" s="197">
        <f>EITC!E147</f>
        <v>0</v>
      </c>
      <c r="I144" s="205">
        <f>Medicaid!N151*12</f>
        <v>0</v>
      </c>
      <c r="K144" s="185">
        <f t="shared" si="10"/>
        <v>0</v>
      </c>
      <c r="L144" s="185">
        <f t="shared" si="11"/>
        <v>71000</v>
      </c>
      <c r="M144" s="36">
        <f t="shared" si="9"/>
        <v>5916.666666666667</v>
      </c>
    </row>
    <row r="145" spans="1:13" x14ac:dyDescent="0.25">
      <c r="A145" s="186">
        <v>71500</v>
      </c>
      <c r="B145" s="33">
        <f t="shared" si="8"/>
        <v>5958.333333333333</v>
      </c>
      <c r="C145" s="185">
        <f>'Child care subsidy'!S148*12</f>
        <v>0</v>
      </c>
      <c r="D145" s="185">
        <f>MAX('TANF-VIEW'!L152,'TANF-VIEW'!T152)*12</f>
        <v>0</v>
      </c>
      <c r="E145" s="193">
        <f>SNAP!V149*12</f>
        <v>0</v>
      </c>
      <c r="F145" s="184">
        <f>WIC!F151*12</f>
        <v>0</v>
      </c>
      <c r="G145" s="185">
        <f>'Housing Voucher'!Q149*12</f>
        <v>0</v>
      </c>
      <c r="H145" s="197">
        <f>EITC!E148</f>
        <v>0</v>
      </c>
      <c r="I145" s="205">
        <f>Medicaid!N152*12</f>
        <v>0</v>
      </c>
      <c r="K145" s="185">
        <f t="shared" si="10"/>
        <v>0</v>
      </c>
      <c r="L145" s="185">
        <f t="shared" si="11"/>
        <v>71500</v>
      </c>
      <c r="M145" s="36">
        <f t="shared" si="9"/>
        <v>5958.333333333333</v>
      </c>
    </row>
    <row r="146" spans="1:13" x14ac:dyDescent="0.25">
      <c r="A146" s="186">
        <v>72000</v>
      </c>
      <c r="B146" s="33">
        <f t="shared" si="8"/>
        <v>6000</v>
      </c>
      <c r="C146" s="185">
        <f>'Child care subsidy'!S149*12</f>
        <v>0</v>
      </c>
      <c r="D146" s="185">
        <f>MAX('TANF-VIEW'!L153,'TANF-VIEW'!T153)*12</f>
        <v>0</v>
      </c>
      <c r="E146" s="193">
        <f>SNAP!V150*12</f>
        <v>0</v>
      </c>
      <c r="F146" s="184">
        <f>WIC!F152*12</f>
        <v>0</v>
      </c>
      <c r="G146" s="185">
        <f>'Housing Voucher'!Q150*12</f>
        <v>0</v>
      </c>
      <c r="H146" s="197">
        <f>EITC!E149</f>
        <v>0</v>
      </c>
      <c r="I146" s="205">
        <f>Medicaid!N153*12</f>
        <v>0</v>
      </c>
      <c r="K146" s="185">
        <f t="shared" si="10"/>
        <v>0</v>
      </c>
      <c r="L146" s="185">
        <f t="shared" si="11"/>
        <v>72000</v>
      </c>
      <c r="M146" s="36">
        <f t="shared" si="9"/>
        <v>6000</v>
      </c>
    </row>
    <row r="147" spans="1:13" x14ac:dyDescent="0.25">
      <c r="A147" s="186">
        <v>72500</v>
      </c>
      <c r="B147" s="33">
        <f t="shared" si="8"/>
        <v>6041.666666666667</v>
      </c>
      <c r="C147" s="185">
        <f>'Child care subsidy'!S150*12</f>
        <v>0</v>
      </c>
      <c r="D147" s="185">
        <f>MAX('TANF-VIEW'!L154,'TANF-VIEW'!T154)*12</f>
        <v>0</v>
      </c>
      <c r="E147" s="193">
        <f>SNAP!V151*12</f>
        <v>0</v>
      </c>
      <c r="F147" s="184">
        <f>WIC!F153*12</f>
        <v>0</v>
      </c>
      <c r="G147" s="185">
        <f>'Housing Voucher'!Q151*12</f>
        <v>0</v>
      </c>
      <c r="H147" s="197">
        <f>EITC!E150</f>
        <v>0</v>
      </c>
      <c r="I147" s="205">
        <f>Medicaid!N154*12</f>
        <v>0</v>
      </c>
      <c r="K147" s="185">
        <f t="shared" si="10"/>
        <v>0</v>
      </c>
      <c r="L147" s="185">
        <f t="shared" si="11"/>
        <v>72500</v>
      </c>
      <c r="M147" s="36">
        <f t="shared" si="9"/>
        <v>6041.666666666667</v>
      </c>
    </row>
    <row r="148" spans="1:13" x14ac:dyDescent="0.25">
      <c r="A148" s="186">
        <v>73000</v>
      </c>
      <c r="B148" s="33">
        <f t="shared" si="8"/>
        <v>6083.333333333333</v>
      </c>
      <c r="C148" s="185">
        <f>'Child care subsidy'!S151*12</f>
        <v>0</v>
      </c>
      <c r="D148" s="185">
        <f>MAX('TANF-VIEW'!L155,'TANF-VIEW'!T155)*12</f>
        <v>0</v>
      </c>
      <c r="E148" s="193">
        <f>SNAP!V152*12</f>
        <v>0</v>
      </c>
      <c r="F148" s="184">
        <f>WIC!F154*12</f>
        <v>0</v>
      </c>
      <c r="G148" s="185">
        <f>'Housing Voucher'!Q152*12</f>
        <v>0</v>
      </c>
      <c r="H148" s="197">
        <f>EITC!E151</f>
        <v>0</v>
      </c>
      <c r="I148" s="205">
        <f>Medicaid!N155*12</f>
        <v>0</v>
      </c>
      <c r="K148" s="185">
        <f t="shared" si="10"/>
        <v>0</v>
      </c>
      <c r="L148" s="185">
        <f t="shared" si="11"/>
        <v>73000</v>
      </c>
      <c r="M148" s="36">
        <f t="shared" si="9"/>
        <v>6083.333333333333</v>
      </c>
    </row>
    <row r="149" spans="1:13" x14ac:dyDescent="0.25">
      <c r="A149" s="186">
        <v>73500</v>
      </c>
      <c r="B149" s="33">
        <f t="shared" si="8"/>
        <v>6125</v>
      </c>
      <c r="C149" s="185">
        <f>'Child care subsidy'!S152*12</f>
        <v>0</v>
      </c>
      <c r="D149" s="185">
        <f>MAX('TANF-VIEW'!L156,'TANF-VIEW'!T156)*12</f>
        <v>0</v>
      </c>
      <c r="E149" s="193">
        <f>SNAP!V153*12</f>
        <v>0</v>
      </c>
      <c r="F149" s="184">
        <f>WIC!F155*12</f>
        <v>0</v>
      </c>
      <c r="G149" s="185">
        <f>'Housing Voucher'!Q153*12</f>
        <v>0</v>
      </c>
      <c r="H149" s="197">
        <f>EITC!E152</f>
        <v>0</v>
      </c>
      <c r="I149" s="205">
        <f>Medicaid!N156*12</f>
        <v>0</v>
      </c>
      <c r="K149" s="185">
        <f t="shared" si="10"/>
        <v>0</v>
      </c>
      <c r="L149" s="185">
        <f t="shared" si="11"/>
        <v>73500</v>
      </c>
      <c r="M149" s="36">
        <f t="shared" si="9"/>
        <v>6125</v>
      </c>
    </row>
    <row r="150" spans="1:13" x14ac:dyDescent="0.25">
      <c r="A150" s="186">
        <v>74000</v>
      </c>
      <c r="B150" s="33">
        <f t="shared" si="8"/>
        <v>6166.666666666667</v>
      </c>
      <c r="C150" s="185">
        <f>'Child care subsidy'!S153*12</f>
        <v>0</v>
      </c>
      <c r="D150" s="185">
        <f>MAX('TANF-VIEW'!L157,'TANF-VIEW'!T157)*12</f>
        <v>0</v>
      </c>
      <c r="E150" s="193">
        <f>SNAP!V154*12</f>
        <v>0</v>
      </c>
      <c r="F150" s="184">
        <f>WIC!F156*12</f>
        <v>0</v>
      </c>
      <c r="G150" s="185">
        <f>'Housing Voucher'!Q154*12</f>
        <v>0</v>
      </c>
      <c r="H150" s="197">
        <f>EITC!E153</f>
        <v>0</v>
      </c>
      <c r="I150" s="205">
        <f>Medicaid!N157*12</f>
        <v>0</v>
      </c>
      <c r="K150" s="185">
        <f t="shared" si="10"/>
        <v>0</v>
      </c>
      <c r="L150" s="185">
        <f t="shared" si="11"/>
        <v>74000</v>
      </c>
      <c r="M150" s="36">
        <f t="shared" si="9"/>
        <v>6166.666666666667</v>
      </c>
    </row>
    <row r="151" spans="1:13" x14ac:dyDescent="0.25">
      <c r="A151" s="186">
        <v>74500</v>
      </c>
      <c r="B151" s="33">
        <f t="shared" si="8"/>
        <v>6208.333333333333</v>
      </c>
      <c r="C151" s="185">
        <f>'Child care subsidy'!S154*12</f>
        <v>0</v>
      </c>
      <c r="D151" s="185">
        <f>MAX('TANF-VIEW'!L158,'TANF-VIEW'!T158)*12</f>
        <v>0</v>
      </c>
      <c r="E151" s="193">
        <f>SNAP!V155*12</f>
        <v>0</v>
      </c>
      <c r="F151" s="184">
        <f>WIC!F157*12</f>
        <v>0</v>
      </c>
      <c r="G151" s="185">
        <f>'Housing Voucher'!Q155*12</f>
        <v>0</v>
      </c>
      <c r="H151" s="197">
        <f>EITC!E154</f>
        <v>0</v>
      </c>
      <c r="I151" s="205">
        <f>Medicaid!N158*12</f>
        <v>0</v>
      </c>
      <c r="K151" s="185">
        <f t="shared" si="10"/>
        <v>0</v>
      </c>
      <c r="L151" s="185">
        <f t="shared" si="11"/>
        <v>74500</v>
      </c>
      <c r="M151" s="36">
        <f t="shared" si="9"/>
        <v>6208.333333333333</v>
      </c>
    </row>
    <row r="152" spans="1:13" x14ac:dyDescent="0.25">
      <c r="A152" s="186">
        <v>75000</v>
      </c>
      <c r="B152" s="33">
        <f t="shared" si="8"/>
        <v>6250</v>
      </c>
      <c r="C152" s="185">
        <f>'Child care subsidy'!S155*12</f>
        <v>0</v>
      </c>
      <c r="D152" s="185">
        <f>MAX('TANF-VIEW'!L159,'TANF-VIEW'!T159)*12</f>
        <v>0</v>
      </c>
      <c r="E152" s="193">
        <f>SNAP!V156*12</f>
        <v>0</v>
      </c>
      <c r="F152" s="184">
        <f>WIC!F158*12</f>
        <v>0</v>
      </c>
      <c r="G152" s="185">
        <f>'Housing Voucher'!Q156*12</f>
        <v>0</v>
      </c>
      <c r="H152" s="197">
        <f>EITC!E155</f>
        <v>0</v>
      </c>
      <c r="I152" s="205">
        <f>Medicaid!N159*12</f>
        <v>0</v>
      </c>
      <c r="K152" s="185">
        <f t="shared" si="10"/>
        <v>0</v>
      </c>
      <c r="L152" s="185">
        <f t="shared" si="11"/>
        <v>75000</v>
      </c>
      <c r="M152" s="36">
        <f t="shared" si="9"/>
        <v>6250</v>
      </c>
    </row>
    <row r="153" spans="1:13" x14ac:dyDescent="0.25">
      <c r="A153" s="186">
        <v>75500</v>
      </c>
      <c r="B153" s="33">
        <f t="shared" si="8"/>
        <v>6291.666666666667</v>
      </c>
      <c r="C153" s="185">
        <f>'Child care subsidy'!S156*12</f>
        <v>0</v>
      </c>
      <c r="D153" s="185">
        <f>MAX('TANF-VIEW'!L160,'TANF-VIEW'!T160)*12</f>
        <v>0</v>
      </c>
      <c r="E153" s="193">
        <f>SNAP!V157*12</f>
        <v>0</v>
      </c>
      <c r="F153" s="184">
        <f>WIC!F159*12</f>
        <v>0</v>
      </c>
      <c r="G153" s="185">
        <f>'Housing Voucher'!Q157*12</f>
        <v>0</v>
      </c>
      <c r="H153" s="197">
        <f>EITC!E156</f>
        <v>0</v>
      </c>
      <c r="I153" s="205">
        <f>Medicaid!N160*12</f>
        <v>0</v>
      </c>
      <c r="K153" s="185">
        <f t="shared" si="10"/>
        <v>0</v>
      </c>
      <c r="L153" s="185">
        <f t="shared" si="11"/>
        <v>75500</v>
      </c>
      <c r="M153" s="36">
        <f t="shared" si="9"/>
        <v>6291.666666666667</v>
      </c>
    </row>
    <row r="154" spans="1:13" x14ac:dyDescent="0.25">
      <c r="A154" s="186">
        <v>76000</v>
      </c>
      <c r="B154" s="33">
        <f t="shared" si="8"/>
        <v>6333.333333333333</v>
      </c>
      <c r="C154" s="185">
        <f>'Child care subsidy'!S157*12</f>
        <v>0</v>
      </c>
      <c r="D154" s="185">
        <f>MAX('TANF-VIEW'!L161,'TANF-VIEW'!T161)*12</f>
        <v>0</v>
      </c>
      <c r="E154" s="193">
        <f>SNAP!V158*12</f>
        <v>0</v>
      </c>
      <c r="F154" s="184">
        <f>WIC!F160*12</f>
        <v>0</v>
      </c>
      <c r="G154" s="185">
        <f>'Housing Voucher'!Q158*12</f>
        <v>0</v>
      </c>
      <c r="H154" s="197">
        <f>EITC!E157</f>
        <v>0</v>
      </c>
      <c r="I154" s="205">
        <f>Medicaid!N161*12</f>
        <v>0</v>
      </c>
      <c r="K154" s="185">
        <f t="shared" si="10"/>
        <v>0</v>
      </c>
      <c r="L154" s="185">
        <f t="shared" si="11"/>
        <v>76000</v>
      </c>
      <c r="M154" s="36">
        <f t="shared" si="9"/>
        <v>6333.333333333333</v>
      </c>
    </row>
    <row r="155" spans="1:13" x14ac:dyDescent="0.25">
      <c r="A155" s="186">
        <v>76500</v>
      </c>
      <c r="B155" s="33">
        <f t="shared" si="8"/>
        <v>6375</v>
      </c>
      <c r="C155" s="185">
        <f>'Child care subsidy'!S158*12</f>
        <v>0</v>
      </c>
      <c r="D155" s="185">
        <f>MAX('TANF-VIEW'!L162,'TANF-VIEW'!T162)*12</f>
        <v>0</v>
      </c>
      <c r="E155" s="193">
        <f>SNAP!V159*12</f>
        <v>0</v>
      </c>
      <c r="F155" s="184">
        <f>WIC!F161*12</f>
        <v>0</v>
      </c>
      <c r="G155" s="185">
        <f>'Housing Voucher'!Q159*12</f>
        <v>0</v>
      </c>
      <c r="H155" s="197">
        <f>EITC!E158</f>
        <v>0</v>
      </c>
      <c r="I155" s="205">
        <f>Medicaid!N162*12</f>
        <v>0</v>
      </c>
      <c r="K155" s="185">
        <f t="shared" si="10"/>
        <v>0</v>
      </c>
      <c r="L155" s="185">
        <f t="shared" si="11"/>
        <v>76500</v>
      </c>
      <c r="M155" s="36">
        <f t="shared" si="9"/>
        <v>6375</v>
      </c>
    </row>
    <row r="156" spans="1:13" x14ac:dyDescent="0.25">
      <c r="A156" s="186">
        <v>77000</v>
      </c>
      <c r="B156" s="33">
        <f t="shared" si="8"/>
        <v>6416.666666666667</v>
      </c>
      <c r="C156" s="185">
        <f>'Child care subsidy'!S159*12</f>
        <v>0</v>
      </c>
      <c r="D156" s="185">
        <f>MAX('TANF-VIEW'!L163,'TANF-VIEW'!T163)*12</f>
        <v>0</v>
      </c>
      <c r="E156" s="193">
        <f>SNAP!V160*12</f>
        <v>0</v>
      </c>
      <c r="F156" s="184">
        <f>WIC!F162*12</f>
        <v>0</v>
      </c>
      <c r="G156" s="185">
        <f>'Housing Voucher'!Q160*12</f>
        <v>0</v>
      </c>
      <c r="H156" s="197">
        <f>EITC!E159</f>
        <v>0</v>
      </c>
      <c r="I156" s="205">
        <f>Medicaid!N163*12</f>
        <v>0</v>
      </c>
      <c r="K156" s="185">
        <f t="shared" si="10"/>
        <v>0</v>
      </c>
      <c r="L156" s="185">
        <f t="shared" si="11"/>
        <v>77000</v>
      </c>
      <c r="M156" s="36">
        <f t="shared" si="9"/>
        <v>6416.666666666667</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2</v>
      </c>
      <c r="C2" s="77">
        <f>COUNTIF('Total income package'!$B$48:$B$54,"Infant")</f>
        <v>0</v>
      </c>
      <c r="D2" s="77">
        <f>COUNTIF('Total income package'!$B$48:$B$54,"Toddler")</f>
        <v>0</v>
      </c>
      <c r="E2" s="77">
        <f>COUNTIF('Total income package'!$B$48:$B$54,"Two year old")</f>
        <v>0</v>
      </c>
      <c r="F2" s="77">
        <f>COUNTIF('Total income package'!$B$48:$B$54,"Preschool")</f>
        <v>0</v>
      </c>
      <c r="G2" s="77">
        <f>COUNTIF('Total income package'!$B$48:$B$54,"School age")</f>
        <v>0</v>
      </c>
      <c r="H2" s="77">
        <f>COUNTIF('Total income package'!$B$48:$B$54,"13-18 years old")</f>
        <v>0</v>
      </c>
      <c r="J2" s="100">
        <f>VLOOKUP(B2,'Program specific data'!A5:C13,2)</f>
        <v>21640</v>
      </c>
      <c r="K2" s="442">
        <f>VLOOKUP(B2,'Program specific data'!A5:C13,3)</f>
        <v>1803.3333333333333</v>
      </c>
      <c r="L2" s="442"/>
      <c r="M2" s="78">
        <f>IF(A3=1,VLOOKUP(B2,'Program specific data'!A20:F27,3,FALSE),IF(A3=2,VLOOKUP(B2,'Program specific data'!A20:F27,4,FALSE),IF(A3=3,VLOOKUP(B2,'Program specific data'!A20:F27,5),IF(A3=4,VLOOKUP(B2,'Program specific data'!A20:F27,6,FALSE)))))</f>
        <v>2705</v>
      </c>
      <c r="N2" s="311">
        <f>VLOOKUP(B2,'Program specific data'!A20:B27,2)</f>
        <v>6455</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No</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0</v>
      </c>
    </row>
    <row r="6" spans="1:19" s="14" customFormat="1" x14ac:dyDescent="0.25">
      <c r="A6" s="63">
        <v>500</v>
      </c>
      <c r="B6" s="7">
        <f t="shared" ref="B6:B69" si="5">A6/12</f>
        <v>41.666666666666664</v>
      </c>
      <c r="C6" s="7">
        <f>'Total income package'!$D$80</f>
        <v>0</v>
      </c>
      <c r="D6" s="7">
        <f t="shared" ref="D6:D69" si="6">B6+C6</f>
        <v>41.666666666666664</v>
      </c>
      <c r="E6" s="65">
        <f t="shared" ref="E6:E69" si="7">D6/$K$2</f>
        <v>2.3105360443622922E-2</v>
      </c>
      <c r="F6" s="65" t="str">
        <f t="shared" si="0"/>
        <v>No</v>
      </c>
      <c r="G6" s="65" t="str">
        <f t="shared" si="1"/>
        <v>Yes</v>
      </c>
      <c r="H6" s="301" t="str">
        <f>IF(OR('TANF-VIEW'!L10&gt;0,'TANF-VIEW'!T10&gt;0),"Yes","No")</f>
        <v>Yes</v>
      </c>
      <c r="I6" s="63">
        <f t="shared" ref="I6:I68" si="8">IF(B6&gt;=$N$2,0,IF(E6&gt;3.5,375*SUM($C$2:$H$2),IF(E6&gt;3,325*SUM($C$2:$H$2),IF(E6&gt;2.5,275*SUM($C$2:$H$2),IF(E6&gt;2,225*SUM($C$2:$H$2),IF(E6&gt;1.5,175*SUM($C$2:$H$2),IF(E6&gt;1,125*SUM($C$2:$H$2),IF(E6&gt;0,5*SUM($C$2:$H$2),0))))))))</f>
        <v>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0</v>
      </c>
      <c r="O6" s="6">
        <f t="shared" si="2"/>
        <v>0</v>
      </c>
      <c r="P6" s="312">
        <f t="shared" si="3"/>
        <v>2.0833333333333335</v>
      </c>
      <c r="Q6" s="312">
        <f t="shared" si="4"/>
        <v>0</v>
      </c>
      <c r="R6" s="312">
        <f t="shared" ref="R6:R69" si="9">IF(MIN(O6,P6)&lt;Q6,MIN(O6,P6),Q6)</f>
        <v>0</v>
      </c>
      <c r="S6" s="160">
        <f>IF(AND('Total income package'!$A$8=TRUE,OR(F6="Yes",G6="Yes",H6="Yes")),SUM(J6:N6)-R6,0)</f>
        <v>0</v>
      </c>
    </row>
    <row r="7" spans="1:19" s="5" customFormat="1" x14ac:dyDescent="0.25">
      <c r="A7" s="6">
        <v>1000</v>
      </c>
      <c r="B7" s="7">
        <f t="shared" si="5"/>
        <v>83.333333333333329</v>
      </c>
      <c r="C7" s="7">
        <f>'Total income package'!$D$80</f>
        <v>0</v>
      </c>
      <c r="D7" s="7">
        <f t="shared" si="6"/>
        <v>83.333333333333329</v>
      </c>
      <c r="E7" s="65">
        <f t="shared" si="7"/>
        <v>4.6210720887245843E-2</v>
      </c>
      <c r="F7" s="65" t="str">
        <f t="shared" si="0"/>
        <v>No</v>
      </c>
      <c r="G7" s="65" t="str">
        <f t="shared" si="1"/>
        <v>Yes</v>
      </c>
      <c r="H7" s="301" t="str">
        <f>IF(OR('TANF-VIEW'!L11&gt;0,'TANF-VIEW'!T11&gt;0),"Yes","No")</f>
        <v>Yes</v>
      </c>
      <c r="I7" s="63">
        <f t="shared" si="8"/>
        <v>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0</v>
      </c>
      <c r="O7" s="6">
        <f t="shared" si="2"/>
        <v>0</v>
      </c>
      <c r="P7" s="312">
        <f t="shared" si="3"/>
        <v>4.166666666666667</v>
      </c>
      <c r="Q7" s="312">
        <f t="shared" si="4"/>
        <v>0</v>
      </c>
      <c r="R7" s="312">
        <f t="shared" si="9"/>
        <v>0</v>
      </c>
      <c r="S7" s="160">
        <f>IF(AND('Total income package'!$A$8=TRUE,OR(F7="Yes",G7="Yes",H7="Yes")),SUM(J7:N7)-R7,0)</f>
        <v>0</v>
      </c>
    </row>
    <row r="8" spans="1:19" s="5" customFormat="1" x14ac:dyDescent="0.25">
      <c r="A8" s="6">
        <v>1500</v>
      </c>
      <c r="B8" s="7">
        <f t="shared" si="5"/>
        <v>125</v>
      </c>
      <c r="C8" s="7">
        <f>'Total income package'!$D$80</f>
        <v>0</v>
      </c>
      <c r="D8" s="7">
        <f t="shared" si="6"/>
        <v>125</v>
      </c>
      <c r="E8" s="65">
        <f t="shared" si="7"/>
        <v>6.9316081330868765E-2</v>
      </c>
      <c r="F8" s="65" t="str">
        <f t="shared" si="0"/>
        <v>No</v>
      </c>
      <c r="G8" s="65" t="str">
        <f t="shared" si="1"/>
        <v>Yes</v>
      </c>
      <c r="H8" s="301" t="str">
        <f>IF(OR('TANF-VIEW'!L12&gt;0,'TANF-VIEW'!T12&gt;0),"Yes","No")</f>
        <v>Yes</v>
      </c>
      <c r="I8" s="63">
        <f t="shared" si="8"/>
        <v>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0</v>
      </c>
      <c r="O8" s="6">
        <f t="shared" si="2"/>
        <v>0</v>
      </c>
      <c r="P8" s="312">
        <f t="shared" si="3"/>
        <v>6.25</v>
      </c>
      <c r="Q8" s="312">
        <f t="shared" si="4"/>
        <v>0</v>
      </c>
      <c r="R8" s="312">
        <f t="shared" si="9"/>
        <v>0</v>
      </c>
      <c r="S8" s="160">
        <f>IF(AND('Total income package'!$A$8=TRUE,OR(F8="Yes",G8="Yes",H8="Yes")),SUM(J8:N8)-R8,0)</f>
        <v>0</v>
      </c>
    </row>
    <row r="9" spans="1:19" s="5" customFormat="1" x14ac:dyDescent="0.25">
      <c r="A9" s="6">
        <v>2000</v>
      </c>
      <c r="B9" s="7">
        <f t="shared" si="5"/>
        <v>166.66666666666666</v>
      </c>
      <c r="C9" s="7">
        <f>'Total income package'!$D$80</f>
        <v>0</v>
      </c>
      <c r="D9" s="7">
        <f t="shared" si="6"/>
        <v>166.66666666666666</v>
      </c>
      <c r="E9" s="65">
        <f t="shared" si="7"/>
        <v>9.2421441774491686E-2</v>
      </c>
      <c r="F9" s="65" t="str">
        <f t="shared" si="0"/>
        <v>No</v>
      </c>
      <c r="G9" s="65" t="str">
        <f t="shared" si="1"/>
        <v>Yes</v>
      </c>
      <c r="H9" s="301" t="str">
        <f>IF(OR('TANF-VIEW'!L13&gt;0,'TANF-VIEW'!T13&gt;0),"Yes","No")</f>
        <v>Yes</v>
      </c>
      <c r="I9" s="63">
        <f t="shared" si="8"/>
        <v>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0</v>
      </c>
      <c r="O9" s="6">
        <f t="shared" si="2"/>
        <v>0</v>
      </c>
      <c r="P9" s="312">
        <f t="shared" si="3"/>
        <v>8.3333333333333339</v>
      </c>
      <c r="Q9" s="312">
        <f t="shared" si="4"/>
        <v>0</v>
      </c>
      <c r="R9" s="312">
        <f t="shared" si="9"/>
        <v>0</v>
      </c>
      <c r="S9" s="160">
        <f>IF(AND('Total income package'!$A$8=TRUE,OR(F9="Yes",G9="Yes",H9="Yes")),SUM(J9:N9)-R9,0)</f>
        <v>0</v>
      </c>
    </row>
    <row r="10" spans="1:19" s="5" customFormat="1" x14ac:dyDescent="0.25">
      <c r="A10" s="6">
        <v>2500</v>
      </c>
      <c r="B10" s="7">
        <f t="shared" si="5"/>
        <v>208.33333333333334</v>
      </c>
      <c r="C10" s="7">
        <f>'Total income package'!$D$80</f>
        <v>0</v>
      </c>
      <c r="D10" s="7">
        <f t="shared" si="6"/>
        <v>208.33333333333334</v>
      </c>
      <c r="E10" s="65">
        <f t="shared" si="7"/>
        <v>0.11552680221811461</v>
      </c>
      <c r="F10" s="65" t="str">
        <f t="shared" si="0"/>
        <v>No</v>
      </c>
      <c r="G10" s="65" t="str">
        <f t="shared" si="1"/>
        <v>Yes</v>
      </c>
      <c r="H10" s="301" t="str">
        <f>IF(OR('TANF-VIEW'!L14&gt;0,'TANF-VIEW'!T14&gt;0),"Yes","No")</f>
        <v>Yes</v>
      </c>
      <c r="I10" s="63">
        <f t="shared" si="8"/>
        <v>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0</v>
      </c>
      <c r="O10" s="6">
        <f t="shared" si="2"/>
        <v>0</v>
      </c>
      <c r="P10" s="312">
        <f t="shared" si="3"/>
        <v>10.416666666666668</v>
      </c>
      <c r="Q10" s="312">
        <f t="shared" si="4"/>
        <v>0</v>
      </c>
      <c r="R10" s="312">
        <f t="shared" si="9"/>
        <v>0</v>
      </c>
      <c r="S10" s="160">
        <f>IF(AND('Total income package'!$A$8=TRUE,OR(F10="Yes",G10="Yes",H10="Yes")),SUM(J10:N10)-R10,0)</f>
        <v>0</v>
      </c>
    </row>
    <row r="11" spans="1:19" s="5" customFormat="1" x14ac:dyDescent="0.25">
      <c r="A11" s="6">
        <v>3000</v>
      </c>
      <c r="B11" s="7">
        <f t="shared" si="5"/>
        <v>250</v>
      </c>
      <c r="C11" s="7">
        <f>'Total income package'!$D$80</f>
        <v>0</v>
      </c>
      <c r="D11" s="7">
        <f t="shared" si="6"/>
        <v>250</v>
      </c>
      <c r="E11" s="65">
        <f t="shared" si="7"/>
        <v>0.13863216266173753</v>
      </c>
      <c r="F11" s="65" t="str">
        <f t="shared" si="0"/>
        <v>No</v>
      </c>
      <c r="G11" s="65" t="str">
        <f t="shared" si="1"/>
        <v>Yes</v>
      </c>
      <c r="H11" s="301" t="str">
        <f>IF(OR('TANF-VIEW'!L15&gt;0,'TANF-VIEW'!T15&gt;0),"Yes","No")</f>
        <v>Yes</v>
      </c>
      <c r="I11" s="63">
        <f t="shared" si="8"/>
        <v>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0</v>
      </c>
      <c r="O11" s="6">
        <f t="shared" si="2"/>
        <v>0</v>
      </c>
      <c r="P11" s="312">
        <f t="shared" si="3"/>
        <v>12.5</v>
      </c>
      <c r="Q11" s="312">
        <f t="shared" si="4"/>
        <v>0</v>
      </c>
      <c r="R11" s="312">
        <f t="shared" si="9"/>
        <v>0</v>
      </c>
      <c r="S11" s="160">
        <f>IF(AND('Total income package'!$A$8=TRUE,OR(F11="Yes",G11="Yes",H11="Yes")),SUM(J11:N11)-R11,0)</f>
        <v>0</v>
      </c>
    </row>
    <row r="12" spans="1:19" s="5" customFormat="1" x14ac:dyDescent="0.25">
      <c r="A12" s="6">
        <v>3500</v>
      </c>
      <c r="B12" s="7">
        <f t="shared" si="5"/>
        <v>291.66666666666669</v>
      </c>
      <c r="C12" s="7">
        <f>'Total income package'!$D$80</f>
        <v>0</v>
      </c>
      <c r="D12" s="7">
        <f t="shared" si="6"/>
        <v>291.66666666666669</v>
      </c>
      <c r="E12" s="65">
        <f t="shared" si="7"/>
        <v>0.16173752310536046</v>
      </c>
      <c r="F12" s="65" t="str">
        <f t="shared" si="0"/>
        <v>No</v>
      </c>
      <c r="G12" s="65" t="str">
        <f t="shared" si="1"/>
        <v>Yes</v>
      </c>
      <c r="H12" s="301" t="str">
        <f>IF(OR('TANF-VIEW'!L16&gt;0,'TANF-VIEW'!T16&gt;0),"Yes","No")</f>
        <v>Yes</v>
      </c>
      <c r="I12" s="63">
        <f t="shared" si="8"/>
        <v>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0</v>
      </c>
      <c r="O12" s="6">
        <f t="shared" si="2"/>
        <v>0</v>
      </c>
      <c r="P12" s="312">
        <f t="shared" si="3"/>
        <v>14.583333333333336</v>
      </c>
      <c r="Q12" s="312">
        <f t="shared" si="4"/>
        <v>0</v>
      </c>
      <c r="R12" s="312">
        <f t="shared" si="9"/>
        <v>0</v>
      </c>
      <c r="S12" s="160">
        <f>IF(AND('Total income package'!$A$8=TRUE,OR(F12="Yes",G12="Yes",H12="Yes")),SUM(J12:N12)-R12,0)</f>
        <v>0</v>
      </c>
    </row>
    <row r="13" spans="1:19" s="5" customFormat="1" x14ac:dyDescent="0.25">
      <c r="A13" s="6">
        <v>4000</v>
      </c>
      <c r="B13" s="7">
        <f t="shared" si="5"/>
        <v>333.33333333333331</v>
      </c>
      <c r="C13" s="7">
        <f>'Total income package'!$D$80</f>
        <v>0</v>
      </c>
      <c r="D13" s="7">
        <f t="shared" si="6"/>
        <v>333.33333333333331</v>
      </c>
      <c r="E13" s="65">
        <f t="shared" si="7"/>
        <v>0.18484288354898337</v>
      </c>
      <c r="F13" s="65" t="str">
        <f t="shared" si="0"/>
        <v>No</v>
      </c>
      <c r="G13" s="65" t="str">
        <f t="shared" si="1"/>
        <v>Yes</v>
      </c>
      <c r="H13" s="301" t="str">
        <f>IF(OR('TANF-VIEW'!L17&gt;0,'TANF-VIEW'!T17&gt;0),"Yes","No")</f>
        <v>Yes</v>
      </c>
      <c r="I13" s="63">
        <f t="shared" si="8"/>
        <v>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0</v>
      </c>
      <c r="O13" s="6">
        <f t="shared" si="2"/>
        <v>0</v>
      </c>
      <c r="P13" s="312">
        <f t="shared" si="3"/>
        <v>16.666666666666668</v>
      </c>
      <c r="Q13" s="312">
        <f t="shared" si="4"/>
        <v>0</v>
      </c>
      <c r="R13" s="312">
        <f t="shared" si="9"/>
        <v>0</v>
      </c>
      <c r="S13" s="160">
        <f>IF(AND('Total income package'!$A$8=TRUE,OR(F13="Yes",G13="Yes",H13="Yes")),SUM(J13:N13)-R13,0)</f>
        <v>0</v>
      </c>
    </row>
    <row r="14" spans="1:19" s="5" customFormat="1" x14ac:dyDescent="0.25">
      <c r="A14" s="6">
        <v>4500</v>
      </c>
      <c r="B14" s="7">
        <f t="shared" si="5"/>
        <v>375</v>
      </c>
      <c r="C14" s="7">
        <f>'Total income package'!$D$80</f>
        <v>0</v>
      </c>
      <c r="D14" s="7">
        <f t="shared" si="6"/>
        <v>375</v>
      </c>
      <c r="E14" s="65">
        <f t="shared" si="7"/>
        <v>0.20794824399260628</v>
      </c>
      <c r="F14" s="65" t="str">
        <f t="shared" si="0"/>
        <v>No</v>
      </c>
      <c r="G14" s="65" t="str">
        <f t="shared" si="1"/>
        <v>Yes</v>
      </c>
      <c r="H14" s="301" t="str">
        <f>IF(OR('TANF-VIEW'!L18&gt;0,'TANF-VIEW'!T18&gt;0),"Yes","No")</f>
        <v>Yes</v>
      </c>
      <c r="I14" s="63">
        <f t="shared" si="8"/>
        <v>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0</v>
      </c>
      <c r="O14" s="6">
        <f t="shared" si="2"/>
        <v>0</v>
      </c>
      <c r="P14" s="312">
        <f t="shared" si="3"/>
        <v>18.75</v>
      </c>
      <c r="Q14" s="312">
        <f t="shared" si="4"/>
        <v>0</v>
      </c>
      <c r="R14" s="312">
        <f t="shared" si="9"/>
        <v>0</v>
      </c>
      <c r="S14" s="160">
        <f>IF(AND('Total income package'!$A$8=TRUE,OR(F14="Yes",G14="Yes",H14="Yes")),SUM(J14:N14)-R14,0)</f>
        <v>0</v>
      </c>
    </row>
    <row r="15" spans="1:19" s="5" customFormat="1" x14ac:dyDescent="0.25">
      <c r="A15" s="6">
        <v>5000</v>
      </c>
      <c r="B15" s="7">
        <f t="shared" si="5"/>
        <v>416.66666666666669</v>
      </c>
      <c r="C15" s="7">
        <f>'Total income package'!$D$80</f>
        <v>0</v>
      </c>
      <c r="D15" s="7">
        <f t="shared" si="6"/>
        <v>416.66666666666669</v>
      </c>
      <c r="E15" s="65">
        <f t="shared" si="7"/>
        <v>0.23105360443622922</v>
      </c>
      <c r="F15" s="65" t="str">
        <f t="shared" si="0"/>
        <v>No</v>
      </c>
      <c r="G15" s="65" t="str">
        <f t="shared" si="1"/>
        <v>Yes</v>
      </c>
      <c r="H15" s="301" t="str">
        <f>IF(OR('TANF-VIEW'!L19&gt;0,'TANF-VIEW'!T19&gt;0),"Yes","No")</f>
        <v>Yes</v>
      </c>
      <c r="I15" s="63">
        <f t="shared" si="8"/>
        <v>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0</v>
      </c>
      <c r="O15" s="6">
        <f t="shared" si="2"/>
        <v>0</v>
      </c>
      <c r="P15" s="312">
        <f t="shared" si="3"/>
        <v>20.833333333333336</v>
      </c>
      <c r="Q15" s="312">
        <f t="shared" si="4"/>
        <v>0</v>
      </c>
      <c r="R15" s="312">
        <f t="shared" si="9"/>
        <v>0</v>
      </c>
      <c r="S15" s="160">
        <f>IF(AND('Total income package'!$A$8=TRUE,OR(F15="Yes",G15="Yes",H15="Yes")),SUM(J15:N15)-R15,0)</f>
        <v>0</v>
      </c>
    </row>
    <row r="16" spans="1:19" s="5" customFormat="1" x14ac:dyDescent="0.25">
      <c r="A16" s="6">
        <v>5500</v>
      </c>
      <c r="B16" s="7">
        <f t="shared" si="5"/>
        <v>458.33333333333331</v>
      </c>
      <c r="C16" s="7">
        <f>'Total income package'!$D$80</f>
        <v>0</v>
      </c>
      <c r="D16" s="7">
        <f t="shared" si="6"/>
        <v>458.33333333333331</v>
      </c>
      <c r="E16" s="65">
        <f t="shared" si="7"/>
        <v>0.25415896487985212</v>
      </c>
      <c r="F16" s="65" t="str">
        <f t="shared" si="0"/>
        <v>No</v>
      </c>
      <c r="G16" s="65" t="str">
        <f t="shared" si="1"/>
        <v>Yes</v>
      </c>
      <c r="H16" s="301" t="str">
        <f>IF(OR('TANF-VIEW'!L20&gt;0,'TANF-VIEW'!T20&gt;0),"Yes","No")</f>
        <v>Yes</v>
      </c>
      <c r="I16" s="63">
        <f t="shared" si="8"/>
        <v>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0</v>
      </c>
      <c r="O16" s="6">
        <f t="shared" si="2"/>
        <v>0</v>
      </c>
      <c r="P16" s="312">
        <f t="shared" si="3"/>
        <v>22.916666666666668</v>
      </c>
      <c r="Q16" s="312">
        <f t="shared" si="4"/>
        <v>0</v>
      </c>
      <c r="R16" s="312">
        <f t="shared" si="9"/>
        <v>0</v>
      </c>
      <c r="S16" s="160">
        <f>IF(AND('Total income package'!$A$8=TRUE,OR(F16="Yes",G16="Yes",H16="Yes")),SUM(J16:N16)-R16,0)</f>
        <v>0</v>
      </c>
    </row>
    <row r="17" spans="1:19" s="5" customFormat="1" x14ac:dyDescent="0.25">
      <c r="A17" s="6">
        <v>6000</v>
      </c>
      <c r="B17" s="7">
        <f t="shared" si="5"/>
        <v>500</v>
      </c>
      <c r="C17" s="7">
        <f>'Total income package'!$D$80</f>
        <v>0</v>
      </c>
      <c r="D17" s="7">
        <f t="shared" si="6"/>
        <v>500</v>
      </c>
      <c r="E17" s="65">
        <f t="shared" si="7"/>
        <v>0.27726432532347506</v>
      </c>
      <c r="F17" s="65" t="str">
        <f t="shared" si="0"/>
        <v>No</v>
      </c>
      <c r="G17" s="65" t="str">
        <f t="shared" si="1"/>
        <v>Yes</v>
      </c>
      <c r="H17" s="301" t="str">
        <f>IF(OR('TANF-VIEW'!L21&gt;0,'TANF-VIEW'!T21&gt;0),"Yes","No")</f>
        <v>Yes</v>
      </c>
      <c r="I17" s="63">
        <f t="shared" si="8"/>
        <v>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0</v>
      </c>
      <c r="O17" s="6">
        <f t="shared" si="2"/>
        <v>0</v>
      </c>
      <c r="P17" s="312">
        <f t="shared" si="3"/>
        <v>25</v>
      </c>
      <c r="Q17" s="312">
        <f t="shared" si="4"/>
        <v>0</v>
      </c>
      <c r="R17" s="312">
        <f t="shared" si="9"/>
        <v>0</v>
      </c>
      <c r="S17" s="160">
        <f>IF(AND('Total income package'!$A$8=TRUE,OR(F17="Yes",G17="Yes",H17="Yes")),SUM(J17:N17)-R17,0)</f>
        <v>0</v>
      </c>
    </row>
    <row r="18" spans="1:19" s="5" customFormat="1" x14ac:dyDescent="0.25">
      <c r="A18" s="6">
        <v>6500</v>
      </c>
      <c r="B18" s="7">
        <f t="shared" si="5"/>
        <v>541.66666666666663</v>
      </c>
      <c r="C18" s="7">
        <f>'Total income package'!$D$80</f>
        <v>0</v>
      </c>
      <c r="D18" s="7">
        <f t="shared" si="6"/>
        <v>541.66666666666663</v>
      </c>
      <c r="E18" s="65">
        <f t="shared" si="7"/>
        <v>0.30036968576709794</v>
      </c>
      <c r="F18" s="65" t="str">
        <f t="shared" si="0"/>
        <v>No</v>
      </c>
      <c r="G18" s="65" t="str">
        <f t="shared" si="1"/>
        <v>Yes</v>
      </c>
      <c r="H18" s="301" t="str">
        <f>IF(OR('TANF-VIEW'!L22&gt;0,'TANF-VIEW'!T22&gt;0),"Yes","No")</f>
        <v>Yes</v>
      </c>
      <c r="I18" s="63">
        <f t="shared" si="8"/>
        <v>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0</v>
      </c>
      <c r="O18" s="6">
        <f t="shared" si="2"/>
        <v>0</v>
      </c>
      <c r="P18" s="312">
        <f t="shared" si="3"/>
        <v>27.083333333333332</v>
      </c>
      <c r="Q18" s="312">
        <f t="shared" si="4"/>
        <v>0</v>
      </c>
      <c r="R18" s="312">
        <f t="shared" si="9"/>
        <v>0</v>
      </c>
      <c r="S18" s="160">
        <f>IF(AND('Total income package'!$A$8=TRUE,OR(F18="Yes",G18="Yes",H18="Yes")),SUM(J18:N18)-R18,0)</f>
        <v>0</v>
      </c>
    </row>
    <row r="19" spans="1:19" s="5" customFormat="1" x14ac:dyDescent="0.25">
      <c r="A19" s="6">
        <v>7000</v>
      </c>
      <c r="B19" s="7">
        <f t="shared" si="5"/>
        <v>583.33333333333337</v>
      </c>
      <c r="C19" s="7">
        <f>'Total income package'!$D$80</f>
        <v>0</v>
      </c>
      <c r="D19" s="7">
        <f t="shared" si="6"/>
        <v>583.33333333333337</v>
      </c>
      <c r="E19" s="65">
        <f t="shared" si="7"/>
        <v>0.32347504621072093</v>
      </c>
      <c r="F19" s="65" t="str">
        <f t="shared" si="0"/>
        <v>No</v>
      </c>
      <c r="G19" s="65" t="str">
        <f t="shared" si="1"/>
        <v>Yes</v>
      </c>
      <c r="H19" s="301" t="str">
        <f>IF(OR('TANF-VIEW'!L23&gt;0,'TANF-VIEW'!T23&gt;0),"Yes","No")</f>
        <v>Yes</v>
      </c>
      <c r="I19" s="63">
        <f t="shared" si="8"/>
        <v>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0</v>
      </c>
      <c r="O19" s="6">
        <f t="shared" si="2"/>
        <v>0</v>
      </c>
      <c r="P19" s="312">
        <f t="shared" si="3"/>
        <v>29.166666666666671</v>
      </c>
      <c r="Q19" s="312">
        <f t="shared" si="4"/>
        <v>0</v>
      </c>
      <c r="R19" s="312">
        <f t="shared" si="9"/>
        <v>0</v>
      </c>
      <c r="S19" s="160">
        <f>IF(AND('Total income package'!$A$8=TRUE,OR(F19="Yes",G19="Yes",H19="Yes")),SUM(J19:N19)-R19,0)</f>
        <v>0</v>
      </c>
    </row>
    <row r="20" spans="1:19" s="5" customFormat="1" x14ac:dyDescent="0.25">
      <c r="A20" s="6">
        <v>7500</v>
      </c>
      <c r="B20" s="7">
        <f>A20/12</f>
        <v>625</v>
      </c>
      <c r="C20" s="7">
        <f>'Total income package'!$D$80</f>
        <v>0</v>
      </c>
      <c r="D20" s="7">
        <f t="shared" si="6"/>
        <v>625</v>
      </c>
      <c r="E20" s="65">
        <f t="shared" si="7"/>
        <v>0.34658040665434381</v>
      </c>
      <c r="F20" s="65" t="str">
        <f t="shared" si="0"/>
        <v>No</v>
      </c>
      <c r="G20" s="65" t="str">
        <f t="shared" si="1"/>
        <v>Yes</v>
      </c>
      <c r="H20" s="301" t="str">
        <f>IF(OR('TANF-VIEW'!L24&gt;0,'TANF-VIEW'!T24&gt;0),"Yes","No")</f>
        <v>Yes</v>
      </c>
      <c r="I20" s="63">
        <f t="shared" si="8"/>
        <v>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0</v>
      </c>
      <c r="O20" s="6">
        <f t="shared" si="2"/>
        <v>0</v>
      </c>
      <c r="P20" s="312">
        <f t="shared" si="3"/>
        <v>31.25</v>
      </c>
      <c r="Q20" s="312">
        <f t="shared" si="4"/>
        <v>0</v>
      </c>
      <c r="R20" s="312">
        <f t="shared" si="9"/>
        <v>0</v>
      </c>
      <c r="S20" s="160">
        <f>IF(AND('Total income package'!$A$8=TRUE,OR(F20="Yes",G20="Yes",H20="Yes")),SUM(J20:N20)-R20,0)</f>
        <v>0</v>
      </c>
    </row>
    <row r="21" spans="1:19" s="5" customFormat="1" x14ac:dyDescent="0.25">
      <c r="A21" s="6">
        <v>8000</v>
      </c>
      <c r="B21" s="7">
        <f t="shared" si="5"/>
        <v>666.66666666666663</v>
      </c>
      <c r="C21" s="7">
        <f>'Total income package'!$D$80</f>
        <v>0</v>
      </c>
      <c r="D21" s="7">
        <f t="shared" si="6"/>
        <v>666.66666666666663</v>
      </c>
      <c r="E21" s="65">
        <f t="shared" si="7"/>
        <v>0.36968576709796674</v>
      </c>
      <c r="F21" s="65" t="str">
        <f t="shared" si="0"/>
        <v>No</v>
      </c>
      <c r="G21" s="65" t="str">
        <f t="shared" si="1"/>
        <v>Yes</v>
      </c>
      <c r="H21" s="301" t="str">
        <f>IF(OR('TANF-VIEW'!L25&gt;0,'TANF-VIEW'!T25&gt;0),"Yes","No")</f>
        <v>Yes</v>
      </c>
      <c r="I21" s="63">
        <f t="shared" si="8"/>
        <v>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0</v>
      </c>
      <c r="O21" s="6">
        <f t="shared" si="2"/>
        <v>0</v>
      </c>
      <c r="P21" s="312">
        <f t="shared" si="3"/>
        <v>33.333333333333336</v>
      </c>
      <c r="Q21" s="312">
        <f t="shared" si="4"/>
        <v>0</v>
      </c>
      <c r="R21" s="312">
        <f t="shared" si="9"/>
        <v>0</v>
      </c>
      <c r="S21" s="160">
        <f>IF(AND('Total income package'!$A$8=TRUE,OR(F21="Yes",G21="Yes",H21="Yes")),SUM(J21:N21)-R21,0)</f>
        <v>0</v>
      </c>
    </row>
    <row r="22" spans="1:19" s="5" customFormat="1" x14ac:dyDescent="0.25">
      <c r="A22" s="6">
        <v>8500</v>
      </c>
      <c r="B22" s="7">
        <f t="shared" si="5"/>
        <v>708.33333333333337</v>
      </c>
      <c r="C22" s="7">
        <f>'Total income package'!$D$80</f>
        <v>0</v>
      </c>
      <c r="D22" s="7">
        <f t="shared" si="6"/>
        <v>708.33333333333337</v>
      </c>
      <c r="E22" s="65">
        <f t="shared" si="7"/>
        <v>0.39279112754158968</v>
      </c>
      <c r="F22" s="65" t="str">
        <f t="shared" si="0"/>
        <v>No</v>
      </c>
      <c r="G22" s="65" t="str">
        <f t="shared" si="1"/>
        <v>Yes</v>
      </c>
      <c r="H22" s="301" t="str">
        <f>IF(OR('TANF-VIEW'!L26&gt;0,'TANF-VIEW'!T26&gt;0),"Yes","No")</f>
        <v>No</v>
      </c>
      <c r="I22" s="63">
        <f t="shared" si="8"/>
        <v>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0</v>
      </c>
      <c r="O22" s="6">
        <f t="shared" si="2"/>
        <v>0</v>
      </c>
      <c r="P22" s="312">
        <f t="shared" si="3"/>
        <v>35.416666666666671</v>
      </c>
      <c r="Q22" s="312">
        <f t="shared" si="4"/>
        <v>0</v>
      </c>
      <c r="R22" s="312">
        <f t="shared" si="9"/>
        <v>0</v>
      </c>
      <c r="S22" s="160">
        <f>IF(AND('Total income package'!$A$8=TRUE,OR(F22="Yes",G22="Yes",H22="Yes")),SUM(J22:N22)-R22,0)</f>
        <v>0</v>
      </c>
    </row>
    <row r="23" spans="1:19" s="5" customFormat="1" x14ac:dyDescent="0.25">
      <c r="A23" s="6">
        <v>9000</v>
      </c>
      <c r="B23" s="7">
        <f t="shared" si="5"/>
        <v>750</v>
      </c>
      <c r="C23" s="7">
        <f>'Total income package'!$D$80</f>
        <v>0</v>
      </c>
      <c r="D23" s="7">
        <f t="shared" si="6"/>
        <v>750</v>
      </c>
      <c r="E23" s="65">
        <f t="shared" si="7"/>
        <v>0.41589648798521256</v>
      </c>
      <c r="F23" s="65" t="str">
        <f t="shared" si="0"/>
        <v>No</v>
      </c>
      <c r="G23" s="65" t="str">
        <f t="shared" si="1"/>
        <v>Yes</v>
      </c>
      <c r="H23" s="301" t="str">
        <f>IF(OR('TANF-VIEW'!L27&gt;0,'TANF-VIEW'!T27&gt;0),"Yes","No")</f>
        <v>No</v>
      </c>
      <c r="I23" s="63">
        <f t="shared" si="8"/>
        <v>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0</v>
      </c>
      <c r="O23" s="6">
        <f t="shared" si="2"/>
        <v>0</v>
      </c>
      <c r="P23" s="312">
        <f t="shared" si="3"/>
        <v>37.5</v>
      </c>
      <c r="Q23" s="312">
        <f t="shared" si="4"/>
        <v>0</v>
      </c>
      <c r="R23" s="312">
        <f t="shared" si="9"/>
        <v>0</v>
      </c>
      <c r="S23" s="160">
        <f>IF(AND('Total income package'!$A$8=TRUE,OR(F23="Yes",G23="Yes",H23="Yes")),SUM(J23:N23)-R23,0)</f>
        <v>0</v>
      </c>
    </row>
    <row r="24" spans="1:19" s="5" customFormat="1" x14ac:dyDescent="0.25">
      <c r="A24" s="6">
        <v>9500</v>
      </c>
      <c r="B24" s="7">
        <f t="shared" si="5"/>
        <v>791.66666666666663</v>
      </c>
      <c r="C24" s="7">
        <f>'Total income package'!$D$80</f>
        <v>0</v>
      </c>
      <c r="D24" s="7">
        <f t="shared" si="6"/>
        <v>791.66666666666663</v>
      </c>
      <c r="E24" s="65">
        <f t="shared" si="7"/>
        <v>0.43900184842883549</v>
      </c>
      <c r="F24" s="65" t="str">
        <f t="shared" si="0"/>
        <v>No</v>
      </c>
      <c r="G24" s="65" t="str">
        <f t="shared" si="1"/>
        <v>Yes</v>
      </c>
      <c r="H24" s="301" t="str">
        <f>IF(OR('TANF-VIEW'!L28&gt;0,'TANF-VIEW'!T28&gt;0),"Yes","No")</f>
        <v>No</v>
      </c>
      <c r="I24" s="63">
        <f t="shared" si="8"/>
        <v>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0</v>
      </c>
      <c r="O24" s="6">
        <f t="shared" si="2"/>
        <v>0</v>
      </c>
      <c r="P24" s="312">
        <f t="shared" si="3"/>
        <v>39.583333333333336</v>
      </c>
      <c r="Q24" s="312">
        <f t="shared" si="4"/>
        <v>0</v>
      </c>
      <c r="R24" s="312">
        <f t="shared" si="9"/>
        <v>0</v>
      </c>
      <c r="S24" s="160">
        <f>IF(AND('Total income package'!$A$8=TRUE,OR(F24="Yes",G24="Yes",H24="Yes")),SUM(J24:N24)-R24,0)</f>
        <v>0</v>
      </c>
    </row>
    <row r="25" spans="1:19" s="5" customFormat="1" x14ac:dyDescent="0.25">
      <c r="A25" s="6">
        <v>10000</v>
      </c>
      <c r="B25" s="7">
        <f t="shared" si="5"/>
        <v>833.33333333333337</v>
      </c>
      <c r="C25" s="7">
        <f>'Total income package'!$D$80</f>
        <v>0</v>
      </c>
      <c r="D25" s="7">
        <f t="shared" si="6"/>
        <v>833.33333333333337</v>
      </c>
      <c r="E25" s="65">
        <f t="shared" si="7"/>
        <v>0.46210720887245843</v>
      </c>
      <c r="F25" s="65" t="str">
        <f t="shared" si="0"/>
        <v>No</v>
      </c>
      <c r="G25" s="65" t="str">
        <f t="shared" si="1"/>
        <v>Yes</v>
      </c>
      <c r="H25" s="301" t="str">
        <f>IF(OR('TANF-VIEW'!L29&gt;0,'TANF-VIEW'!T29&gt;0),"Yes","No")</f>
        <v>No</v>
      </c>
      <c r="I25" s="63">
        <f t="shared" si="8"/>
        <v>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0</v>
      </c>
      <c r="O25" s="6">
        <f t="shared" si="2"/>
        <v>0</v>
      </c>
      <c r="P25" s="312">
        <f t="shared" si="3"/>
        <v>41.666666666666671</v>
      </c>
      <c r="Q25" s="312">
        <f t="shared" si="4"/>
        <v>0</v>
      </c>
      <c r="R25" s="312">
        <f t="shared" si="9"/>
        <v>0</v>
      </c>
      <c r="S25" s="160">
        <f>IF(AND('Total income package'!$A$8=TRUE,OR(F25="Yes",G25="Yes",H25="Yes")),SUM(J25:N25)-R25,0)</f>
        <v>0</v>
      </c>
    </row>
    <row r="26" spans="1:19" s="5" customFormat="1" x14ac:dyDescent="0.25">
      <c r="A26" s="6">
        <v>10500</v>
      </c>
      <c r="B26" s="7">
        <f t="shared" si="5"/>
        <v>875</v>
      </c>
      <c r="C26" s="7">
        <f>'Total income package'!$D$80</f>
        <v>0</v>
      </c>
      <c r="D26" s="7">
        <f t="shared" si="6"/>
        <v>875</v>
      </c>
      <c r="E26" s="65">
        <f t="shared" si="7"/>
        <v>0.48521256931608137</v>
      </c>
      <c r="F26" s="65" t="str">
        <f t="shared" si="0"/>
        <v>No</v>
      </c>
      <c r="G26" s="65" t="str">
        <f t="shared" si="1"/>
        <v>Yes</v>
      </c>
      <c r="H26" s="301" t="str">
        <f>IF(OR('TANF-VIEW'!L30&gt;0,'TANF-VIEW'!T30&gt;0),"Yes","No")</f>
        <v>No</v>
      </c>
      <c r="I26" s="63">
        <f t="shared" si="8"/>
        <v>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0</v>
      </c>
      <c r="O26" s="6">
        <f t="shared" si="2"/>
        <v>0</v>
      </c>
      <c r="P26" s="312">
        <f t="shared" si="3"/>
        <v>43.75</v>
      </c>
      <c r="Q26" s="312">
        <f t="shared" si="4"/>
        <v>0</v>
      </c>
      <c r="R26" s="312">
        <f t="shared" si="9"/>
        <v>0</v>
      </c>
      <c r="S26" s="160">
        <f>IF(AND('Total income package'!$A$8=TRUE,OR(F26="Yes",G26="Yes",H26="Yes")),SUM(J26:N26)-R26,0)</f>
        <v>0</v>
      </c>
    </row>
    <row r="27" spans="1:19" s="5" customFormat="1" x14ac:dyDescent="0.25">
      <c r="A27" s="6">
        <v>11000</v>
      </c>
      <c r="B27" s="7">
        <f t="shared" si="5"/>
        <v>916.66666666666663</v>
      </c>
      <c r="C27" s="7">
        <f>'Total income package'!$D$80</f>
        <v>0</v>
      </c>
      <c r="D27" s="7">
        <f t="shared" si="6"/>
        <v>916.66666666666663</v>
      </c>
      <c r="E27" s="65">
        <f t="shared" si="7"/>
        <v>0.50831792975970425</v>
      </c>
      <c r="F27" s="65" t="str">
        <f t="shared" si="0"/>
        <v>No</v>
      </c>
      <c r="G27" s="65" t="str">
        <f t="shared" si="1"/>
        <v>Yes</v>
      </c>
      <c r="H27" s="301" t="str">
        <f>IF(OR('TANF-VIEW'!L31&gt;0,'TANF-VIEW'!T31&gt;0),"Yes","No")</f>
        <v>No</v>
      </c>
      <c r="I27" s="63">
        <f t="shared" si="8"/>
        <v>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0</v>
      </c>
      <c r="O27" s="6">
        <f t="shared" si="2"/>
        <v>0</v>
      </c>
      <c r="P27" s="312">
        <f t="shared" si="3"/>
        <v>45.833333333333336</v>
      </c>
      <c r="Q27" s="312">
        <f t="shared" si="4"/>
        <v>0</v>
      </c>
      <c r="R27" s="312">
        <f t="shared" si="9"/>
        <v>0</v>
      </c>
      <c r="S27" s="160">
        <f>IF(AND('Total income package'!$A$8=TRUE,OR(F27="Yes",G27="Yes",H27="Yes")),SUM(J27:N27)-R27,0)</f>
        <v>0</v>
      </c>
    </row>
    <row r="28" spans="1:19" s="5" customFormat="1" x14ac:dyDescent="0.25">
      <c r="A28" s="6">
        <v>11500</v>
      </c>
      <c r="B28" s="7">
        <f t="shared" si="5"/>
        <v>958.33333333333337</v>
      </c>
      <c r="C28" s="7">
        <f>'Total income package'!$D$80</f>
        <v>0</v>
      </c>
      <c r="D28" s="7">
        <f t="shared" si="6"/>
        <v>958.33333333333337</v>
      </c>
      <c r="E28" s="65">
        <f t="shared" si="7"/>
        <v>0.53142329020332724</v>
      </c>
      <c r="F28" s="65" t="str">
        <f t="shared" si="0"/>
        <v>No</v>
      </c>
      <c r="G28" s="65" t="str">
        <f t="shared" si="1"/>
        <v>Yes</v>
      </c>
      <c r="H28" s="301" t="str">
        <f>IF(OR('TANF-VIEW'!L32&gt;0,'TANF-VIEW'!T32&gt;0),"Yes","No")</f>
        <v>No</v>
      </c>
      <c r="I28" s="63">
        <f t="shared" si="8"/>
        <v>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0</v>
      </c>
      <c r="O28" s="6">
        <f t="shared" si="2"/>
        <v>0</v>
      </c>
      <c r="P28" s="312">
        <f t="shared" si="3"/>
        <v>47.916666666666671</v>
      </c>
      <c r="Q28" s="312">
        <f t="shared" si="4"/>
        <v>0</v>
      </c>
      <c r="R28" s="312">
        <f t="shared" si="9"/>
        <v>0</v>
      </c>
      <c r="S28" s="160">
        <f>IF(AND('Total income package'!$A$8=TRUE,OR(F28="Yes",G28="Yes",H28="Yes")),SUM(J28:N28)-R28,0)</f>
        <v>0</v>
      </c>
    </row>
    <row r="29" spans="1:19" s="5" customFormat="1" x14ac:dyDescent="0.25">
      <c r="A29" s="6">
        <v>12000</v>
      </c>
      <c r="B29" s="7">
        <f t="shared" si="5"/>
        <v>1000</v>
      </c>
      <c r="C29" s="7">
        <f>'Total income package'!$D$80</f>
        <v>0</v>
      </c>
      <c r="D29" s="7">
        <f t="shared" si="6"/>
        <v>1000</v>
      </c>
      <c r="E29" s="65">
        <f>D29/$K$2</f>
        <v>0.55452865064695012</v>
      </c>
      <c r="F29" s="65" t="str">
        <f t="shared" si="0"/>
        <v>No</v>
      </c>
      <c r="G29" s="65" t="str">
        <f t="shared" si="1"/>
        <v>Yes</v>
      </c>
      <c r="H29" s="301" t="str">
        <f>IF(OR('TANF-VIEW'!L33&gt;0,'TANF-VIEW'!T33&gt;0),"Yes","No")</f>
        <v>No</v>
      </c>
      <c r="I29" s="63">
        <f t="shared" si="8"/>
        <v>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0</v>
      </c>
      <c r="O29" s="6">
        <f t="shared" si="2"/>
        <v>0</v>
      </c>
      <c r="P29" s="312">
        <f t="shared" si="3"/>
        <v>50</v>
      </c>
      <c r="Q29" s="312">
        <f t="shared" si="4"/>
        <v>0</v>
      </c>
      <c r="R29" s="312">
        <f t="shared" si="9"/>
        <v>0</v>
      </c>
      <c r="S29" s="160">
        <f>IF(AND('Total income package'!$A$8=TRUE,OR(F29="Yes",G29="Yes",H29="Yes")),SUM(J29:N29)-R29,0)</f>
        <v>0</v>
      </c>
    </row>
    <row r="30" spans="1:19" s="5" customFormat="1" x14ac:dyDescent="0.25">
      <c r="A30" s="6">
        <v>12500</v>
      </c>
      <c r="B30" s="7">
        <f t="shared" si="5"/>
        <v>1041.6666666666667</v>
      </c>
      <c r="C30" s="7">
        <f>'Total income package'!$D$80</f>
        <v>0</v>
      </c>
      <c r="D30" s="7">
        <f t="shared" si="6"/>
        <v>1041.6666666666667</v>
      </c>
      <c r="E30" s="65">
        <f t="shared" si="7"/>
        <v>0.57763401109057311</v>
      </c>
      <c r="F30" s="65" t="str">
        <f t="shared" si="0"/>
        <v>No</v>
      </c>
      <c r="G30" s="65" t="str">
        <f t="shared" si="1"/>
        <v>Yes</v>
      </c>
      <c r="H30" s="301" t="str">
        <f>IF(OR('TANF-VIEW'!L34&gt;0,'TANF-VIEW'!T34&gt;0),"Yes","No")</f>
        <v>No</v>
      </c>
      <c r="I30" s="63">
        <f t="shared" si="8"/>
        <v>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0</v>
      </c>
      <c r="O30" s="6">
        <f t="shared" si="2"/>
        <v>0</v>
      </c>
      <c r="P30" s="312">
        <f t="shared" si="3"/>
        <v>52.083333333333343</v>
      </c>
      <c r="Q30" s="312">
        <f t="shared" si="4"/>
        <v>0</v>
      </c>
      <c r="R30" s="312">
        <f t="shared" si="9"/>
        <v>0</v>
      </c>
      <c r="S30" s="160">
        <f>IF(AND('Total income package'!$A$8=TRUE,OR(F30="Yes",G30="Yes",H30="Yes")),SUM(J30:N30)-R30,0)</f>
        <v>0</v>
      </c>
    </row>
    <row r="31" spans="1:19" s="5" customFormat="1" x14ac:dyDescent="0.25">
      <c r="A31" s="6">
        <v>13000</v>
      </c>
      <c r="B31" s="7">
        <f t="shared" si="5"/>
        <v>1083.3333333333333</v>
      </c>
      <c r="C31" s="7">
        <f>'Total income package'!$D$80</f>
        <v>0</v>
      </c>
      <c r="D31" s="7">
        <f t="shared" si="6"/>
        <v>1083.3333333333333</v>
      </c>
      <c r="E31" s="65">
        <f t="shared" si="7"/>
        <v>0.60073937153419588</v>
      </c>
      <c r="F31" s="65" t="str">
        <f t="shared" si="0"/>
        <v>No</v>
      </c>
      <c r="G31" s="65" t="str">
        <f t="shared" si="1"/>
        <v>Yes</v>
      </c>
      <c r="H31" s="301" t="str">
        <f>IF(OR('TANF-VIEW'!L35&gt;0,'TANF-VIEW'!T35&gt;0),"Yes","No")</f>
        <v>No</v>
      </c>
      <c r="I31" s="63">
        <f t="shared" si="8"/>
        <v>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0</v>
      </c>
      <c r="O31" s="6">
        <f t="shared" si="2"/>
        <v>0</v>
      </c>
      <c r="P31" s="312">
        <f t="shared" si="3"/>
        <v>54.166666666666664</v>
      </c>
      <c r="Q31" s="312">
        <f t="shared" si="4"/>
        <v>0</v>
      </c>
      <c r="R31" s="312">
        <f t="shared" si="9"/>
        <v>0</v>
      </c>
      <c r="S31" s="160">
        <f>IF(AND('Total income package'!$A$8=TRUE,OR(F31="Yes",G31="Yes",H31="Yes")),SUM(J31:N31)-R31,0)</f>
        <v>0</v>
      </c>
    </row>
    <row r="32" spans="1:19" s="5" customFormat="1" x14ac:dyDescent="0.25">
      <c r="A32" s="6">
        <v>13500</v>
      </c>
      <c r="B32" s="7">
        <f t="shared" si="5"/>
        <v>1125</v>
      </c>
      <c r="C32" s="7">
        <f>'Total income package'!$D$80</f>
        <v>0</v>
      </c>
      <c r="D32" s="7">
        <f t="shared" si="6"/>
        <v>1125</v>
      </c>
      <c r="E32" s="65">
        <f t="shared" si="7"/>
        <v>0.62384473197781887</v>
      </c>
      <c r="F32" s="65" t="str">
        <f t="shared" si="0"/>
        <v>No</v>
      </c>
      <c r="G32" s="65" t="str">
        <f t="shared" si="1"/>
        <v>Yes</v>
      </c>
      <c r="H32" s="301" t="str">
        <f>IF(OR('TANF-VIEW'!L36&gt;0,'TANF-VIEW'!T36&gt;0),"Yes","No")</f>
        <v>No</v>
      </c>
      <c r="I32" s="63">
        <f t="shared" si="8"/>
        <v>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0</v>
      </c>
      <c r="O32" s="6">
        <f t="shared" si="2"/>
        <v>0</v>
      </c>
      <c r="P32" s="312">
        <f t="shared" si="3"/>
        <v>56.25</v>
      </c>
      <c r="Q32" s="312">
        <f t="shared" si="4"/>
        <v>0</v>
      </c>
      <c r="R32" s="312">
        <f t="shared" si="9"/>
        <v>0</v>
      </c>
      <c r="S32" s="160">
        <f>IF(AND('Total income package'!$A$8=TRUE,OR(F32="Yes",G32="Yes",H32="Yes")),SUM(J32:N32)-R32,0)</f>
        <v>0</v>
      </c>
    </row>
    <row r="33" spans="1:19" s="5" customFormat="1" x14ac:dyDescent="0.25">
      <c r="A33" s="6">
        <v>14000</v>
      </c>
      <c r="B33" s="7">
        <f t="shared" si="5"/>
        <v>1166.6666666666667</v>
      </c>
      <c r="C33" s="7">
        <f>'Total income package'!$D$80</f>
        <v>0</v>
      </c>
      <c r="D33" s="7">
        <f t="shared" si="6"/>
        <v>1166.6666666666667</v>
      </c>
      <c r="E33" s="65">
        <f t="shared" si="7"/>
        <v>0.64695009242144186</v>
      </c>
      <c r="F33" s="65" t="str">
        <f t="shared" si="0"/>
        <v>No</v>
      </c>
      <c r="G33" s="65" t="str">
        <f t="shared" si="1"/>
        <v>Yes</v>
      </c>
      <c r="H33" s="301" t="str">
        <f>IF(OR('TANF-VIEW'!L37&gt;0,'TANF-VIEW'!T37&gt;0),"Yes","No")</f>
        <v>No</v>
      </c>
      <c r="I33" s="63">
        <f t="shared" si="8"/>
        <v>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0</v>
      </c>
      <c r="O33" s="6">
        <f t="shared" si="2"/>
        <v>0</v>
      </c>
      <c r="P33" s="312">
        <f t="shared" si="3"/>
        <v>58.333333333333343</v>
      </c>
      <c r="Q33" s="312">
        <f t="shared" si="4"/>
        <v>0</v>
      </c>
      <c r="R33" s="312">
        <f t="shared" si="9"/>
        <v>0</v>
      </c>
      <c r="S33" s="160">
        <f>IF(AND('Total income package'!$A$8=TRUE,OR(F33="Yes",G33="Yes",H33="Yes")),SUM(J33:N33)-R33,0)</f>
        <v>0</v>
      </c>
    </row>
    <row r="34" spans="1:19" s="5" customFormat="1" x14ac:dyDescent="0.25">
      <c r="A34" s="6">
        <v>14500</v>
      </c>
      <c r="B34" s="7">
        <f t="shared" si="5"/>
        <v>1208.3333333333333</v>
      </c>
      <c r="C34" s="7">
        <f>'Total income package'!$D$80</f>
        <v>0</v>
      </c>
      <c r="D34" s="7">
        <f t="shared" si="6"/>
        <v>1208.3333333333333</v>
      </c>
      <c r="E34" s="65">
        <f t="shared" si="7"/>
        <v>0.67005545286506463</v>
      </c>
      <c r="F34" s="65" t="str">
        <f t="shared" si="0"/>
        <v>No</v>
      </c>
      <c r="G34" s="65" t="str">
        <f t="shared" si="1"/>
        <v>Yes</v>
      </c>
      <c r="H34" s="301" t="str">
        <f>IF(OR('TANF-VIEW'!L38&gt;0,'TANF-VIEW'!T38&gt;0),"Yes","No")</f>
        <v>No</v>
      </c>
      <c r="I34" s="63">
        <f t="shared" si="8"/>
        <v>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0</v>
      </c>
      <c r="O34" s="6">
        <f t="shared" si="2"/>
        <v>0</v>
      </c>
      <c r="P34" s="312">
        <f t="shared" si="3"/>
        <v>60.416666666666664</v>
      </c>
      <c r="Q34" s="312">
        <f t="shared" si="4"/>
        <v>0</v>
      </c>
      <c r="R34" s="312">
        <f t="shared" si="9"/>
        <v>0</v>
      </c>
      <c r="S34" s="160">
        <f>IF(AND('Total income package'!$A$8=TRUE,OR(F34="Yes",G34="Yes",H34="Yes")),SUM(J34:N34)-R34,0)</f>
        <v>0</v>
      </c>
    </row>
    <row r="35" spans="1:19" s="5" customFormat="1" x14ac:dyDescent="0.25">
      <c r="A35" s="6">
        <v>15000</v>
      </c>
      <c r="B35" s="7">
        <f t="shared" si="5"/>
        <v>1250</v>
      </c>
      <c r="C35" s="7">
        <f>'Total income package'!$D$80</f>
        <v>0</v>
      </c>
      <c r="D35" s="7">
        <f t="shared" si="6"/>
        <v>1250</v>
      </c>
      <c r="E35" s="65">
        <f t="shared" si="7"/>
        <v>0.69316081330868762</v>
      </c>
      <c r="F35" s="65" t="str">
        <f t="shared" si="0"/>
        <v>No</v>
      </c>
      <c r="G35" s="65" t="str">
        <f t="shared" si="1"/>
        <v>Yes</v>
      </c>
      <c r="H35" s="301" t="str">
        <f>IF(OR('TANF-VIEW'!L39&gt;0,'TANF-VIEW'!T39&gt;0),"Yes","No")</f>
        <v>No</v>
      </c>
      <c r="I35" s="63">
        <f t="shared" si="8"/>
        <v>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0</v>
      </c>
      <c r="O35" s="6">
        <f t="shared" si="2"/>
        <v>0</v>
      </c>
      <c r="P35" s="312">
        <f t="shared" si="3"/>
        <v>62.5</v>
      </c>
      <c r="Q35" s="312">
        <f t="shared" si="4"/>
        <v>0</v>
      </c>
      <c r="R35" s="312">
        <f t="shared" si="9"/>
        <v>0</v>
      </c>
      <c r="S35" s="160">
        <f>IF(AND('Total income package'!$A$8=TRUE,OR(F35="Yes",G35="Yes",H35="Yes")),SUM(J35:N35)-R35,0)</f>
        <v>0</v>
      </c>
    </row>
    <row r="36" spans="1:19" s="5" customFormat="1" x14ac:dyDescent="0.25">
      <c r="A36" s="6">
        <v>15500</v>
      </c>
      <c r="B36" s="7">
        <f t="shared" si="5"/>
        <v>1291.6666666666667</v>
      </c>
      <c r="C36" s="7">
        <f>'Total income package'!$D$80</f>
        <v>0</v>
      </c>
      <c r="D36" s="7">
        <f t="shared" si="6"/>
        <v>1291.6666666666667</v>
      </c>
      <c r="E36" s="65">
        <f t="shared" si="7"/>
        <v>0.71626617375231061</v>
      </c>
      <c r="F36" s="65" t="str">
        <f t="shared" si="0"/>
        <v>No</v>
      </c>
      <c r="G36" s="65" t="str">
        <f t="shared" si="1"/>
        <v>Yes</v>
      </c>
      <c r="H36" s="301" t="str">
        <f>IF(OR('TANF-VIEW'!L40&gt;0,'TANF-VIEW'!T40&gt;0),"Yes","No")</f>
        <v>No</v>
      </c>
      <c r="I36" s="63">
        <f t="shared" si="8"/>
        <v>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0</v>
      </c>
      <c r="O36" s="6">
        <f t="shared" si="2"/>
        <v>0</v>
      </c>
      <c r="P36" s="312">
        <f t="shared" si="3"/>
        <v>64.583333333333343</v>
      </c>
      <c r="Q36" s="312">
        <f t="shared" si="4"/>
        <v>0</v>
      </c>
      <c r="R36" s="312">
        <f t="shared" si="9"/>
        <v>0</v>
      </c>
      <c r="S36" s="160">
        <f>IF(AND('Total income package'!$A$8=TRUE,OR(F36="Yes",G36="Yes",H36="Yes")),SUM(J36:N36)-R36,0)</f>
        <v>0</v>
      </c>
    </row>
    <row r="37" spans="1:19" s="5" customFormat="1" x14ac:dyDescent="0.25">
      <c r="A37" s="6">
        <v>16000</v>
      </c>
      <c r="B37" s="7">
        <f t="shared" si="5"/>
        <v>1333.3333333333333</v>
      </c>
      <c r="C37" s="7">
        <f>'Total income package'!$D$80</f>
        <v>0</v>
      </c>
      <c r="D37" s="7">
        <f t="shared" si="6"/>
        <v>1333.3333333333333</v>
      </c>
      <c r="E37" s="65">
        <f t="shared" si="7"/>
        <v>0.73937153419593349</v>
      </c>
      <c r="F37" s="65" t="str">
        <f t="shared" si="0"/>
        <v>No</v>
      </c>
      <c r="G37" s="65" t="str">
        <f t="shared" si="1"/>
        <v>Yes</v>
      </c>
      <c r="H37" s="301" t="str">
        <f>IF(OR('TANF-VIEW'!L41&gt;0,'TANF-VIEW'!T41&gt;0),"Yes","No")</f>
        <v>No</v>
      </c>
      <c r="I37" s="63">
        <f t="shared" si="8"/>
        <v>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0</v>
      </c>
      <c r="O37" s="6">
        <f t="shared" si="2"/>
        <v>0</v>
      </c>
      <c r="P37" s="312">
        <f t="shared" ref="P37:P68" si="10">B37*0.05</f>
        <v>66.666666666666671</v>
      </c>
      <c r="Q37" s="312">
        <f t="shared" si="4"/>
        <v>0</v>
      </c>
      <c r="R37" s="312">
        <f t="shared" si="9"/>
        <v>0</v>
      </c>
      <c r="S37" s="160">
        <f>IF(AND('Total income package'!$A$8=TRUE,OR(F37="Yes",G37="Yes",H37="Yes")),SUM(J37:N37)-R37,0)</f>
        <v>0</v>
      </c>
    </row>
    <row r="38" spans="1:19" s="5" customFormat="1" x14ac:dyDescent="0.25">
      <c r="A38" s="6">
        <v>16500</v>
      </c>
      <c r="B38" s="7">
        <f t="shared" si="5"/>
        <v>1375</v>
      </c>
      <c r="C38" s="7">
        <f>'Total income package'!$D$80</f>
        <v>0</v>
      </c>
      <c r="D38" s="7">
        <f t="shared" si="6"/>
        <v>1375</v>
      </c>
      <c r="E38" s="65">
        <f t="shared" si="7"/>
        <v>0.76247689463955637</v>
      </c>
      <c r="F38" s="65" t="str">
        <f t="shared" si="0"/>
        <v>No</v>
      </c>
      <c r="G38" s="65" t="str">
        <f t="shared" si="1"/>
        <v>Yes</v>
      </c>
      <c r="H38" s="301" t="str">
        <f>IF(OR('TANF-VIEW'!L42&gt;0,'TANF-VIEW'!T42&gt;0),"Yes","No")</f>
        <v>No</v>
      </c>
      <c r="I38" s="63">
        <f t="shared" si="8"/>
        <v>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0</v>
      </c>
      <c r="O38" s="6">
        <f t="shared" si="2"/>
        <v>0</v>
      </c>
      <c r="P38" s="312">
        <f t="shared" si="10"/>
        <v>68.75</v>
      </c>
      <c r="Q38" s="312">
        <f t="shared" si="4"/>
        <v>0</v>
      </c>
      <c r="R38" s="312">
        <f t="shared" si="9"/>
        <v>0</v>
      </c>
      <c r="S38" s="160">
        <f>IF(AND('Total income package'!$A$8=TRUE,OR(F38="Yes",G38="Yes",H38="Yes")),SUM(J38:N38)-R38,0)</f>
        <v>0</v>
      </c>
    </row>
    <row r="39" spans="1:19" s="5" customFormat="1" x14ac:dyDescent="0.25">
      <c r="A39" s="6">
        <v>17000</v>
      </c>
      <c r="B39" s="7">
        <f t="shared" si="5"/>
        <v>1416.6666666666667</v>
      </c>
      <c r="C39" s="7">
        <f>'Total income package'!$D$80</f>
        <v>0</v>
      </c>
      <c r="D39" s="7">
        <f t="shared" si="6"/>
        <v>1416.6666666666667</v>
      </c>
      <c r="E39" s="65">
        <f t="shared" si="7"/>
        <v>0.78558225508317936</v>
      </c>
      <c r="F39" s="65" t="str">
        <f t="shared" si="0"/>
        <v>No</v>
      </c>
      <c r="G39" s="65" t="str">
        <f t="shared" si="1"/>
        <v>Yes</v>
      </c>
      <c r="H39" s="301" t="str">
        <f>IF(OR('TANF-VIEW'!L43&gt;0,'TANF-VIEW'!T43&gt;0),"Yes","No")</f>
        <v>No</v>
      </c>
      <c r="I39" s="63">
        <f t="shared" si="8"/>
        <v>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0</v>
      </c>
      <c r="O39" s="6">
        <f t="shared" si="2"/>
        <v>0</v>
      </c>
      <c r="P39" s="312">
        <f t="shared" si="10"/>
        <v>70.833333333333343</v>
      </c>
      <c r="Q39" s="312">
        <f t="shared" si="4"/>
        <v>0</v>
      </c>
      <c r="R39" s="312">
        <f t="shared" si="9"/>
        <v>0</v>
      </c>
      <c r="S39" s="160">
        <f>IF(AND('Total income package'!$A$8=TRUE,OR(F39="Yes",G39="Yes",H39="Yes")),SUM(J39:N39)-R39,0)</f>
        <v>0</v>
      </c>
    </row>
    <row r="40" spans="1:19" s="5" customFormat="1" x14ac:dyDescent="0.25">
      <c r="A40" s="6">
        <v>17500</v>
      </c>
      <c r="B40" s="7">
        <f t="shared" si="5"/>
        <v>1458.3333333333333</v>
      </c>
      <c r="C40" s="7">
        <f>'Total income package'!$D$80</f>
        <v>0</v>
      </c>
      <c r="D40" s="7">
        <f t="shared" si="6"/>
        <v>1458.3333333333333</v>
      </c>
      <c r="E40" s="65">
        <f t="shared" si="7"/>
        <v>0.80868761552680224</v>
      </c>
      <c r="F40" s="65" t="str">
        <f t="shared" si="0"/>
        <v>No</v>
      </c>
      <c r="G40" s="65" t="str">
        <f t="shared" si="1"/>
        <v>Yes</v>
      </c>
      <c r="H40" s="301" t="str">
        <f>IF(OR('TANF-VIEW'!L44&gt;0,'TANF-VIEW'!T44&gt;0),"Yes","No")</f>
        <v>No</v>
      </c>
      <c r="I40" s="63">
        <f t="shared" si="8"/>
        <v>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0</v>
      </c>
      <c r="O40" s="6">
        <f t="shared" si="2"/>
        <v>0</v>
      </c>
      <c r="P40" s="312">
        <f t="shared" si="10"/>
        <v>72.916666666666671</v>
      </c>
      <c r="Q40" s="312">
        <f t="shared" si="4"/>
        <v>0</v>
      </c>
      <c r="R40" s="312">
        <f t="shared" si="9"/>
        <v>0</v>
      </c>
      <c r="S40" s="160">
        <f>IF(AND('Total income package'!$A$8=TRUE,OR(F40="Yes",G40="Yes",H40="Yes")),SUM(J40:N40)-R40,0)</f>
        <v>0</v>
      </c>
    </row>
    <row r="41" spans="1:19" s="5" customFormat="1" x14ac:dyDescent="0.25">
      <c r="A41" s="6">
        <v>18000</v>
      </c>
      <c r="B41" s="7">
        <f t="shared" si="5"/>
        <v>1500</v>
      </c>
      <c r="C41" s="7">
        <f>'Total income package'!$D$80</f>
        <v>0</v>
      </c>
      <c r="D41" s="7">
        <f t="shared" si="6"/>
        <v>1500</v>
      </c>
      <c r="E41" s="65">
        <f t="shared" si="7"/>
        <v>0.83179297597042512</v>
      </c>
      <c r="F41" s="65" t="str">
        <f t="shared" si="0"/>
        <v>No</v>
      </c>
      <c r="G41" s="65" t="str">
        <f t="shared" si="1"/>
        <v>Yes</v>
      </c>
      <c r="H41" s="301" t="str">
        <f>IF(OR('TANF-VIEW'!L45&gt;0,'TANF-VIEW'!T45&gt;0),"Yes","No")</f>
        <v>No</v>
      </c>
      <c r="I41" s="63">
        <f t="shared" si="8"/>
        <v>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0</v>
      </c>
      <c r="O41" s="6">
        <f t="shared" si="2"/>
        <v>0</v>
      </c>
      <c r="P41" s="312">
        <f t="shared" si="10"/>
        <v>75</v>
      </c>
      <c r="Q41" s="312">
        <f t="shared" si="4"/>
        <v>0</v>
      </c>
      <c r="R41" s="312">
        <f t="shared" si="9"/>
        <v>0</v>
      </c>
      <c r="S41" s="160">
        <f>IF(AND('Total income package'!$A$8=TRUE,OR(F41="Yes",G41="Yes",H41="Yes")),SUM(J41:N41)-R41,0)</f>
        <v>0</v>
      </c>
    </row>
    <row r="42" spans="1:19" s="5" customFormat="1" x14ac:dyDescent="0.25">
      <c r="A42" s="6">
        <v>18500</v>
      </c>
      <c r="B42" s="7">
        <f t="shared" si="5"/>
        <v>1541.6666666666667</v>
      </c>
      <c r="C42" s="7">
        <f>'Total income package'!$D$80</f>
        <v>0</v>
      </c>
      <c r="D42" s="7">
        <f t="shared" si="6"/>
        <v>1541.6666666666667</v>
      </c>
      <c r="E42" s="65">
        <f t="shared" si="7"/>
        <v>0.85489833641404811</v>
      </c>
      <c r="F42" s="65" t="str">
        <f t="shared" si="0"/>
        <v>No</v>
      </c>
      <c r="G42" s="65" t="str">
        <f t="shared" si="1"/>
        <v>Yes</v>
      </c>
      <c r="H42" s="301" t="str">
        <f>IF(OR('TANF-VIEW'!L46&gt;0,'TANF-VIEW'!T46&gt;0),"Yes","No")</f>
        <v>No</v>
      </c>
      <c r="I42" s="63">
        <f t="shared" si="8"/>
        <v>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0</v>
      </c>
      <c r="O42" s="6">
        <f t="shared" si="2"/>
        <v>0</v>
      </c>
      <c r="P42" s="312">
        <f t="shared" si="10"/>
        <v>77.083333333333343</v>
      </c>
      <c r="Q42" s="312">
        <f t="shared" si="4"/>
        <v>0</v>
      </c>
      <c r="R42" s="312">
        <f t="shared" si="9"/>
        <v>0</v>
      </c>
      <c r="S42" s="160">
        <f>IF(AND('Total income package'!$A$8=TRUE,OR(F42="Yes",G42="Yes",H42="Yes")),SUM(J42:N42)-R42,0)</f>
        <v>0</v>
      </c>
    </row>
    <row r="43" spans="1:19" s="5" customFormat="1" x14ac:dyDescent="0.25">
      <c r="A43" s="6">
        <v>19000</v>
      </c>
      <c r="B43" s="7">
        <f t="shared" si="5"/>
        <v>1583.3333333333333</v>
      </c>
      <c r="C43" s="7">
        <f>'Total income package'!$D$80</f>
        <v>0</v>
      </c>
      <c r="D43" s="7">
        <f t="shared" si="6"/>
        <v>1583.3333333333333</v>
      </c>
      <c r="E43" s="65">
        <f t="shared" si="7"/>
        <v>0.87800369685767099</v>
      </c>
      <c r="F43" s="65" t="str">
        <f t="shared" si="0"/>
        <v>No</v>
      </c>
      <c r="G43" s="65" t="str">
        <f t="shared" si="1"/>
        <v>Yes</v>
      </c>
      <c r="H43" s="301" t="str">
        <f>IF(OR('TANF-VIEW'!L47&gt;0,'TANF-VIEW'!T47&gt;0),"Yes","No")</f>
        <v>No</v>
      </c>
      <c r="I43" s="63">
        <f t="shared" si="8"/>
        <v>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0</v>
      </c>
      <c r="O43" s="6">
        <f t="shared" si="2"/>
        <v>0</v>
      </c>
      <c r="P43" s="312">
        <f t="shared" si="10"/>
        <v>79.166666666666671</v>
      </c>
      <c r="Q43" s="312">
        <f t="shared" si="4"/>
        <v>0</v>
      </c>
      <c r="R43" s="312">
        <f t="shared" si="9"/>
        <v>0</v>
      </c>
      <c r="S43" s="160">
        <f>IF(AND('Total income package'!$A$8=TRUE,OR(F43="Yes",G43="Yes",H43="Yes")),SUM(J43:N43)-R43,0)</f>
        <v>0</v>
      </c>
    </row>
    <row r="44" spans="1:19" s="5" customFormat="1" x14ac:dyDescent="0.25">
      <c r="A44" s="6">
        <v>19500</v>
      </c>
      <c r="B44" s="7">
        <f t="shared" si="5"/>
        <v>1625</v>
      </c>
      <c r="C44" s="7">
        <f>'Total income package'!$D$80</f>
        <v>0</v>
      </c>
      <c r="D44" s="7">
        <f t="shared" si="6"/>
        <v>1625</v>
      </c>
      <c r="E44" s="65">
        <f t="shared" si="7"/>
        <v>0.90110905730129398</v>
      </c>
      <c r="F44" s="65" t="str">
        <f t="shared" si="0"/>
        <v>No</v>
      </c>
      <c r="G44" s="65" t="str">
        <f t="shared" si="1"/>
        <v>Yes</v>
      </c>
      <c r="H44" s="301" t="str">
        <f>IF(OR('TANF-VIEW'!L48&gt;0,'TANF-VIEW'!T48&gt;0),"Yes","No")</f>
        <v>No</v>
      </c>
      <c r="I44" s="63">
        <f t="shared" si="8"/>
        <v>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0</v>
      </c>
      <c r="O44" s="6">
        <f t="shared" si="2"/>
        <v>0</v>
      </c>
      <c r="P44" s="312">
        <f t="shared" si="10"/>
        <v>81.25</v>
      </c>
      <c r="Q44" s="312">
        <f t="shared" si="4"/>
        <v>0</v>
      </c>
      <c r="R44" s="312">
        <f t="shared" si="9"/>
        <v>0</v>
      </c>
      <c r="S44" s="160">
        <f>IF(AND('Total income package'!$A$8=TRUE,OR(F44="Yes",G44="Yes",H44="Yes")),SUM(J44:N44)-R44,0)</f>
        <v>0</v>
      </c>
    </row>
    <row r="45" spans="1:19" s="5" customFormat="1" x14ac:dyDescent="0.25">
      <c r="A45" s="6">
        <v>20000</v>
      </c>
      <c r="B45" s="7">
        <f t="shared" si="5"/>
        <v>1666.6666666666667</v>
      </c>
      <c r="C45" s="7">
        <f>'Total income package'!$D$80</f>
        <v>0</v>
      </c>
      <c r="D45" s="7">
        <f t="shared" si="6"/>
        <v>1666.6666666666667</v>
      </c>
      <c r="E45" s="65">
        <f t="shared" si="7"/>
        <v>0.92421441774491686</v>
      </c>
      <c r="F45" s="65" t="str">
        <f t="shared" si="0"/>
        <v>No</v>
      </c>
      <c r="G45" s="65" t="str">
        <f t="shared" si="1"/>
        <v>Yes</v>
      </c>
      <c r="H45" s="301" t="str">
        <f>IF(OR('TANF-VIEW'!L49&gt;0,'TANF-VIEW'!T49&gt;0),"Yes","No")</f>
        <v>No</v>
      </c>
      <c r="I45" s="63">
        <f t="shared" si="8"/>
        <v>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0</v>
      </c>
      <c r="O45" s="6">
        <f t="shared" si="2"/>
        <v>0</v>
      </c>
      <c r="P45" s="312">
        <f t="shared" si="10"/>
        <v>83.333333333333343</v>
      </c>
      <c r="Q45" s="312">
        <f t="shared" si="4"/>
        <v>0</v>
      </c>
      <c r="R45" s="312">
        <f t="shared" si="9"/>
        <v>0</v>
      </c>
      <c r="S45" s="160">
        <f>IF(AND('Total income package'!$A$8=TRUE,OR(F45="Yes",G45="Yes",H45="Yes")),SUM(J45:N45)-R45,0)</f>
        <v>0</v>
      </c>
    </row>
    <row r="46" spans="1:19" s="5" customFormat="1" x14ac:dyDescent="0.25">
      <c r="A46" s="6">
        <v>20500</v>
      </c>
      <c r="B46" s="7">
        <f t="shared" si="5"/>
        <v>1708.3333333333333</v>
      </c>
      <c r="C46" s="7">
        <f>'Total income package'!$D$80</f>
        <v>0</v>
      </c>
      <c r="D46" s="7">
        <f t="shared" si="6"/>
        <v>1708.3333333333333</v>
      </c>
      <c r="E46" s="65">
        <f t="shared" si="7"/>
        <v>0.94731977818853974</v>
      </c>
      <c r="F46" s="65" t="str">
        <f t="shared" si="0"/>
        <v>No</v>
      </c>
      <c r="G46" s="65" t="str">
        <f t="shared" si="1"/>
        <v>Yes</v>
      </c>
      <c r="H46" s="301" t="str">
        <f>IF(OR('TANF-VIEW'!L50&gt;0,'TANF-VIEW'!T50&gt;0),"Yes","No")</f>
        <v>No</v>
      </c>
      <c r="I46" s="63">
        <f t="shared" si="8"/>
        <v>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0</v>
      </c>
      <c r="O46" s="6">
        <f t="shared" si="2"/>
        <v>0</v>
      </c>
      <c r="P46" s="312">
        <f t="shared" si="10"/>
        <v>85.416666666666671</v>
      </c>
      <c r="Q46" s="312">
        <f t="shared" si="4"/>
        <v>0</v>
      </c>
      <c r="R46" s="312">
        <f t="shared" si="9"/>
        <v>0</v>
      </c>
      <c r="S46" s="160">
        <f>IF(AND('Total income package'!$A$8=TRUE,OR(F46="Yes",G46="Yes",H46="Yes")),SUM(J46:N46)-R46,0)</f>
        <v>0</v>
      </c>
    </row>
    <row r="47" spans="1:19" s="5" customFormat="1" x14ac:dyDescent="0.25">
      <c r="A47" s="6">
        <v>21000</v>
      </c>
      <c r="B47" s="7">
        <f t="shared" si="5"/>
        <v>1750</v>
      </c>
      <c r="C47" s="7">
        <f>'Total income package'!$D$80</f>
        <v>0</v>
      </c>
      <c r="D47" s="7">
        <f t="shared" si="6"/>
        <v>1750</v>
      </c>
      <c r="E47" s="65">
        <f t="shared" si="7"/>
        <v>0.97042513863216273</v>
      </c>
      <c r="F47" s="65" t="str">
        <f t="shared" si="0"/>
        <v>No</v>
      </c>
      <c r="G47" s="65" t="str">
        <f t="shared" si="1"/>
        <v>Yes</v>
      </c>
      <c r="H47" s="301" t="str">
        <f>IF(OR('TANF-VIEW'!L51&gt;0,'TANF-VIEW'!T51&gt;0),"Yes","No")</f>
        <v>No</v>
      </c>
      <c r="I47" s="63">
        <f t="shared" si="8"/>
        <v>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0</v>
      </c>
      <c r="O47" s="6">
        <f t="shared" si="2"/>
        <v>0</v>
      </c>
      <c r="P47" s="312">
        <f t="shared" si="10"/>
        <v>87.5</v>
      </c>
      <c r="Q47" s="312">
        <f t="shared" si="4"/>
        <v>0</v>
      </c>
      <c r="R47" s="312">
        <f t="shared" si="9"/>
        <v>0</v>
      </c>
      <c r="S47" s="160">
        <f>IF(AND('Total income package'!$A$8=TRUE,OR(F47="Yes",G47="Yes",H47="Yes")),SUM(J47:N47)-R47,0)</f>
        <v>0</v>
      </c>
    </row>
    <row r="48" spans="1:19" s="5" customFormat="1" x14ac:dyDescent="0.25">
      <c r="A48" s="6">
        <v>21500</v>
      </c>
      <c r="B48" s="7">
        <f t="shared" si="5"/>
        <v>1791.6666666666667</v>
      </c>
      <c r="C48" s="7">
        <f>'Total income package'!$D$80</f>
        <v>0</v>
      </c>
      <c r="D48" s="7">
        <f t="shared" si="6"/>
        <v>1791.6666666666667</v>
      </c>
      <c r="E48" s="65">
        <f t="shared" si="7"/>
        <v>0.99353049907578561</v>
      </c>
      <c r="F48" s="65" t="str">
        <f t="shared" si="0"/>
        <v>No</v>
      </c>
      <c r="G48" s="65" t="str">
        <f t="shared" si="1"/>
        <v>Yes</v>
      </c>
      <c r="H48" s="301" t="str">
        <f>IF(OR('TANF-VIEW'!L52&gt;0,'TANF-VIEW'!T52&gt;0),"Yes","No")</f>
        <v>No</v>
      </c>
      <c r="I48" s="63">
        <f t="shared" si="8"/>
        <v>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0</v>
      </c>
      <c r="O48" s="6">
        <f t="shared" si="2"/>
        <v>0</v>
      </c>
      <c r="P48" s="312">
        <f t="shared" si="10"/>
        <v>89.583333333333343</v>
      </c>
      <c r="Q48" s="312">
        <f t="shared" si="4"/>
        <v>0</v>
      </c>
      <c r="R48" s="312">
        <f t="shared" si="9"/>
        <v>0</v>
      </c>
      <c r="S48" s="160">
        <f>IF(AND('Total income package'!$A$8=TRUE,OR(F48="Yes",G48="Yes",H48="Yes")),SUM(J48:N48)-R48,0)</f>
        <v>0</v>
      </c>
    </row>
    <row r="49" spans="1:19" s="5" customFormat="1" x14ac:dyDescent="0.25">
      <c r="A49" s="6">
        <v>22000</v>
      </c>
      <c r="B49" s="7">
        <f t="shared" si="5"/>
        <v>1833.3333333333333</v>
      </c>
      <c r="C49" s="7">
        <f>'Total income package'!$D$80</f>
        <v>0</v>
      </c>
      <c r="D49" s="7">
        <f t="shared" si="6"/>
        <v>1833.3333333333333</v>
      </c>
      <c r="E49" s="65">
        <f t="shared" si="7"/>
        <v>1.0166358595194085</v>
      </c>
      <c r="F49" s="65" t="str">
        <f t="shared" si="0"/>
        <v>No</v>
      </c>
      <c r="G49" s="65" t="str">
        <f t="shared" si="1"/>
        <v>Yes</v>
      </c>
      <c r="H49" s="301" t="str">
        <f>IF(OR('TANF-VIEW'!L53&gt;0,'TANF-VIEW'!T53&gt;0),"Yes","No")</f>
        <v>No</v>
      </c>
      <c r="I49" s="63">
        <f t="shared" si="8"/>
        <v>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0</v>
      </c>
      <c r="O49" s="6">
        <f t="shared" si="2"/>
        <v>0</v>
      </c>
      <c r="P49" s="312">
        <f t="shared" si="10"/>
        <v>91.666666666666671</v>
      </c>
      <c r="Q49" s="312">
        <f t="shared" si="4"/>
        <v>0</v>
      </c>
      <c r="R49" s="312">
        <f t="shared" si="9"/>
        <v>0</v>
      </c>
      <c r="S49" s="160">
        <f>IF(AND('Total income package'!$A$8=TRUE,OR(F49="Yes",G49="Yes",H49="Yes")),SUM(J49:N49)-R49,0)</f>
        <v>0</v>
      </c>
    </row>
    <row r="50" spans="1:19" s="5" customFormat="1" x14ac:dyDescent="0.25">
      <c r="A50" s="6">
        <v>22500</v>
      </c>
      <c r="B50" s="7">
        <f t="shared" si="5"/>
        <v>1875</v>
      </c>
      <c r="C50" s="7">
        <f>'Total income package'!$D$80</f>
        <v>0</v>
      </c>
      <c r="D50" s="7">
        <f t="shared" si="6"/>
        <v>1875</v>
      </c>
      <c r="E50" s="65">
        <f t="shared" si="7"/>
        <v>1.0397412199630314</v>
      </c>
      <c r="F50" s="65" t="str">
        <f t="shared" si="0"/>
        <v>No</v>
      </c>
      <c r="G50" s="65" t="str">
        <f t="shared" si="1"/>
        <v>Yes</v>
      </c>
      <c r="H50" s="301" t="str">
        <f>IF(OR('TANF-VIEW'!L54&gt;0,'TANF-VIEW'!T54&gt;0),"Yes","No")</f>
        <v>No</v>
      </c>
      <c r="I50" s="63">
        <f t="shared" si="8"/>
        <v>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0</v>
      </c>
      <c r="O50" s="6">
        <f t="shared" si="2"/>
        <v>0</v>
      </c>
      <c r="P50" s="312">
        <f t="shared" si="10"/>
        <v>93.75</v>
      </c>
      <c r="Q50" s="312">
        <f t="shared" si="4"/>
        <v>0</v>
      </c>
      <c r="R50" s="312">
        <f t="shared" si="9"/>
        <v>0</v>
      </c>
      <c r="S50" s="160">
        <f>IF(AND('Total income package'!$A$8=TRUE,OR(F50="Yes",G50="Yes",H50="Yes")),SUM(J50:N50)-R50,0)</f>
        <v>0</v>
      </c>
    </row>
    <row r="51" spans="1:19" s="5" customFormat="1" x14ac:dyDescent="0.25">
      <c r="A51" s="6">
        <v>23000</v>
      </c>
      <c r="B51" s="7">
        <f t="shared" si="5"/>
        <v>1916.6666666666667</v>
      </c>
      <c r="C51" s="7">
        <f>'Total income package'!$D$80</f>
        <v>0</v>
      </c>
      <c r="D51" s="7">
        <f t="shared" si="6"/>
        <v>1916.6666666666667</v>
      </c>
      <c r="E51" s="65">
        <f t="shared" si="7"/>
        <v>1.0628465804066545</v>
      </c>
      <c r="F51" s="65" t="str">
        <f t="shared" si="0"/>
        <v>No</v>
      </c>
      <c r="G51" s="65" t="str">
        <f t="shared" si="1"/>
        <v>Yes</v>
      </c>
      <c r="H51" s="301" t="str">
        <f>IF(OR('TANF-VIEW'!L55&gt;0,'TANF-VIEW'!T55&gt;0),"Yes","No")</f>
        <v>No</v>
      </c>
      <c r="I51" s="63">
        <f t="shared" si="8"/>
        <v>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0</v>
      </c>
      <c r="O51" s="6">
        <f t="shared" si="2"/>
        <v>0</v>
      </c>
      <c r="P51" s="312">
        <f t="shared" si="10"/>
        <v>95.833333333333343</v>
      </c>
      <c r="Q51" s="312">
        <f t="shared" si="4"/>
        <v>0</v>
      </c>
      <c r="R51" s="312">
        <f t="shared" si="9"/>
        <v>0</v>
      </c>
      <c r="S51" s="160">
        <f>IF(AND('Total income package'!$A$8=TRUE,OR(F51="Yes",G51="Yes",H51="Yes")),SUM(J51:N51)-R51,0)</f>
        <v>0</v>
      </c>
    </row>
    <row r="52" spans="1:19" s="5" customFormat="1" x14ac:dyDescent="0.25">
      <c r="A52" s="6">
        <v>23500</v>
      </c>
      <c r="B52" s="7">
        <f t="shared" si="5"/>
        <v>1958.3333333333333</v>
      </c>
      <c r="C52" s="7">
        <f>'Total income package'!$D$80</f>
        <v>0</v>
      </c>
      <c r="D52" s="7">
        <f t="shared" si="6"/>
        <v>1958.3333333333333</v>
      </c>
      <c r="E52" s="65">
        <f t="shared" si="7"/>
        <v>1.0859519408502774</v>
      </c>
      <c r="F52" s="65" t="str">
        <f t="shared" si="0"/>
        <v>No</v>
      </c>
      <c r="G52" s="65" t="str">
        <f t="shared" si="1"/>
        <v>Yes</v>
      </c>
      <c r="H52" s="301" t="str">
        <f>IF(OR('TANF-VIEW'!L56&gt;0,'TANF-VIEW'!T56&gt;0),"Yes","No")</f>
        <v>No</v>
      </c>
      <c r="I52" s="63">
        <f t="shared" si="8"/>
        <v>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0</v>
      </c>
      <c r="O52" s="6">
        <f t="shared" si="2"/>
        <v>0</v>
      </c>
      <c r="P52" s="312">
        <f t="shared" si="10"/>
        <v>97.916666666666671</v>
      </c>
      <c r="Q52" s="312">
        <f t="shared" si="4"/>
        <v>0</v>
      </c>
      <c r="R52" s="312">
        <f t="shared" si="9"/>
        <v>0</v>
      </c>
      <c r="S52" s="160">
        <f>IF(AND('Total income package'!$A$8=TRUE,OR(F52="Yes",G52="Yes",H52="Yes")),SUM(J52:N52)-R52,0)</f>
        <v>0</v>
      </c>
    </row>
    <row r="53" spans="1:19" s="5" customFormat="1" x14ac:dyDescent="0.25">
      <c r="A53" s="6">
        <v>24000</v>
      </c>
      <c r="B53" s="7">
        <f t="shared" si="5"/>
        <v>2000</v>
      </c>
      <c r="C53" s="7">
        <f>'Total income package'!$D$80</f>
        <v>0</v>
      </c>
      <c r="D53" s="7">
        <f t="shared" si="6"/>
        <v>2000</v>
      </c>
      <c r="E53" s="65">
        <f t="shared" si="7"/>
        <v>1.1090573012939002</v>
      </c>
      <c r="F53" s="65" t="str">
        <f t="shared" si="0"/>
        <v>No</v>
      </c>
      <c r="G53" s="65" t="str">
        <f t="shared" si="1"/>
        <v>Yes</v>
      </c>
      <c r="H53" s="301" t="str">
        <f>IF(OR('TANF-VIEW'!L57&gt;0,'TANF-VIEW'!T57&gt;0),"Yes","No")</f>
        <v>No</v>
      </c>
      <c r="I53" s="63">
        <f t="shared" si="8"/>
        <v>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0</v>
      </c>
      <c r="O53" s="6">
        <f t="shared" si="2"/>
        <v>0</v>
      </c>
      <c r="P53" s="312">
        <f t="shared" si="10"/>
        <v>100</v>
      </c>
      <c r="Q53" s="312">
        <f t="shared" si="4"/>
        <v>0</v>
      </c>
      <c r="R53" s="312">
        <f t="shared" si="9"/>
        <v>0</v>
      </c>
      <c r="S53" s="160">
        <f>IF(AND('Total income package'!$A$8=TRUE,OR(F53="Yes",G53="Yes",H53="Yes")),SUM(J53:N53)-R53,0)</f>
        <v>0</v>
      </c>
    </row>
    <row r="54" spans="1:19" s="5" customFormat="1" x14ac:dyDescent="0.25">
      <c r="A54" s="6">
        <v>24500</v>
      </c>
      <c r="B54" s="7">
        <f t="shared" si="5"/>
        <v>2041.6666666666667</v>
      </c>
      <c r="C54" s="7">
        <f>'Total income package'!$D$80</f>
        <v>0</v>
      </c>
      <c r="D54" s="7">
        <f t="shared" si="6"/>
        <v>2041.6666666666667</v>
      </c>
      <c r="E54" s="65">
        <f t="shared" si="7"/>
        <v>1.1321626617375231</v>
      </c>
      <c r="F54" s="65" t="str">
        <f t="shared" si="0"/>
        <v>No</v>
      </c>
      <c r="G54" s="65" t="str">
        <f t="shared" si="1"/>
        <v>Yes</v>
      </c>
      <c r="H54" s="301" t="str">
        <f>IF(OR('TANF-VIEW'!L58&gt;0,'TANF-VIEW'!T58&gt;0),"Yes","No")</f>
        <v>No</v>
      </c>
      <c r="I54" s="63">
        <f t="shared" si="8"/>
        <v>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0</v>
      </c>
      <c r="O54" s="6">
        <f t="shared" si="2"/>
        <v>0</v>
      </c>
      <c r="P54" s="312">
        <f t="shared" si="10"/>
        <v>102.08333333333334</v>
      </c>
      <c r="Q54" s="312">
        <f t="shared" si="4"/>
        <v>0</v>
      </c>
      <c r="R54" s="312">
        <f t="shared" si="9"/>
        <v>0</v>
      </c>
      <c r="S54" s="160">
        <f>IF(AND('Total income package'!$A$8=TRUE,OR(F54="Yes",G54="Yes",H54="Yes")),SUM(J54:N54)-R54,0)</f>
        <v>0</v>
      </c>
    </row>
    <row r="55" spans="1:19" s="5" customFormat="1" x14ac:dyDescent="0.25">
      <c r="A55" s="6">
        <v>25000</v>
      </c>
      <c r="B55" s="7">
        <f t="shared" si="5"/>
        <v>2083.3333333333335</v>
      </c>
      <c r="C55" s="7">
        <f>'Total income package'!$D$80</f>
        <v>0</v>
      </c>
      <c r="D55" s="7">
        <f t="shared" si="6"/>
        <v>2083.3333333333335</v>
      </c>
      <c r="E55" s="65">
        <f t="shared" si="7"/>
        <v>1.1552680221811462</v>
      </c>
      <c r="F55" s="65" t="str">
        <f t="shared" si="0"/>
        <v>No</v>
      </c>
      <c r="G55" s="65" t="str">
        <f t="shared" si="1"/>
        <v>Yes</v>
      </c>
      <c r="H55" s="301" t="str">
        <f>IF(OR('TANF-VIEW'!L59&gt;0,'TANF-VIEW'!T59&gt;0),"Yes","No")</f>
        <v>No</v>
      </c>
      <c r="I55" s="63">
        <f t="shared" si="8"/>
        <v>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0</v>
      </c>
      <c r="O55" s="6">
        <f t="shared" si="2"/>
        <v>0</v>
      </c>
      <c r="P55" s="312">
        <f t="shared" si="10"/>
        <v>104.16666666666669</v>
      </c>
      <c r="Q55" s="312">
        <f t="shared" si="4"/>
        <v>0</v>
      </c>
      <c r="R55" s="312">
        <f t="shared" si="9"/>
        <v>0</v>
      </c>
      <c r="S55" s="160">
        <f>IF(AND('Total income package'!$A$8=TRUE,OR(F55="Yes",G55="Yes",H55="Yes")),SUM(J55:N55)-R55,0)</f>
        <v>0</v>
      </c>
    </row>
    <row r="56" spans="1:19" s="5" customFormat="1" x14ac:dyDescent="0.25">
      <c r="A56" s="6">
        <v>25500</v>
      </c>
      <c r="B56" s="7">
        <f t="shared" si="5"/>
        <v>2125</v>
      </c>
      <c r="C56" s="7">
        <f>'Total income package'!$D$80</f>
        <v>0</v>
      </c>
      <c r="D56" s="7">
        <f t="shared" si="6"/>
        <v>2125</v>
      </c>
      <c r="E56" s="65">
        <f t="shared" si="7"/>
        <v>1.1783733826247691</v>
      </c>
      <c r="F56" s="65" t="str">
        <f t="shared" si="0"/>
        <v>No</v>
      </c>
      <c r="G56" s="65" t="str">
        <f t="shared" si="1"/>
        <v>Yes</v>
      </c>
      <c r="H56" s="301" t="str">
        <f>IF(OR('TANF-VIEW'!L60&gt;0,'TANF-VIEW'!T60&gt;0),"Yes","No")</f>
        <v>No</v>
      </c>
      <c r="I56" s="63">
        <f t="shared" si="8"/>
        <v>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0</v>
      </c>
      <c r="O56" s="6">
        <f t="shared" si="2"/>
        <v>0</v>
      </c>
      <c r="P56" s="312">
        <f t="shared" si="10"/>
        <v>106.25</v>
      </c>
      <c r="Q56" s="312">
        <f t="shared" si="4"/>
        <v>0</v>
      </c>
      <c r="R56" s="312">
        <f t="shared" si="9"/>
        <v>0</v>
      </c>
      <c r="S56" s="160">
        <f>IF(AND('Total income package'!$A$8=TRUE,OR(F56="Yes",G56="Yes",H56="Yes")),SUM(J56:N56)-R56,0)</f>
        <v>0</v>
      </c>
    </row>
    <row r="57" spans="1:19" s="5" customFormat="1" x14ac:dyDescent="0.25">
      <c r="A57" s="6">
        <v>26000</v>
      </c>
      <c r="B57" s="7">
        <f t="shared" si="5"/>
        <v>2166.6666666666665</v>
      </c>
      <c r="C57" s="7">
        <f>'Total income package'!$D$80</f>
        <v>0</v>
      </c>
      <c r="D57" s="7">
        <f t="shared" si="6"/>
        <v>2166.6666666666665</v>
      </c>
      <c r="E57" s="65">
        <f t="shared" si="7"/>
        <v>1.2014787430683918</v>
      </c>
      <c r="F57" s="65" t="str">
        <f t="shared" si="0"/>
        <v>No</v>
      </c>
      <c r="G57" s="65" t="str">
        <f t="shared" si="1"/>
        <v>Yes</v>
      </c>
      <c r="H57" s="301" t="str">
        <f>IF(OR('TANF-VIEW'!L61&gt;0,'TANF-VIEW'!T61&gt;0),"Yes","No")</f>
        <v>No</v>
      </c>
      <c r="I57" s="63">
        <f t="shared" si="8"/>
        <v>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0</v>
      </c>
      <c r="O57" s="6">
        <f t="shared" si="2"/>
        <v>0</v>
      </c>
      <c r="P57" s="312">
        <f t="shared" si="10"/>
        <v>108.33333333333333</v>
      </c>
      <c r="Q57" s="312">
        <f t="shared" si="4"/>
        <v>0</v>
      </c>
      <c r="R57" s="312">
        <f t="shared" si="9"/>
        <v>0</v>
      </c>
      <c r="S57" s="160">
        <f>IF(AND('Total income package'!$A$8=TRUE,OR(F57="Yes",G57="Yes",H57="Yes")),SUM(J57:N57)-R57,0)</f>
        <v>0</v>
      </c>
    </row>
    <row r="58" spans="1:19" s="5" customFormat="1" x14ac:dyDescent="0.25">
      <c r="A58" s="6">
        <v>26500</v>
      </c>
      <c r="B58" s="7">
        <f t="shared" si="5"/>
        <v>2208.3333333333335</v>
      </c>
      <c r="C58" s="7">
        <f>'Total income package'!$D$80</f>
        <v>0</v>
      </c>
      <c r="D58" s="7">
        <f t="shared" si="6"/>
        <v>2208.3333333333335</v>
      </c>
      <c r="E58" s="65">
        <f t="shared" si="7"/>
        <v>1.2245841035120149</v>
      </c>
      <c r="F58" s="65" t="str">
        <f t="shared" si="0"/>
        <v>No</v>
      </c>
      <c r="G58" s="65" t="str">
        <f t="shared" si="1"/>
        <v>Yes</v>
      </c>
      <c r="H58" s="301" t="str">
        <f>IF(OR('TANF-VIEW'!L62&gt;0,'TANF-VIEW'!T62&gt;0),"Yes","No")</f>
        <v>No</v>
      </c>
      <c r="I58" s="63">
        <f t="shared" si="8"/>
        <v>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0</v>
      </c>
      <c r="O58" s="6">
        <f t="shared" si="2"/>
        <v>0</v>
      </c>
      <c r="P58" s="312">
        <f t="shared" si="10"/>
        <v>110.41666666666669</v>
      </c>
      <c r="Q58" s="312">
        <f t="shared" si="4"/>
        <v>0</v>
      </c>
      <c r="R58" s="312">
        <f t="shared" si="9"/>
        <v>0</v>
      </c>
      <c r="S58" s="160">
        <f>IF(AND('Total income package'!$A$8=TRUE,OR(F58="Yes",G58="Yes",H58="Yes")),SUM(J58:N58)-R58,0)</f>
        <v>0</v>
      </c>
    </row>
    <row r="59" spans="1:19" s="5" customFormat="1" x14ac:dyDescent="0.25">
      <c r="A59" s="6">
        <v>27000</v>
      </c>
      <c r="B59" s="7">
        <f t="shared" si="5"/>
        <v>2250</v>
      </c>
      <c r="C59" s="7">
        <f>'Total income package'!$D$80</f>
        <v>0</v>
      </c>
      <c r="D59" s="7">
        <f t="shared" si="6"/>
        <v>2250</v>
      </c>
      <c r="E59" s="65">
        <f t="shared" si="7"/>
        <v>1.2476894639556377</v>
      </c>
      <c r="F59" s="65" t="str">
        <f t="shared" si="0"/>
        <v>No</v>
      </c>
      <c r="G59" s="65" t="str">
        <f t="shared" si="1"/>
        <v>Yes</v>
      </c>
      <c r="H59" s="301" t="str">
        <f>IF(OR('TANF-VIEW'!L63&gt;0,'TANF-VIEW'!T63&gt;0),"Yes","No")</f>
        <v>No</v>
      </c>
      <c r="I59" s="63">
        <f t="shared" si="8"/>
        <v>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0</v>
      </c>
      <c r="O59" s="6">
        <f t="shared" si="2"/>
        <v>0</v>
      </c>
      <c r="P59" s="312">
        <f t="shared" si="10"/>
        <v>112.5</v>
      </c>
      <c r="Q59" s="312">
        <f t="shared" si="4"/>
        <v>0</v>
      </c>
      <c r="R59" s="312">
        <f t="shared" si="9"/>
        <v>0</v>
      </c>
      <c r="S59" s="160">
        <f>IF(AND('Total income package'!$A$8=TRUE,OR(F59="Yes",G59="Yes",H59="Yes")),SUM(J59:N59)-R59,0)</f>
        <v>0</v>
      </c>
    </row>
    <row r="60" spans="1:19" s="5" customFormat="1" x14ac:dyDescent="0.25">
      <c r="A60" s="6">
        <v>27500</v>
      </c>
      <c r="B60" s="7">
        <f t="shared" si="5"/>
        <v>2291.6666666666665</v>
      </c>
      <c r="C60" s="7">
        <f>'Total income package'!$D$80</f>
        <v>0</v>
      </c>
      <c r="D60" s="7">
        <f t="shared" si="6"/>
        <v>2291.6666666666665</v>
      </c>
      <c r="E60" s="65">
        <f t="shared" si="7"/>
        <v>1.2707948243992606</v>
      </c>
      <c r="F60" s="65" t="str">
        <f t="shared" si="0"/>
        <v>No</v>
      </c>
      <c r="G60" s="65" t="str">
        <f t="shared" si="1"/>
        <v>Yes</v>
      </c>
      <c r="H60" s="301" t="str">
        <f>IF(OR('TANF-VIEW'!L64&gt;0,'TANF-VIEW'!T64&gt;0),"Yes","No")</f>
        <v>No</v>
      </c>
      <c r="I60" s="63">
        <f t="shared" si="8"/>
        <v>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0</v>
      </c>
      <c r="O60" s="6">
        <f t="shared" si="2"/>
        <v>0</v>
      </c>
      <c r="P60" s="312">
        <f t="shared" si="10"/>
        <v>114.58333333333333</v>
      </c>
      <c r="Q60" s="312">
        <f t="shared" si="4"/>
        <v>0</v>
      </c>
      <c r="R60" s="312">
        <f t="shared" si="9"/>
        <v>0</v>
      </c>
      <c r="S60" s="160">
        <f>IF(AND('Total income package'!$A$8=TRUE,OR(F60="Yes",G60="Yes",H60="Yes")),SUM(J60:N60)-R60,0)</f>
        <v>0</v>
      </c>
    </row>
    <row r="61" spans="1:19" s="5" customFormat="1" x14ac:dyDescent="0.25">
      <c r="A61" s="6">
        <v>28000</v>
      </c>
      <c r="B61" s="7">
        <f t="shared" si="5"/>
        <v>2333.3333333333335</v>
      </c>
      <c r="C61" s="7">
        <f>'Total income package'!$D$80</f>
        <v>0</v>
      </c>
      <c r="D61" s="7">
        <f t="shared" si="6"/>
        <v>2333.3333333333335</v>
      </c>
      <c r="E61" s="65">
        <f t="shared" si="7"/>
        <v>1.2939001848428837</v>
      </c>
      <c r="F61" s="65" t="str">
        <f t="shared" si="0"/>
        <v>No</v>
      </c>
      <c r="G61" s="65" t="str">
        <f t="shared" si="1"/>
        <v>Yes</v>
      </c>
      <c r="H61" s="301" t="str">
        <f>IF(OR('TANF-VIEW'!L65&gt;0,'TANF-VIEW'!T65&gt;0),"Yes","No")</f>
        <v>No</v>
      </c>
      <c r="I61" s="63">
        <f t="shared" si="8"/>
        <v>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0</v>
      </c>
      <c r="O61" s="6">
        <f t="shared" si="2"/>
        <v>0</v>
      </c>
      <c r="P61" s="312">
        <f t="shared" si="10"/>
        <v>116.66666666666669</v>
      </c>
      <c r="Q61" s="312">
        <f t="shared" si="4"/>
        <v>0</v>
      </c>
      <c r="R61" s="312">
        <f t="shared" si="9"/>
        <v>0</v>
      </c>
      <c r="S61" s="160">
        <f>IF(AND('Total income package'!$A$8=TRUE,OR(F61="Yes",G61="Yes",H61="Yes")),SUM(J61:N61)-R61,0)</f>
        <v>0</v>
      </c>
    </row>
    <row r="62" spans="1:19" s="5" customFormat="1" x14ac:dyDescent="0.25">
      <c r="A62" s="6">
        <v>28500</v>
      </c>
      <c r="B62" s="7">
        <f t="shared" si="5"/>
        <v>2375</v>
      </c>
      <c r="C62" s="7">
        <f>'Total income package'!$D$80</f>
        <v>0</v>
      </c>
      <c r="D62" s="7">
        <f t="shared" si="6"/>
        <v>2375</v>
      </c>
      <c r="E62" s="65">
        <f t="shared" si="7"/>
        <v>1.3170055452865066</v>
      </c>
      <c r="F62" s="65" t="str">
        <f t="shared" si="0"/>
        <v>No</v>
      </c>
      <c r="G62" s="65" t="str">
        <f t="shared" si="1"/>
        <v>Yes</v>
      </c>
      <c r="H62" s="301" t="str">
        <f>IF(OR('TANF-VIEW'!L66&gt;0,'TANF-VIEW'!T66&gt;0),"Yes","No")</f>
        <v>No</v>
      </c>
      <c r="I62" s="63">
        <f t="shared" si="8"/>
        <v>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0</v>
      </c>
      <c r="O62" s="6">
        <f t="shared" si="2"/>
        <v>0</v>
      </c>
      <c r="P62" s="312">
        <f t="shared" si="10"/>
        <v>118.75</v>
      </c>
      <c r="Q62" s="312">
        <f t="shared" si="4"/>
        <v>0</v>
      </c>
      <c r="R62" s="312">
        <f t="shared" si="9"/>
        <v>0</v>
      </c>
      <c r="S62" s="160">
        <f>IF(AND('Total income package'!$A$8=TRUE,OR(F62="Yes",G62="Yes",H62="Yes")),SUM(J62:N62)-R62,0)</f>
        <v>0</v>
      </c>
    </row>
    <row r="63" spans="1:19" s="5" customFormat="1" x14ac:dyDescent="0.25">
      <c r="A63" s="6">
        <v>29000</v>
      </c>
      <c r="B63" s="7">
        <f t="shared" si="5"/>
        <v>2416.6666666666665</v>
      </c>
      <c r="C63" s="7">
        <f>'Total income package'!$D$80</f>
        <v>0</v>
      </c>
      <c r="D63" s="7">
        <f t="shared" si="6"/>
        <v>2416.6666666666665</v>
      </c>
      <c r="E63" s="65">
        <f t="shared" si="7"/>
        <v>1.3401109057301293</v>
      </c>
      <c r="F63" s="65" t="str">
        <f t="shared" si="0"/>
        <v>No</v>
      </c>
      <c r="G63" s="65" t="str">
        <f t="shared" si="1"/>
        <v>Yes</v>
      </c>
      <c r="H63" s="301" t="str">
        <f>IF(OR('TANF-VIEW'!L67&gt;0,'TANF-VIEW'!T67&gt;0),"Yes","No")</f>
        <v>No</v>
      </c>
      <c r="I63" s="63">
        <f t="shared" si="8"/>
        <v>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0</v>
      </c>
      <c r="O63" s="6">
        <f t="shared" si="2"/>
        <v>0</v>
      </c>
      <c r="P63" s="312">
        <f t="shared" si="10"/>
        <v>120.83333333333333</v>
      </c>
      <c r="Q63" s="312">
        <f t="shared" si="4"/>
        <v>0</v>
      </c>
      <c r="R63" s="312">
        <f t="shared" si="9"/>
        <v>0</v>
      </c>
      <c r="S63" s="160">
        <f>IF(AND('Total income package'!$A$8=TRUE,OR(F63="Yes",G63="Yes",H63="Yes")),SUM(J63:N63)-R63,0)</f>
        <v>0</v>
      </c>
    </row>
    <row r="64" spans="1:19" s="5" customFormat="1" x14ac:dyDescent="0.25">
      <c r="A64" s="6">
        <v>29500</v>
      </c>
      <c r="B64" s="7">
        <f t="shared" si="5"/>
        <v>2458.3333333333335</v>
      </c>
      <c r="C64" s="7">
        <f>'Total income package'!$D$80</f>
        <v>0</v>
      </c>
      <c r="D64" s="7">
        <f t="shared" si="6"/>
        <v>2458.3333333333335</v>
      </c>
      <c r="E64" s="65">
        <f t="shared" si="7"/>
        <v>1.3632162661737524</v>
      </c>
      <c r="F64" s="65" t="str">
        <f t="shared" si="0"/>
        <v>No</v>
      </c>
      <c r="G64" s="65" t="str">
        <f t="shared" si="1"/>
        <v>Yes</v>
      </c>
      <c r="H64" s="301" t="str">
        <f>IF(OR('TANF-VIEW'!L68&gt;0,'TANF-VIEW'!T68&gt;0),"Yes","No")</f>
        <v>No</v>
      </c>
      <c r="I64" s="63">
        <f t="shared" si="8"/>
        <v>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0</v>
      </c>
      <c r="O64" s="6">
        <f t="shared" si="2"/>
        <v>0</v>
      </c>
      <c r="P64" s="312">
        <f t="shared" si="10"/>
        <v>122.91666666666669</v>
      </c>
      <c r="Q64" s="312">
        <f t="shared" si="4"/>
        <v>0</v>
      </c>
      <c r="R64" s="312">
        <f t="shared" si="9"/>
        <v>0</v>
      </c>
      <c r="S64" s="160">
        <f>IF(AND('Total income package'!$A$8=TRUE,OR(F64="Yes",G64="Yes",H64="Yes")),SUM(J64:N64)-R64,0)</f>
        <v>0</v>
      </c>
    </row>
    <row r="65" spans="1:19" s="5" customFormat="1" x14ac:dyDescent="0.25">
      <c r="A65" s="6">
        <v>30000</v>
      </c>
      <c r="B65" s="7">
        <f t="shared" si="5"/>
        <v>2500</v>
      </c>
      <c r="C65" s="7">
        <f>'Total income package'!$D$80</f>
        <v>0</v>
      </c>
      <c r="D65" s="7">
        <f t="shared" si="6"/>
        <v>2500</v>
      </c>
      <c r="E65" s="65">
        <f t="shared" si="7"/>
        <v>1.3863216266173752</v>
      </c>
      <c r="F65" s="65" t="str">
        <f t="shared" si="0"/>
        <v>No</v>
      </c>
      <c r="G65" s="65" t="str">
        <f t="shared" si="1"/>
        <v>Yes</v>
      </c>
      <c r="H65" s="301" t="str">
        <f>IF(OR('TANF-VIEW'!L69&gt;0,'TANF-VIEW'!T69&gt;0),"Yes","No")</f>
        <v>No</v>
      </c>
      <c r="I65" s="63">
        <f t="shared" si="8"/>
        <v>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0</v>
      </c>
      <c r="O65" s="6">
        <f t="shared" si="2"/>
        <v>0</v>
      </c>
      <c r="P65" s="312">
        <f t="shared" si="10"/>
        <v>125</v>
      </c>
      <c r="Q65" s="312">
        <f t="shared" si="4"/>
        <v>0</v>
      </c>
      <c r="R65" s="312">
        <f t="shared" si="9"/>
        <v>0</v>
      </c>
      <c r="S65" s="160">
        <f>IF(AND('Total income package'!$A$8=TRUE,OR(F65="Yes",G65="Yes",H65="Yes")),SUM(J65:N65)-R65,0)</f>
        <v>0</v>
      </c>
    </row>
    <row r="66" spans="1:19" s="5" customFormat="1" x14ac:dyDescent="0.25">
      <c r="A66" s="6">
        <v>30500</v>
      </c>
      <c r="B66" s="7">
        <f t="shared" si="5"/>
        <v>2541.6666666666665</v>
      </c>
      <c r="C66" s="7">
        <f>'Total income package'!$D$80</f>
        <v>0</v>
      </c>
      <c r="D66" s="7">
        <f t="shared" si="6"/>
        <v>2541.6666666666665</v>
      </c>
      <c r="E66" s="65">
        <f t="shared" si="7"/>
        <v>1.4094269870609981</v>
      </c>
      <c r="F66" s="65" t="str">
        <f t="shared" si="0"/>
        <v>No</v>
      </c>
      <c r="G66" s="65" t="str">
        <f t="shared" si="1"/>
        <v>Yes</v>
      </c>
      <c r="H66" s="301" t="str">
        <f>IF(OR('TANF-VIEW'!L70&gt;0,'TANF-VIEW'!T70&gt;0),"Yes","No")</f>
        <v>No</v>
      </c>
      <c r="I66" s="63">
        <f t="shared" si="8"/>
        <v>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0</v>
      </c>
      <c r="O66" s="6">
        <f t="shared" si="2"/>
        <v>0</v>
      </c>
      <c r="P66" s="312">
        <f t="shared" si="10"/>
        <v>127.08333333333333</v>
      </c>
      <c r="Q66" s="312">
        <f t="shared" si="4"/>
        <v>0</v>
      </c>
      <c r="R66" s="312">
        <f t="shared" si="9"/>
        <v>0</v>
      </c>
      <c r="S66" s="160">
        <f>IF(AND('Total income package'!$A$8=TRUE,OR(F66="Yes",G66="Yes",H66="Yes")),SUM(J66:N66)-R66,0)</f>
        <v>0</v>
      </c>
    </row>
    <row r="67" spans="1:19" s="5" customFormat="1" x14ac:dyDescent="0.25">
      <c r="A67" s="6">
        <v>31000</v>
      </c>
      <c r="B67" s="7">
        <f t="shared" si="5"/>
        <v>2583.3333333333335</v>
      </c>
      <c r="C67" s="7">
        <f>'Total income package'!$D$80</f>
        <v>0</v>
      </c>
      <c r="D67" s="7">
        <f t="shared" si="6"/>
        <v>2583.3333333333335</v>
      </c>
      <c r="E67" s="65">
        <f t="shared" si="7"/>
        <v>1.4325323475046212</v>
      </c>
      <c r="F67" s="65" t="str">
        <f t="shared" si="0"/>
        <v>No</v>
      </c>
      <c r="G67" s="65" t="str">
        <f t="shared" si="1"/>
        <v>Yes</v>
      </c>
      <c r="H67" s="301" t="str">
        <f>IF(OR('TANF-VIEW'!L71&gt;0,'TANF-VIEW'!T71&gt;0),"Yes","No")</f>
        <v>No</v>
      </c>
      <c r="I67" s="63">
        <f t="shared" si="8"/>
        <v>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0</v>
      </c>
      <c r="O67" s="6">
        <f t="shared" si="2"/>
        <v>0</v>
      </c>
      <c r="P67" s="312">
        <f t="shared" si="10"/>
        <v>129.16666666666669</v>
      </c>
      <c r="Q67" s="312">
        <f t="shared" si="4"/>
        <v>0</v>
      </c>
      <c r="R67" s="312">
        <f t="shared" si="9"/>
        <v>0</v>
      </c>
      <c r="S67" s="160">
        <f>IF(AND('Total income package'!$A$8=TRUE,OR(F67="Yes",G67="Yes",H67="Yes")),SUM(J67:N67)-R67,0)</f>
        <v>0</v>
      </c>
    </row>
    <row r="68" spans="1:19" s="5" customFormat="1" x14ac:dyDescent="0.25">
      <c r="A68" s="6">
        <v>31500</v>
      </c>
      <c r="B68" s="7">
        <f t="shared" si="5"/>
        <v>2625</v>
      </c>
      <c r="C68" s="7">
        <f>'Total income package'!$D$80</f>
        <v>0</v>
      </c>
      <c r="D68" s="7">
        <f t="shared" si="6"/>
        <v>2625</v>
      </c>
      <c r="E68" s="65">
        <f t="shared" si="7"/>
        <v>1.4556377079482441</v>
      </c>
      <c r="F68" s="65" t="str">
        <f t="shared" si="0"/>
        <v>No</v>
      </c>
      <c r="G68" s="65" t="str">
        <f t="shared" si="1"/>
        <v>Yes</v>
      </c>
      <c r="H68" s="301" t="str">
        <f>IF(OR('TANF-VIEW'!L72&gt;0,'TANF-VIEW'!T72&gt;0),"Yes","No")</f>
        <v>No</v>
      </c>
      <c r="I68" s="63">
        <f t="shared" si="8"/>
        <v>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0</v>
      </c>
      <c r="O68" s="6">
        <f t="shared" si="2"/>
        <v>0</v>
      </c>
      <c r="P68" s="312">
        <f t="shared" si="10"/>
        <v>131.25</v>
      </c>
      <c r="Q68" s="312">
        <f t="shared" si="4"/>
        <v>0</v>
      </c>
      <c r="R68" s="312">
        <f t="shared" si="9"/>
        <v>0</v>
      </c>
      <c r="S68" s="160">
        <f>IF(AND('Total income package'!$A$8=TRUE,OR(F68="Yes",G68="Yes",H68="Yes")),SUM(J68:N68)-R68,0)</f>
        <v>0</v>
      </c>
    </row>
    <row r="69" spans="1:19" s="5" customFormat="1" x14ac:dyDescent="0.25">
      <c r="A69" s="6">
        <v>32000</v>
      </c>
      <c r="B69" s="7">
        <f t="shared" si="5"/>
        <v>2666.6666666666665</v>
      </c>
      <c r="C69" s="7">
        <f>'Total income package'!$D$80</f>
        <v>0</v>
      </c>
      <c r="D69" s="7">
        <f t="shared" si="6"/>
        <v>2666.6666666666665</v>
      </c>
      <c r="E69" s="65">
        <f t="shared" si="7"/>
        <v>1.478743068391867</v>
      </c>
      <c r="F69" s="65" t="str">
        <f t="shared" ref="F69:F132" si="11">IF(AND(B69&lt;$N$2,SUM($C$2:$F$2)&gt;0),"Yes","No")</f>
        <v>No</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0</v>
      </c>
      <c r="O69" s="6">
        <f t="shared" ref="O69:O132" si="14">I69*SUM($C$2:$H$2)</f>
        <v>0</v>
      </c>
      <c r="P69" s="312">
        <f t="shared" ref="P69:P100" si="15">B69*0.05</f>
        <v>133.33333333333334</v>
      </c>
      <c r="Q69" s="312">
        <f t="shared" ref="Q69:Q132" si="16">I69*3</f>
        <v>0</v>
      </c>
      <c r="R69" s="312">
        <f t="shared" si="9"/>
        <v>0</v>
      </c>
      <c r="S69" s="160">
        <f>IF(AND('Total income package'!$A$8=TRUE,OR(F69="Yes",G69="Yes",H69="Yes")),SUM(J69:N69)-R69,0)</f>
        <v>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1.5018484288354901</v>
      </c>
      <c r="F70" s="65" t="str">
        <f t="shared" si="11"/>
        <v>No</v>
      </c>
      <c r="G70" s="65" t="str">
        <f t="shared" si="12"/>
        <v>No</v>
      </c>
      <c r="H70" s="301" t="str">
        <f>IF(OR('TANF-VIEW'!L74&gt;0,'TANF-VIEW'!T74&gt;0),"Yes","No")</f>
        <v>No</v>
      </c>
      <c r="I70" s="63">
        <f t="shared" si="13"/>
        <v>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0</v>
      </c>
      <c r="O70" s="6">
        <f t="shared" si="14"/>
        <v>0</v>
      </c>
      <c r="P70" s="312">
        <f t="shared" si="15"/>
        <v>135.41666666666669</v>
      </c>
      <c r="Q70" s="312">
        <f t="shared" si="16"/>
        <v>0</v>
      </c>
      <c r="R70" s="312">
        <f t="shared" ref="R70:R133" si="20">IF(MIN(O70,P70)&lt;Q70,MIN(O70,P70),Q70)</f>
        <v>0</v>
      </c>
      <c r="S70" s="160">
        <f>IF(AND('Total income package'!$A$8=TRUE,OR(F70="Yes",G70="Yes",H70="Yes")),SUM(J70:N70)-R70,0)</f>
        <v>0</v>
      </c>
    </row>
    <row r="71" spans="1:19" s="5" customFormat="1" x14ac:dyDescent="0.25">
      <c r="A71" s="6">
        <v>33000</v>
      </c>
      <c r="B71" s="7">
        <f t="shared" si="17"/>
        <v>2750</v>
      </c>
      <c r="C71" s="7">
        <f>'Total income package'!$D$80</f>
        <v>0</v>
      </c>
      <c r="D71" s="7">
        <f t="shared" si="18"/>
        <v>2750</v>
      </c>
      <c r="E71" s="65">
        <f t="shared" si="19"/>
        <v>1.5249537892791127</v>
      </c>
      <c r="F71" s="65" t="str">
        <f t="shared" si="11"/>
        <v>No</v>
      </c>
      <c r="G71" s="65" t="str">
        <f t="shared" si="12"/>
        <v>No</v>
      </c>
      <c r="H71" s="301" t="str">
        <f>IF(OR('TANF-VIEW'!L75&gt;0,'TANF-VIEW'!T75&gt;0),"Yes","No")</f>
        <v>No</v>
      </c>
      <c r="I71" s="63">
        <f t="shared" si="13"/>
        <v>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0</v>
      </c>
      <c r="O71" s="6">
        <f t="shared" si="14"/>
        <v>0</v>
      </c>
      <c r="P71" s="312">
        <f t="shared" si="15"/>
        <v>137.5</v>
      </c>
      <c r="Q71" s="312">
        <f t="shared" si="16"/>
        <v>0</v>
      </c>
      <c r="R71" s="312">
        <f t="shared" si="20"/>
        <v>0</v>
      </c>
      <c r="S71" s="160">
        <f>IF(AND('Total income package'!$A$8=TRUE,OR(F71="Yes",G71="Yes",H71="Yes")),SUM(J71:N71)-R71,0)</f>
        <v>0</v>
      </c>
    </row>
    <row r="72" spans="1:19" s="5" customFormat="1" x14ac:dyDescent="0.25">
      <c r="A72" s="6">
        <v>33500</v>
      </c>
      <c r="B72" s="7">
        <f t="shared" si="17"/>
        <v>2791.6666666666665</v>
      </c>
      <c r="C72" s="7">
        <f>'Total income package'!$D$80</f>
        <v>0</v>
      </c>
      <c r="D72" s="7">
        <f t="shared" si="18"/>
        <v>2791.6666666666665</v>
      </c>
      <c r="E72" s="65">
        <f t="shared" si="19"/>
        <v>1.5480591497227356</v>
      </c>
      <c r="F72" s="65" t="str">
        <f t="shared" si="11"/>
        <v>No</v>
      </c>
      <c r="G72" s="65" t="str">
        <f t="shared" si="12"/>
        <v>No</v>
      </c>
      <c r="H72" s="301" t="str">
        <f>IF(OR('TANF-VIEW'!L76&gt;0,'TANF-VIEW'!T76&gt;0),"Yes","No")</f>
        <v>No</v>
      </c>
      <c r="I72" s="63">
        <f t="shared" si="13"/>
        <v>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0</v>
      </c>
      <c r="O72" s="6">
        <f t="shared" si="14"/>
        <v>0</v>
      </c>
      <c r="P72" s="312">
        <f t="shared" si="15"/>
        <v>139.58333333333334</v>
      </c>
      <c r="Q72" s="312">
        <f t="shared" si="16"/>
        <v>0</v>
      </c>
      <c r="R72" s="312">
        <f t="shared" si="20"/>
        <v>0</v>
      </c>
      <c r="S72" s="160">
        <f>IF(AND('Total income package'!$A$8=TRUE,OR(F72="Yes",G72="Yes",H72="Yes")),SUM(J72:N72)-R72,0)</f>
        <v>0</v>
      </c>
    </row>
    <row r="73" spans="1:19" s="5" customFormat="1" x14ac:dyDescent="0.25">
      <c r="A73" s="6">
        <v>34000</v>
      </c>
      <c r="B73" s="7">
        <f t="shared" si="17"/>
        <v>2833.3333333333335</v>
      </c>
      <c r="C73" s="7">
        <f>'Total income package'!$D$80</f>
        <v>0</v>
      </c>
      <c r="D73" s="7">
        <f t="shared" si="18"/>
        <v>2833.3333333333335</v>
      </c>
      <c r="E73" s="65">
        <f t="shared" si="19"/>
        <v>1.5711645101663587</v>
      </c>
      <c r="F73" s="65" t="str">
        <f t="shared" si="11"/>
        <v>No</v>
      </c>
      <c r="G73" s="65" t="str">
        <f t="shared" si="12"/>
        <v>No</v>
      </c>
      <c r="H73" s="301" t="str">
        <f>IF(OR('TANF-VIEW'!L77&gt;0,'TANF-VIEW'!T77&gt;0),"Yes","No")</f>
        <v>No</v>
      </c>
      <c r="I73" s="63">
        <f t="shared" si="13"/>
        <v>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0</v>
      </c>
      <c r="O73" s="6">
        <f t="shared" si="14"/>
        <v>0</v>
      </c>
      <c r="P73" s="312">
        <f t="shared" si="15"/>
        <v>141.66666666666669</v>
      </c>
      <c r="Q73" s="312">
        <f t="shared" si="16"/>
        <v>0</v>
      </c>
      <c r="R73" s="312">
        <f t="shared" si="20"/>
        <v>0</v>
      </c>
      <c r="S73" s="160">
        <f>IF(AND('Total income package'!$A$8=TRUE,OR(F73="Yes",G73="Yes",H73="Yes")),SUM(J73:N73)-R73,0)</f>
        <v>0</v>
      </c>
    </row>
    <row r="74" spans="1:19" s="5" customFormat="1" x14ac:dyDescent="0.25">
      <c r="A74" s="6">
        <v>34500</v>
      </c>
      <c r="B74" s="7">
        <f t="shared" si="17"/>
        <v>2875</v>
      </c>
      <c r="C74" s="7">
        <f>'Total income package'!$D$80</f>
        <v>0</v>
      </c>
      <c r="D74" s="7">
        <f t="shared" si="18"/>
        <v>2875</v>
      </c>
      <c r="E74" s="65">
        <f t="shared" si="19"/>
        <v>1.5942698706099816</v>
      </c>
      <c r="F74" s="65" t="str">
        <f t="shared" si="11"/>
        <v>No</v>
      </c>
      <c r="G74" s="65" t="str">
        <f t="shared" si="12"/>
        <v>No</v>
      </c>
      <c r="H74" s="301" t="str">
        <f>IF(OR('TANF-VIEW'!L78&gt;0,'TANF-VIEW'!T78&gt;0),"Yes","No")</f>
        <v>No</v>
      </c>
      <c r="I74" s="63">
        <f t="shared" si="13"/>
        <v>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0</v>
      </c>
      <c r="O74" s="6">
        <f t="shared" si="14"/>
        <v>0</v>
      </c>
      <c r="P74" s="312">
        <f t="shared" si="15"/>
        <v>143.75</v>
      </c>
      <c r="Q74" s="312">
        <f t="shared" si="16"/>
        <v>0</v>
      </c>
      <c r="R74" s="312">
        <f t="shared" si="20"/>
        <v>0</v>
      </c>
      <c r="S74" s="160">
        <f>IF(AND('Total income package'!$A$8=TRUE,OR(F74="Yes",G74="Yes",H74="Yes")),SUM(J74:N74)-R74,0)</f>
        <v>0</v>
      </c>
    </row>
    <row r="75" spans="1:19" s="5" customFormat="1" x14ac:dyDescent="0.25">
      <c r="A75" s="6">
        <v>35000</v>
      </c>
      <c r="B75" s="7">
        <f t="shared" si="17"/>
        <v>2916.6666666666665</v>
      </c>
      <c r="C75" s="7">
        <f>'Total income package'!$D$80</f>
        <v>0</v>
      </c>
      <c r="D75" s="7">
        <f t="shared" si="18"/>
        <v>2916.6666666666665</v>
      </c>
      <c r="E75" s="65">
        <f t="shared" si="19"/>
        <v>1.6173752310536045</v>
      </c>
      <c r="F75" s="65" t="str">
        <f t="shared" si="11"/>
        <v>No</v>
      </c>
      <c r="G75" s="65" t="str">
        <f t="shared" si="12"/>
        <v>No</v>
      </c>
      <c r="H75" s="301" t="str">
        <f>IF(OR('TANF-VIEW'!L79&gt;0,'TANF-VIEW'!T79&gt;0),"Yes","No")</f>
        <v>No</v>
      </c>
      <c r="I75" s="63">
        <f t="shared" si="13"/>
        <v>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0</v>
      </c>
      <c r="O75" s="6">
        <f t="shared" si="14"/>
        <v>0</v>
      </c>
      <c r="P75" s="312">
        <f t="shared" si="15"/>
        <v>145.83333333333334</v>
      </c>
      <c r="Q75" s="312">
        <f t="shared" si="16"/>
        <v>0</v>
      </c>
      <c r="R75" s="312">
        <f t="shared" si="20"/>
        <v>0</v>
      </c>
      <c r="S75" s="160">
        <f>IF(AND('Total income package'!$A$8=TRUE,OR(F75="Yes",G75="Yes",H75="Yes")),SUM(J75:N75)-R75,0)</f>
        <v>0</v>
      </c>
    </row>
    <row r="76" spans="1:19" s="5" customFormat="1" x14ac:dyDescent="0.25">
      <c r="A76" s="6">
        <v>35500</v>
      </c>
      <c r="B76" s="7">
        <f t="shared" si="17"/>
        <v>2958.3333333333335</v>
      </c>
      <c r="C76" s="7">
        <f>'Total income package'!$D$80</f>
        <v>0</v>
      </c>
      <c r="D76" s="7">
        <f t="shared" si="18"/>
        <v>2958.3333333333335</v>
      </c>
      <c r="E76" s="65">
        <f t="shared" si="19"/>
        <v>1.6404805914972276</v>
      </c>
      <c r="F76" s="65" t="str">
        <f t="shared" si="11"/>
        <v>No</v>
      </c>
      <c r="G76" s="65" t="str">
        <f t="shared" si="12"/>
        <v>No</v>
      </c>
      <c r="H76" s="301" t="str">
        <f>IF(OR('TANF-VIEW'!L80&gt;0,'TANF-VIEW'!T80&gt;0),"Yes","No")</f>
        <v>No</v>
      </c>
      <c r="I76" s="63">
        <f t="shared" si="13"/>
        <v>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0</v>
      </c>
      <c r="O76" s="6">
        <f t="shared" si="14"/>
        <v>0</v>
      </c>
      <c r="P76" s="312">
        <f t="shared" si="15"/>
        <v>147.91666666666669</v>
      </c>
      <c r="Q76" s="312">
        <f t="shared" si="16"/>
        <v>0</v>
      </c>
      <c r="R76" s="312">
        <f t="shared" si="20"/>
        <v>0</v>
      </c>
      <c r="S76" s="160">
        <f>IF(AND('Total income package'!$A$8=TRUE,OR(F76="Yes",G76="Yes",H76="Yes")),SUM(J76:N76)-R76,0)</f>
        <v>0</v>
      </c>
    </row>
    <row r="77" spans="1:19" s="5" customFormat="1" x14ac:dyDescent="0.25">
      <c r="A77" s="6">
        <v>36000</v>
      </c>
      <c r="B77" s="7">
        <f t="shared" si="17"/>
        <v>3000</v>
      </c>
      <c r="C77" s="7">
        <f>'Total income package'!$D$80</f>
        <v>0</v>
      </c>
      <c r="D77" s="7">
        <f t="shared" si="18"/>
        <v>3000</v>
      </c>
      <c r="E77" s="65">
        <f t="shared" si="19"/>
        <v>1.6635859519408502</v>
      </c>
      <c r="F77" s="65" t="str">
        <f t="shared" si="11"/>
        <v>No</v>
      </c>
      <c r="G77" s="65" t="str">
        <f t="shared" si="12"/>
        <v>No</v>
      </c>
      <c r="H77" s="301" t="str">
        <f>IF(OR('TANF-VIEW'!L81&gt;0,'TANF-VIEW'!T81&gt;0),"Yes","No")</f>
        <v>No</v>
      </c>
      <c r="I77" s="63">
        <f t="shared" si="13"/>
        <v>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0</v>
      </c>
      <c r="O77" s="6">
        <f t="shared" si="14"/>
        <v>0</v>
      </c>
      <c r="P77" s="312">
        <f t="shared" si="15"/>
        <v>150</v>
      </c>
      <c r="Q77" s="312">
        <f t="shared" si="16"/>
        <v>0</v>
      </c>
      <c r="R77" s="312">
        <f t="shared" si="20"/>
        <v>0</v>
      </c>
      <c r="S77" s="160">
        <f>IF(AND('Total income package'!$A$8=TRUE,OR(F77="Yes",G77="Yes",H77="Yes")),SUM(J77:N77)-R77,0)</f>
        <v>0</v>
      </c>
    </row>
    <row r="78" spans="1:19" s="5" customFormat="1" x14ac:dyDescent="0.25">
      <c r="A78" s="6">
        <v>36500</v>
      </c>
      <c r="B78" s="7">
        <f t="shared" si="17"/>
        <v>3041.6666666666665</v>
      </c>
      <c r="C78" s="7">
        <f>'Total income package'!$D$80</f>
        <v>0</v>
      </c>
      <c r="D78" s="7">
        <f t="shared" si="18"/>
        <v>3041.6666666666665</v>
      </c>
      <c r="E78" s="65">
        <f t="shared" si="19"/>
        <v>1.6866913123844731</v>
      </c>
      <c r="F78" s="65" t="str">
        <f t="shared" si="11"/>
        <v>No</v>
      </c>
      <c r="G78" s="65" t="str">
        <f t="shared" si="12"/>
        <v>No</v>
      </c>
      <c r="H78" s="301" t="str">
        <f>IF(OR('TANF-VIEW'!L82&gt;0,'TANF-VIEW'!T82&gt;0),"Yes","No")</f>
        <v>No</v>
      </c>
      <c r="I78" s="63">
        <f t="shared" si="13"/>
        <v>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0</v>
      </c>
      <c r="O78" s="6">
        <f t="shared" si="14"/>
        <v>0</v>
      </c>
      <c r="P78" s="312">
        <f t="shared" si="15"/>
        <v>152.08333333333334</v>
      </c>
      <c r="Q78" s="312">
        <f t="shared" si="16"/>
        <v>0</v>
      </c>
      <c r="R78" s="312">
        <f t="shared" si="20"/>
        <v>0</v>
      </c>
      <c r="S78" s="160">
        <f>IF(AND('Total income package'!$A$8=TRUE,OR(F78="Yes",G78="Yes",H78="Yes")),SUM(J78:N78)-R78,0)</f>
        <v>0</v>
      </c>
    </row>
    <row r="79" spans="1:19" s="5" customFormat="1" x14ac:dyDescent="0.25">
      <c r="A79" s="6">
        <v>37000</v>
      </c>
      <c r="B79" s="7">
        <f t="shared" si="17"/>
        <v>3083.3333333333335</v>
      </c>
      <c r="C79" s="7">
        <f>'Total income package'!$D$80</f>
        <v>0</v>
      </c>
      <c r="D79" s="7">
        <f t="shared" si="18"/>
        <v>3083.3333333333335</v>
      </c>
      <c r="E79" s="65">
        <f t="shared" si="19"/>
        <v>1.7097966728280962</v>
      </c>
      <c r="F79" s="65" t="str">
        <f t="shared" si="11"/>
        <v>No</v>
      </c>
      <c r="G79" s="65" t="str">
        <f t="shared" si="12"/>
        <v>No</v>
      </c>
      <c r="H79" s="301" t="str">
        <f>IF(OR('TANF-VIEW'!L83&gt;0,'TANF-VIEW'!T83&gt;0),"Yes","No")</f>
        <v>No</v>
      </c>
      <c r="I79" s="63">
        <f t="shared" si="13"/>
        <v>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0</v>
      </c>
      <c r="O79" s="6">
        <f t="shared" si="14"/>
        <v>0</v>
      </c>
      <c r="P79" s="312">
        <f t="shared" si="15"/>
        <v>154.16666666666669</v>
      </c>
      <c r="Q79" s="312">
        <f t="shared" si="16"/>
        <v>0</v>
      </c>
      <c r="R79" s="312">
        <f t="shared" si="20"/>
        <v>0</v>
      </c>
      <c r="S79" s="160">
        <f>IF(AND('Total income package'!$A$8=TRUE,OR(F79="Yes",G79="Yes",H79="Yes")),SUM(J79:N79)-R79,0)</f>
        <v>0</v>
      </c>
    </row>
    <row r="80" spans="1:19" s="5" customFormat="1" x14ac:dyDescent="0.25">
      <c r="A80" s="6">
        <v>37500</v>
      </c>
      <c r="B80" s="7">
        <f t="shared" si="17"/>
        <v>3125</v>
      </c>
      <c r="C80" s="7">
        <f>'Total income package'!$D$80</f>
        <v>0</v>
      </c>
      <c r="D80" s="7">
        <f t="shared" si="18"/>
        <v>3125</v>
      </c>
      <c r="E80" s="65">
        <f t="shared" si="19"/>
        <v>1.7329020332717191</v>
      </c>
      <c r="F80" s="65" t="str">
        <f t="shared" si="11"/>
        <v>No</v>
      </c>
      <c r="G80" s="65" t="str">
        <f t="shared" si="12"/>
        <v>No</v>
      </c>
      <c r="H80" s="301" t="str">
        <f>IF(OR('TANF-VIEW'!L84&gt;0,'TANF-VIEW'!T84&gt;0),"Yes","No")</f>
        <v>No</v>
      </c>
      <c r="I80" s="63">
        <f t="shared" si="13"/>
        <v>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0</v>
      </c>
      <c r="O80" s="6">
        <f t="shared" si="14"/>
        <v>0</v>
      </c>
      <c r="P80" s="312">
        <f t="shared" si="15"/>
        <v>156.25</v>
      </c>
      <c r="Q80" s="312">
        <f t="shared" si="16"/>
        <v>0</v>
      </c>
      <c r="R80" s="312">
        <f t="shared" si="20"/>
        <v>0</v>
      </c>
      <c r="S80" s="160">
        <f>IF(AND('Total income package'!$A$8=TRUE,OR(F80="Yes",G80="Yes",H80="Yes")),SUM(J80:N80)-R80,0)</f>
        <v>0</v>
      </c>
    </row>
    <row r="81" spans="1:19" s="5" customFormat="1" x14ac:dyDescent="0.25">
      <c r="A81" s="6">
        <v>38000</v>
      </c>
      <c r="B81" s="7">
        <f t="shared" si="17"/>
        <v>3166.6666666666665</v>
      </c>
      <c r="C81" s="7">
        <f>'Total income package'!$D$80</f>
        <v>0</v>
      </c>
      <c r="D81" s="7">
        <f t="shared" si="18"/>
        <v>3166.6666666666665</v>
      </c>
      <c r="E81" s="65">
        <f t="shared" si="19"/>
        <v>1.756007393715342</v>
      </c>
      <c r="F81" s="65" t="str">
        <f t="shared" si="11"/>
        <v>No</v>
      </c>
      <c r="G81" s="65" t="str">
        <f t="shared" si="12"/>
        <v>No</v>
      </c>
      <c r="H81" s="301" t="str">
        <f>IF(OR('TANF-VIEW'!L85&gt;0,'TANF-VIEW'!T85&gt;0),"Yes","No")</f>
        <v>No</v>
      </c>
      <c r="I81" s="63">
        <f t="shared" si="13"/>
        <v>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0</v>
      </c>
      <c r="O81" s="6">
        <f t="shared" si="14"/>
        <v>0</v>
      </c>
      <c r="P81" s="312">
        <f t="shared" si="15"/>
        <v>158.33333333333334</v>
      </c>
      <c r="Q81" s="312">
        <f t="shared" si="16"/>
        <v>0</v>
      </c>
      <c r="R81" s="312">
        <f t="shared" si="20"/>
        <v>0</v>
      </c>
      <c r="S81" s="160">
        <f>IF(AND('Total income package'!$A$8=TRUE,OR(F81="Yes",G81="Yes",H81="Yes")),SUM(J81:N81)-R81,0)</f>
        <v>0</v>
      </c>
    </row>
    <row r="82" spans="1:19" s="5" customFormat="1" x14ac:dyDescent="0.25">
      <c r="A82" s="6">
        <v>38500</v>
      </c>
      <c r="B82" s="7">
        <f t="shared" si="17"/>
        <v>3208.3333333333335</v>
      </c>
      <c r="C82" s="7">
        <f>'Total income package'!$D$80</f>
        <v>0</v>
      </c>
      <c r="D82" s="7">
        <f t="shared" si="18"/>
        <v>3208.3333333333335</v>
      </c>
      <c r="E82" s="65">
        <f t="shared" si="19"/>
        <v>1.7791127541589651</v>
      </c>
      <c r="F82" s="65" t="str">
        <f t="shared" si="11"/>
        <v>No</v>
      </c>
      <c r="G82" s="65" t="str">
        <f t="shared" si="12"/>
        <v>No</v>
      </c>
      <c r="H82" s="301" t="str">
        <f>IF(OR('TANF-VIEW'!L86&gt;0,'TANF-VIEW'!T86&gt;0),"Yes","No")</f>
        <v>No</v>
      </c>
      <c r="I82" s="63">
        <f t="shared" si="13"/>
        <v>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0</v>
      </c>
      <c r="O82" s="6">
        <f t="shared" si="14"/>
        <v>0</v>
      </c>
      <c r="P82" s="312">
        <f t="shared" si="15"/>
        <v>160.41666666666669</v>
      </c>
      <c r="Q82" s="312">
        <f t="shared" si="16"/>
        <v>0</v>
      </c>
      <c r="R82" s="312">
        <f t="shared" si="20"/>
        <v>0</v>
      </c>
      <c r="S82" s="160">
        <f>IF(AND('Total income package'!$A$8=TRUE,OR(F82="Yes",G82="Yes",H82="Yes")),SUM(J82:N82)-R82,0)</f>
        <v>0</v>
      </c>
    </row>
    <row r="83" spans="1:19" s="5" customFormat="1" x14ac:dyDescent="0.25">
      <c r="A83" s="6">
        <v>39000</v>
      </c>
      <c r="B83" s="7">
        <f t="shared" si="17"/>
        <v>3250</v>
      </c>
      <c r="C83" s="7">
        <f>'Total income package'!$D$80</f>
        <v>0</v>
      </c>
      <c r="D83" s="7">
        <f t="shared" si="18"/>
        <v>3250</v>
      </c>
      <c r="E83" s="65">
        <f t="shared" si="19"/>
        <v>1.802218114602588</v>
      </c>
      <c r="F83" s="65" t="str">
        <f t="shared" si="11"/>
        <v>No</v>
      </c>
      <c r="G83" s="65" t="str">
        <f t="shared" si="12"/>
        <v>No</v>
      </c>
      <c r="H83" s="301" t="str">
        <f>IF(OR('TANF-VIEW'!L87&gt;0,'TANF-VIEW'!T87&gt;0),"Yes","No")</f>
        <v>No</v>
      </c>
      <c r="I83" s="63">
        <f t="shared" si="13"/>
        <v>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0</v>
      </c>
      <c r="O83" s="6">
        <f t="shared" si="14"/>
        <v>0</v>
      </c>
      <c r="P83" s="312">
        <f t="shared" si="15"/>
        <v>162.5</v>
      </c>
      <c r="Q83" s="312">
        <f t="shared" si="16"/>
        <v>0</v>
      </c>
      <c r="R83" s="312">
        <f t="shared" si="20"/>
        <v>0</v>
      </c>
      <c r="S83" s="160">
        <f>IF(AND('Total income package'!$A$8=TRUE,OR(F83="Yes",G83="Yes",H83="Yes")),SUM(J83:N83)-R83,0)</f>
        <v>0</v>
      </c>
    </row>
    <row r="84" spans="1:19" s="5" customFormat="1" x14ac:dyDescent="0.25">
      <c r="A84" s="6">
        <v>39500</v>
      </c>
      <c r="B84" s="7">
        <f t="shared" si="17"/>
        <v>3291.6666666666665</v>
      </c>
      <c r="C84" s="7">
        <f>'Total income package'!$D$80</f>
        <v>0</v>
      </c>
      <c r="D84" s="7">
        <f t="shared" si="18"/>
        <v>3291.6666666666665</v>
      </c>
      <c r="E84" s="65">
        <f t="shared" si="19"/>
        <v>1.8253234750462106</v>
      </c>
      <c r="F84" s="65" t="str">
        <f t="shared" si="11"/>
        <v>No</v>
      </c>
      <c r="G84" s="65" t="str">
        <f t="shared" si="12"/>
        <v>No</v>
      </c>
      <c r="H84" s="301" t="str">
        <f>IF(OR('TANF-VIEW'!L88&gt;0,'TANF-VIEW'!T88&gt;0),"Yes","No")</f>
        <v>No</v>
      </c>
      <c r="I84" s="63">
        <f t="shared" si="13"/>
        <v>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0</v>
      </c>
      <c r="O84" s="6">
        <f t="shared" si="14"/>
        <v>0</v>
      </c>
      <c r="P84" s="312">
        <f t="shared" si="15"/>
        <v>164.58333333333334</v>
      </c>
      <c r="Q84" s="312">
        <f t="shared" si="16"/>
        <v>0</v>
      </c>
      <c r="R84" s="312">
        <f t="shared" si="20"/>
        <v>0</v>
      </c>
      <c r="S84" s="160">
        <f>IF(AND('Total income package'!$A$8=TRUE,OR(F84="Yes",G84="Yes",H84="Yes")),SUM(J84:N84)-R84,0)</f>
        <v>0</v>
      </c>
    </row>
    <row r="85" spans="1:19" s="5" customFormat="1" x14ac:dyDescent="0.25">
      <c r="A85" s="6">
        <v>40000</v>
      </c>
      <c r="B85" s="7">
        <f>A85/12</f>
        <v>3333.3333333333335</v>
      </c>
      <c r="C85" s="7">
        <f>'Total income package'!$D$80</f>
        <v>0</v>
      </c>
      <c r="D85" s="7">
        <f t="shared" si="18"/>
        <v>3333.3333333333335</v>
      </c>
      <c r="E85" s="65">
        <f t="shared" si="19"/>
        <v>1.8484288354898337</v>
      </c>
      <c r="F85" s="65" t="str">
        <f t="shared" si="11"/>
        <v>No</v>
      </c>
      <c r="G85" s="65" t="str">
        <f t="shared" si="12"/>
        <v>No</v>
      </c>
      <c r="H85" s="301" t="str">
        <f>IF(OR('TANF-VIEW'!L89&gt;0,'TANF-VIEW'!T89&gt;0),"Yes","No")</f>
        <v>No</v>
      </c>
      <c r="I85" s="63">
        <f t="shared" si="13"/>
        <v>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0</v>
      </c>
      <c r="O85" s="6">
        <f t="shared" si="14"/>
        <v>0</v>
      </c>
      <c r="P85" s="312">
        <f t="shared" si="15"/>
        <v>166.66666666666669</v>
      </c>
      <c r="Q85" s="312">
        <f t="shared" si="16"/>
        <v>0</v>
      </c>
      <c r="R85" s="312">
        <f t="shared" si="20"/>
        <v>0</v>
      </c>
      <c r="S85" s="160">
        <f>IF(AND('Total income package'!$A$8=TRUE,OR(F85="Yes",G85="Yes",H85="Yes")),SUM(J85:N85)-R85,0)</f>
        <v>0</v>
      </c>
    </row>
    <row r="86" spans="1:19" s="5" customFormat="1" x14ac:dyDescent="0.25">
      <c r="A86" s="6">
        <v>40500</v>
      </c>
      <c r="B86" s="7">
        <f t="shared" si="17"/>
        <v>3375</v>
      </c>
      <c r="C86" s="7">
        <f>'Total income package'!$D$80</f>
        <v>0</v>
      </c>
      <c r="D86" s="7">
        <f t="shared" si="18"/>
        <v>3375</v>
      </c>
      <c r="E86" s="65">
        <f t="shared" si="19"/>
        <v>1.8715341959334566</v>
      </c>
      <c r="F86" s="65" t="str">
        <f t="shared" si="11"/>
        <v>No</v>
      </c>
      <c r="G86" s="65" t="str">
        <f t="shared" si="12"/>
        <v>No</v>
      </c>
      <c r="H86" s="301" t="str">
        <f>IF(OR('TANF-VIEW'!L90&gt;0,'TANF-VIEW'!T90&gt;0),"Yes","No")</f>
        <v>No</v>
      </c>
      <c r="I86" s="63">
        <f t="shared" si="13"/>
        <v>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0</v>
      </c>
      <c r="O86" s="6">
        <f t="shared" si="14"/>
        <v>0</v>
      </c>
      <c r="P86" s="312">
        <f t="shared" si="15"/>
        <v>168.75</v>
      </c>
      <c r="Q86" s="312">
        <f t="shared" si="16"/>
        <v>0</v>
      </c>
      <c r="R86" s="312">
        <f t="shared" si="20"/>
        <v>0</v>
      </c>
      <c r="S86" s="160">
        <f>IF(AND('Total income package'!$A$8=TRUE,OR(F86="Yes",G86="Yes",H86="Yes")),SUM(J86:N86)-R86,0)</f>
        <v>0</v>
      </c>
    </row>
    <row r="87" spans="1:19" s="5" customFormat="1" x14ac:dyDescent="0.25">
      <c r="A87" s="6">
        <v>41000</v>
      </c>
      <c r="B87" s="7">
        <f t="shared" si="17"/>
        <v>3416.6666666666665</v>
      </c>
      <c r="C87" s="7">
        <f>'Total income package'!$D$80</f>
        <v>0</v>
      </c>
      <c r="D87" s="7">
        <f t="shared" si="18"/>
        <v>3416.6666666666665</v>
      </c>
      <c r="E87" s="65">
        <f t="shared" si="19"/>
        <v>1.8946395563770795</v>
      </c>
      <c r="F87" s="65" t="str">
        <f t="shared" si="11"/>
        <v>No</v>
      </c>
      <c r="G87" s="65" t="str">
        <f t="shared" si="12"/>
        <v>No</v>
      </c>
      <c r="H87" s="301" t="str">
        <f>IF(OR('TANF-VIEW'!L91&gt;0,'TANF-VIEW'!T91&gt;0),"Yes","No")</f>
        <v>No</v>
      </c>
      <c r="I87" s="63">
        <f t="shared" si="13"/>
        <v>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0</v>
      </c>
      <c r="O87" s="6">
        <f t="shared" si="14"/>
        <v>0</v>
      </c>
      <c r="P87" s="312">
        <f t="shared" si="15"/>
        <v>170.83333333333334</v>
      </c>
      <c r="Q87" s="312">
        <f t="shared" si="16"/>
        <v>0</v>
      </c>
      <c r="R87" s="312">
        <f t="shared" si="20"/>
        <v>0</v>
      </c>
      <c r="S87" s="160">
        <f>IF(AND('Total income package'!$A$8=TRUE,OR(F87="Yes",G87="Yes",H87="Yes")),SUM(J87:N87)-R87,0)</f>
        <v>0</v>
      </c>
    </row>
    <row r="88" spans="1:19" s="5" customFormat="1" x14ac:dyDescent="0.25">
      <c r="A88" s="6">
        <v>41500</v>
      </c>
      <c r="B88" s="7">
        <f t="shared" si="17"/>
        <v>3458.3333333333335</v>
      </c>
      <c r="C88" s="7">
        <f>'Total income package'!$D$80</f>
        <v>0</v>
      </c>
      <c r="D88" s="7">
        <f t="shared" si="18"/>
        <v>3458.3333333333335</v>
      </c>
      <c r="E88" s="65">
        <f t="shared" si="19"/>
        <v>1.9177449168207026</v>
      </c>
      <c r="F88" s="65" t="str">
        <f t="shared" si="11"/>
        <v>No</v>
      </c>
      <c r="G88" s="65" t="str">
        <f t="shared" si="12"/>
        <v>No</v>
      </c>
      <c r="H88" s="301" t="str">
        <f>IF(OR('TANF-VIEW'!L92&gt;0,'TANF-VIEW'!T92&gt;0),"Yes","No")</f>
        <v>No</v>
      </c>
      <c r="I88" s="63">
        <f t="shared" si="13"/>
        <v>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0</v>
      </c>
      <c r="O88" s="6">
        <f t="shared" si="14"/>
        <v>0</v>
      </c>
      <c r="P88" s="312">
        <f t="shared" si="15"/>
        <v>172.91666666666669</v>
      </c>
      <c r="Q88" s="312">
        <f t="shared" si="16"/>
        <v>0</v>
      </c>
      <c r="R88" s="312">
        <f t="shared" si="20"/>
        <v>0</v>
      </c>
      <c r="S88" s="160">
        <f>IF(AND('Total income package'!$A$8=TRUE,OR(F88="Yes",G88="Yes",H88="Yes")),SUM(J88:N88)-R88,0)</f>
        <v>0</v>
      </c>
    </row>
    <row r="89" spans="1:19" s="5" customFormat="1" x14ac:dyDescent="0.25">
      <c r="A89" s="6">
        <v>42000</v>
      </c>
      <c r="B89" s="7">
        <f t="shared" si="17"/>
        <v>3500</v>
      </c>
      <c r="C89" s="7">
        <f>'Total income package'!$D$80</f>
        <v>0</v>
      </c>
      <c r="D89" s="7">
        <f t="shared" si="18"/>
        <v>3500</v>
      </c>
      <c r="E89" s="65">
        <f t="shared" si="19"/>
        <v>1.9408502772643255</v>
      </c>
      <c r="F89" s="65" t="str">
        <f t="shared" si="11"/>
        <v>No</v>
      </c>
      <c r="G89" s="65" t="str">
        <f t="shared" si="12"/>
        <v>No</v>
      </c>
      <c r="H89" s="301" t="str">
        <f>IF(OR('TANF-VIEW'!L93&gt;0,'TANF-VIEW'!T93&gt;0),"Yes","No")</f>
        <v>No</v>
      </c>
      <c r="I89" s="63">
        <f t="shared" si="13"/>
        <v>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0</v>
      </c>
      <c r="O89" s="6">
        <f t="shared" si="14"/>
        <v>0</v>
      </c>
      <c r="P89" s="312">
        <f t="shared" si="15"/>
        <v>175</v>
      </c>
      <c r="Q89" s="312">
        <f t="shared" si="16"/>
        <v>0</v>
      </c>
      <c r="R89" s="312">
        <f t="shared" si="20"/>
        <v>0</v>
      </c>
      <c r="S89" s="160">
        <f>IF(AND('Total income package'!$A$8=TRUE,OR(F89="Yes",G89="Yes",H89="Yes")),SUM(J89:N89)-R89,0)</f>
        <v>0</v>
      </c>
    </row>
    <row r="90" spans="1:19" s="5" customFormat="1" x14ac:dyDescent="0.25">
      <c r="A90" s="6">
        <v>42500</v>
      </c>
      <c r="B90" s="7">
        <f t="shared" si="17"/>
        <v>3541.6666666666665</v>
      </c>
      <c r="C90" s="7">
        <f>'Total income package'!$D$80</f>
        <v>0</v>
      </c>
      <c r="D90" s="7">
        <f t="shared" si="18"/>
        <v>3541.6666666666665</v>
      </c>
      <c r="E90" s="65">
        <f t="shared" si="19"/>
        <v>1.9639556377079483</v>
      </c>
      <c r="F90" s="65" t="str">
        <f t="shared" si="11"/>
        <v>No</v>
      </c>
      <c r="G90" s="65" t="str">
        <f t="shared" si="12"/>
        <v>No</v>
      </c>
      <c r="H90" s="301" t="str">
        <f>IF(OR('TANF-VIEW'!L94&gt;0,'TANF-VIEW'!T94&gt;0),"Yes","No")</f>
        <v>No</v>
      </c>
      <c r="I90" s="63">
        <f t="shared" si="13"/>
        <v>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0</v>
      </c>
      <c r="O90" s="6">
        <f t="shared" si="14"/>
        <v>0</v>
      </c>
      <c r="P90" s="312">
        <f t="shared" si="15"/>
        <v>177.08333333333334</v>
      </c>
      <c r="Q90" s="312">
        <f t="shared" si="16"/>
        <v>0</v>
      </c>
      <c r="R90" s="312">
        <f t="shared" si="20"/>
        <v>0</v>
      </c>
      <c r="S90" s="160">
        <f>IF(AND('Total income package'!$A$8=TRUE,OR(F90="Yes",G90="Yes",H90="Yes")),SUM(J90:N90)-R90,0)</f>
        <v>0</v>
      </c>
    </row>
    <row r="91" spans="1:19" s="5" customFormat="1" x14ac:dyDescent="0.25">
      <c r="A91" s="6">
        <v>43000</v>
      </c>
      <c r="B91" s="7">
        <f t="shared" si="17"/>
        <v>3583.3333333333335</v>
      </c>
      <c r="C91" s="7">
        <f>'Total income package'!$D$80</f>
        <v>0</v>
      </c>
      <c r="D91" s="7">
        <f t="shared" si="18"/>
        <v>3583.3333333333335</v>
      </c>
      <c r="E91" s="65">
        <f t="shared" si="19"/>
        <v>1.9870609981515712</v>
      </c>
      <c r="F91" s="65" t="str">
        <f t="shared" si="11"/>
        <v>No</v>
      </c>
      <c r="G91" s="65" t="str">
        <f t="shared" si="12"/>
        <v>No</v>
      </c>
      <c r="H91" s="301" t="str">
        <f>IF(OR('TANF-VIEW'!L95&gt;0,'TANF-VIEW'!T95&gt;0),"Yes","No")</f>
        <v>No</v>
      </c>
      <c r="I91" s="63">
        <f t="shared" si="13"/>
        <v>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0</v>
      </c>
      <c r="O91" s="6">
        <f t="shared" si="14"/>
        <v>0</v>
      </c>
      <c r="P91" s="312">
        <f t="shared" si="15"/>
        <v>179.16666666666669</v>
      </c>
      <c r="Q91" s="312">
        <f t="shared" si="16"/>
        <v>0</v>
      </c>
      <c r="R91" s="312">
        <f t="shared" si="20"/>
        <v>0</v>
      </c>
      <c r="S91" s="160">
        <f>IF(AND('Total income package'!$A$8=TRUE,OR(F91="Yes",G91="Yes",H91="Yes")),SUM(J91:N91)-R91,0)</f>
        <v>0</v>
      </c>
    </row>
    <row r="92" spans="1:19" s="5" customFormat="1" x14ac:dyDescent="0.25">
      <c r="A92" s="6">
        <v>43500</v>
      </c>
      <c r="B92" s="7">
        <f t="shared" si="17"/>
        <v>3625</v>
      </c>
      <c r="C92" s="7">
        <f>'Total income package'!$D$80</f>
        <v>0</v>
      </c>
      <c r="D92" s="7">
        <f t="shared" si="18"/>
        <v>3625</v>
      </c>
      <c r="E92" s="65">
        <f t="shared" si="19"/>
        <v>2.0101663585951943</v>
      </c>
      <c r="F92" s="65" t="str">
        <f t="shared" si="11"/>
        <v>No</v>
      </c>
      <c r="G92" s="65" t="str">
        <f t="shared" si="12"/>
        <v>No</v>
      </c>
      <c r="H92" s="301" t="str">
        <f>IF(OR('TANF-VIEW'!L96&gt;0,'TANF-VIEW'!T96&gt;0),"Yes","No")</f>
        <v>No</v>
      </c>
      <c r="I92" s="63">
        <f t="shared" si="13"/>
        <v>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0</v>
      </c>
      <c r="O92" s="6">
        <f t="shared" si="14"/>
        <v>0</v>
      </c>
      <c r="P92" s="312">
        <f t="shared" si="15"/>
        <v>181.25</v>
      </c>
      <c r="Q92" s="312">
        <f t="shared" si="16"/>
        <v>0</v>
      </c>
      <c r="R92" s="312">
        <f t="shared" si="20"/>
        <v>0</v>
      </c>
      <c r="S92" s="160">
        <f>IF(AND('Total income package'!$A$8=TRUE,OR(F92="Yes",G92="Yes",H92="Yes")),SUM(J92:N92)-R92,0)</f>
        <v>0</v>
      </c>
    </row>
    <row r="93" spans="1:19" s="5" customFormat="1" x14ac:dyDescent="0.25">
      <c r="A93" s="6">
        <v>44000</v>
      </c>
      <c r="B93" s="7">
        <f t="shared" si="17"/>
        <v>3666.6666666666665</v>
      </c>
      <c r="C93" s="7">
        <f>'Total income package'!$D$80</f>
        <v>0</v>
      </c>
      <c r="D93" s="7">
        <f t="shared" si="18"/>
        <v>3666.6666666666665</v>
      </c>
      <c r="E93" s="65">
        <f t="shared" si="19"/>
        <v>2.033271719038817</v>
      </c>
      <c r="F93" s="65" t="str">
        <f t="shared" si="11"/>
        <v>No</v>
      </c>
      <c r="G93" s="65" t="str">
        <f t="shared" si="12"/>
        <v>No</v>
      </c>
      <c r="H93" s="301" t="str">
        <f>IF(OR('TANF-VIEW'!L97&gt;0,'TANF-VIEW'!T97&gt;0),"Yes","No")</f>
        <v>No</v>
      </c>
      <c r="I93" s="63">
        <f t="shared" si="13"/>
        <v>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0</v>
      </c>
      <c r="O93" s="6">
        <f t="shared" si="14"/>
        <v>0</v>
      </c>
      <c r="P93" s="312">
        <f t="shared" si="15"/>
        <v>183.33333333333334</v>
      </c>
      <c r="Q93" s="312">
        <f t="shared" si="16"/>
        <v>0</v>
      </c>
      <c r="R93" s="312">
        <f t="shared" si="20"/>
        <v>0</v>
      </c>
      <c r="S93" s="160">
        <f>IF(AND('Total income package'!$A$8=TRUE,OR(F93="Yes",G93="Yes",H93="Yes")),SUM(J93:N93)-R93,0)</f>
        <v>0</v>
      </c>
    </row>
    <row r="94" spans="1:19" s="5" customFormat="1" x14ac:dyDescent="0.25">
      <c r="A94" s="6">
        <v>44500</v>
      </c>
      <c r="B94" s="7">
        <f t="shared" si="17"/>
        <v>3708.3333333333335</v>
      </c>
      <c r="C94" s="7">
        <f>'Total income package'!$D$80</f>
        <v>0</v>
      </c>
      <c r="D94" s="7">
        <f t="shared" si="18"/>
        <v>3708.3333333333335</v>
      </c>
      <c r="E94" s="65">
        <f t="shared" si="19"/>
        <v>2.0563770794824401</v>
      </c>
      <c r="F94" s="65" t="str">
        <f t="shared" si="11"/>
        <v>No</v>
      </c>
      <c r="G94" s="65" t="str">
        <f t="shared" si="12"/>
        <v>No</v>
      </c>
      <c r="H94" s="301" t="str">
        <f>IF(OR('TANF-VIEW'!L98&gt;0,'TANF-VIEW'!T98&gt;0),"Yes","No")</f>
        <v>No</v>
      </c>
      <c r="I94" s="63">
        <f t="shared" si="13"/>
        <v>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0</v>
      </c>
      <c r="O94" s="6">
        <f t="shared" si="14"/>
        <v>0</v>
      </c>
      <c r="P94" s="312">
        <f t="shared" si="15"/>
        <v>185.41666666666669</v>
      </c>
      <c r="Q94" s="312">
        <f t="shared" si="16"/>
        <v>0</v>
      </c>
      <c r="R94" s="312">
        <f t="shared" si="20"/>
        <v>0</v>
      </c>
      <c r="S94" s="160">
        <f>IF(AND('Total income package'!$A$8=TRUE,OR(F94="Yes",G94="Yes",H94="Yes")),SUM(J94:N94)-R94,0)</f>
        <v>0</v>
      </c>
    </row>
    <row r="95" spans="1:19" s="5" customFormat="1" x14ac:dyDescent="0.25">
      <c r="A95" s="6">
        <v>45000</v>
      </c>
      <c r="B95" s="7">
        <f t="shared" si="17"/>
        <v>3750</v>
      </c>
      <c r="C95" s="7">
        <f>'Total income package'!$D$80</f>
        <v>0</v>
      </c>
      <c r="D95" s="7">
        <f t="shared" si="18"/>
        <v>3750</v>
      </c>
      <c r="E95" s="65">
        <f t="shared" si="19"/>
        <v>2.0794824399260627</v>
      </c>
      <c r="F95" s="65" t="str">
        <f t="shared" si="11"/>
        <v>No</v>
      </c>
      <c r="G95" s="65" t="str">
        <f t="shared" si="12"/>
        <v>No</v>
      </c>
      <c r="H95" s="301" t="str">
        <f>IF(OR('TANF-VIEW'!L99&gt;0,'TANF-VIEW'!T99&gt;0),"Yes","No")</f>
        <v>No</v>
      </c>
      <c r="I95" s="63">
        <f t="shared" si="13"/>
        <v>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0</v>
      </c>
      <c r="O95" s="6">
        <f t="shared" si="14"/>
        <v>0</v>
      </c>
      <c r="P95" s="312">
        <f t="shared" si="15"/>
        <v>187.5</v>
      </c>
      <c r="Q95" s="312">
        <f t="shared" si="16"/>
        <v>0</v>
      </c>
      <c r="R95" s="312">
        <f t="shared" si="20"/>
        <v>0</v>
      </c>
      <c r="S95" s="160">
        <f>IF(AND('Total income package'!$A$8=TRUE,OR(F95="Yes",G95="Yes",H95="Yes")),SUM(J95:N95)-R95,0)</f>
        <v>0</v>
      </c>
    </row>
    <row r="96" spans="1:19" s="5" customFormat="1" x14ac:dyDescent="0.25">
      <c r="A96" s="6">
        <v>45500</v>
      </c>
      <c r="B96" s="7">
        <f t="shared" si="17"/>
        <v>3791.6666666666665</v>
      </c>
      <c r="C96" s="7">
        <f>'Total income package'!$D$80</f>
        <v>0</v>
      </c>
      <c r="D96" s="7">
        <f t="shared" si="18"/>
        <v>3791.6666666666665</v>
      </c>
      <c r="E96" s="65">
        <f t="shared" si="19"/>
        <v>2.1025878003696858</v>
      </c>
      <c r="F96" s="65" t="str">
        <f t="shared" si="11"/>
        <v>No</v>
      </c>
      <c r="G96" s="65" t="str">
        <f t="shared" si="12"/>
        <v>No</v>
      </c>
      <c r="H96" s="301" t="str">
        <f>IF(OR('TANF-VIEW'!L100&gt;0,'TANF-VIEW'!T100&gt;0),"Yes","No")</f>
        <v>No</v>
      </c>
      <c r="I96" s="63">
        <f t="shared" si="13"/>
        <v>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0</v>
      </c>
      <c r="O96" s="6">
        <f t="shared" si="14"/>
        <v>0</v>
      </c>
      <c r="P96" s="312">
        <f t="shared" si="15"/>
        <v>189.58333333333334</v>
      </c>
      <c r="Q96" s="312">
        <f t="shared" si="16"/>
        <v>0</v>
      </c>
      <c r="R96" s="312">
        <f t="shared" si="20"/>
        <v>0</v>
      </c>
      <c r="S96" s="160">
        <f>IF(AND('Total income package'!$A$8=TRUE,OR(F96="Yes",G96="Yes",H96="Yes")),SUM(J96:N96)-R96,0)</f>
        <v>0</v>
      </c>
    </row>
    <row r="97" spans="1:19" s="5" customFormat="1" x14ac:dyDescent="0.25">
      <c r="A97" s="6">
        <v>46000</v>
      </c>
      <c r="B97" s="7">
        <f t="shared" si="17"/>
        <v>3833.3333333333335</v>
      </c>
      <c r="C97" s="7">
        <f>'Total income package'!$D$80</f>
        <v>0</v>
      </c>
      <c r="D97" s="7">
        <f t="shared" si="18"/>
        <v>3833.3333333333335</v>
      </c>
      <c r="E97" s="65">
        <f t="shared" si="19"/>
        <v>2.1256931608133089</v>
      </c>
      <c r="F97" s="65" t="str">
        <f t="shared" si="11"/>
        <v>No</v>
      </c>
      <c r="G97" s="65" t="str">
        <f t="shared" si="12"/>
        <v>No</v>
      </c>
      <c r="H97" s="301" t="str">
        <f>IF(OR('TANF-VIEW'!L101&gt;0,'TANF-VIEW'!T101&gt;0),"Yes","No")</f>
        <v>No</v>
      </c>
      <c r="I97" s="63">
        <f t="shared" si="13"/>
        <v>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0</v>
      </c>
      <c r="O97" s="6">
        <f t="shared" si="14"/>
        <v>0</v>
      </c>
      <c r="P97" s="312">
        <f t="shared" si="15"/>
        <v>191.66666666666669</v>
      </c>
      <c r="Q97" s="312">
        <f t="shared" si="16"/>
        <v>0</v>
      </c>
      <c r="R97" s="312">
        <f t="shared" si="20"/>
        <v>0</v>
      </c>
      <c r="S97" s="160">
        <f>IF(AND('Total income package'!$A$8=TRUE,OR(F97="Yes",G97="Yes",H97="Yes")),SUM(J97:N97)-R97,0)</f>
        <v>0</v>
      </c>
    </row>
    <row r="98" spans="1:19" s="5" customFormat="1" x14ac:dyDescent="0.25">
      <c r="A98" s="6">
        <v>46500</v>
      </c>
      <c r="B98" s="7">
        <f t="shared" si="17"/>
        <v>3875</v>
      </c>
      <c r="C98" s="7">
        <f>'Total income package'!$D$80</f>
        <v>0</v>
      </c>
      <c r="D98" s="7">
        <f t="shared" si="18"/>
        <v>3875</v>
      </c>
      <c r="E98" s="65">
        <f t="shared" si="19"/>
        <v>2.1487985212569316</v>
      </c>
      <c r="F98" s="65" t="str">
        <f t="shared" si="11"/>
        <v>No</v>
      </c>
      <c r="G98" s="65" t="str">
        <f t="shared" si="12"/>
        <v>No</v>
      </c>
      <c r="H98" s="301" t="str">
        <f>IF(OR('TANF-VIEW'!L102&gt;0,'TANF-VIEW'!T102&gt;0),"Yes","No")</f>
        <v>No</v>
      </c>
      <c r="I98" s="63">
        <f t="shared" si="13"/>
        <v>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0</v>
      </c>
      <c r="O98" s="6">
        <f t="shared" si="14"/>
        <v>0</v>
      </c>
      <c r="P98" s="312">
        <f t="shared" si="15"/>
        <v>193.75</v>
      </c>
      <c r="Q98" s="312">
        <f t="shared" si="16"/>
        <v>0</v>
      </c>
      <c r="R98" s="312">
        <f t="shared" si="20"/>
        <v>0</v>
      </c>
      <c r="S98" s="160">
        <f>IF(AND('Total income package'!$A$8=TRUE,OR(F98="Yes",G98="Yes",H98="Yes")),SUM(J98:N98)-R98,0)</f>
        <v>0</v>
      </c>
    </row>
    <row r="99" spans="1:19" s="5" customFormat="1" x14ac:dyDescent="0.25">
      <c r="A99" s="6">
        <v>47000</v>
      </c>
      <c r="B99" s="7">
        <f t="shared" si="17"/>
        <v>3916.6666666666665</v>
      </c>
      <c r="C99" s="7">
        <f>'Total income package'!$D$80</f>
        <v>0</v>
      </c>
      <c r="D99" s="7">
        <f t="shared" si="18"/>
        <v>3916.6666666666665</v>
      </c>
      <c r="E99" s="65">
        <f t="shared" si="19"/>
        <v>2.1719038817005547</v>
      </c>
      <c r="F99" s="65" t="str">
        <f t="shared" si="11"/>
        <v>No</v>
      </c>
      <c r="G99" s="65" t="str">
        <f t="shared" si="12"/>
        <v>No</v>
      </c>
      <c r="H99" s="301" t="str">
        <f>IF(OR('TANF-VIEW'!L103&gt;0,'TANF-VIEW'!T103&gt;0),"Yes","No")</f>
        <v>No</v>
      </c>
      <c r="I99" s="63">
        <f t="shared" si="13"/>
        <v>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0</v>
      </c>
      <c r="O99" s="6">
        <f t="shared" si="14"/>
        <v>0</v>
      </c>
      <c r="P99" s="312">
        <f t="shared" si="15"/>
        <v>195.83333333333334</v>
      </c>
      <c r="Q99" s="312">
        <f t="shared" si="16"/>
        <v>0</v>
      </c>
      <c r="R99" s="312">
        <f t="shared" si="20"/>
        <v>0</v>
      </c>
      <c r="S99" s="160">
        <f>IF(AND('Total income package'!$A$8=TRUE,OR(F99="Yes",G99="Yes",H99="Yes")),SUM(J99:N99)-R99,0)</f>
        <v>0</v>
      </c>
    </row>
    <row r="100" spans="1:19" s="5" customFormat="1" x14ac:dyDescent="0.25">
      <c r="A100" s="6">
        <v>47500</v>
      </c>
      <c r="B100" s="7">
        <f t="shared" si="17"/>
        <v>3958.3333333333335</v>
      </c>
      <c r="C100" s="7">
        <f>'Total income package'!$D$80</f>
        <v>0</v>
      </c>
      <c r="D100" s="7">
        <f t="shared" si="18"/>
        <v>3958.3333333333335</v>
      </c>
      <c r="E100" s="65">
        <f t="shared" si="19"/>
        <v>2.1950092421441778</v>
      </c>
      <c r="F100" s="65" t="str">
        <f t="shared" si="11"/>
        <v>No</v>
      </c>
      <c r="G100" s="65" t="str">
        <f t="shared" si="12"/>
        <v>No</v>
      </c>
      <c r="H100" s="301" t="str">
        <f>IF(OR('TANF-VIEW'!L104&gt;0,'TANF-VIEW'!T104&gt;0),"Yes","No")</f>
        <v>No</v>
      </c>
      <c r="I100" s="63">
        <f t="shared" si="13"/>
        <v>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0</v>
      </c>
      <c r="O100" s="6">
        <f t="shared" si="14"/>
        <v>0</v>
      </c>
      <c r="P100" s="312">
        <f t="shared" si="15"/>
        <v>197.91666666666669</v>
      </c>
      <c r="Q100" s="312">
        <f t="shared" si="16"/>
        <v>0</v>
      </c>
      <c r="R100" s="312">
        <f t="shared" si="20"/>
        <v>0</v>
      </c>
      <c r="S100" s="160">
        <f>IF(AND('Total income package'!$A$8=TRUE,OR(F100="Yes",G100="Yes",H100="Yes")),SUM(J100:N100)-R100,0)</f>
        <v>0</v>
      </c>
    </row>
    <row r="101" spans="1:19" s="5" customFormat="1" x14ac:dyDescent="0.25">
      <c r="A101" s="6">
        <v>48000</v>
      </c>
      <c r="B101" s="7">
        <f t="shared" si="17"/>
        <v>4000</v>
      </c>
      <c r="C101" s="7">
        <f>'Total income package'!$D$80</f>
        <v>0</v>
      </c>
      <c r="D101" s="7">
        <f t="shared" si="18"/>
        <v>4000</v>
      </c>
      <c r="E101" s="65">
        <f t="shared" si="19"/>
        <v>2.2181146025878005</v>
      </c>
      <c r="F101" s="65" t="str">
        <f t="shared" si="11"/>
        <v>No</v>
      </c>
      <c r="G101" s="65" t="str">
        <f t="shared" si="12"/>
        <v>No</v>
      </c>
      <c r="H101" s="301" t="str">
        <f>IF(OR('TANF-VIEW'!L105&gt;0,'TANF-VIEW'!T105&gt;0),"Yes","No")</f>
        <v>No</v>
      </c>
      <c r="I101" s="63">
        <f t="shared" si="13"/>
        <v>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0</v>
      </c>
      <c r="O101" s="6">
        <f t="shared" si="14"/>
        <v>0</v>
      </c>
      <c r="P101" s="312">
        <f t="shared" ref="P101:P132" si="21">B101*0.05</f>
        <v>200</v>
      </c>
      <c r="Q101" s="312">
        <f t="shared" si="16"/>
        <v>0</v>
      </c>
      <c r="R101" s="312">
        <f t="shared" si="20"/>
        <v>0</v>
      </c>
      <c r="S101" s="160">
        <f>IF(AND('Total income package'!$A$8=TRUE,OR(F101="Yes",G101="Yes",H101="Yes")),SUM(J101:N101)-R101,0)</f>
        <v>0</v>
      </c>
    </row>
    <row r="102" spans="1:19" s="5" customFormat="1" x14ac:dyDescent="0.25">
      <c r="A102" s="6">
        <v>48500</v>
      </c>
      <c r="B102" s="7">
        <f t="shared" si="17"/>
        <v>4041.6666666666665</v>
      </c>
      <c r="C102" s="7">
        <f>'Total income package'!$D$80</f>
        <v>0</v>
      </c>
      <c r="D102" s="7">
        <f t="shared" si="18"/>
        <v>4041.6666666666665</v>
      </c>
      <c r="E102" s="65">
        <f t="shared" si="19"/>
        <v>2.2412199630314231</v>
      </c>
      <c r="F102" s="65" t="str">
        <f t="shared" si="11"/>
        <v>No</v>
      </c>
      <c r="G102" s="65" t="str">
        <f t="shared" si="12"/>
        <v>No</v>
      </c>
      <c r="H102" s="301" t="str">
        <f>IF(OR('TANF-VIEW'!L106&gt;0,'TANF-VIEW'!T106&gt;0),"Yes","No")</f>
        <v>No</v>
      </c>
      <c r="I102" s="63">
        <f t="shared" si="13"/>
        <v>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0</v>
      </c>
      <c r="O102" s="6">
        <f t="shared" si="14"/>
        <v>0</v>
      </c>
      <c r="P102" s="312">
        <f t="shared" si="21"/>
        <v>202.08333333333334</v>
      </c>
      <c r="Q102" s="312">
        <f t="shared" si="16"/>
        <v>0</v>
      </c>
      <c r="R102" s="312">
        <f t="shared" si="20"/>
        <v>0</v>
      </c>
      <c r="S102" s="160">
        <f>IF(AND('Total income package'!$A$8=TRUE,OR(F102="Yes",G102="Yes",H102="Yes")),SUM(J102:N102)-R102,0)</f>
        <v>0</v>
      </c>
    </row>
    <row r="103" spans="1:19" s="5" customFormat="1" x14ac:dyDescent="0.25">
      <c r="A103" s="6">
        <v>49000</v>
      </c>
      <c r="B103" s="7">
        <f t="shared" si="17"/>
        <v>4083.3333333333335</v>
      </c>
      <c r="C103" s="7">
        <f>'Total income package'!$D$80</f>
        <v>0</v>
      </c>
      <c r="D103" s="7">
        <f t="shared" si="18"/>
        <v>4083.3333333333335</v>
      </c>
      <c r="E103" s="65">
        <f t="shared" si="19"/>
        <v>2.2643253234750462</v>
      </c>
      <c r="F103" s="65" t="str">
        <f t="shared" si="11"/>
        <v>No</v>
      </c>
      <c r="G103" s="65" t="str">
        <f t="shared" si="12"/>
        <v>No</v>
      </c>
      <c r="H103" s="301" t="str">
        <f>IF(OR('TANF-VIEW'!L107&gt;0,'TANF-VIEW'!T107&gt;0),"Yes","No")</f>
        <v>No</v>
      </c>
      <c r="I103" s="63">
        <f t="shared" si="13"/>
        <v>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0</v>
      </c>
      <c r="O103" s="6">
        <f t="shared" si="14"/>
        <v>0</v>
      </c>
      <c r="P103" s="312">
        <f t="shared" si="21"/>
        <v>204.16666666666669</v>
      </c>
      <c r="Q103" s="312">
        <f t="shared" si="16"/>
        <v>0</v>
      </c>
      <c r="R103" s="312">
        <f t="shared" si="20"/>
        <v>0</v>
      </c>
      <c r="S103" s="160">
        <f>IF(AND('Total income package'!$A$8=TRUE,OR(F103="Yes",G103="Yes",H103="Yes")),SUM(J103:N103)-R103,0)</f>
        <v>0</v>
      </c>
    </row>
    <row r="104" spans="1:19" s="5" customFormat="1" x14ac:dyDescent="0.25">
      <c r="A104" s="6">
        <v>49500</v>
      </c>
      <c r="B104" s="7">
        <f t="shared" si="17"/>
        <v>4125</v>
      </c>
      <c r="C104" s="7">
        <f>'Total income package'!$D$80</f>
        <v>0</v>
      </c>
      <c r="D104" s="7">
        <f t="shared" si="18"/>
        <v>4125</v>
      </c>
      <c r="E104" s="65">
        <f t="shared" si="19"/>
        <v>2.2874306839186693</v>
      </c>
      <c r="F104" s="65" t="str">
        <f t="shared" si="11"/>
        <v>No</v>
      </c>
      <c r="G104" s="65" t="str">
        <f t="shared" si="12"/>
        <v>No</v>
      </c>
      <c r="H104" s="301" t="str">
        <f>IF(OR('TANF-VIEW'!L108&gt;0,'TANF-VIEW'!T108&gt;0),"Yes","No")</f>
        <v>No</v>
      </c>
      <c r="I104" s="63">
        <f t="shared" si="13"/>
        <v>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0</v>
      </c>
      <c r="O104" s="6">
        <f t="shared" si="14"/>
        <v>0</v>
      </c>
      <c r="P104" s="312">
        <f t="shared" si="21"/>
        <v>206.25</v>
      </c>
      <c r="Q104" s="312">
        <f t="shared" si="16"/>
        <v>0</v>
      </c>
      <c r="R104" s="312">
        <f t="shared" si="20"/>
        <v>0</v>
      </c>
      <c r="S104" s="160">
        <f>IF(AND('Total income package'!$A$8=TRUE,OR(F104="Yes",G104="Yes",H104="Yes")),SUM(J104:N104)-R104,0)</f>
        <v>0</v>
      </c>
    </row>
    <row r="105" spans="1:19" s="5" customFormat="1" x14ac:dyDescent="0.25">
      <c r="A105" s="6">
        <v>50000</v>
      </c>
      <c r="B105" s="7">
        <f t="shared" si="17"/>
        <v>4166.666666666667</v>
      </c>
      <c r="C105" s="7">
        <f>'Total income package'!$D$80</f>
        <v>0</v>
      </c>
      <c r="D105" s="7">
        <f t="shared" si="18"/>
        <v>4166.666666666667</v>
      </c>
      <c r="E105" s="65">
        <f t="shared" si="19"/>
        <v>2.3105360443622924</v>
      </c>
      <c r="F105" s="65" t="str">
        <f t="shared" si="11"/>
        <v>No</v>
      </c>
      <c r="G105" s="65" t="str">
        <f t="shared" si="12"/>
        <v>No</v>
      </c>
      <c r="H105" s="301" t="str">
        <f>IF(OR('TANF-VIEW'!L109&gt;0,'TANF-VIEW'!T109&gt;0),"Yes","No")</f>
        <v>No</v>
      </c>
      <c r="I105" s="63">
        <f t="shared" si="13"/>
        <v>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0</v>
      </c>
      <c r="O105" s="6">
        <f t="shared" si="14"/>
        <v>0</v>
      </c>
      <c r="P105" s="312">
        <f t="shared" si="21"/>
        <v>208.33333333333337</v>
      </c>
      <c r="Q105" s="312">
        <f t="shared" si="16"/>
        <v>0</v>
      </c>
      <c r="R105" s="312">
        <f t="shared" si="20"/>
        <v>0</v>
      </c>
      <c r="S105" s="160">
        <f>IF(AND('Total income package'!$A$8=TRUE,OR(F105="Yes",G105="Yes",H105="Yes")),SUM(J105:N105)-R105,0)</f>
        <v>0</v>
      </c>
    </row>
    <row r="106" spans="1:19" s="5" customFormat="1" x14ac:dyDescent="0.25">
      <c r="A106" s="6">
        <v>50500</v>
      </c>
      <c r="B106" s="7">
        <f t="shared" si="17"/>
        <v>4208.333333333333</v>
      </c>
      <c r="C106" s="7">
        <f>'Total income package'!$D$80</f>
        <v>0</v>
      </c>
      <c r="D106" s="7">
        <f t="shared" si="18"/>
        <v>4208.333333333333</v>
      </c>
      <c r="E106" s="65">
        <f t="shared" si="19"/>
        <v>2.3336414048059151</v>
      </c>
      <c r="F106" s="65" t="str">
        <f t="shared" si="11"/>
        <v>No</v>
      </c>
      <c r="G106" s="65" t="str">
        <f t="shared" si="12"/>
        <v>No</v>
      </c>
      <c r="H106" s="301" t="str">
        <f>IF(OR('TANF-VIEW'!L110&gt;0,'TANF-VIEW'!T110&gt;0),"Yes","No")</f>
        <v>No</v>
      </c>
      <c r="I106" s="63">
        <f t="shared" si="13"/>
        <v>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0</v>
      </c>
      <c r="O106" s="6">
        <f t="shared" si="14"/>
        <v>0</v>
      </c>
      <c r="P106" s="312">
        <f t="shared" si="21"/>
        <v>210.41666666666666</v>
      </c>
      <c r="Q106" s="312">
        <f t="shared" si="16"/>
        <v>0</v>
      </c>
      <c r="R106" s="312">
        <f t="shared" si="20"/>
        <v>0</v>
      </c>
      <c r="S106" s="160">
        <f>IF(AND('Total income package'!$A$8=TRUE,OR(F106="Yes",G106="Yes",H106="Yes")),SUM(J106:N106)-R106,0)</f>
        <v>0</v>
      </c>
    </row>
    <row r="107" spans="1:19" s="5" customFormat="1" x14ac:dyDescent="0.25">
      <c r="A107" s="6">
        <v>51000</v>
      </c>
      <c r="B107" s="7">
        <f t="shared" si="17"/>
        <v>4250</v>
      </c>
      <c r="C107" s="7">
        <f>'Total income package'!$D$80</f>
        <v>0</v>
      </c>
      <c r="D107" s="7">
        <f t="shared" si="18"/>
        <v>4250</v>
      </c>
      <c r="E107" s="65">
        <f t="shared" si="19"/>
        <v>2.3567467652495382</v>
      </c>
      <c r="F107" s="65" t="str">
        <f t="shared" si="11"/>
        <v>No</v>
      </c>
      <c r="G107" s="65" t="str">
        <f t="shared" si="12"/>
        <v>No</v>
      </c>
      <c r="H107" s="301" t="str">
        <f>IF(OR('TANF-VIEW'!L111&gt;0,'TANF-VIEW'!T111&gt;0),"Yes","No")</f>
        <v>No</v>
      </c>
      <c r="I107" s="63">
        <f t="shared" si="13"/>
        <v>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0</v>
      </c>
      <c r="O107" s="6">
        <f t="shared" si="14"/>
        <v>0</v>
      </c>
      <c r="P107" s="312">
        <f t="shared" si="21"/>
        <v>212.5</v>
      </c>
      <c r="Q107" s="312">
        <f t="shared" si="16"/>
        <v>0</v>
      </c>
      <c r="R107" s="312">
        <f t="shared" si="20"/>
        <v>0</v>
      </c>
      <c r="S107" s="160">
        <f>IF(AND('Total income package'!$A$8=TRUE,OR(F107="Yes",G107="Yes",H107="Yes")),SUM(J107:N107)-R107,0)</f>
        <v>0</v>
      </c>
    </row>
    <row r="108" spans="1:19" s="5" customFormat="1" x14ac:dyDescent="0.25">
      <c r="A108" s="6">
        <v>51500</v>
      </c>
      <c r="B108" s="7">
        <f>A108/12</f>
        <v>4291.666666666667</v>
      </c>
      <c r="C108" s="7">
        <f>'Total income package'!$D$80</f>
        <v>0</v>
      </c>
      <c r="D108" s="7">
        <f t="shared" si="18"/>
        <v>4291.666666666667</v>
      </c>
      <c r="E108" s="65">
        <f t="shared" si="19"/>
        <v>2.3798521256931613</v>
      </c>
      <c r="F108" s="65" t="str">
        <f t="shared" si="11"/>
        <v>No</v>
      </c>
      <c r="G108" s="65" t="str">
        <f t="shared" si="12"/>
        <v>No</v>
      </c>
      <c r="H108" s="301" t="str">
        <f>IF(OR('TANF-VIEW'!L112&gt;0,'TANF-VIEW'!T112&gt;0),"Yes","No")</f>
        <v>No</v>
      </c>
      <c r="I108" s="63">
        <f t="shared" si="13"/>
        <v>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0</v>
      </c>
      <c r="O108" s="6">
        <f t="shared" si="14"/>
        <v>0</v>
      </c>
      <c r="P108" s="312">
        <f t="shared" si="21"/>
        <v>214.58333333333337</v>
      </c>
      <c r="Q108" s="312">
        <f t="shared" si="16"/>
        <v>0</v>
      </c>
      <c r="R108" s="312">
        <f t="shared" si="20"/>
        <v>0</v>
      </c>
      <c r="S108" s="160">
        <f>IF(AND('Total income package'!$A$8=TRUE,OR(F108="Yes",G108="Yes",H108="Yes")),SUM(J108:N108)-R108,0)</f>
        <v>0</v>
      </c>
    </row>
    <row r="109" spans="1:19" x14ac:dyDescent="0.25">
      <c r="A109" s="6">
        <v>52000</v>
      </c>
      <c r="B109" s="7">
        <f t="shared" ref="B109:B172" si="22">A109/12</f>
        <v>4333.333333333333</v>
      </c>
      <c r="C109" s="7">
        <f>'Total income package'!$D$80</f>
        <v>0</v>
      </c>
      <c r="D109" s="7">
        <f t="shared" si="18"/>
        <v>4333.333333333333</v>
      </c>
      <c r="E109" s="65">
        <f t="shared" si="19"/>
        <v>2.4029574861367835</v>
      </c>
      <c r="F109" s="65" t="str">
        <f t="shared" si="11"/>
        <v>No</v>
      </c>
      <c r="G109" s="65" t="str">
        <f t="shared" si="12"/>
        <v>No</v>
      </c>
      <c r="H109" s="301" t="str">
        <f>IF(OR('TANF-VIEW'!L113&gt;0,'TANF-VIEW'!T113&gt;0),"Yes","No")</f>
        <v>No</v>
      </c>
      <c r="I109" s="63">
        <f t="shared" si="13"/>
        <v>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0</v>
      </c>
      <c r="O109" s="6">
        <f t="shared" si="14"/>
        <v>0</v>
      </c>
      <c r="P109" s="312">
        <f t="shared" si="21"/>
        <v>216.66666666666666</v>
      </c>
      <c r="Q109" s="312">
        <f t="shared" si="16"/>
        <v>0</v>
      </c>
      <c r="R109" s="312">
        <f t="shared" si="20"/>
        <v>0</v>
      </c>
      <c r="S109" s="160">
        <f>IF(AND('Total income package'!$A$8=TRUE,OR(F109="Yes",G109="Yes",H109="Yes")),SUM(J109:N109)-R109,0)</f>
        <v>0</v>
      </c>
    </row>
    <row r="110" spans="1:19" x14ac:dyDescent="0.25">
      <c r="A110" s="6">
        <v>52500</v>
      </c>
      <c r="B110" s="7">
        <f t="shared" si="22"/>
        <v>4375</v>
      </c>
      <c r="C110" s="7">
        <f>'Total income package'!$D$80</f>
        <v>0</v>
      </c>
      <c r="D110" s="7">
        <f t="shared" si="18"/>
        <v>4375</v>
      </c>
      <c r="E110" s="65">
        <f t="shared" si="19"/>
        <v>2.4260628465804066</v>
      </c>
      <c r="F110" s="65" t="str">
        <f t="shared" si="11"/>
        <v>No</v>
      </c>
      <c r="G110" s="65" t="str">
        <f t="shared" si="12"/>
        <v>No</v>
      </c>
      <c r="H110" s="301" t="str">
        <f>IF(OR('TANF-VIEW'!L114&gt;0,'TANF-VIEW'!T114&gt;0),"Yes","No")</f>
        <v>No</v>
      </c>
      <c r="I110" s="63">
        <f t="shared" si="13"/>
        <v>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0</v>
      </c>
      <c r="O110" s="6">
        <f t="shared" si="14"/>
        <v>0</v>
      </c>
      <c r="P110" s="312">
        <f t="shared" si="21"/>
        <v>218.75</v>
      </c>
      <c r="Q110" s="312">
        <f t="shared" si="16"/>
        <v>0</v>
      </c>
      <c r="R110" s="312">
        <f t="shared" si="20"/>
        <v>0</v>
      </c>
      <c r="S110" s="160">
        <f>IF(AND('Total income package'!$A$8=TRUE,OR(F110="Yes",G110="Yes",H110="Yes")),SUM(J110:N110)-R110,0)</f>
        <v>0</v>
      </c>
    </row>
    <row r="111" spans="1:19" x14ac:dyDescent="0.25">
      <c r="A111" s="6">
        <v>53000</v>
      </c>
      <c r="B111" s="7">
        <f t="shared" si="22"/>
        <v>4416.666666666667</v>
      </c>
      <c r="C111" s="7">
        <f>'Total income package'!$D$80</f>
        <v>0</v>
      </c>
      <c r="D111" s="7">
        <f t="shared" si="18"/>
        <v>4416.666666666667</v>
      </c>
      <c r="E111" s="65">
        <f t="shared" si="19"/>
        <v>2.4491682070240297</v>
      </c>
      <c r="F111" s="65" t="str">
        <f t="shared" si="11"/>
        <v>No</v>
      </c>
      <c r="G111" s="65" t="str">
        <f t="shared" si="12"/>
        <v>No</v>
      </c>
      <c r="H111" s="301" t="str">
        <f>IF(OR('TANF-VIEW'!L115&gt;0,'TANF-VIEW'!T115&gt;0),"Yes","No")</f>
        <v>No</v>
      </c>
      <c r="I111" s="63">
        <f t="shared" si="13"/>
        <v>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0</v>
      </c>
      <c r="O111" s="6">
        <f t="shared" si="14"/>
        <v>0</v>
      </c>
      <c r="P111" s="312">
        <f t="shared" si="21"/>
        <v>220.83333333333337</v>
      </c>
      <c r="Q111" s="312">
        <f t="shared" si="16"/>
        <v>0</v>
      </c>
      <c r="R111" s="312">
        <f t="shared" si="20"/>
        <v>0</v>
      </c>
      <c r="S111" s="160">
        <f>IF(AND('Total income package'!$A$8=TRUE,OR(F111="Yes",G111="Yes",H111="Yes")),SUM(J111:N111)-R111,0)</f>
        <v>0</v>
      </c>
    </row>
    <row r="112" spans="1:19" x14ac:dyDescent="0.25">
      <c r="A112" s="6">
        <v>53500</v>
      </c>
      <c r="B112" s="7">
        <f t="shared" si="22"/>
        <v>4458.333333333333</v>
      </c>
      <c r="C112" s="7">
        <f>'Total income package'!$D$80</f>
        <v>0</v>
      </c>
      <c r="D112" s="7">
        <f t="shared" si="18"/>
        <v>4458.333333333333</v>
      </c>
      <c r="E112" s="65">
        <f t="shared" si="19"/>
        <v>2.4722735674676524</v>
      </c>
      <c r="F112" s="65" t="str">
        <f t="shared" si="11"/>
        <v>No</v>
      </c>
      <c r="G112" s="65" t="str">
        <f t="shared" si="12"/>
        <v>No</v>
      </c>
      <c r="H112" s="301" t="str">
        <f>IF(OR('TANF-VIEW'!L116&gt;0,'TANF-VIEW'!T116&gt;0),"Yes","No")</f>
        <v>No</v>
      </c>
      <c r="I112" s="63">
        <f t="shared" si="13"/>
        <v>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0</v>
      </c>
      <c r="O112" s="6">
        <f t="shared" si="14"/>
        <v>0</v>
      </c>
      <c r="P112" s="312">
        <f t="shared" si="21"/>
        <v>222.91666666666666</v>
      </c>
      <c r="Q112" s="312">
        <f t="shared" si="16"/>
        <v>0</v>
      </c>
      <c r="R112" s="312">
        <f t="shared" si="20"/>
        <v>0</v>
      </c>
      <c r="S112" s="160">
        <f>IF(AND('Total income package'!$A$8=TRUE,OR(F112="Yes",G112="Yes",H112="Yes")),SUM(J112:N112)-R112,0)</f>
        <v>0</v>
      </c>
    </row>
    <row r="113" spans="1:19" x14ac:dyDescent="0.25">
      <c r="A113" s="6">
        <v>54000</v>
      </c>
      <c r="B113" s="7">
        <f t="shared" si="22"/>
        <v>4500</v>
      </c>
      <c r="C113" s="7">
        <f>'Total income package'!$D$80</f>
        <v>0</v>
      </c>
      <c r="D113" s="7">
        <f t="shared" si="18"/>
        <v>4500</v>
      </c>
      <c r="E113" s="65">
        <f t="shared" si="19"/>
        <v>2.4953789279112755</v>
      </c>
      <c r="F113" s="65" t="str">
        <f t="shared" si="11"/>
        <v>No</v>
      </c>
      <c r="G113" s="65" t="str">
        <f t="shared" si="12"/>
        <v>No</v>
      </c>
      <c r="H113" s="301" t="str">
        <f>IF(OR('TANF-VIEW'!L117&gt;0,'TANF-VIEW'!T117&gt;0),"Yes","No")</f>
        <v>No</v>
      </c>
      <c r="I113" s="63">
        <f t="shared" si="13"/>
        <v>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0</v>
      </c>
      <c r="O113" s="6">
        <f t="shared" si="14"/>
        <v>0</v>
      </c>
      <c r="P113" s="312">
        <f t="shared" si="21"/>
        <v>225</v>
      </c>
      <c r="Q113" s="312">
        <f t="shared" si="16"/>
        <v>0</v>
      </c>
      <c r="R113" s="312">
        <f t="shared" si="20"/>
        <v>0</v>
      </c>
      <c r="S113" s="160">
        <f>IF(AND('Total income package'!$A$8=TRUE,OR(F113="Yes",G113="Yes",H113="Yes")),SUM(J113:N113)-R113,0)</f>
        <v>0</v>
      </c>
    </row>
    <row r="114" spans="1:19" x14ac:dyDescent="0.25">
      <c r="A114" s="6">
        <v>54500</v>
      </c>
      <c r="B114" s="7">
        <f t="shared" si="22"/>
        <v>4541.666666666667</v>
      </c>
      <c r="C114" s="7">
        <f>'Total income package'!$D$80</f>
        <v>0</v>
      </c>
      <c r="D114" s="7">
        <f t="shared" si="18"/>
        <v>4541.666666666667</v>
      </c>
      <c r="E114" s="65">
        <f t="shared" si="19"/>
        <v>2.5184842883548986</v>
      </c>
      <c r="F114" s="65" t="str">
        <f t="shared" si="11"/>
        <v>No</v>
      </c>
      <c r="G114" s="65" t="str">
        <f t="shared" si="12"/>
        <v>No</v>
      </c>
      <c r="H114" s="301" t="str">
        <f>IF(OR('TANF-VIEW'!L118&gt;0,'TANF-VIEW'!T118&gt;0),"Yes","No")</f>
        <v>No</v>
      </c>
      <c r="I114" s="63">
        <f t="shared" si="13"/>
        <v>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0</v>
      </c>
      <c r="O114" s="6">
        <f t="shared" si="14"/>
        <v>0</v>
      </c>
      <c r="P114" s="312">
        <f t="shared" si="21"/>
        <v>227.08333333333337</v>
      </c>
      <c r="Q114" s="312">
        <f t="shared" si="16"/>
        <v>0</v>
      </c>
      <c r="R114" s="312">
        <f t="shared" si="20"/>
        <v>0</v>
      </c>
      <c r="S114" s="160">
        <f>IF(AND('Total income package'!$A$8=TRUE,OR(F114="Yes",G114="Yes",H114="Yes")),SUM(J114:N114)-R114,0)</f>
        <v>0</v>
      </c>
    </row>
    <row r="115" spans="1:19" x14ac:dyDescent="0.25">
      <c r="A115" s="6">
        <v>55000</v>
      </c>
      <c r="B115" s="7">
        <f t="shared" si="22"/>
        <v>4583.333333333333</v>
      </c>
      <c r="C115" s="7">
        <f>'Total income package'!$D$80</f>
        <v>0</v>
      </c>
      <c r="D115" s="7">
        <f t="shared" si="18"/>
        <v>4583.333333333333</v>
      </c>
      <c r="E115" s="65">
        <f t="shared" si="19"/>
        <v>2.5415896487985212</v>
      </c>
      <c r="F115" s="65" t="str">
        <f t="shared" si="11"/>
        <v>No</v>
      </c>
      <c r="G115" s="65" t="str">
        <f t="shared" si="12"/>
        <v>No</v>
      </c>
      <c r="H115" s="301" t="str">
        <f>IF(OR('TANF-VIEW'!L119&gt;0,'TANF-VIEW'!T119&gt;0),"Yes","No")</f>
        <v>No</v>
      </c>
      <c r="I115" s="63">
        <f t="shared" si="13"/>
        <v>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0</v>
      </c>
      <c r="O115" s="6">
        <f t="shared" si="14"/>
        <v>0</v>
      </c>
      <c r="P115" s="312">
        <f t="shared" si="21"/>
        <v>229.16666666666666</v>
      </c>
      <c r="Q115" s="312">
        <f t="shared" si="16"/>
        <v>0</v>
      </c>
      <c r="R115" s="312">
        <f t="shared" si="20"/>
        <v>0</v>
      </c>
      <c r="S115" s="160">
        <f>IF(AND('Total income package'!$A$8=TRUE,OR(F115="Yes",G115="Yes",H115="Yes")),SUM(J115:N115)-R115,0)</f>
        <v>0</v>
      </c>
    </row>
    <row r="116" spans="1:19" x14ac:dyDescent="0.25">
      <c r="A116" s="6">
        <v>55500</v>
      </c>
      <c r="B116" s="7">
        <f t="shared" si="22"/>
        <v>4625</v>
      </c>
      <c r="C116" s="7">
        <f>'Total income package'!$D$80</f>
        <v>0</v>
      </c>
      <c r="D116" s="7">
        <f t="shared" si="18"/>
        <v>4625</v>
      </c>
      <c r="E116" s="65">
        <f t="shared" si="19"/>
        <v>2.5646950092421443</v>
      </c>
      <c r="F116" s="65" t="str">
        <f t="shared" si="11"/>
        <v>No</v>
      </c>
      <c r="G116" s="65" t="str">
        <f t="shared" si="12"/>
        <v>No</v>
      </c>
      <c r="H116" s="301" t="str">
        <f>IF(OR('TANF-VIEW'!L120&gt;0,'TANF-VIEW'!T120&gt;0),"Yes","No")</f>
        <v>No</v>
      </c>
      <c r="I116" s="63">
        <f t="shared" si="13"/>
        <v>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0</v>
      </c>
      <c r="O116" s="6">
        <f t="shared" si="14"/>
        <v>0</v>
      </c>
      <c r="P116" s="312">
        <f t="shared" si="21"/>
        <v>231.25</v>
      </c>
      <c r="Q116" s="312">
        <f t="shared" si="16"/>
        <v>0</v>
      </c>
      <c r="R116" s="312">
        <f t="shared" si="20"/>
        <v>0</v>
      </c>
      <c r="S116" s="160">
        <f>IF(AND('Total income package'!$A$8=TRUE,OR(F116="Yes",G116="Yes",H116="Yes")),SUM(J116:N116)-R116,0)</f>
        <v>0</v>
      </c>
    </row>
    <row r="117" spans="1:19" x14ac:dyDescent="0.25">
      <c r="A117" s="6">
        <v>56000</v>
      </c>
      <c r="B117" s="7">
        <f t="shared" si="22"/>
        <v>4666.666666666667</v>
      </c>
      <c r="C117" s="7">
        <f>'Total income package'!$D$80</f>
        <v>0</v>
      </c>
      <c r="D117" s="7">
        <f t="shared" si="18"/>
        <v>4666.666666666667</v>
      </c>
      <c r="E117" s="65">
        <f t="shared" si="19"/>
        <v>2.5878003696857674</v>
      </c>
      <c r="F117" s="65" t="str">
        <f t="shared" si="11"/>
        <v>No</v>
      </c>
      <c r="G117" s="65" t="str">
        <f t="shared" si="12"/>
        <v>No</v>
      </c>
      <c r="H117" s="301" t="str">
        <f>IF(OR('TANF-VIEW'!L121&gt;0,'TANF-VIEW'!T121&gt;0),"Yes","No")</f>
        <v>No</v>
      </c>
      <c r="I117" s="63">
        <f t="shared" si="13"/>
        <v>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0</v>
      </c>
      <c r="O117" s="6">
        <f t="shared" si="14"/>
        <v>0</v>
      </c>
      <c r="P117" s="312">
        <f t="shared" si="21"/>
        <v>233.33333333333337</v>
      </c>
      <c r="Q117" s="312">
        <f t="shared" si="16"/>
        <v>0</v>
      </c>
      <c r="R117" s="312">
        <f t="shared" si="20"/>
        <v>0</v>
      </c>
      <c r="S117" s="160">
        <f>IF(AND('Total income package'!$A$8=TRUE,OR(F117="Yes",G117="Yes",H117="Yes")),SUM(J117:N117)-R117,0)</f>
        <v>0</v>
      </c>
    </row>
    <row r="118" spans="1:19" x14ac:dyDescent="0.25">
      <c r="A118" s="6">
        <v>56500</v>
      </c>
      <c r="B118" s="7">
        <f t="shared" si="22"/>
        <v>4708.333333333333</v>
      </c>
      <c r="C118" s="7">
        <f>'Total income package'!$D$80</f>
        <v>0</v>
      </c>
      <c r="D118" s="7">
        <f t="shared" si="18"/>
        <v>4708.333333333333</v>
      </c>
      <c r="E118" s="65">
        <f t="shared" si="19"/>
        <v>2.6109057301293901</v>
      </c>
      <c r="F118" s="65" t="str">
        <f t="shared" si="11"/>
        <v>No</v>
      </c>
      <c r="G118" s="65" t="str">
        <f t="shared" si="12"/>
        <v>No</v>
      </c>
      <c r="H118" s="301" t="str">
        <f>IF(OR('TANF-VIEW'!L122&gt;0,'TANF-VIEW'!T122&gt;0),"Yes","No")</f>
        <v>No</v>
      </c>
      <c r="I118" s="63">
        <f t="shared" si="13"/>
        <v>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0</v>
      </c>
      <c r="O118" s="6">
        <f t="shared" si="14"/>
        <v>0</v>
      </c>
      <c r="P118" s="312">
        <f t="shared" si="21"/>
        <v>235.41666666666666</v>
      </c>
      <c r="Q118" s="312">
        <f t="shared" si="16"/>
        <v>0</v>
      </c>
      <c r="R118" s="312">
        <f t="shared" si="20"/>
        <v>0</v>
      </c>
      <c r="S118" s="160">
        <f>IF(AND('Total income package'!$A$8=TRUE,OR(F118="Yes",G118="Yes",H118="Yes")),SUM(J118:N118)-R118,0)</f>
        <v>0</v>
      </c>
    </row>
    <row r="119" spans="1:19" x14ac:dyDescent="0.25">
      <c r="A119" s="6">
        <v>57000</v>
      </c>
      <c r="B119" s="7">
        <f t="shared" si="22"/>
        <v>4750</v>
      </c>
      <c r="C119" s="7">
        <f>'Total income package'!$D$80</f>
        <v>0</v>
      </c>
      <c r="D119" s="7">
        <f t="shared" si="18"/>
        <v>4750</v>
      </c>
      <c r="E119" s="65">
        <f t="shared" si="19"/>
        <v>2.6340110905730132</v>
      </c>
      <c r="F119" s="65" t="str">
        <f t="shared" si="11"/>
        <v>No</v>
      </c>
      <c r="G119" s="65" t="str">
        <f t="shared" si="12"/>
        <v>No</v>
      </c>
      <c r="H119" s="301" t="str">
        <f>IF(OR('TANF-VIEW'!L123&gt;0,'TANF-VIEW'!T123&gt;0),"Yes","No")</f>
        <v>No</v>
      </c>
      <c r="I119" s="63">
        <f t="shared" si="13"/>
        <v>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0</v>
      </c>
      <c r="O119" s="6">
        <f t="shared" si="14"/>
        <v>0</v>
      </c>
      <c r="P119" s="312">
        <f t="shared" si="21"/>
        <v>237.5</v>
      </c>
      <c r="Q119" s="312">
        <f t="shared" si="16"/>
        <v>0</v>
      </c>
      <c r="R119" s="312">
        <f t="shared" si="20"/>
        <v>0</v>
      </c>
      <c r="S119" s="160">
        <f>IF(AND('Total income package'!$A$8=TRUE,OR(F119="Yes",G119="Yes",H119="Yes")),SUM(J119:N119)-R119,0)</f>
        <v>0</v>
      </c>
    </row>
    <row r="120" spans="1:19" x14ac:dyDescent="0.25">
      <c r="A120" s="6">
        <v>57500</v>
      </c>
      <c r="B120" s="7">
        <f t="shared" si="22"/>
        <v>4791.666666666667</v>
      </c>
      <c r="C120" s="7">
        <f>'Total income package'!$D$80</f>
        <v>0</v>
      </c>
      <c r="D120" s="7">
        <f t="shared" si="18"/>
        <v>4791.666666666667</v>
      </c>
      <c r="E120" s="65">
        <f t="shared" si="19"/>
        <v>2.6571164510166363</v>
      </c>
      <c r="F120" s="65" t="str">
        <f t="shared" si="11"/>
        <v>No</v>
      </c>
      <c r="G120" s="65" t="str">
        <f t="shared" si="12"/>
        <v>No</v>
      </c>
      <c r="H120" s="301" t="str">
        <f>IF(OR('TANF-VIEW'!L124&gt;0,'TANF-VIEW'!T124&gt;0),"Yes","No")</f>
        <v>No</v>
      </c>
      <c r="I120" s="63">
        <f t="shared" si="13"/>
        <v>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0</v>
      </c>
      <c r="O120" s="6">
        <f t="shared" si="14"/>
        <v>0</v>
      </c>
      <c r="P120" s="312">
        <f t="shared" si="21"/>
        <v>239.58333333333337</v>
      </c>
      <c r="Q120" s="312">
        <f t="shared" si="16"/>
        <v>0</v>
      </c>
      <c r="R120" s="312">
        <f t="shared" si="20"/>
        <v>0</v>
      </c>
      <c r="S120" s="160">
        <f>IF(AND('Total income package'!$A$8=TRUE,OR(F120="Yes",G120="Yes",H120="Yes")),SUM(J120:N120)-R120,0)</f>
        <v>0</v>
      </c>
    </row>
    <row r="121" spans="1:19" x14ac:dyDescent="0.25">
      <c r="A121" s="6">
        <v>58000</v>
      </c>
      <c r="B121" s="7">
        <f t="shared" si="22"/>
        <v>4833.333333333333</v>
      </c>
      <c r="C121" s="7">
        <f>'Total income package'!$D$80</f>
        <v>0</v>
      </c>
      <c r="D121" s="7">
        <f t="shared" si="18"/>
        <v>4833.333333333333</v>
      </c>
      <c r="E121" s="65">
        <f t="shared" si="19"/>
        <v>2.6802218114602585</v>
      </c>
      <c r="F121" s="65" t="str">
        <f t="shared" si="11"/>
        <v>No</v>
      </c>
      <c r="G121" s="65" t="str">
        <f t="shared" si="12"/>
        <v>No</v>
      </c>
      <c r="H121" s="301" t="str">
        <f>IF(OR('TANF-VIEW'!L125&gt;0,'TANF-VIEW'!T125&gt;0),"Yes","No")</f>
        <v>No</v>
      </c>
      <c r="I121" s="63">
        <f t="shared" si="13"/>
        <v>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0</v>
      </c>
      <c r="O121" s="6">
        <f t="shared" si="14"/>
        <v>0</v>
      </c>
      <c r="P121" s="312">
        <f t="shared" si="21"/>
        <v>241.66666666666666</v>
      </c>
      <c r="Q121" s="312">
        <f t="shared" si="16"/>
        <v>0</v>
      </c>
      <c r="R121" s="312">
        <f t="shared" si="20"/>
        <v>0</v>
      </c>
      <c r="S121" s="160">
        <f>IF(AND('Total income package'!$A$8=TRUE,OR(F121="Yes",G121="Yes",H121="Yes")),SUM(J121:N121)-R121,0)</f>
        <v>0</v>
      </c>
    </row>
    <row r="122" spans="1:19" x14ac:dyDescent="0.25">
      <c r="A122" s="6">
        <v>58500</v>
      </c>
      <c r="B122" s="7">
        <f t="shared" si="22"/>
        <v>4875</v>
      </c>
      <c r="C122" s="7">
        <f>'Total income package'!$D$80</f>
        <v>0</v>
      </c>
      <c r="D122" s="7">
        <f t="shared" si="18"/>
        <v>4875</v>
      </c>
      <c r="E122" s="65">
        <f t="shared" si="19"/>
        <v>2.7033271719038816</v>
      </c>
      <c r="F122" s="65" t="str">
        <f t="shared" si="11"/>
        <v>No</v>
      </c>
      <c r="G122" s="65" t="str">
        <f t="shared" si="12"/>
        <v>No</v>
      </c>
      <c r="H122" s="301" t="str">
        <f>IF(OR('TANF-VIEW'!L126&gt;0,'TANF-VIEW'!T126&gt;0),"Yes","No")</f>
        <v>No</v>
      </c>
      <c r="I122" s="63">
        <f t="shared" si="13"/>
        <v>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0</v>
      </c>
      <c r="O122" s="6">
        <f t="shared" si="14"/>
        <v>0</v>
      </c>
      <c r="P122" s="312">
        <f t="shared" si="21"/>
        <v>243.75</v>
      </c>
      <c r="Q122" s="312">
        <f t="shared" si="16"/>
        <v>0</v>
      </c>
      <c r="R122" s="312">
        <f t="shared" si="20"/>
        <v>0</v>
      </c>
      <c r="S122" s="160">
        <f>IF(AND('Total income package'!$A$8=TRUE,OR(F122="Yes",G122="Yes",H122="Yes")),SUM(J122:N122)-R122,0)</f>
        <v>0</v>
      </c>
    </row>
    <row r="123" spans="1:19" x14ac:dyDescent="0.25">
      <c r="A123" s="6">
        <v>59000</v>
      </c>
      <c r="B123" s="7">
        <f t="shared" si="22"/>
        <v>4916.666666666667</v>
      </c>
      <c r="C123" s="7">
        <f>'Total income package'!$D$80</f>
        <v>0</v>
      </c>
      <c r="D123" s="7">
        <f t="shared" si="18"/>
        <v>4916.666666666667</v>
      </c>
      <c r="E123" s="65">
        <f t="shared" si="19"/>
        <v>2.7264325323475047</v>
      </c>
      <c r="F123" s="65" t="str">
        <f t="shared" si="11"/>
        <v>No</v>
      </c>
      <c r="G123" s="65" t="str">
        <f t="shared" si="12"/>
        <v>No</v>
      </c>
      <c r="H123" s="301" t="str">
        <f>IF(OR('TANF-VIEW'!L127&gt;0,'TANF-VIEW'!T127&gt;0),"Yes","No")</f>
        <v>No</v>
      </c>
      <c r="I123" s="63">
        <f t="shared" si="13"/>
        <v>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0</v>
      </c>
      <c r="O123" s="6">
        <f t="shared" si="14"/>
        <v>0</v>
      </c>
      <c r="P123" s="312">
        <f t="shared" si="21"/>
        <v>245.83333333333337</v>
      </c>
      <c r="Q123" s="312">
        <f t="shared" si="16"/>
        <v>0</v>
      </c>
      <c r="R123" s="312">
        <f t="shared" si="20"/>
        <v>0</v>
      </c>
      <c r="S123" s="160">
        <f>IF(AND('Total income package'!$A$8=TRUE,OR(F123="Yes",G123="Yes",H123="Yes")),SUM(J123:N123)-R123,0)</f>
        <v>0</v>
      </c>
    </row>
    <row r="124" spans="1:19" x14ac:dyDescent="0.25">
      <c r="A124" s="6">
        <v>59500</v>
      </c>
      <c r="B124" s="7">
        <f t="shared" si="22"/>
        <v>4958.333333333333</v>
      </c>
      <c r="C124" s="7">
        <f>'Total income package'!$D$80</f>
        <v>0</v>
      </c>
      <c r="D124" s="7">
        <f t="shared" si="18"/>
        <v>4958.333333333333</v>
      </c>
      <c r="E124" s="65">
        <f t="shared" si="19"/>
        <v>2.7495378927911274</v>
      </c>
      <c r="F124" s="65" t="str">
        <f t="shared" si="11"/>
        <v>No</v>
      </c>
      <c r="G124" s="65" t="str">
        <f t="shared" si="12"/>
        <v>No</v>
      </c>
      <c r="H124" s="301" t="str">
        <f>IF(OR('TANF-VIEW'!L128&gt;0,'TANF-VIEW'!T128&gt;0),"Yes","No")</f>
        <v>No</v>
      </c>
      <c r="I124" s="63">
        <f t="shared" si="13"/>
        <v>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0</v>
      </c>
      <c r="O124" s="6">
        <f t="shared" si="14"/>
        <v>0</v>
      </c>
      <c r="P124" s="312">
        <f t="shared" si="21"/>
        <v>247.91666666666666</v>
      </c>
      <c r="Q124" s="312">
        <f t="shared" si="16"/>
        <v>0</v>
      </c>
      <c r="R124" s="312">
        <f t="shared" si="20"/>
        <v>0</v>
      </c>
      <c r="S124" s="160">
        <f>IF(AND('Total income package'!$A$8=TRUE,OR(F124="Yes",G124="Yes",H124="Yes")),SUM(J124:N124)-R124,0)</f>
        <v>0</v>
      </c>
    </row>
    <row r="125" spans="1:19" x14ac:dyDescent="0.25">
      <c r="A125" s="6">
        <v>60000</v>
      </c>
      <c r="B125" s="7">
        <f t="shared" si="22"/>
        <v>5000</v>
      </c>
      <c r="C125" s="7">
        <f>'Total income package'!$D$80</f>
        <v>0</v>
      </c>
      <c r="D125" s="7">
        <f t="shared" si="18"/>
        <v>5000</v>
      </c>
      <c r="E125" s="65">
        <f t="shared" si="19"/>
        <v>2.7726432532347505</v>
      </c>
      <c r="F125" s="65" t="str">
        <f t="shared" si="11"/>
        <v>No</v>
      </c>
      <c r="G125" s="65" t="str">
        <f t="shared" si="12"/>
        <v>No</v>
      </c>
      <c r="H125" s="301" t="str">
        <f>IF(OR('TANF-VIEW'!L129&gt;0,'TANF-VIEW'!T129&gt;0),"Yes","No")</f>
        <v>No</v>
      </c>
      <c r="I125" s="63">
        <f t="shared" si="13"/>
        <v>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0</v>
      </c>
      <c r="O125" s="6">
        <f t="shared" si="14"/>
        <v>0</v>
      </c>
      <c r="P125" s="312">
        <f t="shared" si="21"/>
        <v>250</v>
      </c>
      <c r="Q125" s="312">
        <f t="shared" si="16"/>
        <v>0</v>
      </c>
      <c r="R125" s="312">
        <f t="shared" si="20"/>
        <v>0</v>
      </c>
      <c r="S125" s="160">
        <f>IF(AND('Total income package'!$A$8=TRUE,OR(F125="Yes",G125="Yes",H125="Yes")),SUM(J125:N125)-R125,0)</f>
        <v>0</v>
      </c>
    </row>
    <row r="126" spans="1:19" x14ac:dyDescent="0.25">
      <c r="A126" s="6">
        <v>60500</v>
      </c>
      <c r="B126" s="7">
        <f t="shared" si="22"/>
        <v>5041.666666666667</v>
      </c>
      <c r="C126" s="7">
        <f>'Total income package'!$D$80</f>
        <v>0</v>
      </c>
      <c r="D126" s="7">
        <f t="shared" si="18"/>
        <v>5041.666666666667</v>
      </c>
      <c r="E126" s="65">
        <f t="shared" si="19"/>
        <v>2.7957486136783736</v>
      </c>
      <c r="F126" s="65" t="str">
        <f t="shared" si="11"/>
        <v>No</v>
      </c>
      <c r="G126" s="65" t="str">
        <f t="shared" si="12"/>
        <v>No</v>
      </c>
      <c r="H126" s="301" t="str">
        <f>IF(OR('TANF-VIEW'!L130&gt;0,'TANF-VIEW'!T130&gt;0),"Yes","No")</f>
        <v>No</v>
      </c>
      <c r="I126" s="63">
        <f t="shared" si="13"/>
        <v>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0</v>
      </c>
      <c r="O126" s="6">
        <f t="shared" si="14"/>
        <v>0</v>
      </c>
      <c r="P126" s="312">
        <f t="shared" si="21"/>
        <v>252.08333333333337</v>
      </c>
      <c r="Q126" s="312">
        <f t="shared" si="16"/>
        <v>0</v>
      </c>
      <c r="R126" s="312">
        <f t="shared" si="20"/>
        <v>0</v>
      </c>
      <c r="S126" s="160">
        <f>IF(AND('Total income package'!$A$8=TRUE,OR(F126="Yes",G126="Yes",H126="Yes")),SUM(J126:N126)-R126,0)</f>
        <v>0</v>
      </c>
    </row>
    <row r="127" spans="1:19" x14ac:dyDescent="0.25">
      <c r="A127" s="6">
        <v>61000</v>
      </c>
      <c r="B127" s="7">
        <f t="shared" si="22"/>
        <v>5083.333333333333</v>
      </c>
      <c r="C127" s="7">
        <f>'Total income package'!$D$80</f>
        <v>0</v>
      </c>
      <c r="D127" s="7">
        <f t="shared" si="18"/>
        <v>5083.333333333333</v>
      </c>
      <c r="E127" s="65">
        <f t="shared" si="19"/>
        <v>2.8188539741219962</v>
      </c>
      <c r="F127" s="65" t="str">
        <f t="shared" si="11"/>
        <v>No</v>
      </c>
      <c r="G127" s="65" t="str">
        <f t="shared" si="12"/>
        <v>No</v>
      </c>
      <c r="H127" s="301" t="str">
        <f>IF(OR('TANF-VIEW'!L131&gt;0,'TANF-VIEW'!T131&gt;0),"Yes","No")</f>
        <v>No</v>
      </c>
      <c r="I127" s="63">
        <f t="shared" si="13"/>
        <v>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0</v>
      </c>
      <c r="O127" s="6">
        <f t="shared" si="14"/>
        <v>0</v>
      </c>
      <c r="P127" s="312">
        <f t="shared" si="21"/>
        <v>254.16666666666666</v>
      </c>
      <c r="Q127" s="312">
        <f t="shared" si="16"/>
        <v>0</v>
      </c>
      <c r="R127" s="312">
        <f t="shared" si="20"/>
        <v>0</v>
      </c>
      <c r="S127" s="160">
        <f>IF(AND('Total income package'!$A$8=TRUE,OR(F127="Yes",G127="Yes",H127="Yes")),SUM(J127:N127)-R127,0)</f>
        <v>0</v>
      </c>
    </row>
    <row r="128" spans="1:19" x14ac:dyDescent="0.25">
      <c r="A128" s="6">
        <v>61500</v>
      </c>
      <c r="B128" s="7">
        <f t="shared" si="22"/>
        <v>5125</v>
      </c>
      <c r="C128" s="7">
        <f>'Total income package'!$D$80</f>
        <v>0</v>
      </c>
      <c r="D128" s="7">
        <f t="shared" si="18"/>
        <v>5125</v>
      </c>
      <c r="E128" s="65">
        <f t="shared" si="19"/>
        <v>2.8419593345656193</v>
      </c>
      <c r="F128" s="65" t="str">
        <f t="shared" si="11"/>
        <v>No</v>
      </c>
      <c r="G128" s="65" t="str">
        <f t="shared" si="12"/>
        <v>No</v>
      </c>
      <c r="H128" s="301" t="str">
        <f>IF(OR('TANF-VIEW'!L132&gt;0,'TANF-VIEW'!T132&gt;0),"Yes","No")</f>
        <v>No</v>
      </c>
      <c r="I128" s="63">
        <f t="shared" si="13"/>
        <v>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0</v>
      </c>
      <c r="O128" s="6">
        <f t="shared" si="14"/>
        <v>0</v>
      </c>
      <c r="P128" s="312">
        <f t="shared" si="21"/>
        <v>256.25</v>
      </c>
      <c r="Q128" s="312">
        <f t="shared" si="16"/>
        <v>0</v>
      </c>
      <c r="R128" s="312">
        <f t="shared" si="20"/>
        <v>0</v>
      </c>
      <c r="S128" s="160">
        <f>IF(AND('Total income package'!$A$8=TRUE,OR(F128="Yes",G128="Yes",H128="Yes")),SUM(J128:N128)-R128,0)</f>
        <v>0</v>
      </c>
    </row>
    <row r="129" spans="1:19" x14ac:dyDescent="0.25">
      <c r="A129" s="6">
        <v>62000</v>
      </c>
      <c r="B129" s="7">
        <f t="shared" si="22"/>
        <v>5166.666666666667</v>
      </c>
      <c r="C129" s="7">
        <f>'Total income package'!$D$80</f>
        <v>0</v>
      </c>
      <c r="D129" s="7">
        <f t="shared" si="18"/>
        <v>5166.666666666667</v>
      </c>
      <c r="E129" s="65">
        <f t="shared" si="19"/>
        <v>2.8650646950092424</v>
      </c>
      <c r="F129" s="65" t="str">
        <f t="shared" si="11"/>
        <v>No</v>
      </c>
      <c r="G129" s="65" t="str">
        <f t="shared" si="12"/>
        <v>No</v>
      </c>
      <c r="H129" s="301" t="str">
        <f>IF(OR('TANF-VIEW'!L133&gt;0,'TANF-VIEW'!T133&gt;0),"Yes","No")</f>
        <v>No</v>
      </c>
      <c r="I129" s="63">
        <f t="shared" si="13"/>
        <v>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0</v>
      </c>
      <c r="O129" s="6">
        <f t="shared" si="14"/>
        <v>0</v>
      </c>
      <c r="P129" s="312">
        <f t="shared" si="21"/>
        <v>258.33333333333337</v>
      </c>
      <c r="Q129" s="312">
        <f t="shared" si="16"/>
        <v>0</v>
      </c>
      <c r="R129" s="312">
        <f t="shared" si="20"/>
        <v>0</v>
      </c>
      <c r="S129" s="160">
        <f>IF(AND('Total income package'!$A$8=TRUE,OR(F129="Yes",G129="Yes",H129="Yes")),SUM(J129:N129)-R129,0)</f>
        <v>0</v>
      </c>
    </row>
    <row r="130" spans="1:19" x14ac:dyDescent="0.25">
      <c r="A130" s="6">
        <v>62500</v>
      </c>
      <c r="B130" s="7">
        <f t="shared" si="22"/>
        <v>5208.333333333333</v>
      </c>
      <c r="C130" s="7">
        <f>'Total income package'!$D$80</f>
        <v>0</v>
      </c>
      <c r="D130" s="7">
        <f t="shared" si="18"/>
        <v>5208.333333333333</v>
      </c>
      <c r="E130" s="65">
        <f t="shared" si="19"/>
        <v>2.8881700554528651</v>
      </c>
      <c r="F130" s="65" t="str">
        <f t="shared" si="11"/>
        <v>No</v>
      </c>
      <c r="G130" s="65" t="str">
        <f t="shared" si="12"/>
        <v>No</v>
      </c>
      <c r="H130" s="301" t="str">
        <f>IF(OR('TANF-VIEW'!L134&gt;0,'TANF-VIEW'!T134&gt;0),"Yes","No")</f>
        <v>No</v>
      </c>
      <c r="I130" s="63">
        <f t="shared" si="13"/>
        <v>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0</v>
      </c>
      <c r="O130" s="6">
        <f t="shared" si="14"/>
        <v>0</v>
      </c>
      <c r="P130" s="312">
        <f t="shared" si="21"/>
        <v>260.41666666666669</v>
      </c>
      <c r="Q130" s="312">
        <f t="shared" si="16"/>
        <v>0</v>
      </c>
      <c r="R130" s="312">
        <f t="shared" si="20"/>
        <v>0</v>
      </c>
      <c r="S130" s="160">
        <f>IF(AND('Total income package'!$A$8=TRUE,OR(F130="Yes",G130="Yes",H130="Yes")),SUM(J130:N130)-R130,0)</f>
        <v>0</v>
      </c>
    </row>
    <row r="131" spans="1:19" x14ac:dyDescent="0.25">
      <c r="A131" s="6">
        <v>63000</v>
      </c>
      <c r="B131" s="7">
        <f t="shared" si="22"/>
        <v>5250</v>
      </c>
      <c r="C131" s="7">
        <f>'Total income package'!$D$80</f>
        <v>0</v>
      </c>
      <c r="D131" s="7">
        <f t="shared" si="18"/>
        <v>5250</v>
      </c>
      <c r="E131" s="65">
        <f t="shared" si="19"/>
        <v>2.9112754158964882</v>
      </c>
      <c r="F131" s="65" t="str">
        <f t="shared" si="11"/>
        <v>No</v>
      </c>
      <c r="G131" s="65" t="str">
        <f t="shared" si="12"/>
        <v>No</v>
      </c>
      <c r="H131" s="301" t="str">
        <f>IF(OR('TANF-VIEW'!L135&gt;0,'TANF-VIEW'!T135&gt;0),"Yes","No")</f>
        <v>No</v>
      </c>
      <c r="I131" s="63">
        <f t="shared" si="13"/>
        <v>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0</v>
      </c>
      <c r="O131" s="6">
        <f t="shared" si="14"/>
        <v>0</v>
      </c>
      <c r="P131" s="312">
        <f t="shared" si="21"/>
        <v>262.5</v>
      </c>
      <c r="Q131" s="312">
        <f t="shared" si="16"/>
        <v>0</v>
      </c>
      <c r="R131" s="312">
        <f t="shared" si="20"/>
        <v>0</v>
      </c>
      <c r="S131" s="160">
        <f>IF(AND('Total income package'!$A$8=TRUE,OR(F131="Yes",G131="Yes",H131="Yes")),SUM(J131:N131)-R131,0)</f>
        <v>0</v>
      </c>
    </row>
    <row r="132" spans="1:19" x14ac:dyDescent="0.25">
      <c r="A132" s="6">
        <v>63500</v>
      </c>
      <c r="B132" s="7">
        <f t="shared" si="22"/>
        <v>5291.666666666667</v>
      </c>
      <c r="C132" s="7">
        <f>'Total income package'!$D$80</f>
        <v>0</v>
      </c>
      <c r="D132" s="7">
        <f t="shared" si="18"/>
        <v>5291.666666666667</v>
      </c>
      <c r="E132" s="65">
        <f t="shared" si="19"/>
        <v>2.9343807763401113</v>
      </c>
      <c r="F132" s="65" t="str">
        <f t="shared" si="11"/>
        <v>No</v>
      </c>
      <c r="G132" s="65" t="str">
        <f t="shared" si="12"/>
        <v>No</v>
      </c>
      <c r="H132" s="301" t="str">
        <f>IF(OR('TANF-VIEW'!L136&gt;0,'TANF-VIEW'!T136&gt;0),"Yes","No")</f>
        <v>No</v>
      </c>
      <c r="I132" s="63">
        <f t="shared" si="13"/>
        <v>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0</v>
      </c>
      <c r="O132" s="6">
        <f t="shared" si="14"/>
        <v>0</v>
      </c>
      <c r="P132" s="312">
        <f t="shared" si="21"/>
        <v>264.58333333333337</v>
      </c>
      <c r="Q132" s="312">
        <f t="shared" si="16"/>
        <v>0</v>
      </c>
      <c r="R132" s="312">
        <f t="shared" si="20"/>
        <v>0</v>
      </c>
      <c r="S132" s="160">
        <f>IF(AND('Total income package'!$A$8=TRUE,OR(F132="Yes",G132="Yes",H132="Yes")),SUM(J132:N132)-R132,0)</f>
        <v>0</v>
      </c>
    </row>
    <row r="133" spans="1:19" x14ac:dyDescent="0.25">
      <c r="A133" s="6">
        <v>64000</v>
      </c>
      <c r="B133" s="7">
        <f t="shared" si="22"/>
        <v>5333.333333333333</v>
      </c>
      <c r="C133" s="7">
        <f>'Total income package'!$D$80</f>
        <v>0</v>
      </c>
      <c r="D133" s="7">
        <f t="shared" si="18"/>
        <v>5333.333333333333</v>
      </c>
      <c r="E133" s="65">
        <f t="shared" si="19"/>
        <v>2.957486136783734</v>
      </c>
      <c r="F133" s="65" t="str">
        <f t="shared" ref="F133:F196" si="23">IF(AND(B133&lt;$N$2,SUM($C$2:$F$2)&gt;0),"Yes","No")</f>
        <v>No</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0</v>
      </c>
      <c r="O133" s="6">
        <f t="shared" ref="O133:O196" si="26">I133*SUM($C$2:$H$2)</f>
        <v>0</v>
      </c>
      <c r="P133" s="312">
        <f t="shared" ref="P133:P164" si="27">B133*0.05</f>
        <v>266.66666666666669</v>
      </c>
      <c r="Q133" s="312">
        <f t="shared" ref="Q133:Q196" si="28">I133*3</f>
        <v>0</v>
      </c>
      <c r="R133" s="312">
        <f t="shared" si="20"/>
        <v>0</v>
      </c>
      <c r="S133" s="160">
        <f>IF(AND('Total income package'!$A$8=TRUE,OR(F133="Yes",G133="Yes",H133="Yes")),SUM(J133:N133)-R133,0)</f>
        <v>0</v>
      </c>
    </row>
    <row r="134" spans="1:19" x14ac:dyDescent="0.25">
      <c r="A134" s="6">
        <v>64500</v>
      </c>
      <c r="B134" s="7">
        <f t="shared" si="22"/>
        <v>5375</v>
      </c>
      <c r="C134" s="7">
        <f>'Total income package'!$D$80</f>
        <v>0</v>
      </c>
      <c r="D134" s="7">
        <f t="shared" ref="D134:D197" si="29">B134+C134</f>
        <v>5375</v>
      </c>
      <c r="E134" s="65">
        <f t="shared" ref="E134:E197" si="30">D134/$K$2</f>
        <v>2.9805914972273571</v>
      </c>
      <c r="F134" s="65" t="str">
        <f t="shared" si="23"/>
        <v>No</v>
      </c>
      <c r="G134" s="65" t="str">
        <f t="shared" si="24"/>
        <v>No</v>
      </c>
      <c r="H134" s="301" t="str">
        <f>IF(OR('TANF-VIEW'!L138&gt;0,'TANF-VIEW'!T138&gt;0),"Yes","No")</f>
        <v>No</v>
      </c>
      <c r="I134" s="63">
        <f t="shared" si="25"/>
        <v>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0</v>
      </c>
      <c r="O134" s="6">
        <f t="shared" si="26"/>
        <v>0</v>
      </c>
      <c r="P134" s="312">
        <f t="shared" si="27"/>
        <v>268.75</v>
      </c>
      <c r="Q134" s="312">
        <f t="shared" si="28"/>
        <v>0</v>
      </c>
      <c r="R134" s="312">
        <f t="shared" ref="R134:R197" si="31">IF(MIN(O134,P134)&lt;Q134,MIN(O134,P134),Q134)</f>
        <v>0</v>
      </c>
      <c r="S134" s="160">
        <f>IF(AND('Total income package'!$A$8=TRUE,OR(F134="Yes",G134="Yes",H134="Yes")),SUM(J134:N134)-R134,0)</f>
        <v>0</v>
      </c>
    </row>
    <row r="135" spans="1:19" x14ac:dyDescent="0.25">
      <c r="A135" s="6">
        <v>65000</v>
      </c>
      <c r="B135" s="7">
        <f t="shared" si="22"/>
        <v>5416.666666666667</v>
      </c>
      <c r="C135" s="7">
        <f>'Total income package'!$D$80</f>
        <v>0</v>
      </c>
      <c r="D135" s="7">
        <f t="shared" si="29"/>
        <v>5416.666666666667</v>
      </c>
      <c r="E135" s="65">
        <f t="shared" si="30"/>
        <v>3.0036968576709802</v>
      </c>
      <c r="F135" s="65" t="str">
        <f t="shared" si="23"/>
        <v>No</v>
      </c>
      <c r="G135" s="65" t="str">
        <f t="shared" si="24"/>
        <v>No</v>
      </c>
      <c r="H135" s="301" t="str">
        <f>IF(OR('TANF-VIEW'!L139&gt;0,'TANF-VIEW'!T139&gt;0),"Yes","No")</f>
        <v>No</v>
      </c>
      <c r="I135" s="63">
        <f t="shared" si="25"/>
        <v>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0</v>
      </c>
      <c r="O135" s="6">
        <f t="shared" si="26"/>
        <v>0</v>
      </c>
      <c r="P135" s="312">
        <f t="shared" si="27"/>
        <v>270.83333333333337</v>
      </c>
      <c r="Q135" s="312">
        <f t="shared" si="28"/>
        <v>0</v>
      </c>
      <c r="R135" s="312">
        <f t="shared" si="31"/>
        <v>0</v>
      </c>
      <c r="S135" s="160">
        <f>IF(AND('Total income package'!$A$8=TRUE,OR(F135="Yes",G135="Yes",H135="Yes")),SUM(J135:N135)-R135,0)</f>
        <v>0</v>
      </c>
    </row>
    <row r="136" spans="1:19" x14ac:dyDescent="0.25">
      <c r="A136" s="6">
        <v>65500</v>
      </c>
      <c r="B136" s="7">
        <f t="shared" si="22"/>
        <v>5458.333333333333</v>
      </c>
      <c r="C136" s="7">
        <f>'Total income package'!$D$80</f>
        <v>0</v>
      </c>
      <c r="D136" s="7">
        <f t="shared" si="29"/>
        <v>5458.333333333333</v>
      </c>
      <c r="E136" s="65">
        <f t="shared" si="30"/>
        <v>3.0268022181146024</v>
      </c>
      <c r="F136" s="65" t="str">
        <f t="shared" si="23"/>
        <v>No</v>
      </c>
      <c r="G136" s="65" t="str">
        <f t="shared" si="24"/>
        <v>No</v>
      </c>
      <c r="H136" s="301" t="str">
        <f>IF(OR('TANF-VIEW'!L140&gt;0,'TANF-VIEW'!T140&gt;0),"Yes","No")</f>
        <v>No</v>
      </c>
      <c r="I136" s="63">
        <f t="shared" si="25"/>
        <v>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0</v>
      </c>
      <c r="O136" s="6">
        <f t="shared" si="26"/>
        <v>0</v>
      </c>
      <c r="P136" s="312">
        <f t="shared" si="27"/>
        <v>272.91666666666669</v>
      </c>
      <c r="Q136" s="312">
        <f t="shared" si="28"/>
        <v>0</v>
      </c>
      <c r="R136" s="312">
        <f t="shared" si="31"/>
        <v>0</v>
      </c>
      <c r="S136" s="160">
        <f>IF(AND('Total income package'!$A$8=TRUE,OR(F136="Yes",G136="Yes",H136="Yes")),SUM(J136:N136)-R136,0)</f>
        <v>0</v>
      </c>
    </row>
    <row r="137" spans="1:19" x14ac:dyDescent="0.25">
      <c r="A137" s="6">
        <v>66000</v>
      </c>
      <c r="B137" s="7">
        <f t="shared" si="22"/>
        <v>5500</v>
      </c>
      <c r="C137" s="7">
        <f>'Total income package'!$D$80</f>
        <v>0</v>
      </c>
      <c r="D137" s="7">
        <f t="shared" si="29"/>
        <v>5500</v>
      </c>
      <c r="E137" s="65">
        <f t="shared" si="30"/>
        <v>3.0499075785582255</v>
      </c>
      <c r="F137" s="65" t="str">
        <f t="shared" si="23"/>
        <v>No</v>
      </c>
      <c r="G137" s="65" t="str">
        <f t="shared" si="24"/>
        <v>No</v>
      </c>
      <c r="H137" s="301" t="str">
        <f>IF(OR('TANF-VIEW'!L141&gt;0,'TANF-VIEW'!T141&gt;0),"Yes","No")</f>
        <v>No</v>
      </c>
      <c r="I137" s="63">
        <f t="shared" si="25"/>
        <v>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0</v>
      </c>
      <c r="O137" s="6">
        <f t="shared" si="26"/>
        <v>0</v>
      </c>
      <c r="P137" s="312">
        <f t="shared" si="27"/>
        <v>275</v>
      </c>
      <c r="Q137" s="312">
        <f t="shared" si="28"/>
        <v>0</v>
      </c>
      <c r="R137" s="312">
        <f t="shared" si="31"/>
        <v>0</v>
      </c>
      <c r="S137" s="160">
        <f>IF(AND('Total income package'!$A$8=TRUE,OR(F137="Yes",G137="Yes",H137="Yes")),SUM(J137:N137)-R137,0)</f>
        <v>0</v>
      </c>
    </row>
    <row r="138" spans="1:19" x14ac:dyDescent="0.25">
      <c r="A138" s="6">
        <v>66500</v>
      </c>
      <c r="B138" s="7">
        <f t="shared" si="22"/>
        <v>5541.666666666667</v>
      </c>
      <c r="C138" s="7">
        <f>'Total income package'!$D$80</f>
        <v>0</v>
      </c>
      <c r="D138" s="7">
        <f t="shared" si="29"/>
        <v>5541.666666666667</v>
      </c>
      <c r="E138" s="65">
        <f t="shared" si="30"/>
        <v>3.0730129390018486</v>
      </c>
      <c r="F138" s="65" t="str">
        <f t="shared" si="23"/>
        <v>No</v>
      </c>
      <c r="G138" s="65" t="str">
        <f t="shared" si="24"/>
        <v>No</v>
      </c>
      <c r="H138" s="301" t="str">
        <f>IF(OR('TANF-VIEW'!L142&gt;0,'TANF-VIEW'!T142&gt;0),"Yes","No")</f>
        <v>No</v>
      </c>
      <c r="I138" s="63">
        <f t="shared" si="25"/>
        <v>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0</v>
      </c>
      <c r="O138" s="6">
        <f t="shared" si="26"/>
        <v>0</v>
      </c>
      <c r="P138" s="312">
        <f t="shared" si="27"/>
        <v>277.08333333333337</v>
      </c>
      <c r="Q138" s="312">
        <f t="shared" si="28"/>
        <v>0</v>
      </c>
      <c r="R138" s="312">
        <f t="shared" si="31"/>
        <v>0</v>
      </c>
      <c r="S138" s="160">
        <f>IF(AND('Total income package'!$A$8=TRUE,OR(F138="Yes",G138="Yes",H138="Yes")),SUM(J138:N138)-R138,0)</f>
        <v>0</v>
      </c>
    </row>
    <row r="139" spans="1:19" x14ac:dyDescent="0.25">
      <c r="A139" s="6">
        <v>67000</v>
      </c>
      <c r="B139" s="7">
        <f t="shared" si="22"/>
        <v>5583.333333333333</v>
      </c>
      <c r="C139" s="7">
        <f>'Total income package'!$D$80</f>
        <v>0</v>
      </c>
      <c r="D139" s="7">
        <f t="shared" si="29"/>
        <v>5583.333333333333</v>
      </c>
      <c r="E139" s="65">
        <f t="shared" si="30"/>
        <v>3.0961182994454712</v>
      </c>
      <c r="F139" s="65" t="str">
        <f t="shared" si="23"/>
        <v>No</v>
      </c>
      <c r="G139" s="65" t="str">
        <f t="shared" si="24"/>
        <v>No</v>
      </c>
      <c r="H139" s="301" t="str">
        <f>IF(OR('TANF-VIEW'!L143&gt;0,'TANF-VIEW'!T143&gt;0),"Yes","No")</f>
        <v>No</v>
      </c>
      <c r="I139" s="63">
        <f t="shared" si="25"/>
        <v>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0</v>
      </c>
      <c r="O139" s="6">
        <f t="shared" si="26"/>
        <v>0</v>
      </c>
      <c r="P139" s="312">
        <f t="shared" si="27"/>
        <v>279.16666666666669</v>
      </c>
      <c r="Q139" s="312">
        <f t="shared" si="28"/>
        <v>0</v>
      </c>
      <c r="R139" s="312">
        <f t="shared" si="31"/>
        <v>0</v>
      </c>
      <c r="S139" s="160">
        <f>IF(AND('Total income package'!$A$8=TRUE,OR(F139="Yes",G139="Yes",H139="Yes")),SUM(J139:N139)-R139,0)</f>
        <v>0</v>
      </c>
    </row>
    <row r="140" spans="1:19" x14ac:dyDescent="0.25">
      <c r="A140" s="6">
        <v>67500</v>
      </c>
      <c r="B140" s="7">
        <f t="shared" si="22"/>
        <v>5625</v>
      </c>
      <c r="C140" s="7">
        <f>'Total income package'!$D$80</f>
        <v>0</v>
      </c>
      <c r="D140" s="7">
        <f t="shared" si="29"/>
        <v>5625</v>
      </c>
      <c r="E140" s="65">
        <f t="shared" si="30"/>
        <v>3.1192236598890943</v>
      </c>
      <c r="F140" s="65" t="str">
        <f t="shared" si="23"/>
        <v>No</v>
      </c>
      <c r="G140" s="65" t="str">
        <f t="shared" si="24"/>
        <v>No</v>
      </c>
      <c r="H140" s="301" t="str">
        <f>IF(OR('TANF-VIEW'!L144&gt;0,'TANF-VIEW'!T144&gt;0),"Yes","No")</f>
        <v>No</v>
      </c>
      <c r="I140" s="63">
        <f t="shared" si="25"/>
        <v>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0</v>
      </c>
      <c r="O140" s="6">
        <f t="shared" si="26"/>
        <v>0</v>
      </c>
      <c r="P140" s="312">
        <f t="shared" si="27"/>
        <v>281.25</v>
      </c>
      <c r="Q140" s="312">
        <f t="shared" si="28"/>
        <v>0</v>
      </c>
      <c r="R140" s="312">
        <f t="shared" si="31"/>
        <v>0</v>
      </c>
      <c r="S140" s="160">
        <f>IF(AND('Total income package'!$A$8=TRUE,OR(F140="Yes",G140="Yes",H140="Yes")),SUM(J140:N140)-R140,0)</f>
        <v>0</v>
      </c>
    </row>
    <row r="141" spans="1:19" x14ac:dyDescent="0.25">
      <c r="A141" s="6">
        <v>68000</v>
      </c>
      <c r="B141" s="7">
        <f t="shared" si="22"/>
        <v>5666.666666666667</v>
      </c>
      <c r="C141" s="7">
        <f>'Total income package'!$D$80</f>
        <v>0</v>
      </c>
      <c r="D141" s="7">
        <f t="shared" si="29"/>
        <v>5666.666666666667</v>
      </c>
      <c r="E141" s="65">
        <f t="shared" si="30"/>
        <v>3.1423290203327174</v>
      </c>
      <c r="F141" s="65" t="str">
        <f t="shared" si="23"/>
        <v>No</v>
      </c>
      <c r="G141" s="65" t="str">
        <f t="shared" si="24"/>
        <v>No</v>
      </c>
      <c r="H141" s="301" t="str">
        <f>IF(OR('TANF-VIEW'!L145&gt;0,'TANF-VIEW'!T145&gt;0),"Yes","No")</f>
        <v>No</v>
      </c>
      <c r="I141" s="63">
        <f t="shared" si="25"/>
        <v>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0</v>
      </c>
      <c r="O141" s="6">
        <f t="shared" si="26"/>
        <v>0</v>
      </c>
      <c r="P141" s="312">
        <f t="shared" si="27"/>
        <v>283.33333333333337</v>
      </c>
      <c r="Q141" s="312">
        <f t="shared" si="28"/>
        <v>0</v>
      </c>
      <c r="R141" s="312">
        <f t="shared" si="31"/>
        <v>0</v>
      </c>
      <c r="S141" s="160">
        <f>IF(AND('Total income package'!$A$8=TRUE,OR(F141="Yes",G141="Yes",H141="Yes")),SUM(J141:N141)-R141,0)</f>
        <v>0</v>
      </c>
    </row>
    <row r="142" spans="1:19" x14ac:dyDescent="0.25">
      <c r="A142" s="6">
        <v>68500</v>
      </c>
      <c r="B142" s="7">
        <f t="shared" si="22"/>
        <v>5708.333333333333</v>
      </c>
      <c r="C142" s="7">
        <f>'Total income package'!$D$80</f>
        <v>0</v>
      </c>
      <c r="D142" s="7">
        <f t="shared" si="29"/>
        <v>5708.333333333333</v>
      </c>
      <c r="E142" s="65">
        <f t="shared" si="30"/>
        <v>3.1654343807763401</v>
      </c>
      <c r="F142" s="65" t="str">
        <f t="shared" si="23"/>
        <v>No</v>
      </c>
      <c r="G142" s="65" t="str">
        <f t="shared" si="24"/>
        <v>No</v>
      </c>
      <c r="H142" s="301" t="str">
        <f>IF(OR('TANF-VIEW'!L146&gt;0,'TANF-VIEW'!T146&gt;0),"Yes","No")</f>
        <v>No</v>
      </c>
      <c r="I142" s="63">
        <f t="shared" si="25"/>
        <v>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0</v>
      </c>
      <c r="O142" s="6">
        <f t="shared" si="26"/>
        <v>0</v>
      </c>
      <c r="P142" s="312">
        <f t="shared" si="27"/>
        <v>285.41666666666669</v>
      </c>
      <c r="Q142" s="312">
        <f t="shared" si="28"/>
        <v>0</v>
      </c>
      <c r="R142" s="312">
        <f t="shared" si="31"/>
        <v>0</v>
      </c>
      <c r="S142" s="160">
        <f>IF(AND('Total income package'!$A$8=TRUE,OR(F142="Yes",G142="Yes",H142="Yes")),SUM(J142:N142)-R142,0)</f>
        <v>0</v>
      </c>
    </row>
    <row r="143" spans="1:19" x14ac:dyDescent="0.25">
      <c r="A143" s="6">
        <v>69000</v>
      </c>
      <c r="B143" s="7">
        <f t="shared" si="22"/>
        <v>5750</v>
      </c>
      <c r="C143" s="7">
        <f>'Total income package'!$D$80</f>
        <v>0</v>
      </c>
      <c r="D143" s="7">
        <f t="shared" si="29"/>
        <v>5750</v>
      </c>
      <c r="E143" s="65">
        <f t="shared" si="30"/>
        <v>3.1885397412199632</v>
      </c>
      <c r="F143" s="65" t="str">
        <f t="shared" si="23"/>
        <v>No</v>
      </c>
      <c r="G143" s="65" t="str">
        <f t="shared" si="24"/>
        <v>No</v>
      </c>
      <c r="H143" s="301" t="str">
        <f>IF(OR('TANF-VIEW'!L147&gt;0,'TANF-VIEW'!T147&gt;0),"Yes","No")</f>
        <v>No</v>
      </c>
      <c r="I143" s="63">
        <f t="shared" si="25"/>
        <v>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0</v>
      </c>
      <c r="O143" s="6">
        <f t="shared" si="26"/>
        <v>0</v>
      </c>
      <c r="P143" s="312">
        <f t="shared" si="27"/>
        <v>287.5</v>
      </c>
      <c r="Q143" s="312">
        <f t="shared" si="28"/>
        <v>0</v>
      </c>
      <c r="R143" s="312">
        <f t="shared" si="31"/>
        <v>0</v>
      </c>
      <c r="S143" s="160">
        <f>IF(AND('Total income package'!$A$8=TRUE,OR(F143="Yes",G143="Yes",H143="Yes")),SUM(J143:N143)-R143,0)</f>
        <v>0</v>
      </c>
    </row>
    <row r="144" spans="1:19" x14ac:dyDescent="0.25">
      <c r="A144" s="6">
        <v>69500</v>
      </c>
      <c r="B144" s="7">
        <f t="shared" si="22"/>
        <v>5791.666666666667</v>
      </c>
      <c r="C144" s="7">
        <f>'Total income package'!$D$80</f>
        <v>0</v>
      </c>
      <c r="D144" s="7">
        <f t="shared" si="29"/>
        <v>5791.666666666667</v>
      </c>
      <c r="E144" s="65">
        <f t="shared" si="30"/>
        <v>3.2116451016635863</v>
      </c>
      <c r="F144" s="65" t="str">
        <f t="shared" si="23"/>
        <v>No</v>
      </c>
      <c r="G144" s="65" t="str">
        <f t="shared" si="24"/>
        <v>No</v>
      </c>
      <c r="H144" s="301" t="str">
        <f>IF(OR('TANF-VIEW'!L148&gt;0,'TANF-VIEW'!T148&gt;0),"Yes","No")</f>
        <v>No</v>
      </c>
      <c r="I144" s="63">
        <f t="shared" si="25"/>
        <v>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0</v>
      </c>
      <c r="O144" s="6">
        <f t="shared" si="26"/>
        <v>0</v>
      </c>
      <c r="P144" s="312">
        <f t="shared" si="27"/>
        <v>289.58333333333337</v>
      </c>
      <c r="Q144" s="312">
        <f t="shared" si="28"/>
        <v>0</v>
      </c>
      <c r="R144" s="312">
        <f t="shared" si="31"/>
        <v>0</v>
      </c>
      <c r="S144" s="160">
        <f>IF(AND('Total income package'!$A$8=TRUE,OR(F144="Yes",G144="Yes",H144="Yes")),SUM(J144:N144)-R144,0)</f>
        <v>0</v>
      </c>
    </row>
    <row r="145" spans="1:19" x14ac:dyDescent="0.25">
      <c r="A145" s="6">
        <v>70000</v>
      </c>
      <c r="B145" s="7">
        <f t="shared" si="22"/>
        <v>5833.333333333333</v>
      </c>
      <c r="C145" s="7">
        <f>'Total income package'!$D$80</f>
        <v>0</v>
      </c>
      <c r="D145" s="7">
        <f t="shared" si="29"/>
        <v>5833.333333333333</v>
      </c>
      <c r="E145" s="65">
        <f t="shared" si="30"/>
        <v>3.234750462107209</v>
      </c>
      <c r="F145" s="65" t="str">
        <f t="shared" si="23"/>
        <v>No</v>
      </c>
      <c r="G145" s="65" t="str">
        <f t="shared" si="24"/>
        <v>No</v>
      </c>
      <c r="H145" s="301" t="str">
        <f>IF(OR('TANF-VIEW'!L149&gt;0,'TANF-VIEW'!T149&gt;0),"Yes","No")</f>
        <v>No</v>
      </c>
      <c r="I145" s="63">
        <f t="shared" si="25"/>
        <v>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0</v>
      </c>
      <c r="O145" s="6">
        <f t="shared" si="26"/>
        <v>0</v>
      </c>
      <c r="P145" s="312">
        <f t="shared" si="27"/>
        <v>291.66666666666669</v>
      </c>
      <c r="Q145" s="312">
        <f t="shared" si="28"/>
        <v>0</v>
      </c>
      <c r="R145" s="312">
        <f t="shared" si="31"/>
        <v>0</v>
      </c>
      <c r="S145" s="160">
        <f>IF(AND('Total income package'!$A$8=TRUE,OR(F145="Yes",G145="Yes",H145="Yes")),SUM(J145:N145)-R145,0)</f>
        <v>0</v>
      </c>
    </row>
    <row r="146" spans="1:19" x14ac:dyDescent="0.25">
      <c r="A146" s="6">
        <v>70500</v>
      </c>
      <c r="B146" s="7">
        <f t="shared" si="22"/>
        <v>5875</v>
      </c>
      <c r="C146" s="7">
        <f>'Total income package'!$D$80</f>
        <v>0</v>
      </c>
      <c r="D146" s="7">
        <f t="shared" si="29"/>
        <v>5875</v>
      </c>
      <c r="E146" s="65">
        <f t="shared" si="30"/>
        <v>3.2578558225508321</v>
      </c>
      <c r="F146" s="65" t="str">
        <f t="shared" si="23"/>
        <v>No</v>
      </c>
      <c r="G146" s="65" t="str">
        <f t="shared" si="24"/>
        <v>No</v>
      </c>
      <c r="H146" s="301" t="str">
        <f>IF(OR('TANF-VIEW'!L150&gt;0,'TANF-VIEW'!T150&gt;0),"Yes","No")</f>
        <v>No</v>
      </c>
      <c r="I146" s="63">
        <f t="shared" si="25"/>
        <v>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0</v>
      </c>
      <c r="O146" s="6">
        <f t="shared" si="26"/>
        <v>0</v>
      </c>
      <c r="P146" s="312">
        <f t="shared" si="27"/>
        <v>293.75</v>
      </c>
      <c r="Q146" s="312">
        <f t="shared" si="28"/>
        <v>0</v>
      </c>
      <c r="R146" s="312">
        <f t="shared" si="31"/>
        <v>0</v>
      </c>
      <c r="S146" s="160">
        <f>IF(AND('Total income package'!$A$8=TRUE,OR(F146="Yes",G146="Yes",H146="Yes")),SUM(J146:N146)-R146,0)</f>
        <v>0</v>
      </c>
    </row>
    <row r="147" spans="1:19" x14ac:dyDescent="0.25">
      <c r="A147" s="6">
        <v>71000</v>
      </c>
      <c r="B147" s="7">
        <f t="shared" si="22"/>
        <v>5916.666666666667</v>
      </c>
      <c r="C147" s="7">
        <f>'Total income package'!$D$80</f>
        <v>0</v>
      </c>
      <c r="D147" s="7">
        <f t="shared" si="29"/>
        <v>5916.666666666667</v>
      </c>
      <c r="E147" s="65">
        <f t="shared" si="30"/>
        <v>3.2809611829944552</v>
      </c>
      <c r="F147" s="65" t="str">
        <f t="shared" si="23"/>
        <v>No</v>
      </c>
      <c r="G147" s="65" t="str">
        <f t="shared" si="24"/>
        <v>No</v>
      </c>
      <c r="H147" s="301" t="str">
        <f>IF(OR('TANF-VIEW'!L151&gt;0,'TANF-VIEW'!T151&gt;0),"Yes","No")</f>
        <v>No</v>
      </c>
      <c r="I147" s="63">
        <f t="shared" si="25"/>
        <v>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0</v>
      </c>
      <c r="O147" s="6">
        <f t="shared" si="26"/>
        <v>0</v>
      </c>
      <c r="P147" s="312">
        <f t="shared" si="27"/>
        <v>295.83333333333337</v>
      </c>
      <c r="Q147" s="312">
        <f t="shared" si="28"/>
        <v>0</v>
      </c>
      <c r="R147" s="312">
        <f t="shared" si="31"/>
        <v>0</v>
      </c>
      <c r="S147" s="160">
        <f>IF(AND('Total income package'!$A$8=TRUE,OR(F147="Yes",G147="Yes",H147="Yes")),SUM(J147:N147)-R147,0)</f>
        <v>0</v>
      </c>
    </row>
    <row r="148" spans="1:19" x14ac:dyDescent="0.25">
      <c r="A148" s="6">
        <v>71500</v>
      </c>
      <c r="B148" s="7">
        <f t="shared" si="22"/>
        <v>5958.333333333333</v>
      </c>
      <c r="C148" s="7">
        <f>'Total income package'!$D$80</f>
        <v>0</v>
      </c>
      <c r="D148" s="7">
        <f t="shared" si="29"/>
        <v>5958.333333333333</v>
      </c>
      <c r="E148" s="65">
        <f t="shared" si="30"/>
        <v>3.3040665434380778</v>
      </c>
      <c r="F148" s="65" t="str">
        <f t="shared" si="23"/>
        <v>No</v>
      </c>
      <c r="G148" s="65" t="str">
        <f t="shared" si="24"/>
        <v>No</v>
      </c>
      <c r="H148" s="301" t="str">
        <f>IF(OR('TANF-VIEW'!L152&gt;0,'TANF-VIEW'!T152&gt;0),"Yes","No")</f>
        <v>No</v>
      </c>
      <c r="I148" s="63">
        <f t="shared" si="25"/>
        <v>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0</v>
      </c>
      <c r="O148" s="6">
        <f t="shared" si="26"/>
        <v>0</v>
      </c>
      <c r="P148" s="312">
        <f t="shared" si="27"/>
        <v>297.91666666666669</v>
      </c>
      <c r="Q148" s="312">
        <f t="shared" si="28"/>
        <v>0</v>
      </c>
      <c r="R148" s="312">
        <f t="shared" si="31"/>
        <v>0</v>
      </c>
      <c r="S148" s="160">
        <f>IF(AND('Total income package'!$A$8=TRUE,OR(F148="Yes",G148="Yes",H148="Yes")),SUM(J148:N148)-R148,0)</f>
        <v>0</v>
      </c>
    </row>
    <row r="149" spans="1:19" x14ac:dyDescent="0.25">
      <c r="A149" s="6">
        <v>72000</v>
      </c>
      <c r="B149" s="7">
        <f t="shared" si="22"/>
        <v>6000</v>
      </c>
      <c r="C149" s="7">
        <f>'Total income package'!$D$80</f>
        <v>0</v>
      </c>
      <c r="D149" s="7">
        <f t="shared" si="29"/>
        <v>6000</v>
      </c>
      <c r="E149" s="65">
        <f t="shared" si="30"/>
        <v>3.3271719038817005</v>
      </c>
      <c r="F149" s="65" t="str">
        <f t="shared" si="23"/>
        <v>No</v>
      </c>
      <c r="G149" s="65" t="str">
        <f t="shared" si="24"/>
        <v>No</v>
      </c>
      <c r="H149" s="301" t="str">
        <f>IF(OR('TANF-VIEW'!L153&gt;0,'TANF-VIEW'!T153&gt;0),"Yes","No")</f>
        <v>No</v>
      </c>
      <c r="I149" s="63">
        <f t="shared" si="25"/>
        <v>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0</v>
      </c>
      <c r="O149" s="6">
        <f t="shared" si="26"/>
        <v>0</v>
      </c>
      <c r="P149" s="312">
        <f t="shared" si="27"/>
        <v>300</v>
      </c>
      <c r="Q149" s="312">
        <f t="shared" si="28"/>
        <v>0</v>
      </c>
      <c r="R149" s="312">
        <f t="shared" si="31"/>
        <v>0</v>
      </c>
      <c r="S149" s="160">
        <f>IF(AND('Total income package'!$A$8=TRUE,OR(F149="Yes",G149="Yes",H149="Yes")),SUM(J149:N149)-R149,0)</f>
        <v>0</v>
      </c>
    </row>
    <row r="150" spans="1:19" x14ac:dyDescent="0.25">
      <c r="A150" s="6">
        <v>72500</v>
      </c>
      <c r="B150" s="7">
        <f t="shared" si="22"/>
        <v>6041.666666666667</v>
      </c>
      <c r="C150" s="7">
        <f>'Total income package'!$D$80</f>
        <v>0</v>
      </c>
      <c r="D150" s="7">
        <f t="shared" si="29"/>
        <v>6041.666666666667</v>
      </c>
      <c r="E150" s="65">
        <f t="shared" si="30"/>
        <v>3.3502772643253236</v>
      </c>
      <c r="F150" s="65" t="str">
        <f t="shared" si="23"/>
        <v>No</v>
      </c>
      <c r="G150" s="65" t="str">
        <f t="shared" si="24"/>
        <v>No</v>
      </c>
      <c r="H150" s="301" t="str">
        <f>IF(OR('TANF-VIEW'!L154&gt;0,'TANF-VIEW'!T154&gt;0),"Yes","No")</f>
        <v>No</v>
      </c>
      <c r="I150" s="63">
        <f t="shared" si="25"/>
        <v>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0</v>
      </c>
      <c r="O150" s="6">
        <f t="shared" si="26"/>
        <v>0</v>
      </c>
      <c r="P150" s="312">
        <f t="shared" si="27"/>
        <v>302.08333333333337</v>
      </c>
      <c r="Q150" s="312">
        <f t="shared" si="28"/>
        <v>0</v>
      </c>
      <c r="R150" s="312">
        <f t="shared" si="31"/>
        <v>0</v>
      </c>
      <c r="S150" s="160">
        <f>IF(AND('Total income package'!$A$8=TRUE,OR(F150="Yes",G150="Yes",H150="Yes")),SUM(J150:N150)-R150,0)</f>
        <v>0</v>
      </c>
    </row>
    <row r="151" spans="1:19" x14ac:dyDescent="0.25">
      <c r="A151" s="6">
        <v>73000</v>
      </c>
      <c r="B151" s="7">
        <f t="shared" si="22"/>
        <v>6083.333333333333</v>
      </c>
      <c r="C151" s="7">
        <f>'Total income package'!$D$80</f>
        <v>0</v>
      </c>
      <c r="D151" s="7">
        <f t="shared" si="29"/>
        <v>6083.333333333333</v>
      </c>
      <c r="E151" s="65">
        <f t="shared" si="30"/>
        <v>3.3733826247689462</v>
      </c>
      <c r="F151" s="65" t="str">
        <f t="shared" si="23"/>
        <v>No</v>
      </c>
      <c r="G151" s="65" t="str">
        <f t="shared" si="24"/>
        <v>No</v>
      </c>
      <c r="H151" s="301" t="str">
        <f>IF(OR('TANF-VIEW'!L155&gt;0,'TANF-VIEW'!T155&gt;0),"Yes","No")</f>
        <v>No</v>
      </c>
      <c r="I151" s="63">
        <f t="shared" si="25"/>
        <v>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0</v>
      </c>
      <c r="O151" s="6">
        <f t="shared" si="26"/>
        <v>0</v>
      </c>
      <c r="P151" s="312">
        <f t="shared" si="27"/>
        <v>304.16666666666669</v>
      </c>
      <c r="Q151" s="312">
        <f t="shared" si="28"/>
        <v>0</v>
      </c>
      <c r="R151" s="312">
        <f t="shared" si="31"/>
        <v>0</v>
      </c>
      <c r="S151" s="160">
        <f>IF(AND('Total income package'!$A$8=TRUE,OR(F151="Yes",G151="Yes",H151="Yes")),SUM(J151:N151)-R151,0)</f>
        <v>0</v>
      </c>
    </row>
    <row r="152" spans="1:19" x14ac:dyDescent="0.25">
      <c r="A152" s="6">
        <v>73500</v>
      </c>
      <c r="B152" s="7">
        <f t="shared" si="22"/>
        <v>6125</v>
      </c>
      <c r="C152" s="7">
        <f>'Total income package'!$D$80</f>
        <v>0</v>
      </c>
      <c r="D152" s="7">
        <f t="shared" si="29"/>
        <v>6125</v>
      </c>
      <c r="E152" s="65">
        <f t="shared" si="30"/>
        <v>3.3964879852125693</v>
      </c>
      <c r="F152" s="65" t="str">
        <f t="shared" si="23"/>
        <v>No</v>
      </c>
      <c r="G152" s="65" t="str">
        <f t="shared" si="24"/>
        <v>No</v>
      </c>
      <c r="H152" s="301" t="str">
        <f>IF(OR('TANF-VIEW'!L156&gt;0,'TANF-VIEW'!T156&gt;0),"Yes","No")</f>
        <v>No</v>
      </c>
      <c r="I152" s="63">
        <f t="shared" si="25"/>
        <v>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0</v>
      </c>
      <c r="O152" s="6">
        <f t="shared" si="26"/>
        <v>0</v>
      </c>
      <c r="P152" s="312">
        <f t="shared" si="27"/>
        <v>306.25</v>
      </c>
      <c r="Q152" s="312">
        <f t="shared" si="28"/>
        <v>0</v>
      </c>
      <c r="R152" s="312">
        <f t="shared" si="31"/>
        <v>0</v>
      </c>
      <c r="S152" s="160">
        <f>IF(AND('Total income package'!$A$8=TRUE,OR(F152="Yes",G152="Yes",H152="Yes")),SUM(J152:N152)-R152,0)</f>
        <v>0</v>
      </c>
    </row>
    <row r="153" spans="1:19" x14ac:dyDescent="0.25">
      <c r="A153" s="6">
        <v>74000</v>
      </c>
      <c r="B153" s="7">
        <f t="shared" si="22"/>
        <v>6166.666666666667</v>
      </c>
      <c r="C153" s="7">
        <f>'Total income package'!$D$80</f>
        <v>0</v>
      </c>
      <c r="D153" s="7">
        <f t="shared" si="29"/>
        <v>6166.666666666667</v>
      </c>
      <c r="E153" s="65">
        <f t="shared" si="30"/>
        <v>3.4195933456561924</v>
      </c>
      <c r="F153" s="65" t="str">
        <f t="shared" si="23"/>
        <v>No</v>
      </c>
      <c r="G153" s="65" t="str">
        <f t="shared" si="24"/>
        <v>No</v>
      </c>
      <c r="H153" s="301" t="str">
        <f>IF(OR('TANF-VIEW'!L157&gt;0,'TANF-VIEW'!T157&gt;0),"Yes","No")</f>
        <v>No</v>
      </c>
      <c r="I153" s="63">
        <f t="shared" si="25"/>
        <v>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0</v>
      </c>
      <c r="O153" s="6">
        <f t="shared" si="26"/>
        <v>0</v>
      </c>
      <c r="P153" s="312">
        <f t="shared" si="27"/>
        <v>308.33333333333337</v>
      </c>
      <c r="Q153" s="312">
        <f t="shared" si="28"/>
        <v>0</v>
      </c>
      <c r="R153" s="312">
        <f t="shared" si="31"/>
        <v>0</v>
      </c>
      <c r="S153" s="160">
        <f>IF(AND('Total income package'!$A$8=TRUE,OR(F153="Yes",G153="Yes",H153="Yes")),SUM(J153:N153)-R153,0)</f>
        <v>0</v>
      </c>
    </row>
    <row r="154" spans="1:19" x14ac:dyDescent="0.25">
      <c r="A154" s="6">
        <v>74500</v>
      </c>
      <c r="B154" s="7">
        <f t="shared" si="22"/>
        <v>6208.333333333333</v>
      </c>
      <c r="C154" s="7">
        <f>'Total income package'!$D$80</f>
        <v>0</v>
      </c>
      <c r="D154" s="7">
        <f t="shared" si="29"/>
        <v>6208.333333333333</v>
      </c>
      <c r="E154" s="65">
        <f t="shared" si="30"/>
        <v>3.4426987060998151</v>
      </c>
      <c r="F154" s="65" t="str">
        <f t="shared" si="23"/>
        <v>No</v>
      </c>
      <c r="G154" s="65" t="str">
        <f t="shared" si="24"/>
        <v>No</v>
      </c>
      <c r="H154" s="301" t="str">
        <f>IF(OR('TANF-VIEW'!L158&gt;0,'TANF-VIEW'!T158&gt;0),"Yes","No")</f>
        <v>No</v>
      </c>
      <c r="I154" s="63">
        <f t="shared" si="25"/>
        <v>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0</v>
      </c>
      <c r="O154" s="6">
        <f t="shared" si="26"/>
        <v>0</v>
      </c>
      <c r="P154" s="312">
        <f t="shared" si="27"/>
        <v>310.41666666666669</v>
      </c>
      <c r="Q154" s="312">
        <f t="shared" si="28"/>
        <v>0</v>
      </c>
      <c r="R154" s="312">
        <f t="shared" si="31"/>
        <v>0</v>
      </c>
      <c r="S154" s="160">
        <f>IF(AND('Total income package'!$A$8=TRUE,OR(F154="Yes",G154="Yes",H154="Yes")),SUM(J154:N154)-R154,0)</f>
        <v>0</v>
      </c>
    </row>
    <row r="155" spans="1:19" x14ac:dyDescent="0.25">
      <c r="A155" s="6">
        <v>75000</v>
      </c>
      <c r="B155" s="7">
        <f t="shared" si="22"/>
        <v>6250</v>
      </c>
      <c r="C155" s="7">
        <f>'Total income package'!$D$80</f>
        <v>0</v>
      </c>
      <c r="D155" s="7">
        <f t="shared" si="29"/>
        <v>6250</v>
      </c>
      <c r="E155" s="65">
        <f t="shared" si="30"/>
        <v>3.4658040665434382</v>
      </c>
      <c r="F155" s="65" t="str">
        <f t="shared" si="23"/>
        <v>No</v>
      </c>
      <c r="G155" s="65" t="str">
        <f t="shared" si="24"/>
        <v>No</v>
      </c>
      <c r="H155" s="301" t="str">
        <f>IF(OR('TANF-VIEW'!L159&gt;0,'TANF-VIEW'!T159&gt;0),"Yes","No")</f>
        <v>No</v>
      </c>
      <c r="I155" s="63">
        <f t="shared" si="25"/>
        <v>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0</v>
      </c>
      <c r="O155" s="6">
        <f t="shared" si="26"/>
        <v>0</v>
      </c>
      <c r="P155" s="312">
        <f t="shared" si="27"/>
        <v>312.5</v>
      </c>
      <c r="Q155" s="312">
        <f t="shared" si="28"/>
        <v>0</v>
      </c>
      <c r="R155" s="312">
        <f t="shared" si="31"/>
        <v>0</v>
      </c>
      <c r="S155" s="160">
        <f>IF(AND('Total income package'!$A$8=TRUE,OR(F155="Yes",G155="Yes",H155="Yes")),SUM(J155:N155)-R155,0)</f>
        <v>0</v>
      </c>
    </row>
    <row r="156" spans="1:19" x14ac:dyDescent="0.25">
      <c r="A156" s="6">
        <v>75500</v>
      </c>
      <c r="B156" s="7">
        <f t="shared" si="22"/>
        <v>6291.666666666667</v>
      </c>
      <c r="C156" s="7">
        <f>'Total income package'!$D$80</f>
        <v>0</v>
      </c>
      <c r="D156" s="7">
        <f t="shared" si="29"/>
        <v>6291.666666666667</v>
      </c>
      <c r="E156" s="65">
        <f t="shared" si="30"/>
        <v>3.4889094269870613</v>
      </c>
      <c r="F156" s="65" t="str">
        <f t="shared" si="23"/>
        <v>No</v>
      </c>
      <c r="G156" s="65" t="str">
        <f t="shared" si="24"/>
        <v>No</v>
      </c>
      <c r="H156" s="301" t="str">
        <f>IF(OR('TANF-VIEW'!L160&gt;0,'TANF-VIEW'!T160&gt;0),"Yes","No")</f>
        <v>No</v>
      </c>
      <c r="I156" s="63">
        <f t="shared" si="25"/>
        <v>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0</v>
      </c>
      <c r="O156" s="6">
        <f t="shared" si="26"/>
        <v>0</v>
      </c>
      <c r="P156" s="312">
        <f t="shared" si="27"/>
        <v>314.58333333333337</v>
      </c>
      <c r="Q156" s="312">
        <f t="shared" si="28"/>
        <v>0</v>
      </c>
      <c r="R156" s="312">
        <f t="shared" si="31"/>
        <v>0</v>
      </c>
      <c r="S156" s="160">
        <f>IF(AND('Total income package'!$A$8=TRUE,OR(F156="Yes",G156="Yes",H156="Yes")),SUM(J156:N156)-R156,0)</f>
        <v>0</v>
      </c>
    </row>
    <row r="157" spans="1:19" x14ac:dyDescent="0.25">
      <c r="A157" s="6">
        <v>76000</v>
      </c>
      <c r="B157" s="7">
        <f t="shared" si="22"/>
        <v>6333.333333333333</v>
      </c>
      <c r="C157" s="7">
        <f>'Total income package'!$D$80</f>
        <v>0</v>
      </c>
      <c r="D157" s="7">
        <f t="shared" si="29"/>
        <v>6333.333333333333</v>
      </c>
      <c r="E157" s="65">
        <f t="shared" si="30"/>
        <v>3.512014787430684</v>
      </c>
      <c r="F157" s="65" t="str">
        <f t="shared" si="23"/>
        <v>No</v>
      </c>
      <c r="G157" s="65" t="str">
        <f t="shared" si="24"/>
        <v>No</v>
      </c>
      <c r="H157" s="301" t="str">
        <f>IF(OR('TANF-VIEW'!L161&gt;0,'TANF-VIEW'!T161&gt;0),"Yes","No")</f>
        <v>No</v>
      </c>
      <c r="I157" s="63">
        <f t="shared" si="25"/>
        <v>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0</v>
      </c>
      <c r="O157" s="6">
        <f t="shared" si="26"/>
        <v>0</v>
      </c>
      <c r="P157" s="312">
        <f t="shared" si="27"/>
        <v>316.66666666666669</v>
      </c>
      <c r="Q157" s="312">
        <f t="shared" si="28"/>
        <v>0</v>
      </c>
      <c r="R157" s="312">
        <f t="shared" si="31"/>
        <v>0</v>
      </c>
      <c r="S157" s="160">
        <f>IF(AND('Total income package'!$A$8=TRUE,OR(F157="Yes",G157="Yes",H157="Yes")),SUM(J157:N157)-R157,0)</f>
        <v>0</v>
      </c>
    </row>
    <row r="158" spans="1:19" x14ac:dyDescent="0.25">
      <c r="A158" s="6">
        <v>76500</v>
      </c>
      <c r="B158" s="7">
        <f t="shared" si="22"/>
        <v>6375</v>
      </c>
      <c r="C158" s="7">
        <f>'Total income package'!$D$80</f>
        <v>0</v>
      </c>
      <c r="D158" s="7">
        <f t="shared" si="29"/>
        <v>6375</v>
      </c>
      <c r="E158" s="65">
        <f t="shared" si="30"/>
        <v>3.5351201478743071</v>
      </c>
      <c r="F158" s="65" t="str">
        <f t="shared" si="23"/>
        <v>No</v>
      </c>
      <c r="G158" s="65" t="str">
        <f t="shared" si="24"/>
        <v>No</v>
      </c>
      <c r="H158" s="301" t="str">
        <f>IF(OR('TANF-VIEW'!L162&gt;0,'TANF-VIEW'!T162&gt;0),"Yes","No")</f>
        <v>No</v>
      </c>
      <c r="I158" s="63">
        <f t="shared" si="25"/>
        <v>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0</v>
      </c>
      <c r="O158" s="6">
        <f t="shared" si="26"/>
        <v>0</v>
      </c>
      <c r="P158" s="312">
        <f t="shared" si="27"/>
        <v>318.75</v>
      </c>
      <c r="Q158" s="312">
        <f t="shared" si="28"/>
        <v>0</v>
      </c>
      <c r="R158" s="312">
        <f t="shared" si="31"/>
        <v>0</v>
      </c>
      <c r="S158" s="160">
        <f>IF(AND('Total income package'!$A$8=TRUE,OR(F158="Yes",G158="Yes",H158="Yes")),SUM(J158:N158)-R158,0)</f>
        <v>0</v>
      </c>
    </row>
    <row r="159" spans="1:19" x14ac:dyDescent="0.25">
      <c r="A159" s="6">
        <v>77000</v>
      </c>
      <c r="B159" s="7">
        <f t="shared" si="22"/>
        <v>6416.666666666667</v>
      </c>
      <c r="C159" s="7">
        <f>'Total income package'!$D$80</f>
        <v>0</v>
      </c>
      <c r="D159" s="7">
        <f t="shared" si="29"/>
        <v>6416.666666666667</v>
      </c>
      <c r="E159" s="65">
        <f t="shared" si="30"/>
        <v>3.5582255083179302</v>
      </c>
      <c r="F159" s="65" t="str">
        <f t="shared" si="23"/>
        <v>No</v>
      </c>
      <c r="G159" s="65" t="str">
        <f t="shared" si="24"/>
        <v>No</v>
      </c>
      <c r="H159" s="301" t="str">
        <f>IF(OR('TANF-VIEW'!L163&gt;0,'TANF-VIEW'!T163&gt;0),"Yes","No")</f>
        <v>No</v>
      </c>
      <c r="I159" s="63">
        <f t="shared" si="25"/>
        <v>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0</v>
      </c>
      <c r="O159" s="6">
        <f t="shared" si="26"/>
        <v>0</v>
      </c>
      <c r="P159" s="312">
        <f t="shared" si="27"/>
        <v>320.83333333333337</v>
      </c>
      <c r="Q159" s="312">
        <f t="shared" si="28"/>
        <v>0</v>
      </c>
      <c r="R159" s="312">
        <f t="shared" si="31"/>
        <v>0</v>
      </c>
      <c r="S159" s="160">
        <f>IF(AND('Total income package'!$A$8=TRUE,OR(F159="Yes",G159="Yes",H159="Yes")),SUM(J159:N159)-R159,0)</f>
        <v>0</v>
      </c>
    </row>
    <row r="160" spans="1:19" x14ac:dyDescent="0.25">
      <c r="A160" s="6">
        <v>77500</v>
      </c>
      <c r="B160" s="7">
        <f t="shared" si="22"/>
        <v>6458.333333333333</v>
      </c>
      <c r="C160" s="7">
        <f>'Total income package'!$D$80</f>
        <v>0</v>
      </c>
      <c r="D160" s="7">
        <f t="shared" si="29"/>
        <v>6458.333333333333</v>
      </c>
      <c r="E160" s="65">
        <f t="shared" si="30"/>
        <v>3.5813308687615528</v>
      </c>
      <c r="F160" s="65" t="str">
        <f t="shared" si="23"/>
        <v>No</v>
      </c>
      <c r="G160" s="65" t="str">
        <f t="shared" si="24"/>
        <v>No</v>
      </c>
      <c r="H160" s="301" t="str">
        <f>IF(OR('TANF-VIEW'!L164&gt;0,'TANF-VIEW'!T164&gt;0),"Yes","No")</f>
        <v>No</v>
      </c>
      <c r="I160" s="63">
        <f t="shared" si="25"/>
        <v>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0</v>
      </c>
      <c r="O160" s="6">
        <f t="shared" si="26"/>
        <v>0</v>
      </c>
      <c r="P160" s="312">
        <f t="shared" si="27"/>
        <v>322.91666666666669</v>
      </c>
      <c r="Q160" s="312">
        <f t="shared" si="28"/>
        <v>0</v>
      </c>
      <c r="R160" s="312">
        <f t="shared" si="31"/>
        <v>0</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3.6044362292051759</v>
      </c>
      <c r="F161" s="65" t="str">
        <f t="shared" si="23"/>
        <v>No</v>
      </c>
      <c r="G161" s="65" t="str">
        <f t="shared" si="24"/>
        <v>No</v>
      </c>
      <c r="H161" s="301" t="str">
        <f>IF(OR('TANF-VIEW'!L165&gt;0,'TANF-VIEW'!T165&gt;0),"Yes","No")</f>
        <v>No</v>
      </c>
      <c r="I161" s="63">
        <f t="shared" si="25"/>
        <v>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0</v>
      </c>
      <c r="O161" s="6">
        <f t="shared" si="26"/>
        <v>0</v>
      </c>
      <c r="P161" s="312">
        <f t="shared" si="27"/>
        <v>325</v>
      </c>
      <c r="Q161" s="312">
        <f t="shared" si="28"/>
        <v>0</v>
      </c>
      <c r="R161" s="312">
        <f t="shared" si="31"/>
        <v>0</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3.627541589648799</v>
      </c>
      <c r="F162" s="65" t="str">
        <f t="shared" si="23"/>
        <v>No</v>
      </c>
      <c r="G162" s="65" t="str">
        <f t="shared" si="24"/>
        <v>No</v>
      </c>
      <c r="H162" s="301" t="str">
        <f>IF(OR('TANF-VIEW'!L166&gt;0,'TANF-VIEW'!T166&gt;0),"Yes","No")</f>
        <v>No</v>
      </c>
      <c r="I162" s="63">
        <f t="shared" si="25"/>
        <v>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0</v>
      </c>
      <c r="O162" s="6">
        <f t="shared" si="26"/>
        <v>0</v>
      </c>
      <c r="P162" s="312">
        <f t="shared" si="27"/>
        <v>327.08333333333337</v>
      </c>
      <c r="Q162" s="312">
        <f t="shared" si="28"/>
        <v>0</v>
      </c>
      <c r="R162" s="312">
        <f t="shared" si="31"/>
        <v>0</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3.6506469500924212</v>
      </c>
      <c r="F163" s="65" t="str">
        <f t="shared" si="23"/>
        <v>No</v>
      </c>
      <c r="G163" s="65" t="str">
        <f t="shared" si="24"/>
        <v>No</v>
      </c>
      <c r="H163" s="301" t="str">
        <f>IF(OR('TANF-VIEW'!L167&gt;0,'TANF-VIEW'!T167&gt;0),"Yes","No")</f>
        <v>No</v>
      </c>
      <c r="I163" s="63">
        <f t="shared" si="25"/>
        <v>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0</v>
      </c>
      <c r="O163" s="6">
        <f t="shared" si="26"/>
        <v>0</v>
      </c>
      <c r="P163" s="312">
        <f t="shared" si="27"/>
        <v>329.16666666666669</v>
      </c>
      <c r="Q163" s="312">
        <f t="shared" si="28"/>
        <v>0</v>
      </c>
      <c r="R163" s="312">
        <f t="shared" si="31"/>
        <v>0</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3.6737523105360443</v>
      </c>
      <c r="F164" s="65" t="str">
        <f t="shared" si="23"/>
        <v>No</v>
      </c>
      <c r="G164" s="65" t="str">
        <f t="shared" si="24"/>
        <v>No</v>
      </c>
      <c r="H164" s="301" t="str">
        <f>IF(OR('TANF-VIEW'!L168&gt;0,'TANF-VIEW'!T168&gt;0),"Yes","No")</f>
        <v>No</v>
      </c>
      <c r="I164" s="63">
        <f t="shared" si="25"/>
        <v>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0</v>
      </c>
      <c r="O164" s="6">
        <f t="shared" si="26"/>
        <v>0</v>
      </c>
      <c r="P164" s="312">
        <f t="shared" si="27"/>
        <v>331.25</v>
      </c>
      <c r="Q164" s="312">
        <f t="shared" si="28"/>
        <v>0</v>
      </c>
      <c r="R164" s="312">
        <f t="shared" si="31"/>
        <v>0</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3.6968576709796674</v>
      </c>
      <c r="F165" s="65" t="str">
        <f t="shared" si="23"/>
        <v>No</v>
      </c>
      <c r="G165" s="65" t="str">
        <f t="shared" si="24"/>
        <v>No</v>
      </c>
      <c r="H165" s="301" t="str">
        <f>IF(OR('TANF-VIEW'!L169&gt;0,'TANF-VIEW'!T169&gt;0),"Yes","No")</f>
        <v>No</v>
      </c>
      <c r="I165" s="63">
        <f t="shared" si="25"/>
        <v>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0</v>
      </c>
      <c r="O165" s="6">
        <f t="shared" si="26"/>
        <v>0</v>
      </c>
      <c r="P165" s="312">
        <f t="shared" ref="P165:P196" si="32">B165*0.05</f>
        <v>333.33333333333337</v>
      </c>
      <c r="Q165" s="312">
        <f t="shared" si="28"/>
        <v>0</v>
      </c>
      <c r="R165" s="312">
        <f t="shared" si="31"/>
        <v>0</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3.7199630314232901</v>
      </c>
      <c r="F166" s="65" t="str">
        <f t="shared" si="23"/>
        <v>No</v>
      </c>
      <c r="G166" s="65" t="str">
        <f t="shared" si="24"/>
        <v>No</v>
      </c>
      <c r="H166" s="301" t="str">
        <f>IF(OR('TANF-VIEW'!L170&gt;0,'TANF-VIEW'!T170&gt;0),"Yes","No")</f>
        <v>No</v>
      </c>
      <c r="I166" s="63">
        <f t="shared" si="25"/>
        <v>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0</v>
      </c>
      <c r="O166" s="6">
        <f t="shared" si="26"/>
        <v>0</v>
      </c>
      <c r="P166" s="312">
        <f t="shared" si="32"/>
        <v>335.41666666666669</v>
      </c>
      <c r="Q166" s="312">
        <f t="shared" si="28"/>
        <v>0</v>
      </c>
      <c r="R166" s="312">
        <f t="shared" si="31"/>
        <v>0</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3.7430683918669132</v>
      </c>
      <c r="F167" s="65" t="str">
        <f t="shared" si="23"/>
        <v>No</v>
      </c>
      <c r="G167" s="65" t="str">
        <f t="shared" si="24"/>
        <v>No</v>
      </c>
      <c r="H167" s="301" t="str">
        <f>IF(OR('TANF-VIEW'!L171&gt;0,'TANF-VIEW'!T171&gt;0),"Yes","No")</f>
        <v>No</v>
      </c>
      <c r="I167" s="63">
        <f t="shared" si="25"/>
        <v>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0</v>
      </c>
      <c r="O167" s="6">
        <f t="shared" si="26"/>
        <v>0</v>
      </c>
      <c r="P167" s="312">
        <f t="shared" si="32"/>
        <v>337.5</v>
      </c>
      <c r="Q167" s="312">
        <f t="shared" si="28"/>
        <v>0</v>
      </c>
      <c r="R167" s="312">
        <f t="shared" si="31"/>
        <v>0</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3.7661737523105363</v>
      </c>
      <c r="F168" s="65" t="str">
        <f t="shared" si="23"/>
        <v>No</v>
      </c>
      <c r="G168" s="65" t="str">
        <f t="shared" si="24"/>
        <v>No</v>
      </c>
      <c r="H168" s="301" t="str">
        <f>IF(OR('TANF-VIEW'!L172&gt;0,'TANF-VIEW'!T172&gt;0),"Yes","No")</f>
        <v>No</v>
      </c>
      <c r="I168" s="63">
        <f t="shared" si="25"/>
        <v>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0</v>
      </c>
      <c r="O168" s="6">
        <f t="shared" si="26"/>
        <v>0</v>
      </c>
      <c r="P168" s="312">
        <f t="shared" si="32"/>
        <v>339.58333333333337</v>
      </c>
      <c r="Q168" s="312">
        <f t="shared" si="28"/>
        <v>0</v>
      </c>
      <c r="R168" s="312">
        <f t="shared" si="31"/>
        <v>0</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3.789279112754159</v>
      </c>
      <c r="F169" s="65" t="str">
        <f t="shared" si="23"/>
        <v>No</v>
      </c>
      <c r="G169" s="65" t="str">
        <f t="shared" si="24"/>
        <v>No</v>
      </c>
      <c r="H169" s="301" t="str">
        <f>IF(OR('TANF-VIEW'!L173&gt;0,'TANF-VIEW'!T173&gt;0),"Yes","No")</f>
        <v>No</v>
      </c>
      <c r="I169" s="63">
        <f t="shared" si="25"/>
        <v>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0</v>
      </c>
      <c r="O169" s="6">
        <f t="shared" si="26"/>
        <v>0</v>
      </c>
      <c r="P169" s="312">
        <f t="shared" si="32"/>
        <v>341.66666666666669</v>
      </c>
      <c r="Q169" s="312">
        <f t="shared" si="28"/>
        <v>0</v>
      </c>
      <c r="R169" s="312">
        <f t="shared" si="31"/>
        <v>0</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3.8123844731977821</v>
      </c>
      <c r="F170" s="65" t="str">
        <f t="shared" si="23"/>
        <v>No</v>
      </c>
      <c r="G170" s="65" t="str">
        <f t="shared" si="24"/>
        <v>No</v>
      </c>
      <c r="H170" s="301" t="str">
        <f>IF(OR('TANF-VIEW'!L174&gt;0,'TANF-VIEW'!T174&gt;0),"Yes","No")</f>
        <v>No</v>
      </c>
      <c r="I170" s="63">
        <f t="shared" si="25"/>
        <v>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0</v>
      </c>
      <c r="O170" s="6">
        <f t="shared" si="26"/>
        <v>0</v>
      </c>
      <c r="P170" s="312">
        <f t="shared" si="32"/>
        <v>343.75</v>
      </c>
      <c r="Q170" s="312">
        <f t="shared" si="28"/>
        <v>0</v>
      </c>
      <c r="R170" s="312">
        <f t="shared" si="31"/>
        <v>0</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3.8354898336414052</v>
      </c>
      <c r="F171" s="65" t="str">
        <f t="shared" si="23"/>
        <v>No</v>
      </c>
      <c r="G171" s="65" t="str">
        <f t="shared" si="24"/>
        <v>No</v>
      </c>
      <c r="H171" s="301" t="str">
        <f>IF(OR('TANF-VIEW'!L175&gt;0,'TANF-VIEW'!T175&gt;0),"Yes","No")</f>
        <v>No</v>
      </c>
      <c r="I171" s="63">
        <f t="shared" si="25"/>
        <v>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0</v>
      </c>
      <c r="O171" s="6">
        <f t="shared" si="26"/>
        <v>0</v>
      </c>
      <c r="P171" s="312">
        <f t="shared" si="32"/>
        <v>345.83333333333337</v>
      </c>
      <c r="Q171" s="312">
        <f t="shared" si="28"/>
        <v>0</v>
      </c>
      <c r="R171" s="312">
        <f t="shared" si="31"/>
        <v>0</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3.8585951940850278</v>
      </c>
      <c r="F172" s="65" t="str">
        <f t="shared" si="23"/>
        <v>No</v>
      </c>
      <c r="G172" s="65" t="str">
        <f t="shared" si="24"/>
        <v>No</v>
      </c>
      <c r="H172" s="301" t="str">
        <f>IF(OR('TANF-VIEW'!L176&gt;0,'TANF-VIEW'!T176&gt;0),"Yes","No")</f>
        <v>No</v>
      </c>
      <c r="I172" s="63">
        <f t="shared" si="25"/>
        <v>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0</v>
      </c>
      <c r="O172" s="6">
        <f t="shared" si="26"/>
        <v>0</v>
      </c>
      <c r="P172" s="312">
        <f t="shared" si="32"/>
        <v>347.91666666666669</v>
      </c>
      <c r="Q172" s="312">
        <f t="shared" si="28"/>
        <v>0</v>
      </c>
      <c r="R172" s="312">
        <f t="shared" si="31"/>
        <v>0</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3.8817005545286509</v>
      </c>
      <c r="F173" s="65" t="str">
        <f t="shared" si="23"/>
        <v>No</v>
      </c>
      <c r="G173" s="65" t="str">
        <f t="shared" si="24"/>
        <v>No</v>
      </c>
      <c r="H173" s="301" t="str">
        <f>IF(OR('TANF-VIEW'!L177&gt;0,'TANF-VIEW'!T177&gt;0),"Yes","No")</f>
        <v>No</v>
      </c>
      <c r="I173" s="63">
        <f t="shared" si="25"/>
        <v>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0</v>
      </c>
      <c r="O173" s="6">
        <f t="shared" si="26"/>
        <v>0</v>
      </c>
      <c r="P173" s="312">
        <f t="shared" si="32"/>
        <v>350</v>
      </c>
      <c r="Q173" s="312">
        <f t="shared" si="28"/>
        <v>0</v>
      </c>
      <c r="R173" s="312">
        <f t="shared" si="31"/>
        <v>0</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3.904805914972274</v>
      </c>
      <c r="F174" s="65" t="str">
        <f t="shared" si="23"/>
        <v>No</v>
      </c>
      <c r="G174" s="65" t="str">
        <f t="shared" si="24"/>
        <v>No</v>
      </c>
      <c r="H174" s="301" t="str">
        <f>IF(OR('TANF-VIEW'!L178&gt;0,'TANF-VIEW'!T178&gt;0),"Yes","No")</f>
        <v>No</v>
      </c>
      <c r="I174" s="63">
        <f t="shared" si="25"/>
        <v>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0</v>
      </c>
      <c r="O174" s="6">
        <f t="shared" si="26"/>
        <v>0</v>
      </c>
      <c r="P174" s="312">
        <f t="shared" si="32"/>
        <v>352.08333333333337</v>
      </c>
      <c r="Q174" s="312">
        <f t="shared" si="28"/>
        <v>0</v>
      </c>
      <c r="R174" s="312">
        <f t="shared" si="31"/>
        <v>0</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3.9279112754158967</v>
      </c>
      <c r="F175" s="65" t="str">
        <f t="shared" si="23"/>
        <v>No</v>
      </c>
      <c r="G175" s="65" t="str">
        <f t="shared" si="24"/>
        <v>No</v>
      </c>
      <c r="H175" s="301" t="str">
        <f>IF(OR('TANF-VIEW'!L179&gt;0,'TANF-VIEW'!T179&gt;0),"Yes","No")</f>
        <v>No</v>
      </c>
      <c r="I175" s="63">
        <f t="shared" si="25"/>
        <v>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0</v>
      </c>
      <c r="O175" s="6">
        <f t="shared" si="26"/>
        <v>0</v>
      </c>
      <c r="P175" s="312">
        <f t="shared" si="32"/>
        <v>354.16666666666669</v>
      </c>
      <c r="Q175" s="312">
        <f t="shared" si="28"/>
        <v>0</v>
      </c>
      <c r="R175" s="312">
        <f t="shared" si="31"/>
        <v>0</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3.9510166358595198</v>
      </c>
      <c r="F176" s="65" t="str">
        <f t="shared" si="23"/>
        <v>No</v>
      </c>
      <c r="G176" s="65" t="str">
        <f t="shared" si="24"/>
        <v>No</v>
      </c>
      <c r="H176" s="301" t="str">
        <f>IF(OR('TANF-VIEW'!L180&gt;0,'TANF-VIEW'!T180&gt;0),"Yes","No")</f>
        <v>No</v>
      </c>
      <c r="I176" s="63">
        <f t="shared" si="25"/>
        <v>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0</v>
      </c>
      <c r="O176" s="6">
        <f t="shared" si="26"/>
        <v>0</v>
      </c>
      <c r="P176" s="312">
        <f t="shared" si="32"/>
        <v>356.25</v>
      </c>
      <c r="Q176" s="312">
        <f t="shared" si="28"/>
        <v>0</v>
      </c>
      <c r="R176" s="312">
        <f t="shared" si="31"/>
        <v>0</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3.9741219963031424</v>
      </c>
      <c r="F177" s="65" t="str">
        <f t="shared" si="23"/>
        <v>No</v>
      </c>
      <c r="G177" s="65" t="str">
        <f t="shared" si="24"/>
        <v>No</v>
      </c>
      <c r="H177" s="301" t="str">
        <f>IF(OR('TANF-VIEW'!L181&gt;0,'TANF-VIEW'!T181&gt;0),"Yes","No")</f>
        <v>No</v>
      </c>
      <c r="I177" s="63">
        <f t="shared" si="25"/>
        <v>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0</v>
      </c>
      <c r="O177" s="6">
        <f t="shared" si="26"/>
        <v>0</v>
      </c>
      <c r="P177" s="312">
        <f t="shared" si="32"/>
        <v>358.33333333333337</v>
      </c>
      <c r="Q177" s="312">
        <f t="shared" si="28"/>
        <v>0</v>
      </c>
      <c r="R177" s="312">
        <f t="shared" si="31"/>
        <v>0</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3.9972273567467651</v>
      </c>
      <c r="F178" s="65" t="str">
        <f t="shared" si="23"/>
        <v>No</v>
      </c>
      <c r="G178" s="65" t="str">
        <f t="shared" si="24"/>
        <v>No</v>
      </c>
      <c r="H178" s="301" t="str">
        <f>IF(OR('TANF-VIEW'!L182&gt;0,'TANF-VIEW'!T182&gt;0),"Yes","No")</f>
        <v>No</v>
      </c>
      <c r="I178" s="63">
        <f t="shared" si="25"/>
        <v>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0</v>
      </c>
      <c r="O178" s="6">
        <f t="shared" si="26"/>
        <v>0</v>
      </c>
      <c r="P178" s="312">
        <f t="shared" si="32"/>
        <v>360.41666666666669</v>
      </c>
      <c r="Q178" s="312">
        <f t="shared" si="28"/>
        <v>0</v>
      </c>
      <c r="R178" s="312">
        <f t="shared" si="31"/>
        <v>0</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4.0203327171903886</v>
      </c>
      <c r="F179" s="65" t="str">
        <f t="shared" si="23"/>
        <v>No</v>
      </c>
      <c r="G179" s="65" t="str">
        <f t="shared" si="24"/>
        <v>No</v>
      </c>
      <c r="H179" s="301" t="str">
        <f>IF(OR('TANF-VIEW'!L183&gt;0,'TANF-VIEW'!T183&gt;0),"Yes","No")</f>
        <v>No</v>
      </c>
      <c r="I179" s="63">
        <f t="shared" si="25"/>
        <v>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0</v>
      </c>
      <c r="O179" s="6">
        <f t="shared" si="26"/>
        <v>0</v>
      </c>
      <c r="P179" s="312">
        <f t="shared" si="32"/>
        <v>362.5</v>
      </c>
      <c r="Q179" s="312">
        <f t="shared" si="28"/>
        <v>0</v>
      </c>
      <c r="R179" s="312">
        <f t="shared" si="31"/>
        <v>0</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4.0434380776340113</v>
      </c>
      <c r="F180" s="65" t="str">
        <f t="shared" si="23"/>
        <v>No</v>
      </c>
      <c r="G180" s="65" t="str">
        <f t="shared" si="24"/>
        <v>No</v>
      </c>
      <c r="H180" s="301" t="str">
        <f>IF(OR('TANF-VIEW'!L184&gt;0,'TANF-VIEW'!T184&gt;0),"Yes","No")</f>
        <v>No</v>
      </c>
      <c r="I180" s="63">
        <f t="shared" si="25"/>
        <v>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0</v>
      </c>
      <c r="O180" s="6">
        <f t="shared" si="26"/>
        <v>0</v>
      </c>
      <c r="P180" s="312">
        <f t="shared" si="32"/>
        <v>364.58333333333337</v>
      </c>
      <c r="Q180" s="312">
        <f t="shared" si="28"/>
        <v>0</v>
      </c>
      <c r="R180" s="312">
        <f t="shared" si="31"/>
        <v>0</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4.066543438077634</v>
      </c>
      <c r="F181" s="65" t="str">
        <f t="shared" si="23"/>
        <v>No</v>
      </c>
      <c r="G181" s="65" t="str">
        <f t="shared" si="24"/>
        <v>No</v>
      </c>
      <c r="H181" s="301" t="str">
        <f>IF(OR('TANF-VIEW'!L185&gt;0,'TANF-VIEW'!T185&gt;0),"Yes","No")</f>
        <v>No</v>
      </c>
      <c r="I181" s="63">
        <f t="shared" si="25"/>
        <v>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0</v>
      </c>
      <c r="O181" s="6">
        <f t="shared" si="26"/>
        <v>0</v>
      </c>
      <c r="P181" s="312">
        <f t="shared" si="32"/>
        <v>366.66666666666669</v>
      </c>
      <c r="Q181" s="312">
        <f t="shared" si="28"/>
        <v>0</v>
      </c>
      <c r="R181" s="312">
        <f t="shared" si="31"/>
        <v>0</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4.0896487985212575</v>
      </c>
      <c r="F182" s="65" t="str">
        <f t="shared" si="23"/>
        <v>No</v>
      </c>
      <c r="G182" s="65" t="str">
        <f t="shared" si="24"/>
        <v>No</v>
      </c>
      <c r="H182" s="301" t="str">
        <f>IF(OR('TANF-VIEW'!L186&gt;0,'TANF-VIEW'!T186&gt;0),"Yes","No")</f>
        <v>No</v>
      </c>
      <c r="I182" s="63">
        <f t="shared" si="25"/>
        <v>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0</v>
      </c>
      <c r="O182" s="6">
        <f t="shared" si="26"/>
        <v>0</v>
      </c>
      <c r="P182" s="312">
        <f t="shared" si="32"/>
        <v>368.75</v>
      </c>
      <c r="Q182" s="312">
        <f t="shared" si="28"/>
        <v>0</v>
      </c>
      <c r="R182" s="312">
        <f t="shared" si="31"/>
        <v>0</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4.1127541589648802</v>
      </c>
      <c r="F183" s="65" t="str">
        <f t="shared" si="23"/>
        <v>No</v>
      </c>
      <c r="G183" s="65" t="str">
        <f t="shared" si="24"/>
        <v>No</v>
      </c>
      <c r="H183" s="301" t="str">
        <f>IF(OR('TANF-VIEW'!L187&gt;0,'TANF-VIEW'!T187&gt;0),"Yes","No")</f>
        <v>No</v>
      </c>
      <c r="I183" s="63">
        <f t="shared" si="25"/>
        <v>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0</v>
      </c>
      <c r="O183" s="6">
        <f t="shared" si="26"/>
        <v>0</v>
      </c>
      <c r="P183" s="312">
        <f t="shared" si="32"/>
        <v>370.83333333333337</v>
      </c>
      <c r="Q183" s="312">
        <f t="shared" si="28"/>
        <v>0</v>
      </c>
      <c r="R183" s="312">
        <f t="shared" si="31"/>
        <v>0</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4.1358595194085028</v>
      </c>
      <c r="F184" s="65" t="str">
        <f t="shared" si="23"/>
        <v>No</v>
      </c>
      <c r="G184" s="65" t="str">
        <f t="shared" si="24"/>
        <v>No</v>
      </c>
      <c r="H184" s="301" t="str">
        <f>IF(OR('TANF-VIEW'!L188&gt;0,'TANF-VIEW'!T188&gt;0),"Yes","No")</f>
        <v>No</v>
      </c>
      <c r="I184" s="63">
        <f t="shared" si="25"/>
        <v>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0</v>
      </c>
      <c r="O184" s="6">
        <f t="shared" si="26"/>
        <v>0</v>
      </c>
      <c r="P184" s="312">
        <f t="shared" si="32"/>
        <v>372.91666666666669</v>
      </c>
      <c r="Q184" s="312">
        <f t="shared" si="28"/>
        <v>0</v>
      </c>
      <c r="R184" s="312">
        <f t="shared" si="31"/>
        <v>0</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4.1589648798521255</v>
      </c>
      <c r="F185" s="65" t="str">
        <f t="shared" si="23"/>
        <v>No</v>
      </c>
      <c r="G185" s="65" t="str">
        <f t="shared" si="24"/>
        <v>No</v>
      </c>
      <c r="H185" s="301" t="str">
        <f>IF(OR('TANF-VIEW'!L189&gt;0,'TANF-VIEW'!T189&gt;0),"Yes","No")</f>
        <v>No</v>
      </c>
      <c r="I185" s="63">
        <f t="shared" si="25"/>
        <v>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0</v>
      </c>
      <c r="O185" s="6">
        <f t="shared" si="26"/>
        <v>0</v>
      </c>
      <c r="P185" s="312">
        <f t="shared" si="32"/>
        <v>375</v>
      </c>
      <c r="Q185" s="312">
        <f t="shared" si="28"/>
        <v>0</v>
      </c>
      <c r="R185" s="312">
        <f t="shared" si="31"/>
        <v>0</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4.182070240295749</v>
      </c>
      <c r="F186" s="65" t="str">
        <f t="shared" si="23"/>
        <v>No</v>
      </c>
      <c r="G186" s="65" t="str">
        <f t="shared" si="24"/>
        <v>No</v>
      </c>
      <c r="H186" s="301" t="str">
        <f>IF(OR('TANF-VIEW'!L190&gt;0,'TANF-VIEW'!T190&gt;0),"Yes","No")</f>
        <v>No</v>
      </c>
      <c r="I186" s="63">
        <f t="shared" si="25"/>
        <v>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0</v>
      </c>
      <c r="O186" s="6">
        <f t="shared" si="26"/>
        <v>0</v>
      </c>
      <c r="P186" s="312">
        <f t="shared" si="32"/>
        <v>377.08333333333337</v>
      </c>
      <c r="Q186" s="312">
        <f t="shared" si="28"/>
        <v>0</v>
      </c>
      <c r="R186" s="312">
        <f t="shared" si="31"/>
        <v>0</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4.2051756007393717</v>
      </c>
      <c r="F187" s="65" t="str">
        <f t="shared" si="23"/>
        <v>No</v>
      </c>
      <c r="G187" s="65" t="str">
        <f t="shared" si="24"/>
        <v>No</v>
      </c>
      <c r="H187" s="301" t="str">
        <f>IF(OR('TANF-VIEW'!L191&gt;0,'TANF-VIEW'!T191&gt;0),"Yes","No")</f>
        <v>No</v>
      </c>
      <c r="I187" s="63">
        <f t="shared" si="25"/>
        <v>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0</v>
      </c>
      <c r="O187" s="6">
        <f t="shared" si="26"/>
        <v>0</v>
      </c>
      <c r="P187" s="312">
        <f t="shared" si="32"/>
        <v>379.16666666666669</v>
      </c>
      <c r="Q187" s="312">
        <f t="shared" si="28"/>
        <v>0</v>
      </c>
      <c r="R187" s="312">
        <f t="shared" si="31"/>
        <v>0</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4.2282809611829943</v>
      </c>
      <c r="F188" s="65" t="str">
        <f t="shared" si="23"/>
        <v>No</v>
      </c>
      <c r="G188" s="65" t="str">
        <f t="shared" si="24"/>
        <v>No</v>
      </c>
      <c r="H188" s="301" t="str">
        <f>IF(OR('TANF-VIEW'!L192&gt;0,'TANF-VIEW'!T192&gt;0),"Yes","No")</f>
        <v>No</v>
      </c>
      <c r="I188" s="63">
        <f t="shared" si="25"/>
        <v>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0</v>
      </c>
      <c r="O188" s="6">
        <f t="shared" si="26"/>
        <v>0</v>
      </c>
      <c r="P188" s="312">
        <f t="shared" si="32"/>
        <v>381.25</v>
      </c>
      <c r="Q188" s="312">
        <f t="shared" si="28"/>
        <v>0</v>
      </c>
      <c r="R188" s="312">
        <f t="shared" si="31"/>
        <v>0</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4.2513863216266179</v>
      </c>
      <c r="F189" s="65" t="str">
        <f t="shared" si="23"/>
        <v>No</v>
      </c>
      <c r="G189" s="65" t="str">
        <f t="shared" si="24"/>
        <v>No</v>
      </c>
      <c r="H189" s="301" t="str">
        <f>IF(OR('TANF-VIEW'!L193&gt;0,'TANF-VIEW'!T193&gt;0),"Yes","No")</f>
        <v>No</v>
      </c>
      <c r="I189" s="63">
        <f t="shared" si="25"/>
        <v>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0</v>
      </c>
      <c r="O189" s="6">
        <f t="shared" si="26"/>
        <v>0</v>
      </c>
      <c r="P189" s="312">
        <f t="shared" si="32"/>
        <v>383.33333333333337</v>
      </c>
      <c r="Q189" s="312">
        <f t="shared" si="28"/>
        <v>0</v>
      </c>
      <c r="R189" s="312">
        <f t="shared" si="31"/>
        <v>0</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4.2744916820702406</v>
      </c>
      <c r="F190" s="65" t="str">
        <f t="shared" si="23"/>
        <v>No</v>
      </c>
      <c r="G190" s="65" t="str">
        <f t="shared" si="24"/>
        <v>No</v>
      </c>
      <c r="H190" s="301" t="str">
        <f>IF(OR('TANF-VIEW'!L194&gt;0,'TANF-VIEW'!T194&gt;0),"Yes","No")</f>
        <v>No</v>
      </c>
      <c r="I190" s="63">
        <f t="shared" si="25"/>
        <v>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0</v>
      </c>
      <c r="O190" s="6">
        <f t="shared" si="26"/>
        <v>0</v>
      </c>
      <c r="P190" s="312">
        <f t="shared" si="32"/>
        <v>385.41666666666669</v>
      </c>
      <c r="Q190" s="312">
        <f t="shared" si="28"/>
        <v>0</v>
      </c>
      <c r="R190" s="312">
        <f t="shared" si="31"/>
        <v>0</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4.2975970425138632</v>
      </c>
      <c r="F191" s="65" t="str">
        <f t="shared" si="23"/>
        <v>No</v>
      </c>
      <c r="G191" s="65" t="str">
        <f t="shared" si="24"/>
        <v>No</v>
      </c>
      <c r="H191" s="301" t="str">
        <f>IF(OR('TANF-VIEW'!L195&gt;0,'TANF-VIEW'!T195&gt;0),"Yes","No")</f>
        <v>No</v>
      </c>
      <c r="I191" s="63">
        <f t="shared" si="25"/>
        <v>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0</v>
      </c>
      <c r="O191" s="6">
        <f t="shared" si="26"/>
        <v>0</v>
      </c>
      <c r="P191" s="312">
        <f t="shared" si="32"/>
        <v>387.5</v>
      </c>
      <c r="Q191" s="312">
        <f t="shared" si="28"/>
        <v>0</v>
      </c>
      <c r="R191" s="312">
        <f t="shared" si="31"/>
        <v>0</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4.3207024029574868</v>
      </c>
      <c r="F192" s="65" t="str">
        <f t="shared" si="23"/>
        <v>No</v>
      </c>
      <c r="G192" s="65" t="str">
        <f t="shared" si="24"/>
        <v>No</v>
      </c>
      <c r="H192" s="301" t="str">
        <f>IF(OR('TANF-VIEW'!L196&gt;0,'TANF-VIEW'!T196&gt;0),"Yes","No")</f>
        <v>No</v>
      </c>
      <c r="I192" s="63">
        <f t="shared" si="25"/>
        <v>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0</v>
      </c>
      <c r="O192" s="6">
        <f t="shared" si="26"/>
        <v>0</v>
      </c>
      <c r="P192" s="312">
        <f t="shared" si="32"/>
        <v>389.58333333333337</v>
      </c>
      <c r="Q192" s="312">
        <f t="shared" si="28"/>
        <v>0</v>
      </c>
      <c r="R192" s="312">
        <f t="shared" si="31"/>
        <v>0</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4.3438077634011094</v>
      </c>
      <c r="F193" s="65" t="str">
        <f t="shared" si="23"/>
        <v>No</v>
      </c>
      <c r="G193" s="65" t="str">
        <f t="shared" si="24"/>
        <v>No</v>
      </c>
      <c r="H193" s="301" t="str">
        <f>IF(OR('TANF-VIEW'!L197&gt;0,'TANF-VIEW'!T197&gt;0),"Yes","No")</f>
        <v>No</v>
      </c>
      <c r="I193" s="63">
        <f t="shared" si="25"/>
        <v>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0</v>
      </c>
      <c r="O193" s="6">
        <f t="shared" si="26"/>
        <v>0</v>
      </c>
      <c r="P193" s="312">
        <f t="shared" si="32"/>
        <v>391.66666666666669</v>
      </c>
      <c r="Q193" s="312">
        <f t="shared" si="28"/>
        <v>0</v>
      </c>
      <c r="R193" s="312">
        <f t="shared" si="31"/>
        <v>0</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4.3669131238447321</v>
      </c>
      <c r="F194" s="65" t="str">
        <f t="shared" si="23"/>
        <v>No</v>
      </c>
      <c r="G194" s="65" t="str">
        <f t="shared" si="24"/>
        <v>No</v>
      </c>
      <c r="H194" s="301" t="str">
        <f>IF(OR('TANF-VIEW'!L198&gt;0,'TANF-VIEW'!T198&gt;0),"Yes","No")</f>
        <v>No</v>
      </c>
      <c r="I194" s="63">
        <f t="shared" si="25"/>
        <v>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0</v>
      </c>
      <c r="O194" s="6">
        <f t="shared" si="26"/>
        <v>0</v>
      </c>
      <c r="P194" s="312">
        <f t="shared" si="32"/>
        <v>393.75</v>
      </c>
      <c r="Q194" s="312">
        <f t="shared" si="28"/>
        <v>0</v>
      </c>
      <c r="R194" s="312">
        <f t="shared" si="31"/>
        <v>0</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4.3900184842883556</v>
      </c>
      <c r="F195" s="65" t="str">
        <f t="shared" si="23"/>
        <v>No</v>
      </c>
      <c r="G195" s="65" t="str">
        <f t="shared" si="24"/>
        <v>No</v>
      </c>
      <c r="H195" s="301" t="str">
        <f>IF(OR('TANF-VIEW'!L199&gt;0,'TANF-VIEW'!T199&gt;0),"Yes","No")</f>
        <v>No</v>
      </c>
      <c r="I195" s="63">
        <f t="shared" si="25"/>
        <v>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0</v>
      </c>
      <c r="O195" s="6">
        <f t="shared" si="26"/>
        <v>0</v>
      </c>
      <c r="P195" s="312">
        <f t="shared" si="32"/>
        <v>395.83333333333337</v>
      </c>
      <c r="Q195" s="312">
        <f t="shared" si="28"/>
        <v>0</v>
      </c>
      <c r="R195" s="312">
        <f t="shared" si="31"/>
        <v>0</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4.4131238447319783</v>
      </c>
      <c r="F196" s="65" t="str">
        <f t="shared" si="23"/>
        <v>No</v>
      </c>
      <c r="G196" s="65" t="str">
        <f t="shared" si="24"/>
        <v>No</v>
      </c>
      <c r="H196" s="301" t="str">
        <f>IF(OR('TANF-VIEW'!L200&gt;0,'TANF-VIEW'!T200&gt;0),"Yes","No")</f>
        <v>No</v>
      </c>
      <c r="I196" s="63">
        <f t="shared" si="25"/>
        <v>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0</v>
      </c>
      <c r="O196" s="6">
        <f t="shared" si="26"/>
        <v>0</v>
      </c>
      <c r="P196" s="312">
        <f t="shared" si="32"/>
        <v>397.91666666666669</v>
      </c>
      <c r="Q196" s="312">
        <f t="shared" si="28"/>
        <v>0</v>
      </c>
      <c r="R196" s="312">
        <f t="shared" si="31"/>
        <v>0</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4.4362292051756009</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4.4593345656192236</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4.4824399260628462</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4.5055452865064698</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4.5286506469500925</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4.551756007393716</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4.5748613678373387</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4.5979667282809613</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4.6210720887245849</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1289</v>
      </c>
      <c r="C208" s="7">
        <f>'Total income package'!$D$80</f>
        <v>0</v>
      </c>
      <c r="D208" s="7">
        <f t="shared" ref="D208:D210" si="43">B208+C208</f>
        <v>1289</v>
      </c>
      <c r="E208" s="65">
        <f t="shared" ref="E208:E210" si="44">D208/$K$2</f>
        <v>0.7147874306839187</v>
      </c>
      <c r="F208" s="65" t="str">
        <f>IF(AND(B208&lt;$N$2,SUM($C$2:$F$2)&gt;0),"Yes","No")</f>
        <v>No</v>
      </c>
      <c r="G208" s="65" t="str">
        <f>IF(B208&lt;$M$2,"Yes","No")</f>
        <v>Yes</v>
      </c>
      <c r="H208" s="301" t="str">
        <f>IF(OR('TANF-VIEW'!L212&gt;0,'TANF-VIEW'!T212&gt;0),"Yes","No")</f>
        <v>No</v>
      </c>
      <c r="I208" s="63">
        <f>IF(B208&gt;=$N$2,0,IF(E208&gt;3.5,375*SUM($C$2:$H$2),IF(E208&gt;3,325*SUM($C$2:$H$2),IF(E208&gt;2.5,275*SUM($C$2:$H$2),IF(E208&gt;2,225*SUM($C$2:$H$2),IF(E208&gt;1.5,175*SUM($C$2:$H$2),IF(E208&gt;1,125*SUM($C$2:$H$2),IF(E208&gt;0,5*SUM($C$2:$H$2),0))))))))</f>
        <v>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0</v>
      </c>
      <c r="O208" s="6">
        <f>I208*SUM($C$2:$H$2)</f>
        <v>0</v>
      </c>
      <c r="P208" s="312">
        <f>B208*0.05</f>
        <v>64.45</v>
      </c>
      <c r="Q208" s="312">
        <f>I208*3</f>
        <v>0</v>
      </c>
      <c r="R208" s="312">
        <f>IF(MIN(O208,P208)&lt;Q208,MIN(O208,P208),Q208)</f>
        <v>0</v>
      </c>
      <c r="S208" s="160">
        <f>IF(AND('Total income package'!$A$8=TRUE,OR(F208="Yes",G208="Yes",H208="Yes")),SUM(J208:N208)-R208,0)</f>
        <v>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1289</v>
      </c>
      <c r="C210" s="7">
        <f>'Total income package'!$D$80</f>
        <v>0</v>
      </c>
      <c r="D210" s="7">
        <f t="shared" si="43"/>
        <v>1289</v>
      </c>
      <c r="E210" s="65">
        <f t="shared" si="44"/>
        <v>0.7147874306839187</v>
      </c>
      <c r="F210" s="65" t="str">
        <f>IF(AND(B210&lt;$N$2,SUM($C$2:$F$2)&gt;0),"Yes","No")</f>
        <v>No</v>
      </c>
      <c r="G210" s="65" t="str">
        <f>IF(B210&lt;$M$2,"Yes","No")</f>
        <v>Yes</v>
      </c>
      <c r="H210" s="301" t="str">
        <f>IF(OR('TANF-VIEW'!L214&gt;0,'TANF-VIEW'!T214&gt;0),"Yes","No")</f>
        <v>No</v>
      </c>
      <c r="I210" s="63">
        <f>IF(B210&gt;=$N$2,0,IF(E210&gt;3.5,375*SUM($C$2:$H$2),IF(E210&gt;3,325*SUM($C$2:$H$2),IF(E210&gt;2.5,275*SUM($C$2:$H$2),IF(E210&gt;2,225*SUM($C$2:$H$2),IF(E210&gt;1.5,175*SUM($C$2:$H$2),IF(E210&gt;1,125*SUM($C$2:$H$2),IF(E210&gt;0,5*SUM($C$2:$H$2),0))))))))</f>
        <v>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0</v>
      </c>
      <c r="O210" s="6">
        <f>I210*SUM($C$2:$H$2)</f>
        <v>0</v>
      </c>
      <c r="P210" s="312">
        <f>B210*0.05</f>
        <v>64.45</v>
      </c>
      <c r="Q210" s="312">
        <f>I210*3</f>
        <v>0</v>
      </c>
      <c r="R210" s="312">
        <f>IF(MIN(O210,P210)&lt;Q210,MIN(O210,P210),Q210)</f>
        <v>0</v>
      </c>
      <c r="S210" s="160">
        <f>IF(AND('Total income package'!$A$8=TRUE,OR(F210="Yes",G210="Yes",H210="Yes")),SUM(J210:N210)-R210,0)</f>
        <v>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2</v>
      </c>
      <c r="C2" s="148">
        <f>'Total income package'!B30</f>
        <v>1</v>
      </c>
      <c r="D2" s="148">
        <f>'Total income package'!B31</f>
        <v>1</v>
      </c>
      <c r="E2" s="77" t="str">
        <f>'Total income package'!B72</f>
        <v>Single, head of household, qualifying surviving spouse</v>
      </c>
      <c r="F2" s="78">
        <f>IF($E$2="Married filing jointly",VLOOKUP($D$2,'EITC Rates'!$A$17:$G$24,2,FALSE),VLOOKUP($D$2,'EITC Rates'!$A$6:$G$13,2,FALSE))</f>
        <v>50434</v>
      </c>
      <c r="G2" s="78">
        <f>IF($E$2="Married filing jointly",VLOOKUP($D$2,'EITC Rates'!$A$17:$G$24,3,FALSE),VLOOKUP($D$2,'EITC Rates'!$A$6:$G$13,3,FALSE))</f>
        <v>4427</v>
      </c>
      <c r="H2" s="152">
        <f>IF($E$2="Married filing jointly",VLOOKUP($D$2,'EITC Rates'!$A$17:$G$24,4,FALSE),VLOOKUP($D$2,'EITC Rates'!$A$6:$G$13,4,FALSE))</f>
        <v>0.34</v>
      </c>
      <c r="I2" s="153">
        <f>IF($E$2="Married filing jointly",VLOOKUP($D$2,'EITC Rates'!$A$17:$G$24,5,FALSE),VLOOKUP($D$2,'EITC Rates'!$A$6:$G$13,5,FALSE))</f>
        <v>0.1598</v>
      </c>
      <c r="J2" s="78">
        <f>IF($E$2="Married filing jointly",VLOOKUP($D$2,'EITC Rates'!$A$17:$G$24,6,FALSE),VLOOKUP($D$2,'EITC Rates'!$A$6:$G$13,6,FALSE))</f>
        <v>13020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170</v>
      </c>
      <c r="D6" s="158">
        <f t="shared" ref="D6:D69" si="0">C6*0.2</f>
        <v>34</v>
      </c>
      <c r="E6" s="164">
        <f>IF('Total income package'!$A$10=TRUE,SUM(EITC!C6:D6),0)</f>
        <v>204</v>
      </c>
      <c r="F6" s="6"/>
      <c r="G6" s="6"/>
      <c r="J6" s="73"/>
      <c r="K6" s="73"/>
      <c r="L6" s="73"/>
    </row>
    <row r="7" spans="1:28" x14ac:dyDescent="0.25">
      <c r="A7" s="3">
        <v>1000</v>
      </c>
      <c r="B7" s="4">
        <f>A7/12</f>
        <v>83.333333333333329</v>
      </c>
      <c r="C7" s="157">
        <f>MAX(0,IF(A7&gt;$F$2,0,IF(AND(A7&lt;$F$2,A7&gt;=$K$2),$G$2-((A7-$K$2-1)*$I$2),IF(AND(A7&lt;$K$2,A7&gt;=$J$2),$G$2,IF(A7&lt;$J$2,A7*$H$2,0)))))</f>
        <v>340</v>
      </c>
      <c r="D7" s="158">
        <f t="shared" si="0"/>
        <v>68</v>
      </c>
      <c r="E7" s="164">
        <f>IF('Total income package'!$A$10=TRUE,SUM(EITC!C7:D7),0)</f>
        <v>408</v>
      </c>
      <c r="F7" s="6"/>
      <c r="G7" s="6"/>
      <c r="H7" s="7"/>
      <c r="I7" s="47"/>
      <c r="M7" s="7"/>
    </row>
    <row r="8" spans="1:28" x14ac:dyDescent="0.25">
      <c r="A8" s="3">
        <v>1500</v>
      </c>
      <c r="B8" s="4">
        <f t="shared" ref="B8:B71" si="1">A8/12</f>
        <v>125</v>
      </c>
      <c r="C8" s="157">
        <f t="shared" ref="C8:C70" si="2">MAX(0,IF(A8&gt;$F$2,0,IF(AND(A8&lt;$F$2,A8&gt;=$K$2),$G$2-((A8-$K$2-1)*$I$2),IF(AND(A8&lt;$K$2,A8&gt;=$J$2),$G$2,IF(A8&lt;$J$2,A8*$H$2,0)))))</f>
        <v>510.00000000000006</v>
      </c>
      <c r="D8" s="158">
        <f t="shared" si="0"/>
        <v>102.00000000000001</v>
      </c>
      <c r="E8" s="164">
        <f>IF('Total income package'!$A$10=TRUE,SUM(EITC!C8:D8),0)</f>
        <v>612.00000000000011</v>
      </c>
      <c r="F8" s="6"/>
      <c r="G8" s="6"/>
      <c r="H8" s="7"/>
      <c r="I8" s="47"/>
      <c r="K8" s="7"/>
      <c r="M8" s="7"/>
      <c r="P8" s="41"/>
    </row>
    <row r="9" spans="1:28" x14ac:dyDescent="0.25">
      <c r="A9" s="3">
        <v>2000</v>
      </c>
      <c r="B9" s="4">
        <f t="shared" si="1"/>
        <v>166.66666666666666</v>
      </c>
      <c r="C9" s="157">
        <f>MAX(0,IF(A9&gt;$F$2,0,IF(AND(A9&lt;$F$2,A9&gt;=$K$2),$G$2-((A9-$K$2-1)*$I$2),IF(AND(A9&lt;$K$2,A9&gt;=$J$2),$G$2,IF(A9&lt;$J$2,A9*$H$2,0)))))</f>
        <v>680</v>
      </c>
      <c r="D9" s="158">
        <f t="shared" si="0"/>
        <v>136</v>
      </c>
      <c r="E9" s="164">
        <f>IF('Total income package'!$A$10=TRUE,SUM(EITC!C9:D9),0)</f>
        <v>816</v>
      </c>
      <c r="F9" s="6"/>
      <c r="G9" s="6"/>
      <c r="H9" s="7"/>
      <c r="I9" s="47"/>
      <c r="K9" s="7"/>
      <c r="M9" s="7"/>
    </row>
    <row r="10" spans="1:28" x14ac:dyDescent="0.25">
      <c r="A10" s="3">
        <v>2500</v>
      </c>
      <c r="B10" s="4">
        <f t="shared" si="1"/>
        <v>208.33333333333334</v>
      </c>
      <c r="C10" s="157">
        <f t="shared" si="2"/>
        <v>850.00000000000011</v>
      </c>
      <c r="D10" s="158">
        <f t="shared" si="0"/>
        <v>170.00000000000003</v>
      </c>
      <c r="E10" s="164">
        <f>IF('Total income package'!$A$10=TRUE,SUM(EITC!C10:D10),0)</f>
        <v>1020.0000000000001</v>
      </c>
      <c r="F10" s="6"/>
      <c r="G10" s="6"/>
      <c r="H10" s="7"/>
      <c r="I10" s="47"/>
      <c r="K10" s="7"/>
      <c r="M10" s="7"/>
    </row>
    <row r="11" spans="1:28" x14ac:dyDescent="0.25">
      <c r="A11" s="3">
        <v>3000</v>
      </c>
      <c r="B11" s="4">
        <f t="shared" si="1"/>
        <v>250</v>
      </c>
      <c r="C11" s="157">
        <f t="shared" si="2"/>
        <v>1020.0000000000001</v>
      </c>
      <c r="D11" s="158">
        <f t="shared" si="0"/>
        <v>204.00000000000003</v>
      </c>
      <c r="E11" s="164">
        <f>IF('Total income package'!$A$10=TRUE,SUM(EITC!C11:D11),0)</f>
        <v>1224.0000000000002</v>
      </c>
      <c r="F11" s="6"/>
      <c r="G11" s="6"/>
      <c r="H11" s="7"/>
      <c r="I11" s="47"/>
      <c r="K11" s="7"/>
      <c r="M11" s="7"/>
    </row>
    <row r="12" spans="1:28" x14ac:dyDescent="0.25">
      <c r="A12" s="3">
        <v>3500</v>
      </c>
      <c r="B12" s="4">
        <f t="shared" si="1"/>
        <v>291.66666666666669</v>
      </c>
      <c r="C12" s="157">
        <f t="shared" si="2"/>
        <v>1190</v>
      </c>
      <c r="D12" s="158">
        <f t="shared" si="0"/>
        <v>238</v>
      </c>
      <c r="E12" s="164">
        <f>IF('Total income package'!$A$10=TRUE,SUM(EITC!C12:D12),0)</f>
        <v>1428</v>
      </c>
      <c r="F12" s="6"/>
      <c r="G12" s="6"/>
      <c r="H12" s="7"/>
      <c r="I12" s="47"/>
      <c r="K12" s="7"/>
      <c r="M12" s="7"/>
    </row>
    <row r="13" spans="1:28" x14ac:dyDescent="0.25">
      <c r="A13" s="3">
        <v>4000</v>
      </c>
      <c r="B13" s="4">
        <f t="shared" si="1"/>
        <v>333.33333333333331</v>
      </c>
      <c r="C13" s="157">
        <f t="shared" si="2"/>
        <v>1360</v>
      </c>
      <c r="D13" s="158">
        <f t="shared" si="0"/>
        <v>272</v>
      </c>
      <c r="E13" s="164">
        <f>IF('Total income package'!$A$10=TRUE,SUM(EITC!C13:D13),0)</f>
        <v>1632</v>
      </c>
      <c r="F13" s="6"/>
      <c r="G13" s="6"/>
      <c r="H13" s="7"/>
      <c r="I13" s="47"/>
      <c r="K13" s="7"/>
      <c r="M13" s="7"/>
    </row>
    <row r="14" spans="1:28" x14ac:dyDescent="0.25">
      <c r="A14" s="3">
        <v>4500</v>
      </c>
      <c r="B14" s="4">
        <f t="shared" si="1"/>
        <v>375</v>
      </c>
      <c r="C14" s="157">
        <f t="shared" si="2"/>
        <v>1530</v>
      </c>
      <c r="D14" s="158">
        <f t="shared" si="0"/>
        <v>306</v>
      </c>
      <c r="E14" s="164">
        <f>IF('Total income package'!$A$10=TRUE,SUM(EITC!C14:D14),0)</f>
        <v>1836</v>
      </c>
      <c r="F14" s="156"/>
      <c r="G14" s="156"/>
      <c r="H14" s="7"/>
      <c r="I14" s="47"/>
      <c r="K14" s="7"/>
      <c r="M14" s="7"/>
    </row>
    <row r="15" spans="1:28" x14ac:dyDescent="0.25">
      <c r="A15" s="3">
        <v>5000</v>
      </c>
      <c r="B15" s="4">
        <f t="shared" si="1"/>
        <v>416.66666666666669</v>
      </c>
      <c r="C15" s="157">
        <f t="shared" si="2"/>
        <v>1700.0000000000002</v>
      </c>
      <c r="D15" s="158">
        <f t="shared" si="0"/>
        <v>340.00000000000006</v>
      </c>
      <c r="E15" s="164">
        <f>IF('Total income package'!$A$10=TRUE,SUM(EITC!C15:D15),0)</f>
        <v>2040.0000000000002</v>
      </c>
      <c r="F15" s="6"/>
      <c r="G15" s="6"/>
      <c r="H15" s="7"/>
      <c r="I15" s="47"/>
      <c r="K15" s="7"/>
      <c r="M15" s="7"/>
    </row>
    <row r="16" spans="1:28" x14ac:dyDescent="0.25">
      <c r="A16" s="3">
        <v>5500</v>
      </c>
      <c r="B16" s="4">
        <f t="shared" si="1"/>
        <v>458.33333333333331</v>
      </c>
      <c r="C16" s="157">
        <f t="shared" si="2"/>
        <v>1870.0000000000002</v>
      </c>
      <c r="D16" s="158">
        <f t="shared" si="0"/>
        <v>374.00000000000006</v>
      </c>
      <c r="E16" s="164">
        <f>IF('Total income package'!$A$10=TRUE,SUM(EITC!C16:D16),0)</f>
        <v>2244.0000000000005</v>
      </c>
      <c r="F16" s="6"/>
      <c r="G16" s="6"/>
      <c r="H16" s="7"/>
      <c r="I16" s="47"/>
      <c r="K16" s="7"/>
      <c r="M16" s="7"/>
    </row>
    <row r="17" spans="1:14" x14ac:dyDescent="0.25">
      <c r="A17" s="3">
        <v>6000</v>
      </c>
      <c r="B17" s="4">
        <f t="shared" si="1"/>
        <v>500</v>
      </c>
      <c r="C17" s="157">
        <f t="shared" si="2"/>
        <v>2040.0000000000002</v>
      </c>
      <c r="D17" s="158">
        <f t="shared" si="0"/>
        <v>408.00000000000006</v>
      </c>
      <c r="E17" s="164">
        <f>IF('Total income package'!$A$10=TRUE,SUM(EITC!C17:D17),0)</f>
        <v>2448.0000000000005</v>
      </c>
      <c r="F17" s="6"/>
      <c r="G17" s="6"/>
      <c r="H17" s="7"/>
      <c r="I17" s="47"/>
      <c r="K17" s="7"/>
      <c r="M17" s="7"/>
    </row>
    <row r="18" spans="1:14" x14ac:dyDescent="0.25">
      <c r="A18" s="3">
        <v>6500</v>
      </c>
      <c r="B18" s="4">
        <f t="shared" si="1"/>
        <v>541.66666666666663</v>
      </c>
      <c r="C18" s="157">
        <f t="shared" si="2"/>
        <v>2210</v>
      </c>
      <c r="D18" s="158">
        <f t="shared" si="0"/>
        <v>442</v>
      </c>
      <c r="E18" s="164">
        <f>IF('Total income package'!$A$10=TRUE,SUM(EITC!C18:D18),0)</f>
        <v>2652</v>
      </c>
      <c r="F18" s="6"/>
      <c r="G18" s="6"/>
      <c r="H18" s="7"/>
      <c r="I18" s="47"/>
      <c r="K18" s="7"/>
      <c r="M18" s="7"/>
    </row>
    <row r="19" spans="1:14" x14ac:dyDescent="0.25">
      <c r="A19" s="3">
        <v>7000</v>
      </c>
      <c r="B19" s="4">
        <f t="shared" si="1"/>
        <v>583.33333333333337</v>
      </c>
      <c r="C19" s="157">
        <f t="shared" si="2"/>
        <v>2380</v>
      </c>
      <c r="D19" s="158">
        <f t="shared" si="0"/>
        <v>476</v>
      </c>
      <c r="E19" s="164">
        <f>IF('Total income package'!$A$10=TRUE,SUM(EITC!C19:D19),0)</f>
        <v>2856</v>
      </c>
      <c r="F19" s="6"/>
      <c r="G19" s="6"/>
      <c r="H19" s="7"/>
      <c r="I19" s="47"/>
      <c r="K19" s="7"/>
      <c r="M19" s="7"/>
    </row>
    <row r="20" spans="1:14" x14ac:dyDescent="0.25">
      <c r="A20" s="3">
        <v>7500</v>
      </c>
      <c r="B20" s="4">
        <f t="shared" si="1"/>
        <v>625</v>
      </c>
      <c r="C20" s="157">
        <f t="shared" si="2"/>
        <v>2550</v>
      </c>
      <c r="D20" s="158">
        <f t="shared" si="0"/>
        <v>510</v>
      </c>
      <c r="E20" s="164">
        <f>IF('Total income package'!$A$10=TRUE,SUM(EITC!C20:D20),0)</f>
        <v>3060</v>
      </c>
      <c r="F20" s="6"/>
      <c r="G20" s="6"/>
      <c r="H20" s="7"/>
      <c r="I20" s="47"/>
      <c r="K20" s="7"/>
      <c r="M20" s="7"/>
    </row>
    <row r="21" spans="1:14" x14ac:dyDescent="0.25">
      <c r="A21" s="3">
        <v>8000</v>
      </c>
      <c r="B21" s="4">
        <f t="shared" si="1"/>
        <v>666.66666666666663</v>
      </c>
      <c r="C21" s="157">
        <f t="shared" si="2"/>
        <v>2720</v>
      </c>
      <c r="D21" s="158">
        <f t="shared" si="0"/>
        <v>544</v>
      </c>
      <c r="E21" s="164">
        <f>IF('Total income package'!$A$10=TRUE,SUM(EITC!C21:D21),0)</f>
        <v>3264</v>
      </c>
      <c r="F21" s="6"/>
      <c r="G21" s="6"/>
      <c r="H21" s="7"/>
      <c r="I21" s="47"/>
      <c r="K21" s="7"/>
      <c r="M21" s="7"/>
    </row>
    <row r="22" spans="1:14" x14ac:dyDescent="0.25">
      <c r="A22" s="3">
        <v>8500</v>
      </c>
      <c r="B22" s="4">
        <f t="shared" si="1"/>
        <v>708.33333333333337</v>
      </c>
      <c r="C22" s="157">
        <f t="shared" si="2"/>
        <v>2890</v>
      </c>
      <c r="D22" s="158">
        <f t="shared" si="0"/>
        <v>578</v>
      </c>
      <c r="E22" s="164">
        <f>IF('Total income package'!$A$10=TRUE,SUM(EITC!C22:D22),0)</f>
        <v>3468</v>
      </c>
      <c r="F22" s="6"/>
      <c r="G22" s="6"/>
      <c r="H22" s="7"/>
      <c r="I22" s="47"/>
      <c r="K22" s="7"/>
      <c r="M22" s="7"/>
    </row>
    <row r="23" spans="1:14" x14ac:dyDescent="0.25">
      <c r="A23" s="3">
        <v>9000</v>
      </c>
      <c r="B23" s="4">
        <f t="shared" si="1"/>
        <v>750</v>
      </c>
      <c r="C23" s="157">
        <f t="shared" si="2"/>
        <v>3060</v>
      </c>
      <c r="D23" s="158">
        <f t="shared" si="0"/>
        <v>612</v>
      </c>
      <c r="E23" s="164">
        <f>IF('Total income package'!$A$10=TRUE,SUM(EITC!C23:D23),0)</f>
        <v>3672</v>
      </c>
      <c r="F23" s="6"/>
      <c r="G23" s="6"/>
      <c r="H23" s="7"/>
      <c r="I23" s="47"/>
      <c r="K23" s="7"/>
      <c r="L23" s="4"/>
      <c r="M23" s="7"/>
      <c r="N23" s="7"/>
    </row>
    <row r="24" spans="1:14" x14ac:dyDescent="0.25">
      <c r="A24" s="3">
        <v>9500</v>
      </c>
      <c r="B24" s="4">
        <f t="shared" si="1"/>
        <v>791.66666666666663</v>
      </c>
      <c r="C24" s="157">
        <f t="shared" si="2"/>
        <v>3230.0000000000005</v>
      </c>
      <c r="D24" s="158">
        <f t="shared" si="0"/>
        <v>646.00000000000011</v>
      </c>
      <c r="E24" s="164">
        <f>IF('Total income package'!$A$10=TRUE,SUM(EITC!C24:D24),0)</f>
        <v>3876.0000000000005</v>
      </c>
      <c r="F24" s="6"/>
      <c r="G24" s="6"/>
      <c r="H24" s="7"/>
      <c r="I24" s="47"/>
      <c r="K24" s="7"/>
      <c r="L24" s="4"/>
      <c r="M24" s="7"/>
    </row>
    <row r="25" spans="1:14" x14ac:dyDescent="0.25">
      <c r="A25" s="3">
        <v>10000</v>
      </c>
      <c r="B25" s="4">
        <f t="shared" si="1"/>
        <v>833.33333333333337</v>
      </c>
      <c r="C25" s="157">
        <f t="shared" si="2"/>
        <v>3400.0000000000005</v>
      </c>
      <c r="D25" s="158">
        <f t="shared" si="0"/>
        <v>680.00000000000011</v>
      </c>
      <c r="E25" s="164">
        <f>IF('Total income package'!$A$10=TRUE,SUM(EITC!C25:D25),0)</f>
        <v>4080.0000000000005</v>
      </c>
      <c r="F25" s="6"/>
      <c r="G25" s="6"/>
      <c r="H25" s="7"/>
      <c r="I25" s="47"/>
      <c r="K25" s="7"/>
      <c r="M25" s="7"/>
    </row>
    <row r="26" spans="1:14" x14ac:dyDescent="0.25">
      <c r="A26" s="3">
        <v>10500</v>
      </c>
      <c r="B26" s="4">
        <f t="shared" si="1"/>
        <v>875</v>
      </c>
      <c r="C26" s="157">
        <f t="shared" si="2"/>
        <v>3570.0000000000005</v>
      </c>
      <c r="D26" s="158">
        <f t="shared" si="0"/>
        <v>714.00000000000011</v>
      </c>
      <c r="E26" s="164">
        <f>IF('Total income package'!$A$10=TRUE,SUM(EITC!C26:D26),0)</f>
        <v>4284.0000000000009</v>
      </c>
      <c r="F26" s="6"/>
      <c r="G26" s="6"/>
      <c r="H26" s="7"/>
      <c r="I26" s="47"/>
      <c r="K26" s="7"/>
      <c r="M26" s="7"/>
    </row>
    <row r="27" spans="1:14" x14ac:dyDescent="0.25">
      <c r="A27" s="3">
        <v>11000</v>
      </c>
      <c r="B27" s="4">
        <f t="shared" si="1"/>
        <v>916.66666666666663</v>
      </c>
      <c r="C27" s="157">
        <f t="shared" si="2"/>
        <v>3740.0000000000005</v>
      </c>
      <c r="D27" s="158">
        <f t="shared" si="0"/>
        <v>748.00000000000011</v>
      </c>
      <c r="E27" s="164">
        <f>IF('Total income package'!$A$10=TRUE,SUM(EITC!C27:D27),0)</f>
        <v>4488.0000000000009</v>
      </c>
      <c r="F27" s="6"/>
      <c r="G27" s="6"/>
      <c r="H27" s="7"/>
      <c r="I27" s="47"/>
      <c r="K27" s="7"/>
      <c r="M27" s="7"/>
    </row>
    <row r="28" spans="1:14" x14ac:dyDescent="0.25">
      <c r="A28" s="3">
        <v>11500</v>
      </c>
      <c r="B28" s="4">
        <f t="shared" si="1"/>
        <v>958.33333333333337</v>
      </c>
      <c r="C28" s="157">
        <f t="shared" si="2"/>
        <v>3910.0000000000005</v>
      </c>
      <c r="D28" s="158">
        <f t="shared" si="0"/>
        <v>782.00000000000011</v>
      </c>
      <c r="E28" s="164">
        <f>IF('Total income package'!$A$10=TRUE,SUM(EITC!C28:D28),0)</f>
        <v>4692.0000000000009</v>
      </c>
      <c r="F28" s="6"/>
      <c r="G28" s="6"/>
      <c r="H28" s="7"/>
      <c r="I28" s="47"/>
      <c r="J28" s="7"/>
      <c r="K28" s="7"/>
      <c r="M28" s="7"/>
    </row>
    <row r="29" spans="1:14" x14ac:dyDescent="0.25">
      <c r="A29" s="3">
        <v>12000</v>
      </c>
      <c r="B29" s="4">
        <f t="shared" si="1"/>
        <v>1000</v>
      </c>
      <c r="C29" s="157">
        <f t="shared" si="2"/>
        <v>4080.0000000000005</v>
      </c>
      <c r="D29" s="158">
        <f t="shared" si="0"/>
        <v>816.00000000000011</v>
      </c>
      <c r="E29" s="164">
        <f>IF('Total income package'!$A$10=TRUE,SUM(EITC!C29:D29),0)</f>
        <v>4896.0000000000009</v>
      </c>
      <c r="F29" s="6"/>
      <c r="G29" s="6"/>
      <c r="H29" s="7"/>
      <c r="I29" s="47"/>
      <c r="J29" s="3"/>
      <c r="K29" s="7"/>
      <c r="M29" s="7"/>
    </row>
    <row r="30" spans="1:14" x14ac:dyDescent="0.25">
      <c r="A30" s="3">
        <v>12500</v>
      </c>
      <c r="B30" s="4">
        <f t="shared" si="1"/>
        <v>1041.6666666666667</v>
      </c>
      <c r="C30" s="157">
        <f t="shared" si="2"/>
        <v>4250</v>
      </c>
      <c r="D30" s="158">
        <f t="shared" si="0"/>
        <v>850</v>
      </c>
      <c r="E30" s="164">
        <f>IF('Total income package'!$A$10=TRUE,SUM(EITC!C30:D30),0)</f>
        <v>5100</v>
      </c>
      <c r="F30" s="6"/>
      <c r="G30" s="6"/>
      <c r="H30" s="7"/>
      <c r="I30" s="47"/>
      <c r="J30" s="3"/>
      <c r="K30" s="7"/>
      <c r="M30" s="7"/>
    </row>
    <row r="31" spans="1:14" x14ac:dyDescent="0.25">
      <c r="A31" s="3">
        <v>13000</v>
      </c>
      <c r="B31" s="4">
        <f t="shared" si="1"/>
        <v>1083.3333333333333</v>
      </c>
      <c r="C31" s="157">
        <f t="shared" si="2"/>
        <v>4420</v>
      </c>
      <c r="D31" s="158">
        <f t="shared" si="0"/>
        <v>884</v>
      </c>
      <c r="E31" s="164">
        <f>IF('Total income package'!$A$10=TRUE,SUM(EITC!C31:D31),0)</f>
        <v>5304</v>
      </c>
      <c r="F31" s="6"/>
      <c r="G31" s="6"/>
      <c r="H31" s="7"/>
      <c r="I31" s="47"/>
      <c r="J31" s="3"/>
      <c r="K31" s="7"/>
      <c r="M31" s="7"/>
    </row>
    <row r="32" spans="1:14" x14ac:dyDescent="0.25">
      <c r="A32" s="3">
        <v>13500</v>
      </c>
      <c r="B32" s="4">
        <f t="shared" si="1"/>
        <v>1125</v>
      </c>
      <c r="C32" s="157">
        <f>MAX(0,IF(A32&gt;$F$2,0,IF(AND(A32&lt;$F$2,A32&gt;=$K$2),$G$2-((A32-$K$2-1)*$I$2),IF(AND(A32&lt;$K$2,A32&gt;=$J$2),$G$2,IF(A32&lt;$J$2,A32*$H$2,0)))))</f>
        <v>4427</v>
      </c>
      <c r="D32" s="158">
        <f t="shared" si="0"/>
        <v>885.40000000000009</v>
      </c>
      <c r="E32" s="164">
        <f>IF('Total income package'!$A$10=TRUE,SUM(EITC!C32:D32),0)</f>
        <v>5312.4</v>
      </c>
      <c r="F32" s="6"/>
      <c r="G32" s="6"/>
      <c r="H32" s="7"/>
      <c r="I32" s="47"/>
      <c r="J32" s="3"/>
      <c r="K32" s="7"/>
      <c r="M32" s="7"/>
    </row>
    <row r="33" spans="1:13" x14ac:dyDescent="0.25">
      <c r="A33" s="3">
        <v>14000</v>
      </c>
      <c r="B33" s="4">
        <f t="shared" si="1"/>
        <v>1166.6666666666667</v>
      </c>
      <c r="C33" s="157">
        <f t="shared" si="2"/>
        <v>4427</v>
      </c>
      <c r="D33" s="158">
        <f t="shared" si="0"/>
        <v>885.40000000000009</v>
      </c>
      <c r="E33" s="164">
        <f>IF('Total income package'!$A$10=TRUE,SUM(EITC!C33:D33),0)</f>
        <v>5312.4</v>
      </c>
      <c r="F33" s="6"/>
      <c r="G33" s="6"/>
      <c r="H33" s="7"/>
      <c r="I33" s="47"/>
      <c r="J33" s="3"/>
      <c r="K33" s="7"/>
      <c r="M33" s="7"/>
    </row>
    <row r="34" spans="1:13" x14ac:dyDescent="0.25">
      <c r="A34" s="3">
        <v>14500</v>
      </c>
      <c r="B34" s="4">
        <f t="shared" si="1"/>
        <v>1208.3333333333333</v>
      </c>
      <c r="C34" s="157">
        <f t="shared" si="2"/>
        <v>4427</v>
      </c>
      <c r="D34" s="158">
        <f t="shared" si="0"/>
        <v>885.40000000000009</v>
      </c>
      <c r="E34" s="164">
        <f>IF('Total income package'!$A$10=TRUE,SUM(EITC!C34:D34),0)</f>
        <v>5312.4</v>
      </c>
      <c r="F34" s="6"/>
      <c r="G34" s="6"/>
      <c r="H34" s="7"/>
      <c r="I34" s="47"/>
      <c r="J34" s="3"/>
      <c r="K34" s="7"/>
      <c r="M34" s="7"/>
    </row>
    <row r="35" spans="1:13" x14ac:dyDescent="0.25">
      <c r="A35" s="3">
        <v>15000</v>
      </c>
      <c r="B35" s="4">
        <f t="shared" si="1"/>
        <v>1250</v>
      </c>
      <c r="C35" s="157">
        <f t="shared" si="2"/>
        <v>4427</v>
      </c>
      <c r="D35" s="158">
        <f t="shared" si="0"/>
        <v>885.40000000000009</v>
      </c>
      <c r="E35" s="164">
        <f>IF('Total income package'!$A$10=TRUE,SUM(EITC!C35:D35),0)</f>
        <v>5312.4</v>
      </c>
      <c r="F35" s="6"/>
      <c r="G35" s="6"/>
      <c r="H35" s="7"/>
      <c r="I35" s="47"/>
      <c r="J35" s="3"/>
      <c r="K35" s="7"/>
      <c r="M35" s="7"/>
    </row>
    <row r="36" spans="1:13" x14ac:dyDescent="0.25">
      <c r="A36" s="3">
        <v>15500</v>
      </c>
      <c r="B36" s="4">
        <f t="shared" si="1"/>
        <v>1291.6666666666667</v>
      </c>
      <c r="C36" s="157">
        <f t="shared" si="2"/>
        <v>4427</v>
      </c>
      <c r="D36" s="158">
        <f t="shared" si="0"/>
        <v>885.40000000000009</v>
      </c>
      <c r="E36" s="164">
        <f>IF('Total income package'!$A$10=TRUE,SUM(EITC!C36:D36),0)</f>
        <v>5312.4</v>
      </c>
      <c r="F36" s="6"/>
      <c r="G36" s="6"/>
      <c r="H36" s="7"/>
      <c r="I36" s="47"/>
      <c r="J36" s="3"/>
      <c r="K36" s="7"/>
      <c r="M36" s="7"/>
    </row>
    <row r="37" spans="1:13" x14ac:dyDescent="0.25">
      <c r="A37" s="3">
        <v>16000</v>
      </c>
      <c r="B37" s="4">
        <f t="shared" si="1"/>
        <v>1333.3333333333333</v>
      </c>
      <c r="C37" s="157">
        <f t="shared" si="2"/>
        <v>4427</v>
      </c>
      <c r="D37" s="158">
        <f t="shared" si="0"/>
        <v>885.40000000000009</v>
      </c>
      <c r="E37" s="164">
        <f>IF('Total income package'!$A$10=TRUE,SUM(EITC!C37:D37),0)</f>
        <v>5312.4</v>
      </c>
      <c r="F37" s="6"/>
      <c r="G37" s="6"/>
      <c r="H37" s="7"/>
      <c r="I37" s="47"/>
      <c r="J37" s="3"/>
      <c r="K37" s="7"/>
      <c r="M37" s="7"/>
    </row>
    <row r="38" spans="1:13" x14ac:dyDescent="0.25">
      <c r="A38" s="3">
        <v>16500</v>
      </c>
      <c r="B38" s="4">
        <f t="shared" si="1"/>
        <v>1375</v>
      </c>
      <c r="C38" s="157">
        <f t="shared" si="2"/>
        <v>4427</v>
      </c>
      <c r="D38" s="158">
        <f t="shared" si="0"/>
        <v>885.40000000000009</v>
      </c>
      <c r="E38" s="164">
        <f>IF('Total income package'!$A$10=TRUE,SUM(EITC!C38:D38),0)</f>
        <v>5312.4</v>
      </c>
      <c r="F38" s="6"/>
      <c r="G38" s="6"/>
      <c r="H38" s="7"/>
      <c r="I38" s="47"/>
      <c r="J38" s="3"/>
      <c r="K38" s="7"/>
      <c r="M38" s="7"/>
    </row>
    <row r="39" spans="1:13" x14ac:dyDescent="0.25">
      <c r="A39" s="3">
        <v>17000</v>
      </c>
      <c r="B39" s="4">
        <f t="shared" si="1"/>
        <v>1416.6666666666667</v>
      </c>
      <c r="C39" s="157">
        <f t="shared" si="2"/>
        <v>4427</v>
      </c>
      <c r="D39" s="158">
        <f t="shared" si="0"/>
        <v>885.40000000000009</v>
      </c>
      <c r="E39" s="164">
        <f>IF('Total income package'!$A$10=TRUE,SUM(EITC!C39:D39),0)</f>
        <v>5312.4</v>
      </c>
      <c r="F39" s="6"/>
      <c r="G39" s="6"/>
      <c r="H39" s="7"/>
      <c r="I39" s="47"/>
      <c r="J39" s="3"/>
      <c r="K39" s="7"/>
      <c r="M39" s="7"/>
    </row>
    <row r="40" spans="1:13" x14ac:dyDescent="0.25">
      <c r="A40" s="3">
        <v>17500</v>
      </c>
      <c r="B40" s="4">
        <f t="shared" si="1"/>
        <v>1458.3333333333333</v>
      </c>
      <c r="C40" s="157">
        <f>MAX(0,IF(A40&gt;$F$2,0,IF(AND(A40&lt;$F$2,A40&gt;=$K$2),$G$2-((A40-$K$2-1)*$I$2),IF(AND(A40&lt;$K$2,A40&gt;=$J$2),$G$2,IF(A40&lt;$J$2,A40*$H$2,0)))))</f>
        <v>4427</v>
      </c>
      <c r="D40" s="158">
        <f t="shared" si="0"/>
        <v>885.40000000000009</v>
      </c>
      <c r="E40" s="164">
        <f>IF('Total income package'!$A$10=TRUE,SUM(EITC!C40:D40),0)</f>
        <v>5312.4</v>
      </c>
      <c r="F40" s="6"/>
      <c r="G40" s="6"/>
      <c r="H40" s="7"/>
      <c r="I40" s="47"/>
      <c r="J40" s="3"/>
      <c r="K40" s="7"/>
      <c r="M40" s="7"/>
    </row>
    <row r="41" spans="1:13" x14ac:dyDescent="0.25">
      <c r="A41" s="3">
        <v>18000</v>
      </c>
      <c r="B41" s="4">
        <f t="shared" si="1"/>
        <v>1500</v>
      </c>
      <c r="C41" s="157">
        <f t="shared" si="2"/>
        <v>4427</v>
      </c>
      <c r="D41" s="158">
        <f t="shared" si="0"/>
        <v>885.40000000000009</v>
      </c>
      <c r="E41" s="164">
        <f>IF('Total income package'!$A$10=TRUE,SUM(EITC!C41:D41),0)</f>
        <v>5312.4</v>
      </c>
      <c r="F41" s="6"/>
      <c r="G41" s="6"/>
      <c r="H41" s="7"/>
      <c r="I41" s="47"/>
      <c r="J41" s="3"/>
      <c r="K41" s="7"/>
      <c r="M41" s="7"/>
    </row>
    <row r="42" spans="1:13" x14ac:dyDescent="0.25">
      <c r="A42" s="3">
        <v>18500</v>
      </c>
      <c r="B42" s="4">
        <f t="shared" si="1"/>
        <v>1541.6666666666667</v>
      </c>
      <c r="C42" s="157">
        <f t="shared" si="2"/>
        <v>4427</v>
      </c>
      <c r="D42" s="158">
        <f t="shared" si="0"/>
        <v>885.40000000000009</v>
      </c>
      <c r="E42" s="164">
        <f>IF('Total income package'!$A$10=TRUE,SUM(EITC!C42:D42),0)</f>
        <v>5312.4</v>
      </c>
      <c r="F42" s="6"/>
      <c r="G42" s="6"/>
      <c r="H42" s="7"/>
      <c r="I42" s="47"/>
      <c r="J42" s="3"/>
      <c r="K42" s="7"/>
      <c r="M42" s="7"/>
    </row>
    <row r="43" spans="1:13" x14ac:dyDescent="0.25">
      <c r="A43" s="3">
        <v>19000</v>
      </c>
      <c r="B43" s="4">
        <f t="shared" si="1"/>
        <v>1583.3333333333333</v>
      </c>
      <c r="C43" s="157">
        <f>MAX(0,IF(A43&gt;$F$2,0,IF(AND(A43&lt;$F$2,A43&gt;=$K$2),$G$2-((A43-$K$2-1)*$I$2),IF(AND(A43&lt;$K$2,A43&gt;=$J$2),$G$2,IF(A43&lt;$J$2,A43*$H$2,0)))))</f>
        <v>4427</v>
      </c>
      <c r="D43" s="158">
        <f t="shared" si="0"/>
        <v>885.40000000000009</v>
      </c>
      <c r="E43" s="164">
        <f>IF('Total income package'!$A$10=TRUE,SUM(EITC!C43:D43),0)</f>
        <v>5312.4</v>
      </c>
      <c r="F43" s="6"/>
      <c r="G43" s="6"/>
      <c r="H43" s="7"/>
      <c r="I43" s="47"/>
      <c r="J43" s="3"/>
      <c r="K43" s="7"/>
      <c r="M43" s="7"/>
    </row>
    <row r="44" spans="1:13" x14ac:dyDescent="0.25">
      <c r="A44" s="3">
        <v>19500</v>
      </c>
      <c r="B44" s="4">
        <f t="shared" si="1"/>
        <v>1625</v>
      </c>
      <c r="C44" s="157">
        <f t="shared" si="2"/>
        <v>4427</v>
      </c>
      <c r="D44" s="158">
        <f t="shared" si="0"/>
        <v>885.40000000000009</v>
      </c>
      <c r="E44" s="164">
        <f>IF('Total income package'!$A$10=TRUE,SUM(EITC!C44:D44),0)</f>
        <v>5312.4</v>
      </c>
      <c r="F44" s="6"/>
      <c r="G44" s="6"/>
      <c r="H44" s="7"/>
      <c r="I44" s="47"/>
      <c r="J44" s="3"/>
      <c r="K44" s="7"/>
      <c r="M44" s="7"/>
    </row>
    <row r="45" spans="1:13" x14ac:dyDescent="0.25">
      <c r="A45" s="3">
        <v>20000</v>
      </c>
      <c r="B45" s="4">
        <f t="shared" si="1"/>
        <v>1666.6666666666667</v>
      </c>
      <c r="C45" s="157">
        <f t="shared" si="2"/>
        <v>4427</v>
      </c>
      <c r="D45" s="158">
        <f t="shared" si="0"/>
        <v>885.40000000000009</v>
      </c>
      <c r="E45" s="164">
        <f>IF('Total income package'!$A$10=TRUE,SUM(EITC!C45:D45),0)</f>
        <v>5312.4</v>
      </c>
      <c r="F45" s="6"/>
      <c r="G45" s="6"/>
      <c r="H45" s="7"/>
      <c r="I45" s="47"/>
      <c r="J45" s="3"/>
      <c r="M45" s="7"/>
    </row>
    <row r="46" spans="1:13" x14ac:dyDescent="0.25">
      <c r="A46" s="3">
        <v>20500</v>
      </c>
      <c r="B46" s="4">
        <f t="shared" si="1"/>
        <v>1708.3333333333333</v>
      </c>
      <c r="C46" s="157">
        <f t="shared" si="2"/>
        <v>4427</v>
      </c>
      <c r="D46" s="158">
        <f t="shared" si="0"/>
        <v>885.40000000000009</v>
      </c>
      <c r="E46" s="164">
        <f>IF('Total income package'!$A$10=TRUE,SUM(EITC!C46:D46),0)</f>
        <v>5312.4</v>
      </c>
      <c r="F46" s="6"/>
      <c r="G46" s="6"/>
      <c r="H46" s="7"/>
      <c r="I46" s="47"/>
      <c r="J46" s="3"/>
      <c r="M46" s="7"/>
    </row>
    <row r="47" spans="1:13" x14ac:dyDescent="0.25">
      <c r="A47" s="3">
        <v>21000</v>
      </c>
      <c r="B47" s="4">
        <f t="shared" si="1"/>
        <v>1750</v>
      </c>
      <c r="C47" s="157">
        <f t="shared" si="2"/>
        <v>4427</v>
      </c>
      <c r="D47" s="158">
        <f t="shared" si="0"/>
        <v>885.40000000000009</v>
      </c>
      <c r="E47" s="164">
        <f>IF('Total income package'!$A$10=TRUE,SUM(EITC!C47:D47),0)</f>
        <v>5312.4</v>
      </c>
      <c r="F47" s="6"/>
      <c r="G47" s="6"/>
      <c r="H47" s="7"/>
      <c r="I47" s="47"/>
      <c r="J47" s="3"/>
      <c r="M47" s="7"/>
    </row>
    <row r="48" spans="1:13" x14ac:dyDescent="0.25">
      <c r="A48" s="3">
        <v>21500</v>
      </c>
      <c r="B48" s="4">
        <f t="shared" si="1"/>
        <v>1791.6666666666667</v>
      </c>
      <c r="C48" s="157">
        <f t="shared" si="2"/>
        <v>4427</v>
      </c>
      <c r="D48" s="158">
        <f t="shared" si="0"/>
        <v>885.40000000000009</v>
      </c>
      <c r="E48" s="164">
        <f>IF('Total income package'!$A$10=TRUE,SUM(EITC!C48:D48),0)</f>
        <v>5312.4</v>
      </c>
      <c r="F48" s="6"/>
      <c r="G48" s="6"/>
      <c r="H48" s="7"/>
      <c r="I48" s="47"/>
      <c r="J48" s="3"/>
      <c r="M48" s="7"/>
    </row>
    <row r="49" spans="1:13" x14ac:dyDescent="0.25">
      <c r="A49" s="3">
        <v>22000</v>
      </c>
      <c r="B49" s="4">
        <f t="shared" si="1"/>
        <v>1833.3333333333333</v>
      </c>
      <c r="C49" s="157">
        <f t="shared" si="2"/>
        <v>4427</v>
      </c>
      <c r="D49" s="158">
        <f t="shared" si="0"/>
        <v>885.40000000000009</v>
      </c>
      <c r="E49" s="164">
        <f>IF('Total income package'!$A$10=TRUE,SUM(EITC!C49:D49),0)</f>
        <v>5312.4</v>
      </c>
      <c r="F49" s="6"/>
      <c r="G49" s="6"/>
      <c r="H49" s="7"/>
      <c r="I49" s="47"/>
      <c r="J49" s="3"/>
      <c r="M49" s="7"/>
    </row>
    <row r="50" spans="1:13" x14ac:dyDescent="0.25">
      <c r="A50" s="3">
        <v>22500</v>
      </c>
      <c r="B50" s="4">
        <f t="shared" si="1"/>
        <v>1875</v>
      </c>
      <c r="C50" s="157">
        <f t="shared" si="2"/>
        <v>4427</v>
      </c>
      <c r="D50" s="158">
        <f t="shared" si="0"/>
        <v>885.40000000000009</v>
      </c>
      <c r="E50" s="164">
        <f>IF('Total income package'!$A$10=TRUE,SUM(EITC!C50:D50),0)</f>
        <v>5312.4</v>
      </c>
      <c r="F50" s="6"/>
      <c r="G50" s="6"/>
      <c r="H50" s="7"/>
      <c r="I50" s="47"/>
      <c r="J50" s="3"/>
      <c r="M50" s="7"/>
    </row>
    <row r="51" spans="1:13" x14ac:dyDescent="0.25">
      <c r="A51" s="3">
        <v>23000</v>
      </c>
      <c r="B51" s="4">
        <f t="shared" si="1"/>
        <v>1916.6666666666667</v>
      </c>
      <c r="C51" s="157">
        <f t="shared" si="2"/>
        <v>4427</v>
      </c>
      <c r="D51" s="158">
        <f t="shared" si="0"/>
        <v>885.40000000000009</v>
      </c>
      <c r="E51" s="164">
        <f>IF('Total income package'!$A$10=TRUE,SUM(EITC!C51:D51),0)</f>
        <v>5312.4</v>
      </c>
      <c r="F51" s="6"/>
      <c r="G51" s="6"/>
      <c r="H51" s="7"/>
      <c r="I51" s="47"/>
      <c r="J51" s="3"/>
      <c r="M51" s="7"/>
    </row>
    <row r="52" spans="1:13" x14ac:dyDescent="0.25">
      <c r="A52" s="3">
        <v>23500</v>
      </c>
      <c r="B52" s="4">
        <f t="shared" si="1"/>
        <v>1958.3333333333333</v>
      </c>
      <c r="C52" s="157">
        <f t="shared" si="2"/>
        <v>4427</v>
      </c>
      <c r="D52" s="158">
        <f t="shared" si="0"/>
        <v>885.40000000000009</v>
      </c>
      <c r="E52" s="164">
        <f>IF('Total income package'!$A$10=TRUE,SUM(EITC!C52:D52),0)</f>
        <v>5312.4</v>
      </c>
      <c r="F52" s="6"/>
      <c r="G52" s="6"/>
      <c r="H52" s="7"/>
      <c r="I52" s="47"/>
      <c r="J52" s="3"/>
      <c r="M52" s="7"/>
    </row>
    <row r="53" spans="1:13" x14ac:dyDescent="0.25">
      <c r="A53" s="3">
        <v>24000</v>
      </c>
      <c r="B53" s="4">
        <f t="shared" si="1"/>
        <v>2000</v>
      </c>
      <c r="C53" s="157">
        <f t="shared" si="2"/>
        <v>4409.5817999999999</v>
      </c>
      <c r="D53" s="158">
        <f t="shared" si="0"/>
        <v>881.91636000000005</v>
      </c>
      <c r="E53" s="164">
        <f>IF('Total income package'!$A$10=TRUE,SUM(EITC!C53:D53),0)</f>
        <v>5291.4981600000001</v>
      </c>
      <c r="F53" s="6"/>
      <c r="G53" s="6"/>
      <c r="H53" s="7"/>
      <c r="I53" s="47"/>
      <c r="J53" s="3"/>
      <c r="M53" s="7"/>
    </row>
    <row r="54" spans="1:13" x14ac:dyDescent="0.25">
      <c r="A54" s="3">
        <v>24500</v>
      </c>
      <c r="B54" s="4">
        <f t="shared" si="1"/>
        <v>2041.6666666666667</v>
      </c>
      <c r="C54" s="157">
        <f t="shared" si="2"/>
        <v>4329.6818000000003</v>
      </c>
      <c r="D54" s="158">
        <f t="shared" si="0"/>
        <v>865.93636000000015</v>
      </c>
      <c r="E54" s="164">
        <f>IF('Total income package'!$A$10=TRUE,SUM(EITC!C54:D54),0)</f>
        <v>5195.61816</v>
      </c>
      <c r="F54" s="6"/>
      <c r="G54" s="6"/>
      <c r="H54" s="7"/>
      <c r="I54" s="47"/>
      <c r="J54" s="3"/>
      <c r="M54" s="7"/>
    </row>
    <row r="55" spans="1:13" x14ac:dyDescent="0.25">
      <c r="A55" s="3">
        <v>25000</v>
      </c>
      <c r="B55" s="4">
        <f t="shared" si="1"/>
        <v>2083.3333333333335</v>
      </c>
      <c r="C55" s="157">
        <f>MAX(0,IF(A55&gt;$F$2,0,IF(AND(A55&lt;$F$2,A55&gt;=$K$2),$G$2-((A55-$K$2-1)*$I$2),IF(AND(A55&lt;$K$2,A55&gt;=$J$2),$G$2,IF(A55&lt;$J$2,A55*$H$2,0)))))</f>
        <v>4249.7817999999997</v>
      </c>
      <c r="D55" s="158">
        <f t="shared" si="0"/>
        <v>849.95636000000002</v>
      </c>
      <c r="E55" s="164">
        <f>IF('Total income package'!$A$10=TRUE,SUM(EITC!C55:D55),0)</f>
        <v>5099.7381599999999</v>
      </c>
      <c r="F55" s="6"/>
      <c r="G55" s="6"/>
      <c r="H55" s="7"/>
      <c r="I55" s="47"/>
      <c r="J55" s="3"/>
      <c r="M55" s="7"/>
    </row>
    <row r="56" spans="1:13" x14ac:dyDescent="0.25">
      <c r="A56" s="3">
        <v>25500</v>
      </c>
      <c r="B56" s="4">
        <f t="shared" si="1"/>
        <v>2125</v>
      </c>
      <c r="C56" s="157">
        <f t="shared" si="2"/>
        <v>4169.8818000000001</v>
      </c>
      <c r="D56" s="158">
        <f t="shared" si="0"/>
        <v>833.97636000000011</v>
      </c>
      <c r="E56" s="164">
        <f>IF('Total income package'!$A$10=TRUE,SUM(EITC!C56:D56),0)</f>
        <v>5003.8581599999998</v>
      </c>
      <c r="F56" s="6"/>
      <c r="G56" s="6"/>
      <c r="H56" s="7"/>
      <c r="I56" s="47"/>
      <c r="J56" s="3"/>
      <c r="M56" s="7"/>
    </row>
    <row r="57" spans="1:13" x14ac:dyDescent="0.25">
      <c r="A57" s="3">
        <v>26000</v>
      </c>
      <c r="B57" s="4">
        <f t="shared" si="1"/>
        <v>2166.6666666666665</v>
      </c>
      <c r="C57" s="157">
        <f t="shared" si="2"/>
        <v>4089.9818</v>
      </c>
      <c r="D57" s="158">
        <f t="shared" si="0"/>
        <v>817.9963600000001</v>
      </c>
      <c r="E57" s="164">
        <f>IF('Total income package'!$A$10=TRUE,SUM(EITC!C57:D57),0)</f>
        <v>4907.9781600000006</v>
      </c>
      <c r="F57" s="6"/>
      <c r="G57" s="6"/>
      <c r="H57" s="7"/>
      <c r="I57" s="47"/>
      <c r="J57" s="3"/>
      <c r="M57" s="7"/>
    </row>
    <row r="58" spans="1:13" x14ac:dyDescent="0.25">
      <c r="A58" s="3">
        <v>26500</v>
      </c>
      <c r="B58" s="4">
        <f t="shared" si="1"/>
        <v>2208.3333333333335</v>
      </c>
      <c r="C58" s="157">
        <f t="shared" si="2"/>
        <v>4010.0817999999999</v>
      </c>
      <c r="D58" s="158">
        <f t="shared" si="0"/>
        <v>802.01636000000008</v>
      </c>
      <c r="E58" s="164">
        <f>IF('Total income package'!$A$10=TRUE,SUM(EITC!C58:D58),0)</f>
        <v>4812.0981599999996</v>
      </c>
      <c r="F58" s="6"/>
      <c r="G58" s="6"/>
      <c r="H58" s="7"/>
      <c r="I58" s="47"/>
      <c r="J58" s="3"/>
      <c r="M58" s="7"/>
    </row>
    <row r="59" spans="1:13" x14ac:dyDescent="0.25">
      <c r="A59" s="3">
        <v>27000</v>
      </c>
      <c r="B59" s="4">
        <f t="shared" si="1"/>
        <v>2250</v>
      </c>
      <c r="C59" s="157">
        <f t="shared" si="2"/>
        <v>3930.1817999999998</v>
      </c>
      <c r="D59" s="158">
        <f t="shared" si="0"/>
        <v>786.03636000000006</v>
      </c>
      <c r="E59" s="164">
        <f>IF('Total income package'!$A$10=TRUE,SUM(EITC!C59:D59),0)</f>
        <v>4716.2181600000004</v>
      </c>
      <c r="F59" s="6"/>
      <c r="G59" s="6"/>
      <c r="H59" s="7"/>
      <c r="I59" s="47"/>
      <c r="J59" s="3"/>
      <c r="M59" s="7"/>
    </row>
    <row r="60" spans="1:13" x14ac:dyDescent="0.25">
      <c r="A60" s="3">
        <v>27500</v>
      </c>
      <c r="B60" s="4">
        <f t="shared" si="1"/>
        <v>2291.6666666666665</v>
      </c>
      <c r="C60" s="157">
        <f t="shared" si="2"/>
        <v>3850.2817999999997</v>
      </c>
      <c r="D60" s="158">
        <f t="shared" si="0"/>
        <v>770.05636000000004</v>
      </c>
      <c r="E60" s="164">
        <f>IF('Total income package'!$A$10=TRUE,SUM(EITC!C60:D60),0)</f>
        <v>4620.3381599999993</v>
      </c>
      <c r="F60" s="6"/>
      <c r="G60" s="6"/>
      <c r="H60" s="7"/>
      <c r="I60" s="47"/>
      <c r="J60" s="3"/>
      <c r="M60" s="7"/>
    </row>
    <row r="61" spans="1:13" x14ac:dyDescent="0.25">
      <c r="A61" s="3">
        <v>28000</v>
      </c>
      <c r="B61" s="4">
        <f t="shared" si="1"/>
        <v>2333.3333333333335</v>
      </c>
      <c r="C61" s="157">
        <f t="shared" si="2"/>
        <v>3770.3818000000001</v>
      </c>
      <c r="D61" s="158">
        <f t="shared" si="0"/>
        <v>754.07636000000002</v>
      </c>
      <c r="E61" s="164">
        <f>IF('Total income package'!$A$10=TRUE,SUM(EITC!C61:D61),0)</f>
        <v>4524.4581600000001</v>
      </c>
      <c r="F61" s="6"/>
      <c r="G61" s="6"/>
      <c r="H61" s="7"/>
      <c r="I61" s="47"/>
      <c r="J61" s="3"/>
      <c r="M61" s="7"/>
    </row>
    <row r="62" spans="1:13" x14ac:dyDescent="0.25">
      <c r="A62" s="3">
        <v>28500</v>
      </c>
      <c r="B62" s="4">
        <f t="shared" si="1"/>
        <v>2375</v>
      </c>
      <c r="C62" s="157">
        <f t="shared" si="2"/>
        <v>3690.4818</v>
      </c>
      <c r="D62" s="158">
        <f t="shared" si="0"/>
        <v>738.09636</v>
      </c>
      <c r="E62" s="164">
        <f>IF('Total income package'!$A$10=TRUE,SUM(EITC!C62:D62),0)</f>
        <v>4428.57816</v>
      </c>
      <c r="F62" s="6"/>
      <c r="G62" s="6"/>
      <c r="H62" s="7"/>
      <c r="I62" s="47"/>
      <c r="J62" s="3"/>
      <c r="M62" s="7"/>
    </row>
    <row r="63" spans="1:13" x14ac:dyDescent="0.25">
      <c r="A63" s="3">
        <v>29000</v>
      </c>
      <c r="B63" s="4">
        <f t="shared" si="1"/>
        <v>2416.6666666666665</v>
      </c>
      <c r="C63" s="157">
        <f t="shared" si="2"/>
        <v>3610.5817999999999</v>
      </c>
      <c r="D63" s="158">
        <f t="shared" si="0"/>
        <v>722.11635999999999</v>
      </c>
      <c r="E63" s="164">
        <f>IF('Total income package'!$A$10=TRUE,SUM(EITC!C63:D63),0)</f>
        <v>4332.6981599999999</v>
      </c>
      <c r="F63" s="6"/>
      <c r="G63" s="6"/>
      <c r="H63" s="7"/>
      <c r="J63" s="3"/>
    </row>
    <row r="64" spans="1:13" x14ac:dyDescent="0.25">
      <c r="A64" s="3">
        <v>29500</v>
      </c>
      <c r="B64" s="4">
        <f t="shared" si="1"/>
        <v>2458.3333333333335</v>
      </c>
      <c r="C64" s="157">
        <f t="shared" si="2"/>
        <v>3530.6818000000003</v>
      </c>
      <c r="D64" s="158">
        <f t="shared" si="0"/>
        <v>706.13636000000008</v>
      </c>
      <c r="E64" s="164">
        <f>IF('Total income package'!$A$10=TRUE,SUM(EITC!C64:D64),0)</f>
        <v>4236.8181600000007</v>
      </c>
      <c r="F64" s="6"/>
      <c r="G64" s="6"/>
      <c r="H64" s="7"/>
      <c r="J64" s="3"/>
    </row>
    <row r="65" spans="1:10" x14ac:dyDescent="0.25">
      <c r="A65" s="3">
        <v>30000</v>
      </c>
      <c r="B65" s="4">
        <f t="shared" si="1"/>
        <v>2500</v>
      </c>
      <c r="C65" s="157">
        <f t="shared" si="2"/>
        <v>3450.7817999999997</v>
      </c>
      <c r="D65" s="158">
        <f t="shared" si="0"/>
        <v>690.15635999999995</v>
      </c>
      <c r="E65" s="164">
        <f>IF('Total income package'!$A$10=TRUE,SUM(EITC!C65:D65),0)</f>
        <v>4140.9381599999997</v>
      </c>
      <c r="F65" s="6"/>
      <c r="G65" s="6"/>
      <c r="H65" s="7"/>
      <c r="J65" s="3"/>
    </row>
    <row r="66" spans="1:10" x14ac:dyDescent="0.25">
      <c r="A66" s="3">
        <v>30500</v>
      </c>
      <c r="B66" s="4">
        <f t="shared" si="1"/>
        <v>2541.6666666666665</v>
      </c>
      <c r="C66" s="157">
        <f t="shared" si="2"/>
        <v>3370.8818000000001</v>
      </c>
      <c r="D66" s="158">
        <f t="shared" si="0"/>
        <v>674.17636000000005</v>
      </c>
      <c r="E66" s="164">
        <f>IF('Total income package'!$A$10=TRUE,SUM(EITC!C66:D66),0)</f>
        <v>4045.05816</v>
      </c>
      <c r="F66" s="6"/>
      <c r="G66" s="6"/>
      <c r="H66" s="7"/>
      <c r="J66" s="3"/>
    </row>
    <row r="67" spans="1:10" x14ac:dyDescent="0.25">
      <c r="A67" s="3">
        <v>31000</v>
      </c>
      <c r="B67" s="4">
        <f t="shared" si="1"/>
        <v>2583.3333333333335</v>
      </c>
      <c r="C67" s="157">
        <f t="shared" si="2"/>
        <v>3290.9818</v>
      </c>
      <c r="D67" s="158">
        <f t="shared" si="0"/>
        <v>658.19636000000003</v>
      </c>
      <c r="E67" s="164">
        <f>IF('Total income package'!$A$10=TRUE,SUM(EITC!C67:D67),0)</f>
        <v>3949.1781599999999</v>
      </c>
      <c r="F67" s="6"/>
      <c r="G67" s="6"/>
      <c r="H67" s="7"/>
      <c r="J67" s="3"/>
    </row>
    <row r="68" spans="1:10" x14ac:dyDescent="0.25">
      <c r="A68" s="3">
        <v>31500</v>
      </c>
      <c r="B68" s="4">
        <f t="shared" si="1"/>
        <v>2625</v>
      </c>
      <c r="C68" s="157">
        <f t="shared" si="2"/>
        <v>3211.0817999999999</v>
      </c>
      <c r="D68" s="158">
        <f t="shared" si="0"/>
        <v>642.21636000000001</v>
      </c>
      <c r="E68" s="164">
        <f>IF('Total income package'!$A$10=TRUE,SUM(EITC!C68:D68),0)</f>
        <v>3853.2981599999998</v>
      </c>
      <c r="F68" s="6"/>
      <c r="G68" s="6"/>
      <c r="H68" s="7"/>
      <c r="J68" s="3"/>
    </row>
    <row r="69" spans="1:10" x14ac:dyDescent="0.25">
      <c r="A69" s="3">
        <v>32000</v>
      </c>
      <c r="B69" s="4">
        <f t="shared" si="1"/>
        <v>2666.6666666666665</v>
      </c>
      <c r="C69" s="157">
        <f t="shared" si="2"/>
        <v>3131.1818000000003</v>
      </c>
      <c r="D69" s="158">
        <f t="shared" si="0"/>
        <v>626.2363600000001</v>
      </c>
      <c r="E69" s="164">
        <f>IF('Total income package'!$A$10=TRUE,SUM(EITC!C69:D69),0)</f>
        <v>3757.4181600000002</v>
      </c>
      <c r="F69" s="6"/>
      <c r="G69" s="6"/>
      <c r="H69" s="7"/>
      <c r="J69" s="3"/>
    </row>
    <row r="70" spans="1:10" x14ac:dyDescent="0.25">
      <c r="A70" s="3">
        <v>32500</v>
      </c>
      <c r="B70" s="4">
        <f t="shared" si="1"/>
        <v>2708.3333333333335</v>
      </c>
      <c r="C70" s="157">
        <f t="shared" si="2"/>
        <v>3051.2817999999997</v>
      </c>
      <c r="D70" s="158">
        <f t="shared" ref="D70:D133" si="3">C70*0.2</f>
        <v>610.25635999999997</v>
      </c>
      <c r="E70" s="164">
        <f>IF('Total income package'!$A$10=TRUE,SUM(EITC!C70:D70),0)</f>
        <v>3661.5381599999996</v>
      </c>
      <c r="F70" s="6"/>
      <c r="G70" s="6"/>
      <c r="H70" s="7"/>
      <c r="J70" s="3"/>
    </row>
    <row r="71" spans="1:10" x14ac:dyDescent="0.25">
      <c r="A71" s="3">
        <v>33000</v>
      </c>
      <c r="B71" s="4">
        <f t="shared" si="1"/>
        <v>2750</v>
      </c>
      <c r="C71" s="157">
        <f>MAX(0,IF(A71&gt;$F$2,0,IF(AND(A71&lt;$F$2,A71&gt;=$K$2),$G$2-((A71-$K$2-1)*$I$2),IF(AND(A71&lt;$K$2,A71&gt;=$J$2),$G$2,IF(A71&lt;$J$2,A71*$H$2,0)))))</f>
        <v>2971.3818000000001</v>
      </c>
      <c r="D71" s="158">
        <f t="shared" si="3"/>
        <v>594.27636000000007</v>
      </c>
      <c r="E71" s="164">
        <f>IF('Total income package'!$A$10=TRUE,SUM(EITC!C71:D71),0)</f>
        <v>3565.65816</v>
      </c>
      <c r="F71" s="6"/>
      <c r="G71" s="6"/>
      <c r="H71" s="7"/>
      <c r="J71" s="3"/>
    </row>
    <row r="72" spans="1:10" x14ac:dyDescent="0.25">
      <c r="A72" s="3">
        <v>33500</v>
      </c>
      <c r="B72" s="4">
        <f t="shared" ref="B72:B135" si="4">A72/12</f>
        <v>2791.6666666666665</v>
      </c>
      <c r="C72" s="157">
        <f>MAX(0,IF(A72&gt;$F$2,0,IF(AND(A72&lt;$F$2,A72&gt;=$K$2),$G$2-((A72-$K$2-1)*$I$2),IF(AND(A72&lt;$K$2,A72&gt;=$J$2),$G$2,IF(A72&lt;$J$2,A72*$H$2,0)))))</f>
        <v>2891.4818</v>
      </c>
      <c r="D72" s="158">
        <f t="shared" si="3"/>
        <v>578.29636000000005</v>
      </c>
      <c r="E72" s="164">
        <f>IF('Total income package'!$A$10=TRUE,SUM(EITC!C72:D72),0)</f>
        <v>3469.7781599999998</v>
      </c>
      <c r="F72" s="6"/>
      <c r="G72" s="6"/>
      <c r="H72" s="7"/>
      <c r="J72" s="3"/>
    </row>
    <row r="73" spans="1:10" x14ac:dyDescent="0.25">
      <c r="A73" s="3">
        <v>34000</v>
      </c>
      <c r="B73" s="4">
        <f t="shared" si="4"/>
        <v>2833.3333333333335</v>
      </c>
      <c r="C73" s="157">
        <f>MAX(0,IF(A73&gt;$F$2,0,IF(AND(A73&lt;$F$2,A73&gt;=$K$2),$G$2-((A73-$K$2-1)*$I$2),IF(AND(A73&lt;$K$2,A73&gt;=$J$2),$G$2,IF(A73&lt;$J$2,A73*$H$2,0)))))</f>
        <v>2811.5817999999999</v>
      </c>
      <c r="D73" s="158">
        <f t="shared" si="3"/>
        <v>562.31636000000003</v>
      </c>
      <c r="E73" s="164">
        <f>IF('Total income package'!$A$10=TRUE,SUM(EITC!C73:D73),0)</f>
        <v>3373.8981599999997</v>
      </c>
      <c r="F73" s="6"/>
      <c r="G73" s="6"/>
      <c r="H73" s="7"/>
      <c r="J73" s="3"/>
    </row>
    <row r="74" spans="1:10" x14ac:dyDescent="0.25">
      <c r="A74" s="3">
        <v>34500</v>
      </c>
      <c r="B74" s="4">
        <f t="shared" si="4"/>
        <v>2875</v>
      </c>
      <c r="C74" s="157">
        <f t="shared" ref="C74:C104" si="5">MAX(0,IF(A74&gt;$F$2,0,IF(AND(A74&lt;$F$2,A74&gt;=$K$2),$G$2-((A74-$K$2-1)*$I$2),IF(AND(A74&lt;$K$2,A74&gt;=$J$2),$G$2,IF(A74&lt;$J$2,A74*$H$2,0)))))</f>
        <v>2731.6818000000003</v>
      </c>
      <c r="D74" s="158">
        <f t="shared" si="3"/>
        <v>546.33636000000013</v>
      </c>
      <c r="E74" s="164">
        <f>IF('Total income package'!$A$10=TRUE,SUM(EITC!C74:D74),0)</f>
        <v>3278.0181600000005</v>
      </c>
      <c r="F74" s="6"/>
      <c r="G74" s="6"/>
      <c r="H74" s="7"/>
      <c r="J74" s="3"/>
    </row>
    <row r="75" spans="1:10" x14ac:dyDescent="0.25">
      <c r="A75" s="3">
        <v>35000</v>
      </c>
      <c r="B75" s="4">
        <f t="shared" si="4"/>
        <v>2916.6666666666665</v>
      </c>
      <c r="C75" s="157">
        <f t="shared" si="5"/>
        <v>2651.7817999999997</v>
      </c>
      <c r="D75" s="158">
        <f t="shared" si="3"/>
        <v>530.35636</v>
      </c>
      <c r="E75" s="164">
        <f>IF('Total income package'!$A$10=TRUE,SUM(EITC!C75:D75),0)</f>
        <v>3182.1381599999995</v>
      </c>
      <c r="F75" s="6"/>
      <c r="G75" s="6"/>
      <c r="H75" s="7"/>
      <c r="J75" s="3"/>
    </row>
    <row r="76" spans="1:10" x14ac:dyDescent="0.25">
      <c r="A76" s="3">
        <v>35500</v>
      </c>
      <c r="B76" s="4">
        <f t="shared" si="4"/>
        <v>2958.3333333333335</v>
      </c>
      <c r="C76" s="157">
        <f t="shared" si="5"/>
        <v>2571.8818000000001</v>
      </c>
      <c r="D76" s="158">
        <f t="shared" si="3"/>
        <v>514.37636000000009</v>
      </c>
      <c r="E76" s="164">
        <f>IF('Total income package'!$A$10=TRUE,SUM(EITC!C76:D76),0)</f>
        <v>3086.2581600000003</v>
      </c>
      <c r="F76" s="6"/>
      <c r="G76" s="6"/>
      <c r="H76" s="7"/>
      <c r="J76" s="3"/>
    </row>
    <row r="77" spans="1:10" x14ac:dyDescent="0.25">
      <c r="A77" s="3">
        <v>36000</v>
      </c>
      <c r="B77" s="4">
        <f t="shared" si="4"/>
        <v>3000</v>
      </c>
      <c r="C77" s="157">
        <f t="shared" si="5"/>
        <v>2491.9818</v>
      </c>
      <c r="D77" s="158">
        <f t="shared" si="3"/>
        <v>498.39636000000002</v>
      </c>
      <c r="E77" s="164">
        <f>IF('Total income package'!$A$10=TRUE,SUM(EITC!C77:D77),0)</f>
        <v>2990.3781600000002</v>
      </c>
      <c r="F77" s="6"/>
      <c r="G77" s="6"/>
      <c r="H77" s="7"/>
    </row>
    <row r="78" spans="1:10" x14ac:dyDescent="0.25">
      <c r="A78" s="3">
        <v>36500</v>
      </c>
      <c r="B78" s="4">
        <f t="shared" si="4"/>
        <v>3041.6666666666665</v>
      </c>
      <c r="C78" s="157">
        <f t="shared" si="5"/>
        <v>2412.0817999999999</v>
      </c>
      <c r="D78" s="158">
        <f t="shared" si="3"/>
        <v>482.41636</v>
      </c>
      <c r="E78" s="164">
        <f>IF('Total income package'!$A$10=TRUE,SUM(EITC!C78:D78),0)</f>
        <v>2894.4981600000001</v>
      </c>
      <c r="F78" s="6"/>
      <c r="G78" s="6"/>
      <c r="H78" s="7"/>
    </row>
    <row r="79" spans="1:10" x14ac:dyDescent="0.25">
      <c r="A79" s="3">
        <v>37000</v>
      </c>
      <c r="B79" s="4">
        <f t="shared" si="4"/>
        <v>3083.3333333333335</v>
      </c>
      <c r="C79" s="157">
        <f t="shared" si="5"/>
        <v>2332.1817999999998</v>
      </c>
      <c r="D79" s="158">
        <f t="shared" si="3"/>
        <v>466.43635999999998</v>
      </c>
      <c r="E79" s="164">
        <f>IF('Total income package'!$A$10=TRUE,SUM(EITC!C79:D79),0)</f>
        <v>2798.61816</v>
      </c>
      <c r="F79" s="6"/>
      <c r="G79" s="6"/>
      <c r="H79" s="7"/>
    </row>
    <row r="80" spans="1:10" x14ac:dyDescent="0.25">
      <c r="A80" s="3">
        <v>37500</v>
      </c>
      <c r="B80" s="4">
        <f t="shared" si="4"/>
        <v>3125</v>
      </c>
      <c r="C80" s="157">
        <f t="shared" si="5"/>
        <v>2252.2818000000002</v>
      </c>
      <c r="D80" s="158">
        <f t="shared" si="3"/>
        <v>450.45636000000007</v>
      </c>
      <c r="E80" s="164">
        <f>IF('Total income package'!$A$10=TRUE,SUM(EITC!C80:D80),0)</f>
        <v>2702.7381600000003</v>
      </c>
      <c r="F80" s="6"/>
      <c r="G80" s="6"/>
      <c r="H80" s="7"/>
    </row>
    <row r="81" spans="1:8" x14ac:dyDescent="0.25">
      <c r="A81" s="3">
        <v>38000</v>
      </c>
      <c r="B81" s="4">
        <f t="shared" si="4"/>
        <v>3166.6666666666665</v>
      </c>
      <c r="C81" s="157">
        <f t="shared" si="5"/>
        <v>2172.3818000000001</v>
      </c>
      <c r="D81" s="158">
        <f t="shared" si="3"/>
        <v>434.47636000000006</v>
      </c>
      <c r="E81" s="164">
        <f>IF('Total income package'!$A$10=TRUE,SUM(EITC!C81:D81),0)</f>
        <v>2606.8581600000002</v>
      </c>
      <c r="F81" s="6"/>
      <c r="G81" s="6"/>
      <c r="H81" s="7"/>
    </row>
    <row r="82" spans="1:8" x14ac:dyDescent="0.25">
      <c r="A82" s="3">
        <v>38500</v>
      </c>
      <c r="B82" s="4">
        <f t="shared" si="4"/>
        <v>3208.3333333333335</v>
      </c>
      <c r="C82" s="157">
        <f t="shared" si="5"/>
        <v>2092.4818</v>
      </c>
      <c r="D82" s="158">
        <f t="shared" si="3"/>
        <v>418.49636000000004</v>
      </c>
      <c r="E82" s="164">
        <f>IF('Total income package'!$A$10=TRUE,SUM(EITC!C82:D82),0)</f>
        <v>2510.9781600000001</v>
      </c>
      <c r="F82" s="6"/>
      <c r="G82" s="6"/>
      <c r="H82" s="7"/>
    </row>
    <row r="83" spans="1:8" x14ac:dyDescent="0.25">
      <c r="A83" s="3">
        <v>39000</v>
      </c>
      <c r="B83" s="4">
        <f t="shared" si="4"/>
        <v>3250</v>
      </c>
      <c r="C83" s="157">
        <f t="shared" si="5"/>
        <v>2012.5817999999999</v>
      </c>
      <c r="D83" s="158">
        <f t="shared" si="3"/>
        <v>402.51636000000002</v>
      </c>
      <c r="E83" s="164">
        <f>IF('Total income package'!$A$10=TRUE,SUM(EITC!C83:D83),0)</f>
        <v>2415.09816</v>
      </c>
      <c r="F83" s="6"/>
      <c r="G83" s="6"/>
      <c r="H83" s="7"/>
    </row>
    <row r="84" spans="1:8" x14ac:dyDescent="0.25">
      <c r="A84" s="3">
        <v>39500</v>
      </c>
      <c r="B84" s="4">
        <f t="shared" si="4"/>
        <v>3291.6666666666665</v>
      </c>
      <c r="C84" s="157">
        <f t="shared" si="5"/>
        <v>1932.6817999999998</v>
      </c>
      <c r="D84" s="158">
        <f t="shared" si="3"/>
        <v>386.53636</v>
      </c>
      <c r="E84" s="164">
        <f>IF('Total income package'!$A$10=TRUE,SUM(EITC!C84:D84),0)</f>
        <v>2319.2181599999999</v>
      </c>
      <c r="F84" s="6"/>
      <c r="G84" s="6"/>
      <c r="H84" s="7"/>
    </row>
    <row r="85" spans="1:8" x14ac:dyDescent="0.25">
      <c r="A85" s="3">
        <v>40000</v>
      </c>
      <c r="B85" s="4">
        <f t="shared" si="4"/>
        <v>3333.3333333333335</v>
      </c>
      <c r="C85" s="157">
        <f t="shared" si="5"/>
        <v>1852.7818000000002</v>
      </c>
      <c r="D85" s="158">
        <f t="shared" si="3"/>
        <v>370.55636000000004</v>
      </c>
      <c r="E85" s="164">
        <f>IF('Total income package'!$A$10=TRUE,SUM(EITC!C85:D85),0)</f>
        <v>2223.3381600000002</v>
      </c>
      <c r="F85" s="6"/>
      <c r="G85" s="6"/>
      <c r="H85" s="7"/>
    </row>
    <row r="86" spans="1:8" x14ac:dyDescent="0.25">
      <c r="A86" s="3">
        <v>40500</v>
      </c>
      <c r="B86" s="4">
        <f t="shared" si="4"/>
        <v>3375</v>
      </c>
      <c r="C86" s="157">
        <f t="shared" si="5"/>
        <v>1772.8818000000001</v>
      </c>
      <c r="D86" s="158">
        <f t="shared" si="3"/>
        <v>354.57636000000002</v>
      </c>
      <c r="E86" s="164">
        <f>IF('Total income package'!$A$10=TRUE,SUM(EITC!C86:D86),0)</f>
        <v>2127.4581600000001</v>
      </c>
      <c r="F86" s="6"/>
      <c r="G86" s="6"/>
      <c r="H86" s="7"/>
    </row>
    <row r="87" spans="1:8" x14ac:dyDescent="0.25">
      <c r="A87" s="3">
        <v>41000</v>
      </c>
      <c r="B87" s="4">
        <f t="shared" si="4"/>
        <v>3416.6666666666665</v>
      </c>
      <c r="C87" s="157">
        <f t="shared" si="5"/>
        <v>1692.9818</v>
      </c>
      <c r="D87" s="158">
        <f t="shared" si="3"/>
        <v>338.59636</v>
      </c>
      <c r="E87" s="164">
        <f>IF('Total income package'!$A$10=TRUE,SUM(EITC!C87:D87),0)</f>
        <v>2031.57816</v>
      </c>
      <c r="F87" s="6"/>
      <c r="G87" s="6"/>
      <c r="H87" s="7"/>
    </row>
    <row r="88" spans="1:8" x14ac:dyDescent="0.25">
      <c r="A88" s="3">
        <v>41500</v>
      </c>
      <c r="B88" s="4">
        <f t="shared" si="4"/>
        <v>3458.3333333333335</v>
      </c>
      <c r="C88" s="157">
        <f t="shared" si="5"/>
        <v>1613.0817999999999</v>
      </c>
      <c r="D88" s="158">
        <f t="shared" si="3"/>
        <v>322.61635999999999</v>
      </c>
      <c r="E88" s="164">
        <f>IF('Total income package'!$A$10=TRUE,SUM(EITC!C88:D88),0)</f>
        <v>1935.6981599999999</v>
      </c>
      <c r="F88" s="6"/>
      <c r="G88" s="6"/>
      <c r="H88" s="7"/>
    </row>
    <row r="89" spans="1:8" x14ac:dyDescent="0.25">
      <c r="A89" s="3">
        <v>42000</v>
      </c>
      <c r="B89" s="4">
        <f t="shared" si="4"/>
        <v>3500</v>
      </c>
      <c r="C89" s="157">
        <f t="shared" si="5"/>
        <v>1533.1817999999998</v>
      </c>
      <c r="D89" s="158">
        <f t="shared" si="3"/>
        <v>306.63635999999997</v>
      </c>
      <c r="E89" s="164">
        <f>IF('Total income package'!$A$10=TRUE,SUM(EITC!C89:D89),0)</f>
        <v>1839.8181599999998</v>
      </c>
      <c r="F89" s="6"/>
      <c r="G89" s="6"/>
      <c r="H89" s="7"/>
    </row>
    <row r="90" spans="1:8" x14ac:dyDescent="0.25">
      <c r="A90" s="3">
        <v>42500</v>
      </c>
      <c r="B90" s="4">
        <f t="shared" si="4"/>
        <v>3541.6666666666665</v>
      </c>
      <c r="C90" s="157">
        <f t="shared" si="5"/>
        <v>1453.2818000000002</v>
      </c>
      <c r="D90" s="158">
        <f t="shared" si="3"/>
        <v>290.65636000000006</v>
      </c>
      <c r="E90" s="164">
        <f>IF('Total income package'!$A$10=TRUE,SUM(EITC!C90:D90),0)</f>
        <v>1743.9381600000002</v>
      </c>
      <c r="F90" s="6"/>
      <c r="G90" s="6"/>
      <c r="H90" s="7"/>
    </row>
    <row r="91" spans="1:8" x14ac:dyDescent="0.25">
      <c r="A91" s="3">
        <v>43000</v>
      </c>
      <c r="B91" s="4">
        <f t="shared" si="4"/>
        <v>3583.3333333333335</v>
      </c>
      <c r="C91" s="157">
        <f t="shared" si="5"/>
        <v>1373.3818000000001</v>
      </c>
      <c r="D91" s="158">
        <f t="shared" si="3"/>
        <v>274.67636000000005</v>
      </c>
      <c r="E91" s="164">
        <f>IF('Total income package'!$A$10=TRUE,SUM(EITC!C91:D91),0)</f>
        <v>1648.05816</v>
      </c>
      <c r="F91" s="6"/>
      <c r="G91" s="6"/>
      <c r="H91" s="7"/>
    </row>
    <row r="92" spans="1:8" x14ac:dyDescent="0.25">
      <c r="A92" s="3">
        <v>43500</v>
      </c>
      <c r="B92" s="4">
        <f t="shared" si="4"/>
        <v>3625</v>
      </c>
      <c r="C92" s="157">
        <f t="shared" si="5"/>
        <v>1293.4818</v>
      </c>
      <c r="D92" s="158">
        <f t="shared" si="3"/>
        <v>258.69636000000003</v>
      </c>
      <c r="E92" s="164">
        <f>IF('Total income package'!$A$10=TRUE,SUM(EITC!C92:D92),0)</f>
        <v>1552.1781599999999</v>
      </c>
      <c r="F92" s="6"/>
      <c r="G92" s="6"/>
      <c r="H92" s="7"/>
    </row>
    <row r="93" spans="1:8" x14ac:dyDescent="0.25">
      <c r="A93" s="3">
        <v>44000</v>
      </c>
      <c r="B93" s="4">
        <f t="shared" si="4"/>
        <v>3666.6666666666665</v>
      </c>
      <c r="C93" s="157">
        <f t="shared" si="5"/>
        <v>1213.5817999999999</v>
      </c>
      <c r="D93" s="158">
        <f t="shared" si="3"/>
        <v>242.71636000000001</v>
      </c>
      <c r="E93" s="164">
        <f>IF('Total income package'!$A$10=TRUE,SUM(EITC!C93:D93),0)</f>
        <v>1456.2981599999998</v>
      </c>
      <c r="F93" s="6"/>
      <c r="G93" s="6"/>
      <c r="H93" s="7"/>
    </row>
    <row r="94" spans="1:8" x14ac:dyDescent="0.25">
      <c r="A94" s="3">
        <v>44500</v>
      </c>
      <c r="B94" s="4">
        <f t="shared" si="4"/>
        <v>3708.3333333333335</v>
      </c>
      <c r="C94" s="157">
        <f t="shared" si="5"/>
        <v>1133.6817999999998</v>
      </c>
      <c r="D94" s="158">
        <f t="shared" si="3"/>
        <v>226.73635999999999</v>
      </c>
      <c r="E94" s="164">
        <f>IF('Total income package'!$A$10=TRUE,SUM(EITC!C94:D94),0)</f>
        <v>1360.4181599999997</v>
      </c>
      <c r="F94" s="6"/>
      <c r="G94" s="6"/>
      <c r="H94" s="7"/>
    </row>
    <row r="95" spans="1:8" x14ac:dyDescent="0.25">
      <c r="A95" s="3">
        <v>45000</v>
      </c>
      <c r="B95" s="4">
        <f t="shared" si="4"/>
        <v>3750</v>
      </c>
      <c r="C95" s="157">
        <f t="shared" si="5"/>
        <v>1053.7818000000002</v>
      </c>
      <c r="D95" s="158">
        <f t="shared" si="3"/>
        <v>210.75636000000006</v>
      </c>
      <c r="E95" s="164">
        <f>IF('Total income package'!$A$10=TRUE,SUM(EITC!C95:D95),0)</f>
        <v>1264.5381600000003</v>
      </c>
      <c r="F95" s="6"/>
      <c r="G95" s="6"/>
      <c r="H95" s="7"/>
    </row>
    <row r="96" spans="1:8" x14ac:dyDescent="0.25">
      <c r="A96" s="3">
        <v>45500</v>
      </c>
      <c r="B96" s="4">
        <f t="shared" si="4"/>
        <v>3791.6666666666665</v>
      </c>
      <c r="C96" s="157">
        <f t="shared" si="5"/>
        <v>973.88180000000011</v>
      </c>
      <c r="D96" s="158">
        <f t="shared" si="3"/>
        <v>194.77636000000004</v>
      </c>
      <c r="E96" s="164">
        <f>IF('Total income package'!$A$10=TRUE,SUM(EITC!C96:D96),0)</f>
        <v>1168.6581600000002</v>
      </c>
      <c r="F96" s="6"/>
      <c r="G96" s="6"/>
      <c r="H96" s="7"/>
    </row>
    <row r="97" spans="1:8" x14ac:dyDescent="0.25">
      <c r="A97" s="3">
        <v>46000</v>
      </c>
      <c r="B97" s="4">
        <f t="shared" si="4"/>
        <v>3833.3333333333335</v>
      </c>
      <c r="C97" s="157">
        <f t="shared" si="5"/>
        <v>893.98180000000002</v>
      </c>
      <c r="D97" s="158">
        <f t="shared" si="3"/>
        <v>178.79636000000002</v>
      </c>
      <c r="E97" s="164">
        <f>IF('Total income package'!$A$10=TRUE,SUM(EITC!C97:D97),0)</f>
        <v>1072.7781600000001</v>
      </c>
      <c r="F97" s="6"/>
      <c r="G97" s="6"/>
      <c r="H97" s="7"/>
    </row>
    <row r="98" spans="1:8" x14ac:dyDescent="0.25">
      <c r="A98" s="3">
        <v>46500</v>
      </c>
      <c r="B98" s="4">
        <f t="shared" si="4"/>
        <v>3875</v>
      </c>
      <c r="C98" s="157">
        <f t="shared" si="5"/>
        <v>814.08179999999993</v>
      </c>
      <c r="D98" s="158">
        <f t="shared" si="3"/>
        <v>162.81636</v>
      </c>
      <c r="E98" s="164">
        <f>IF('Total income package'!$A$10=TRUE,SUM(EITC!C98:D98),0)</f>
        <v>976.89815999999996</v>
      </c>
      <c r="F98" s="6"/>
      <c r="G98" s="6"/>
      <c r="H98" s="7"/>
    </row>
    <row r="99" spans="1:8" x14ac:dyDescent="0.25">
      <c r="A99" s="3">
        <v>47000</v>
      </c>
      <c r="B99" s="4">
        <f t="shared" si="4"/>
        <v>3916.6666666666665</v>
      </c>
      <c r="C99" s="157">
        <f>MAX(0,IF(A99&gt;$F$2,0,IF(AND(A99&lt;$F$2,A99&gt;=$K$2),$G$2-((A99-$K$2-1)*$I$2),IF(AND(A99&lt;$K$2,A99&gt;=$J$2),$G$2,IF(A99&lt;$J$2,A99*$H$2,0)))))</f>
        <v>734.18179999999984</v>
      </c>
      <c r="D99" s="158">
        <f t="shared" si="3"/>
        <v>146.83635999999998</v>
      </c>
      <c r="E99" s="164">
        <f>IF('Total income package'!$A$10=TRUE,SUM(EITC!C99:D99),0)</f>
        <v>881.01815999999985</v>
      </c>
      <c r="F99" s="6"/>
      <c r="G99" s="6"/>
      <c r="H99" s="7"/>
    </row>
    <row r="100" spans="1:8" x14ac:dyDescent="0.25">
      <c r="A100" s="3">
        <v>47500</v>
      </c>
      <c r="B100" s="4">
        <f t="shared" si="4"/>
        <v>3958.3333333333335</v>
      </c>
      <c r="C100" s="157">
        <f t="shared" si="5"/>
        <v>654.2818000000002</v>
      </c>
      <c r="D100" s="158">
        <f t="shared" si="3"/>
        <v>130.85636000000005</v>
      </c>
      <c r="E100" s="164">
        <f>IF('Total income package'!$A$10=TRUE,SUM(EITC!C100:D100),0)</f>
        <v>785.1381600000002</v>
      </c>
      <c r="F100" s="6"/>
      <c r="G100" s="6"/>
      <c r="H100" s="7"/>
    </row>
    <row r="101" spans="1:8" x14ac:dyDescent="0.25">
      <c r="A101" s="3">
        <v>48000</v>
      </c>
      <c r="B101" s="4">
        <f t="shared" si="4"/>
        <v>4000</v>
      </c>
      <c r="C101" s="157">
        <f t="shared" si="5"/>
        <v>574.38180000000011</v>
      </c>
      <c r="D101" s="158">
        <f t="shared" si="3"/>
        <v>114.87636000000003</v>
      </c>
      <c r="E101" s="164">
        <f>IF('Total income package'!$A$10=TRUE,SUM(EITC!C101:D101),0)</f>
        <v>689.25816000000009</v>
      </c>
      <c r="F101" s="6"/>
      <c r="G101" s="6"/>
      <c r="H101" s="7"/>
    </row>
    <row r="102" spans="1:8" x14ac:dyDescent="0.25">
      <c r="A102" s="3">
        <v>48500</v>
      </c>
      <c r="B102" s="4">
        <f t="shared" si="4"/>
        <v>4041.6666666666665</v>
      </c>
      <c r="C102" s="157">
        <f t="shared" si="5"/>
        <v>494.48180000000002</v>
      </c>
      <c r="D102" s="158">
        <f t="shared" si="3"/>
        <v>98.896360000000016</v>
      </c>
      <c r="E102" s="164">
        <f>IF('Total income package'!$A$10=TRUE,SUM(EITC!C102:D102),0)</f>
        <v>593.37815999999998</v>
      </c>
      <c r="F102" s="6"/>
      <c r="G102" s="6"/>
      <c r="H102" s="7"/>
    </row>
    <row r="103" spans="1:8" x14ac:dyDescent="0.25">
      <c r="A103" s="3">
        <v>49000</v>
      </c>
      <c r="B103" s="4">
        <f t="shared" si="4"/>
        <v>4083.3333333333335</v>
      </c>
      <c r="C103" s="157">
        <f t="shared" si="5"/>
        <v>414.58179999999993</v>
      </c>
      <c r="D103" s="158">
        <f t="shared" si="3"/>
        <v>82.916359999999997</v>
      </c>
      <c r="E103" s="164">
        <f>IF('Total income package'!$A$10=TRUE,SUM(EITC!C103:D103),0)</f>
        <v>497.49815999999993</v>
      </c>
      <c r="F103" s="6"/>
      <c r="G103" s="6"/>
      <c r="H103" s="7"/>
    </row>
    <row r="104" spans="1:8" x14ac:dyDescent="0.25">
      <c r="A104" s="3">
        <v>49500</v>
      </c>
      <c r="B104" s="4">
        <f t="shared" si="4"/>
        <v>4125</v>
      </c>
      <c r="C104" s="157">
        <f t="shared" si="5"/>
        <v>334.68179999999984</v>
      </c>
      <c r="D104" s="158">
        <f t="shared" si="3"/>
        <v>66.936359999999965</v>
      </c>
      <c r="E104" s="164">
        <f>IF('Total income package'!$A$10=TRUE,SUM(EITC!C104:D104),0)</f>
        <v>401.61815999999982</v>
      </c>
      <c r="F104" s="6"/>
      <c r="G104" s="6"/>
      <c r="H104" s="7"/>
    </row>
    <row r="105" spans="1:8" x14ac:dyDescent="0.25">
      <c r="A105" s="3">
        <v>50000</v>
      </c>
      <c r="B105" s="4">
        <f t="shared" si="4"/>
        <v>4166.666666666667</v>
      </c>
      <c r="C105" s="157">
        <f>MAX(0,IF(A105&gt;$F$2,0,IF(AND(A105&lt;$F$2,A105&gt;=$K$2),$G$2-((A105-$K$2-1)*$I$2),IF(AND(A105&lt;$K$2,A105&gt;=$J$2),$G$2,IF(A105&lt;$J$2,A105*$H$2,0)))))</f>
        <v>254.78179999999975</v>
      </c>
      <c r="D105" s="158">
        <f t="shared" si="3"/>
        <v>50.956359999999954</v>
      </c>
      <c r="E105" s="164">
        <f>IF('Total income package'!$A$10=TRUE,SUM(EITC!C105:D105),0)</f>
        <v>305.73815999999971</v>
      </c>
      <c r="F105" s="6"/>
    </row>
    <row r="106" spans="1:8" x14ac:dyDescent="0.25">
      <c r="A106" s="3">
        <v>50500</v>
      </c>
      <c r="B106" s="4">
        <f t="shared" si="4"/>
        <v>4208.333333333333</v>
      </c>
      <c r="C106" s="157">
        <f t="shared" ref="C106:C134" si="6">MAX(0,IF(A106&gt;$F$2,0,IF(AND(A106&lt;$F$2,A106&gt;=$K$2),$G$2-((A106-$K$2-1)*$I$2),IF(AND(A106&lt;$K$2,A106&gt;=$J$2),$G$2,IF(A106&lt;$J$2,A106*$H$2,0)))))</f>
        <v>0</v>
      </c>
      <c r="D106" s="158">
        <f t="shared" si="3"/>
        <v>0</v>
      </c>
      <c r="E106" s="164">
        <f>IF('Total income package'!$A$10=TRUE,SUM(EITC!C106:D106),0)</f>
        <v>0</v>
      </c>
      <c r="F106" s="6"/>
    </row>
    <row r="107" spans="1:8" x14ac:dyDescent="0.25">
      <c r="A107" s="3">
        <v>51000</v>
      </c>
      <c r="B107" s="4">
        <f t="shared" si="4"/>
        <v>4250</v>
      </c>
      <c r="C107" s="157">
        <f t="shared" si="6"/>
        <v>0</v>
      </c>
      <c r="D107" s="158">
        <f t="shared" si="3"/>
        <v>0</v>
      </c>
      <c r="E107" s="164">
        <f>IF('Total income package'!$A$10=TRUE,SUM(EITC!C107:D107),0)</f>
        <v>0</v>
      </c>
    </row>
    <row r="108" spans="1:8" x14ac:dyDescent="0.25">
      <c r="A108" s="3">
        <v>51500</v>
      </c>
      <c r="B108" s="4">
        <f t="shared" si="4"/>
        <v>4291.666666666667</v>
      </c>
      <c r="C108" s="157">
        <f t="shared" si="6"/>
        <v>0</v>
      </c>
      <c r="D108" s="158">
        <f t="shared" si="3"/>
        <v>0</v>
      </c>
      <c r="E108" s="164">
        <f>IF('Total income package'!$A$10=TRUE,SUM(EITC!C108:D108),0)</f>
        <v>0</v>
      </c>
    </row>
    <row r="109" spans="1:8" x14ac:dyDescent="0.25">
      <c r="A109" s="3">
        <v>52000</v>
      </c>
      <c r="B109" s="4">
        <f t="shared" si="4"/>
        <v>4333.333333333333</v>
      </c>
      <c r="C109" s="157">
        <f t="shared" si="6"/>
        <v>0</v>
      </c>
      <c r="D109" s="158">
        <f t="shared" si="3"/>
        <v>0</v>
      </c>
      <c r="E109" s="164">
        <f>IF('Total income package'!$A$10=TRUE,SUM(EITC!C109:D109),0)</f>
        <v>0</v>
      </c>
    </row>
    <row r="110" spans="1:8" x14ac:dyDescent="0.25">
      <c r="A110" s="3">
        <v>52500</v>
      </c>
      <c r="B110" s="4">
        <f t="shared" si="4"/>
        <v>4375</v>
      </c>
      <c r="C110" s="157">
        <f t="shared" si="6"/>
        <v>0</v>
      </c>
      <c r="D110" s="158">
        <f t="shared" si="3"/>
        <v>0</v>
      </c>
      <c r="E110" s="164">
        <f>IF('Total income package'!$A$10=TRUE,SUM(EITC!C110:D110),0)</f>
        <v>0</v>
      </c>
    </row>
    <row r="111" spans="1:8" x14ac:dyDescent="0.25">
      <c r="A111" s="3">
        <v>53000</v>
      </c>
      <c r="B111" s="4">
        <f t="shared" si="4"/>
        <v>4416.666666666667</v>
      </c>
      <c r="C111" s="157">
        <f t="shared" si="6"/>
        <v>0</v>
      </c>
      <c r="D111" s="158">
        <f t="shared" si="3"/>
        <v>0</v>
      </c>
      <c r="E111" s="164">
        <f>IF('Total income package'!$A$10=TRUE,SUM(EITC!C111:D111),0)</f>
        <v>0</v>
      </c>
    </row>
    <row r="112" spans="1:8" x14ac:dyDescent="0.25">
      <c r="A112" s="3">
        <v>53500</v>
      </c>
      <c r="B112" s="4">
        <f t="shared" si="4"/>
        <v>4458.333333333333</v>
      </c>
      <c r="C112" s="157">
        <f t="shared" si="6"/>
        <v>0</v>
      </c>
      <c r="D112" s="158">
        <f t="shared" si="3"/>
        <v>0</v>
      </c>
      <c r="E112" s="164">
        <f>IF('Total income package'!$A$10=TRUE,SUM(EITC!C112:D112),0)</f>
        <v>0</v>
      </c>
    </row>
    <row r="113" spans="1:5" x14ac:dyDescent="0.25">
      <c r="A113" s="3">
        <v>54000</v>
      </c>
      <c r="B113" s="4">
        <f t="shared" si="4"/>
        <v>4500</v>
      </c>
      <c r="C113" s="157">
        <f t="shared" si="6"/>
        <v>0</v>
      </c>
      <c r="D113" s="158">
        <f t="shared" si="3"/>
        <v>0</v>
      </c>
      <c r="E113" s="164">
        <f>IF('Total income package'!$A$10=TRUE,SUM(EITC!C113:D113),0)</f>
        <v>0</v>
      </c>
    </row>
    <row r="114" spans="1:5" x14ac:dyDescent="0.25">
      <c r="A114" s="3">
        <v>54500</v>
      </c>
      <c r="B114" s="4">
        <f t="shared" si="4"/>
        <v>4541.666666666667</v>
      </c>
      <c r="C114" s="157">
        <f t="shared" si="6"/>
        <v>0</v>
      </c>
      <c r="D114" s="158">
        <f t="shared" si="3"/>
        <v>0</v>
      </c>
      <c r="E114" s="164">
        <f>IF('Total income package'!$A$10=TRUE,SUM(EITC!C114:D114),0)</f>
        <v>0</v>
      </c>
    </row>
    <row r="115" spans="1:5" x14ac:dyDescent="0.25">
      <c r="A115" s="3">
        <v>55000</v>
      </c>
      <c r="B115" s="4">
        <f t="shared" si="4"/>
        <v>4583.333333333333</v>
      </c>
      <c r="C115" s="157">
        <f t="shared" si="6"/>
        <v>0</v>
      </c>
      <c r="D115" s="158">
        <f t="shared" si="3"/>
        <v>0</v>
      </c>
      <c r="E115" s="164">
        <f>IF('Total income package'!$A$10=TRUE,SUM(EITC!C115:D115),0)</f>
        <v>0</v>
      </c>
    </row>
    <row r="116" spans="1:5" x14ac:dyDescent="0.25">
      <c r="A116" s="3">
        <v>55500</v>
      </c>
      <c r="B116" s="4">
        <f t="shared" si="4"/>
        <v>4625</v>
      </c>
      <c r="C116" s="157">
        <f t="shared" si="6"/>
        <v>0</v>
      </c>
      <c r="D116" s="158">
        <f t="shared" si="3"/>
        <v>0</v>
      </c>
      <c r="E116" s="164">
        <f>IF('Total income package'!$A$10=TRUE,SUM(EITC!C116:D116),0)</f>
        <v>0</v>
      </c>
    </row>
    <row r="117" spans="1:5" x14ac:dyDescent="0.25">
      <c r="A117" s="3">
        <v>56000</v>
      </c>
      <c r="B117" s="4">
        <f t="shared" si="4"/>
        <v>4666.666666666667</v>
      </c>
      <c r="C117" s="157">
        <f t="shared" si="6"/>
        <v>0</v>
      </c>
      <c r="D117" s="158">
        <f t="shared" si="3"/>
        <v>0</v>
      </c>
      <c r="E117" s="164">
        <f>IF('Total income package'!$A$10=TRUE,SUM(EITC!C117:D117),0)</f>
        <v>0</v>
      </c>
    </row>
    <row r="118" spans="1:5" x14ac:dyDescent="0.25">
      <c r="A118" s="3">
        <v>56500</v>
      </c>
      <c r="B118" s="4">
        <f t="shared" si="4"/>
        <v>4708.333333333333</v>
      </c>
      <c r="C118" s="157">
        <f t="shared" si="6"/>
        <v>0</v>
      </c>
      <c r="D118" s="158">
        <f t="shared" si="3"/>
        <v>0</v>
      </c>
      <c r="E118" s="164">
        <f>IF('Total income package'!$A$10=TRUE,SUM(EITC!C118:D118),0)</f>
        <v>0</v>
      </c>
    </row>
    <row r="119" spans="1:5" x14ac:dyDescent="0.25">
      <c r="A119" s="3">
        <v>57000</v>
      </c>
      <c r="B119" s="4">
        <f t="shared" si="4"/>
        <v>4750</v>
      </c>
      <c r="C119" s="157">
        <f t="shared" si="6"/>
        <v>0</v>
      </c>
      <c r="D119" s="158">
        <f t="shared" si="3"/>
        <v>0</v>
      </c>
      <c r="E119" s="164">
        <f>IF('Total income package'!$A$10=TRUE,SUM(EITC!C119:D119),0)</f>
        <v>0</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15468</v>
      </c>
      <c r="B208" s="29">
        <f>'Total income package'!$B$90</f>
        <v>1289</v>
      </c>
      <c r="C208" s="157">
        <f>MAX(0,IF(A208&gt;$F$2,0,IF(AND(A208&lt;$F$2,A208&gt;=$K$2),$G$2-((A208-$K$2-1)*$I$2),IF(AND(A208&lt;$K$2,A208&gt;=$J$2),$G$2,IF(A208&lt;$J$2,A208*$H$2,0)))))</f>
        <v>4427</v>
      </c>
      <c r="D208" s="158">
        <f>C208*0.15</f>
        <v>664.05</v>
      </c>
      <c r="E208" s="161">
        <f>IF('Total income package'!$A$10=TRUE,C208+D208,0)</f>
        <v>5091.05</v>
      </c>
      <c r="G208" s="7">
        <f>C208/12</f>
        <v>368.91666666666669</v>
      </c>
      <c r="H208" s="7">
        <f>E208/12</f>
        <v>424.25416666666666</v>
      </c>
    </row>
    <row r="209" spans="1:5" x14ac:dyDescent="0.25">
      <c r="A209" s="159" t="s">
        <v>303</v>
      </c>
      <c r="B209" s="29"/>
    </row>
    <row r="210" spans="1:5" x14ac:dyDescent="0.25">
      <c r="A210" s="29">
        <f>B210*12</f>
        <v>15468</v>
      </c>
      <c r="B210" s="29">
        <f>'Total income package'!$B$91</f>
        <v>1289</v>
      </c>
      <c r="C210" s="157">
        <f>MAX(0,IF(A210&gt;$F$2,0,IF(AND(A210&lt;$F$2,A210&gt;=$K$2),$G$2-((A210-$K$2-1)*$I$2),IF(AND(A210&lt;$K$2,A210&gt;=$J$2),$G$2,IF(A210&lt;$J$2,A210*$H$2,0)))))</f>
        <v>4427</v>
      </c>
      <c r="D210" s="158">
        <f>C210*0.15</f>
        <v>664.05</v>
      </c>
      <c r="E210" s="161">
        <f>IF('Total income package'!$A$10=TRUE,C210+D210,0)</f>
        <v>5091.05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2488.6</v>
      </c>
      <c r="J1"/>
      <c r="K1"/>
      <c r="L1"/>
      <c r="M1" s="81" t="s">
        <v>306</v>
      </c>
      <c r="N1" s="81" t="s">
        <v>307</v>
      </c>
      <c r="O1" s="81" t="s">
        <v>308</v>
      </c>
      <c r="P1" s="81" t="s">
        <v>309</v>
      </c>
    </row>
    <row r="2" spans="1:27" ht="11.25" customHeight="1" x14ac:dyDescent="0.25">
      <c r="A2" s="78" t="str">
        <f>'Total income package'!B3</f>
        <v>Pittsylvania</v>
      </c>
      <c r="B2" s="77">
        <f>'Total income package'!B32</f>
        <v>2</v>
      </c>
      <c r="C2" s="77">
        <f>'Total income package'!B30</f>
        <v>1</v>
      </c>
      <c r="D2" s="77">
        <f>'Total income package'!B31</f>
        <v>1</v>
      </c>
      <c r="E2" s="39"/>
      <c r="F2" s="39"/>
      <c r="G2" s="40"/>
      <c r="H2" s="40"/>
      <c r="I2" s="40"/>
      <c r="J2" s="119" t="s">
        <v>310</v>
      </c>
      <c r="K2" s="137">
        <f>VLOOKUP(B2,'Program specific data'!A6:D13,3,FALSE)</f>
        <v>1803.3333333333333</v>
      </c>
      <c r="L2" s="27" t="s">
        <v>311</v>
      </c>
      <c r="M2" s="138">
        <v>0</v>
      </c>
      <c r="N2" s="139">
        <f>K2*1.49</f>
        <v>2686.9666666666667</v>
      </c>
      <c r="O2" s="145">
        <v>0</v>
      </c>
      <c r="P2" s="145">
        <v>0</v>
      </c>
    </row>
    <row r="3" spans="1:27" ht="11.25" customHeight="1" x14ac:dyDescent="0.25">
      <c r="A3" s="198" t="s">
        <v>661</v>
      </c>
      <c r="B3" s="62"/>
      <c r="C3" s="198" t="s">
        <v>662</v>
      </c>
      <c r="D3" s="67"/>
      <c r="E3" s="42" t="s">
        <v>312</v>
      </c>
      <c r="F3" s="42"/>
      <c r="G3" s="43"/>
      <c r="H3" s="43"/>
      <c r="I3" s="43"/>
      <c r="K3" s="11"/>
      <c r="L3" s="135" t="s">
        <v>313</v>
      </c>
      <c r="M3" s="140">
        <f>K2*1.5</f>
        <v>2705</v>
      </c>
      <c r="N3" s="141">
        <f>K2*1.99</f>
        <v>3588.6333333333332</v>
      </c>
      <c r="O3" s="145">
        <v>0</v>
      </c>
      <c r="P3" s="145">
        <v>0.02</v>
      </c>
    </row>
    <row r="4" spans="1:27" ht="11.25" customHeight="1" x14ac:dyDescent="0.25">
      <c r="A4" s="198" t="s">
        <v>40</v>
      </c>
      <c r="B4" s="198">
        <f>'Total income package'!B37</f>
        <v>45</v>
      </c>
      <c r="C4" s="350">
        <f>IFERROR(VLOOKUP($A$2,'SLCSP premiums'!$A$4:$AV$137,HLOOKUP(B4,'SLCSP premiums'!$B$2:$AV$3,2,FALSE),FALSE),0)</f>
        <v>558</v>
      </c>
      <c r="D4" s="67"/>
      <c r="E4" s="44" t="s">
        <v>314</v>
      </c>
      <c r="I4" s="45"/>
      <c r="J4" s="21"/>
      <c r="K4" s="21"/>
      <c r="L4" s="135" t="s">
        <v>315</v>
      </c>
      <c r="M4" s="136">
        <f>K2*2</f>
        <v>3606.6666666666665</v>
      </c>
      <c r="N4" s="141">
        <f>K2*2.49</f>
        <v>4490.3</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4508.333333333333</v>
      </c>
      <c r="N5" s="142">
        <f>K2*2.99</f>
        <v>5391.9666666666672</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5410</v>
      </c>
      <c r="N6" s="141">
        <f>K2*3.99</f>
        <v>7195.3</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7213.333333333333</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558</v>
      </c>
      <c r="L12" s="116"/>
      <c r="M12" s="143"/>
      <c r="N12" s="144"/>
      <c r="O12" s="146"/>
      <c r="P12" s="146"/>
      <c r="V12" s="21"/>
      <c r="W12" s="3"/>
      <c r="X12" s="3"/>
      <c r="Z12" s="41"/>
      <c r="AA12" s="41"/>
    </row>
    <row r="13" spans="1:27" ht="11.25" customHeight="1" x14ac:dyDescent="0.25">
      <c r="A13" s="349" t="s">
        <v>664</v>
      </c>
      <c r="B13" s="351">
        <f>D2</f>
        <v>1</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2686.9666666666667</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2.3105360443622922E-2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2686.9666666666667</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4.6210720887245843E-2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2686.9666666666667</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6.9316081330868765E-2</v>
      </c>
      <c r="E20" s="50">
        <f t="shared" si="4"/>
        <v>0</v>
      </c>
      <c r="F20" s="50">
        <f t="shared" si="5"/>
        <v>0</v>
      </c>
      <c r="G20" s="69">
        <f t="shared" si="6"/>
        <v>0</v>
      </c>
      <c r="H20" s="70">
        <f t="shared" si="7"/>
        <v>2686.9666666666667</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9.2421441774491686E-2</v>
      </c>
      <c r="E21" s="50">
        <f t="shared" si="4"/>
        <v>0</v>
      </c>
      <c r="F21" s="50">
        <f t="shared" si="5"/>
        <v>0</v>
      </c>
      <c r="G21" s="69">
        <f t="shared" si="6"/>
        <v>0</v>
      </c>
      <c r="H21" s="70">
        <f t="shared" si="7"/>
        <v>2686.9666666666667</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0.11552680221811461</v>
      </c>
      <c r="E22" s="50">
        <f t="shared" si="4"/>
        <v>0</v>
      </c>
      <c r="F22" s="50">
        <f t="shared" si="5"/>
        <v>0</v>
      </c>
      <c r="G22" s="69">
        <f t="shared" si="6"/>
        <v>0</v>
      </c>
      <c r="H22" s="70">
        <f t="shared" si="7"/>
        <v>2686.9666666666667</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0.13863216266173753</v>
      </c>
      <c r="E23" s="50">
        <f t="shared" si="4"/>
        <v>0</v>
      </c>
      <c r="F23" s="50">
        <f t="shared" si="5"/>
        <v>0</v>
      </c>
      <c r="G23" s="69">
        <f t="shared" si="6"/>
        <v>0</v>
      </c>
      <c r="H23" s="70">
        <f t="shared" si="7"/>
        <v>2686.9666666666667</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0.16173752310536046</v>
      </c>
      <c r="E24" s="50">
        <f t="shared" si="4"/>
        <v>0</v>
      </c>
      <c r="F24" s="50">
        <f t="shared" si="5"/>
        <v>0</v>
      </c>
      <c r="G24" s="69">
        <f t="shared" si="6"/>
        <v>0</v>
      </c>
      <c r="H24" s="70">
        <f t="shared" si="7"/>
        <v>2686.9666666666667</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0.18484288354898337</v>
      </c>
      <c r="E25" s="50">
        <f t="shared" si="4"/>
        <v>0</v>
      </c>
      <c r="F25" s="50">
        <f t="shared" si="5"/>
        <v>0</v>
      </c>
      <c r="G25" s="69">
        <f t="shared" si="6"/>
        <v>0</v>
      </c>
      <c r="H25" s="70">
        <f t="shared" si="7"/>
        <v>2686.9666666666667</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0.20794824399260628</v>
      </c>
      <c r="E26" s="50">
        <f t="shared" si="4"/>
        <v>0</v>
      </c>
      <c r="F26" s="50">
        <f t="shared" si="5"/>
        <v>0</v>
      </c>
      <c r="G26" s="69">
        <f t="shared" si="6"/>
        <v>0</v>
      </c>
      <c r="H26" s="70">
        <f t="shared" si="7"/>
        <v>2686.9666666666667</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0.23105360443622922</v>
      </c>
      <c r="E27" s="50">
        <f t="shared" si="4"/>
        <v>0</v>
      </c>
      <c r="F27" s="50">
        <f t="shared" si="5"/>
        <v>0</v>
      </c>
      <c r="G27" s="69">
        <f t="shared" si="6"/>
        <v>0</v>
      </c>
      <c r="H27" s="70">
        <f t="shared" si="7"/>
        <v>2686.9666666666667</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0.25415896487985212</v>
      </c>
      <c r="E28" s="50">
        <f t="shared" si="4"/>
        <v>0</v>
      </c>
      <c r="F28" s="50">
        <f t="shared" si="5"/>
        <v>0</v>
      </c>
      <c r="G28" s="69">
        <f t="shared" si="6"/>
        <v>0</v>
      </c>
      <c r="H28" s="70">
        <f t="shared" si="7"/>
        <v>2686.9666666666667</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0.27726432532347506</v>
      </c>
      <c r="E29" s="50">
        <f t="shared" si="4"/>
        <v>0</v>
      </c>
      <c r="F29" s="50">
        <f t="shared" si="5"/>
        <v>0</v>
      </c>
      <c r="G29" s="69">
        <f t="shared" si="6"/>
        <v>0</v>
      </c>
      <c r="H29" s="70">
        <f t="shared" si="7"/>
        <v>2686.9666666666667</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0.30036968576709794</v>
      </c>
      <c r="E30" s="50">
        <f t="shared" si="4"/>
        <v>0</v>
      </c>
      <c r="F30" s="50">
        <f t="shared" si="5"/>
        <v>0</v>
      </c>
      <c r="G30" s="69">
        <f t="shared" si="6"/>
        <v>0</v>
      </c>
      <c r="H30" s="70">
        <f t="shared" si="7"/>
        <v>2686.9666666666667</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0.32347504621072093</v>
      </c>
      <c r="E31" s="50">
        <f t="shared" si="4"/>
        <v>0</v>
      </c>
      <c r="F31" s="50">
        <f t="shared" si="5"/>
        <v>0</v>
      </c>
      <c r="G31" s="69">
        <f t="shared" si="6"/>
        <v>0</v>
      </c>
      <c r="H31" s="70">
        <f t="shared" si="7"/>
        <v>2686.9666666666667</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0.34658040665434381</v>
      </c>
      <c r="E32" s="50">
        <f t="shared" si="4"/>
        <v>0</v>
      </c>
      <c r="F32" s="50">
        <f t="shared" si="5"/>
        <v>0</v>
      </c>
      <c r="G32" s="69">
        <f t="shared" si="6"/>
        <v>0</v>
      </c>
      <c r="H32" s="70">
        <f t="shared" si="7"/>
        <v>2686.9666666666667</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0.36968576709796674</v>
      </c>
      <c r="E33" s="50">
        <f t="shared" si="4"/>
        <v>0</v>
      </c>
      <c r="F33" s="50">
        <f t="shared" si="5"/>
        <v>0</v>
      </c>
      <c r="G33" s="69">
        <f t="shared" si="6"/>
        <v>0</v>
      </c>
      <c r="H33" s="70">
        <f t="shared" si="7"/>
        <v>2686.9666666666667</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0.39279112754158968</v>
      </c>
      <c r="E34" s="50">
        <f t="shared" si="4"/>
        <v>0</v>
      </c>
      <c r="F34" s="50">
        <f t="shared" si="5"/>
        <v>0</v>
      </c>
      <c r="G34" s="69">
        <f t="shared" si="6"/>
        <v>0</v>
      </c>
      <c r="H34" s="70">
        <f t="shared" si="7"/>
        <v>2686.9666666666667</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0.41589648798521256</v>
      </c>
      <c r="E35" s="50">
        <f t="shared" si="4"/>
        <v>0</v>
      </c>
      <c r="F35" s="50">
        <f t="shared" si="5"/>
        <v>0</v>
      </c>
      <c r="G35" s="69">
        <f t="shared" si="6"/>
        <v>0</v>
      </c>
      <c r="H35" s="70">
        <f t="shared" si="7"/>
        <v>2686.9666666666667</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0.43900184842883549</v>
      </c>
      <c r="E36" s="50">
        <f t="shared" si="4"/>
        <v>0</v>
      </c>
      <c r="F36" s="50">
        <f t="shared" si="5"/>
        <v>0</v>
      </c>
      <c r="G36" s="69">
        <f t="shared" si="6"/>
        <v>0</v>
      </c>
      <c r="H36" s="70">
        <f t="shared" si="7"/>
        <v>2686.9666666666667</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0.46210720887245843</v>
      </c>
      <c r="E37" s="50">
        <f t="shared" si="4"/>
        <v>0</v>
      </c>
      <c r="F37" s="50">
        <f t="shared" si="5"/>
        <v>0</v>
      </c>
      <c r="G37" s="69">
        <f t="shared" si="6"/>
        <v>0</v>
      </c>
      <c r="H37" s="70">
        <f t="shared" si="7"/>
        <v>2686.9666666666667</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0.48521256931608137</v>
      </c>
      <c r="E38" s="50">
        <f t="shared" si="4"/>
        <v>0</v>
      </c>
      <c r="F38" s="50">
        <f t="shared" si="5"/>
        <v>0</v>
      </c>
      <c r="G38" s="69">
        <f t="shared" si="6"/>
        <v>0</v>
      </c>
      <c r="H38" s="70">
        <f t="shared" si="7"/>
        <v>2686.9666666666667</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0.50831792975970425</v>
      </c>
      <c r="E39" s="50">
        <f t="shared" si="4"/>
        <v>0</v>
      </c>
      <c r="F39" s="50">
        <f t="shared" si="5"/>
        <v>0</v>
      </c>
      <c r="G39" s="69">
        <f t="shared" si="6"/>
        <v>0</v>
      </c>
      <c r="H39" s="70">
        <f t="shared" si="7"/>
        <v>2686.9666666666667</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0.53142329020332724</v>
      </c>
      <c r="E40" s="50">
        <f t="shared" si="4"/>
        <v>0</v>
      </c>
      <c r="F40" s="50">
        <f t="shared" si="5"/>
        <v>0</v>
      </c>
      <c r="G40" s="69">
        <f t="shared" si="6"/>
        <v>0</v>
      </c>
      <c r="H40" s="70">
        <f t="shared" si="7"/>
        <v>2686.9666666666667</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0.55452865064695012</v>
      </c>
      <c r="E41" s="50">
        <f t="shared" si="4"/>
        <v>0</v>
      </c>
      <c r="F41" s="50">
        <f t="shared" si="5"/>
        <v>0</v>
      </c>
      <c r="G41" s="69">
        <f t="shared" si="6"/>
        <v>0</v>
      </c>
      <c r="H41" s="70">
        <f t="shared" si="7"/>
        <v>2686.9666666666667</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0.57763401109057311</v>
      </c>
      <c r="E42" s="50">
        <f t="shared" si="4"/>
        <v>0</v>
      </c>
      <c r="F42" s="50">
        <f t="shared" si="5"/>
        <v>0</v>
      </c>
      <c r="G42" s="69">
        <f t="shared" si="6"/>
        <v>0</v>
      </c>
      <c r="H42" s="70">
        <f t="shared" si="7"/>
        <v>2686.9666666666667</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0.60073937153419588</v>
      </c>
      <c r="E43" s="50">
        <f t="shared" si="4"/>
        <v>0</v>
      </c>
      <c r="F43" s="50">
        <f t="shared" si="5"/>
        <v>0</v>
      </c>
      <c r="G43" s="69">
        <f t="shared" si="6"/>
        <v>0</v>
      </c>
      <c r="H43" s="70">
        <f t="shared" si="7"/>
        <v>2686.9666666666667</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0.62384473197781887</v>
      </c>
      <c r="E44" s="50">
        <f t="shared" si="4"/>
        <v>0</v>
      </c>
      <c r="F44" s="50">
        <f t="shared" si="5"/>
        <v>0</v>
      </c>
      <c r="G44" s="69">
        <f t="shared" si="6"/>
        <v>0</v>
      </c>
      <c r="H44" s="70">
        <f t="shared" si="7"/>
        <v>2686.9666666666667</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0.64695009242144186</v>
      </c>
      <c r="E45" s="50">
        <f t="shared" si="4"/>
        <v>0</v>
      </c>
      <c r="F45" s="50">
        <f t="shared" si="5"/>
        <v>0</v>
      </c>
      <c r="G45" s="69">
        <f t="shared" si="6"/>
        <v>0</v>
      </c>
      <c r="H45" s="70">
        <f t="shared" si="7"/>
        <v>2686.9666666666667</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0.67005545286506463</v>
      </c>
      <c r="E46" s="50">
        <f t="shared" si="4"/>
        <v>0</v>
      </c>
      <c r="F46" s="50">
        <f t="shared" si="5"/>
        <v>0</v>
      </c>
      <c r="G46" s="69">
        <f t="shared" si="6"/>
        <v>0</v>
      </c>
      <c r="H46" s="70">
        <f t="shared" si="7"/>
        <v>2686.9666666666667</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0.69316081330868762</v>
      </c>
      <c r="E47" s="50">
        <f t="shared" si="4"/>
        <v>0</v>
      </c>
      <c r="F47" s="50">
        <f t="shared" si="5"/>
        <v>0</v>
      </c>
      <c r="G47" s="69">
        <f t="shared" si="6"/>
        <v>0</v>
      </c>
      <c r="H47" s="70">
        <f t="shared" si="7"/>
        <v>2686.9666666666667</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0.71626617375231061</v>
      </c>
      <c r="E48" s="50">
        <f t="shared" si="4"/>
        <v>0</v>
      </c>
      <c r="F48" s="50">
        <f t="shared" si="5"/>
        <v>0</v>
      </c>
      <c r="G48" s="69">
        <f t="shared" si="6"/>
        <v>0</v>
      </c>
      <c r="H48" s="70">
        <f t="shared" si="7"/>
        <v>2686.9666666666667</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0.73937153419593349</v>
      </c>
      <c r="E49" s="50">
        <f t="shared" si="4"/>
        <v>0</v>
      </c>
      <c r="F49" s="50">
        <f t="shared" si="5"/>
        <v>0</v>
      </c>
      <c r="G49" s="69">
        <f t="shared" si="6"/>
        <v>0</v>
      </c>
      <c r="H49" s="70">
        <f t="shared" si="7"/>
        <v>2686.9666666666667</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0.76247689463955637</v>
      </c>
      <c r="E50" s="50">
        <f t="shared" si="4"/>
        <v>0</v>
      </c>
      <c r="F50" s="50">
        <f t="shared" si="5"/>
        <v>0</v>
      </c>
      <c r="G50" s="69">
        <f t="shared" si="6"/>
        <v>0</v>
      </c>
      <c r="H50" s="70">
        <f t="shared" si="7"/>
        <v>2686.9666666666667</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0.78558225508317936</v>
      </c>
      <c r="E51" s="50">
        <f t="shared" si="4"/>
        <v>0</v>
      </c>
      <c r="F51" s="50">
        <f t="shared" si="5"/>
        <v>0</v>
      </c>
      <c r="G51" s="69">
        <f t="shared" si="6"/>
        <v>0</v>
      </c>
      <c r="H51" s="70">
        <f t="shared" si="7"/>
        <v>2686.9666666666667</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0.80868761552680224</v>
      </c>
      <c r="E52" s="50">
        <f t="shared" si="4"/>
        <v>0</v>
      </c>
      <c r="F52" s="50">
        <f t="shared" si="5"/>
        <v>0</v>
      </c>
      <c r="G52" s="69">
        <f t="shared" si="6"/>
        <v>0</v>
      </c>
      <c r="H52" s="70">
        <f t="shared" si="7"/>
        <v>2686.9666666666667</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0.83179297597042512</v>
      </c>
      <c r="E53" s="50">
        <f t="shared" si="4"/>
        <v>0</v>
      </c>
      <c r="F53" s="50">
        <f t="shared" si="5"/>
        <v>0</v>
      </c>
      <c r="G53" s="69">
        <f t="shared" si="6"/>
        <v>0</v>
      </c>
      <c r="H53" s="70">
        <f t="shared" si="7"/>
        <v>2686.9666666666667</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0.85489833641404811</v>
      </c>
      <c r="E54" s="50">
        <f t="shared" si="4"/>
        <v>0</v>
      </c>
      <c r="F54" s="50">
        <f t="shared" si="5"/>
        <v>0</v>
      </c>
      <c r="G54" s="69">
        <f t="shared" si="6"/>
        <v>0</v>
      </c>
      <c r="H54" s="70">
        <f t="shared" si="7"/>
        <v>2686.9666666666667</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0.87800369685767099</v>
      </c>
      <c r="E55" s="50">
        <f t="shared" si="4"/>
        <v>0</v>
      </c>
      <c r="F55" s="50">
        <f t="shared" si="5"/>
        <v>0</v>
      </c>
      <c r="G55" s="69">
        <f t="shared" si="6"/>
        <v>0</v>
      </c>
      <c r="H55" s="70">
        <f t="shared" si="7"/>
        <v>2686.9666666666667</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0.90110905730129398</v>
      </c>
      <c r="E56" s="50">
        <f t="shared" si="4"/>
        <v>0</v>
      </c>
      <c r="F56" s="50">
        <f t="shared" si="5"/>
        <v>0</v>
      </c>
      <c r="G56" s="69">
        <f t="shared" si="6"/>
        <v>0</v>
      </c>
      <c r="H56" s="70">
        <f t="shared" si="7"/>
        <v>2686.9666666666667</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0.92421441774491686</v>
      </c>
      <c r="E57" s="50">
        <f t="shared" si="4"/>
        <v>0</v>
      </c>
      <c r="F57" s="50">
        <f t="shared" si="5"/>
        <v>0</v>
      </c>
      <c r="G57" s="69">
        <f t="shared" si="6"/>
        <v>0</v>
      </c>
      <c r="H57" s="70">
        <f t="shared" si="7"/>
        <v>2686.9666666666667</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0.94731977818853974</v>
      </c>
      <c r="E58" s="50">
        <f>IF(D58&gt;3.99,0.085,IF(D58&gt;2.99,0.06,IF(D58&gt;1.99,0.02,IF(D58&gt;1.49,0,0))))</f>
        <v>0</v>
      </c>
      <c r="F58" s="50">
        <f t="shared" si="5"/>
        <v>0</v>
      </c>
      <c r="G58" s="69">
        <f t="shared" si="6"/>
        <v>0</v>
      </c>
      <c r="H58" s="70">
        <f t="shared" si="7"/>
        <v>2686.9666666666667</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0.97042513863216273</v>
      </c>
      <c r="E59" s="50">
        <f t="shared" si="4"/>
        <v>0</v>
      </c>
      <c r="F59" s="50">
        <f>IF(D59&gt;3.99,0.085,IF(D59&gt;2.99,0.085,IF(D59&gt;2.49,0.06,IF(D59&gt;1.99,0.04,IF(D59&gt;1.49,0.02,0)))))</f>
        <v>0</v>
      </c>
      <c r="G59" s="69">
        <f t="shared" si="6"/>
        <v>0</v>
      </c>
      <c r="H59" s="70">
        <f t="shared" si="7"/>
        <v>2686.9666666666667</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0.99353049907578561</v>
      </c>
      <c r="E60" s="50">
        <f t="shared" si="4"/>
        <v>0</v>
      </c>
      <c r="F60" s="50">
        <f t="shared" si="5"/>
        <v>0</v>
      </c>
      <c r="G60" s="69">
        <f t="shared" si="6"/>
        <v>0</v>
      </c>
      <c r="H60" s="70">
        <f t="shared" si="7"/>
        <v>2686.9666666666667</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1.0166358595194085</v>
      </c>
      <c r="E61" s="50">
        <f t="shared" si="4"/>
        <v>0</v>
      </c>
      <c r="F61" s="50">
        <f t="shared" si="5"/>
        <v>0</v>
      </c>
      <c r="G61" s="69">
        <f t="shared" si="6"/>
        <v>0</v>
      </c>
      <c r="H61" s="70">
        <f t="shared" si="7"/>
        <v>2686.9666666666667</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1.0397412199630314</v>
      </c>
      <c r="E62" s="50">
        <f t="shared" si="4"/>
        <v>0</v>
      </c>
      <c r="F62" s="50">
        <f t="shared" si="5"/>
        <v>0</v>
      </c>
      <c r="G62" s="69">
        <f t="shared" si="6"/>
        <v>0</v>
      </c>
      <c r="H62" s="70">
        <f t="shared" si="7"/>
        <v>2686.9666666666667</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1.0628465804066545</v>
      </c>
      <c r="E63" s="50">
        <f t="shared" si="4"/>
        <v>0</v>
      </c>
      <c r="F63" s="50">
        <f t="shared" si="5"/>
        <v>0</v>
      </c>
      <c r="G63" s="69">
        <f t="shared" si="6"/>
        <v>0</v>
      </c>
      <c r="H63" s="70">
        <f t="shared" si="7"/>
        <v>2686.9666666666667</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1.0859519408502774</v>
      </c>
      <c r="E64" s="50">
        <f t="shared" si="4"/>
        <v>0</v>
      </c>
      <c r="F64" s="50">
        <f t="shared" si="5"/>
        <v>0</v>
      </c>
      <c r="G64" s="69">
        <f t="shared" si="6"/>
        <v>0</v>
      </c>
      <c r="H64" s="70">
        <f t="shared" si="7"/>
        <v>2686.9666666666667</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1.1090573012939002</v>
      </c>
      <c r="E65" s="50">
        <f t="shared" si="4"/>
        <v>0</v>
      </c>
      <c r="F65" s="50">
        <f t="shared" si="5"/>
        <v>0</v>
      </c>
      <c r="G65" s="69">
        <f t="shared" si="6"/>
        <v>0</v>
      </c>
      <c r="H65" s="70">
        <f t="shared" si="7"/>
        <v>2686.9666666666667</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1.1321626617375231</v>
      </c>
      <c r="E66" s="50">
        <f t="shared" si="4"/>
        <v>0</v>
      </c>
      <c r="F66" s="50">
        <f t="shared" si="5"/>
        <v>0</v>
      </c>
      <c r="G66" s="69">
        <f t="shared" si="6"/>
        <v>0</v>
      </c>
      <c r="H66" s="70">
        <f t="shared" si="7"/>
        <v>2686.9666666666667</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1.1552680221811462</v>
      </c>
      <c r="E67" s="50">
        <f t="shared" si="4"/>
        <v>0</v>
      </c>
      <c r="F67" s="50">
        <f t="shared" si="5"/>
        <v>0</v>
      </c>
      <c r="G67" s="69">
        <f t="shared" si="6"/>
        <v>0</v>
      </c>
      <c r="H67" s="70">
        <f t="shared" si="7"/>
        <v>2686.9666666666667</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1.1783733826247691</v>
      </c>
      <c r="E68" s="50">
        <f t="shared" si="4"/>
        <v>0</v>
      </c>
      <c r="F68" s="50">
        <f t="shared" si="5"/>
        <v>0</v>
      </c>
      <c r="G68" s="69">
        <f t="shared" si="6"/>
        <v>0</v>
      </c>
      <c r="H68" s="70">
        <f t="shared" si="7"/>
        <v>2686.9666666666667</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1.2014787430683918</v>
      </c>
      <c r="E69" s="50">
        <f t="shared" si="4"/>
        <v>0</v>
      </c>
      <c r="F69" s="50">
        <f t="shared" si="5"/>
        <v>0</v>
      </c>
      <c r="G69" s="69">
        <f t="shared" si="6"/>
        <v>0</v>
      </c>
      <c r="H69" s="70">
        <f t="shared" si="7"/>
        <v>2686.9666666666667</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1.2245841035120149</v>
      </c>
      <c r="E70" s="50">
        <f t="shared" si="4"/>
        <v>0</v>
      </c>
      <c r="F70" s="50">
        <f t="shared" si="5"/>
        <v>0</v>
      </c>
      <c r="G70" s="69">
        <f t="shared" si="6"/>
        <v>0</v>
      </c>
      <c r="H70" s="70">
        <f t="shared" si="7"/>
        <v>2686.9666666666667</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1.2476894639556377</v>
      </c>
      <c r="E71" s="50">
        <f>IF(D71&gt;3.99,0.085,IF(D71&gt;2.99,0.06,IF(D71&gt;1.99,0.02,IF(D71&gt;1.49,0,0))))</f>
        <v>0</v>
      </c>
      <c r="F71" s="50">
        <f t="shared" si="5"/>
        <v>0</v>
      </c>
      <c r="G71" s="69">
        <f t="shared" si="6"/>
        <v>0</v>
      </c>
      <c r="H71" s="70">
        <f t="shared" si="7"/>
        <v>2686.9666666666667</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1.2707948243992606</v>
      </c>
      <c r="E72" s="50">
        <f t="shared" si="4"/>
        <v>0</v>
      </c>
      <c r="F72" s="50">
        <f>IF(D72&gt;3.99,0.085,IF(D72&gt;2.99,0.085,IF(D72&gt;2.49,0.06,IF(D72&gt;1.99,0.04,IF(D72&gt;1.49,0.02,0)))))</f>
        <v>0</v>
      </c>
      <c r="G72" s="69">
        <f t="shared" si="6"/>
        <v>0</v>
      </c>
      <c r="H72" s="70">
        <f t="shared" si="7"/>
        <v>2686.9666666666667</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1.2939001848428837</v>
      </c>
      <c r="E73" s="50">
        <f t="shared" si="4"/>
        <v>0</v>
      </c>
      <c r="F73" s="50">
        <f t="shared" si="5"/>
        <v>0</v>
      </c>
      <c r="G73" s="69">
        <f t="shared" si="6"/>
        <v>0</v>
      </c>
      <c r="H73" s="70">
        <f t="shared" si="7"/>
        <v>2686.9666666666667</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1.3170055452865066</v>
      </c>
      <c r="E74" s="50">
        <f t="shared" si="4"/>
        <v>0</v>
      </c>
      <c r="F74" s="50">
        <f t="shared" si="5"/>
        <v>0</v>
      </c>
      <c r="G74" s="69">
        <f t="shared" si="6"/>
        <v>0</v>
      </c>
      <c r="H74" s="70">
        <f t="shared" si="7"/>
        <v>2686.9666666666667</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1.3401109057301293</v>
      </c>
      <c r="E75" s="50">
        <f t="shared" si="4"/>
        <v>0</v>
      </c>
      <c r="F75" s="50">
        <f t="shared" si="5"/>
        <v>0</v>
      </c>
      <c r="G75" s="69">
        <f t="shared" si="6"/>
        <v>0</v>
      </c>
      <c r="H75" s="70">
        <f t="shared" si="7"/>
        <v>2686.9666666666667</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1.3632162661737524</v>
      </c>
      <c r="E76" s="50">
        <f t="shared" si="4"/>
        <v>0</v>
      </c>
      <c r="F76" s="50">
        <f t="shared" si="5"/>
        <v>0</v>
      </c>
      <c r="G76" s="69">
        <f t="shared" si="6"/>
        <v>0</v>
      </c>
      <c r="H76" s="70">
        <f t="shared" si="7"/>
        <v>2686.9666666666667</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1.3863216266173752</v>
      </c>
      <c r="E77" s="50">
        <f t="shared" si="4"/>
        <v>0</v>
      </c>
      <c r="F77" s="50">
        <f t="shared" si="5"/>
        <v>0</v>
      </c>
      <c r="G77" s="69">
        <f t="shared" si="6"/>
        <v>0</v>
      </c>
      <c r="H77" s="70">
        <f t="shared" si="7"/>
        <v>2686.9666666666667</v>
      </c>
      <c r="I77" s="70">
        <f t="shared" si="8"/>
        <v>0</v>
      </c>
      <c r="J77" s="53">
        <f t="shared" si="9"/>
        <v>0</v>
      </c>
      <c r="K77" s="53">
        <f t="shared" si="1"/>
        <v>558</v>
      </c>
      <c r="L77" s="289">
        <f t="shared" si="2"/>
        <v>558</v>
      </c>
      <c r="N77" s="7">
        <f t="shared" si="3"/>
        <v>6696</v>
      </c>
      <c r="O77" t="str">
        <f>Medicaid!G69</f>
        <v>No</v>
      </c>
      <c r="P77" t="str">
        <f>Medicaid!K69</f>
        <v>Yes</v>
      </c>
      <c r="U77" s="4"/>
    </row>
    <row r="78" spans="1:21" x14ac:dyDescent="0.25">
      <c r="A78" s="3">
        <v>30500</v>
      </c>
      <c r="B78" s="3">
        <f t="shared" si="10"/>
        <v>2541.6666666666665</v>
      </c>
      <c r="C78" s="3">
        <f t="shared" si="11"/>
        <v>213.24583333333334</v>
      </c>
      <c r="D78" s="64">
        <f t="shared" si="12"/>
        <v>1.4094269870609981</v>
      </c>
      <c r="E78" s="50">
        <f t="shared" si="4"/>
        <v>0</v>
      </c>
      <c r="F78" s="50">
        <f t="shared" si="5"/>
        <v>0</v>
      </c>
      <c r="G78" s="69">
        <f t="shared" si="6"/>
        <v>0</v>
      </c>
      <c r="H78" s="70">
        <f t="shared" si="7"/>
        <v>2686.9666666666667</v>
      </c>
      <c r="I78" s="70">
        <f t="shared" si="8"/>
        <v>0</v>
      </c>
      <c r="J78" s="53">
        <f t="shared" si="9"/>
        <v>0</v>
      </c>
      <c r="K78" s="53">
        <f t="shared" si="1"/>
        <v>558</v>
      </c>
      <c r="L78" s="289">
        <f t="shared" si="2"/>
        <v>558</v>
      </c>
      <c r="N78" s="7">
        <f t="shared" si="3"/>
        <v>6696</v>
      </c>
      <c r="O78" t="str">
        <f>Medicaid!G70</f>
        <v>No</v>
      </c>
      <c r="P78" t="str">
        <f>Medicaid!K70</f>
        <v>Yes</v>
      </c>
    </row>
    <row r="79" spans="1:21" x14ac:dyDescent="0.25">
      <c r="A79" s="3">
        <v>31000</v>
      </c>
      <c r="B79" s="3">
        <f t="shared" si="10"/>
        <v>2583.3333333333335</v>
      </c>
      <c r="C79" s="3">
        <f t="shared" si="11"/>
        <v>216.74166666666667</v>
      </c>
      <c r="D79" s="64">
        <f t="shared" si="12"/>
        <v>1.4325323475046212</v>
      </c>
      <c r="E79" s="50">
        <f t="shared" si="4"/>
        <v>0</v>
      </c>
      <c r="F79" s="50">
        <f t="shared" si="5"/>
        <v>0</v>
      </c>
      <c r="G79" s="69">
        <f t="shared" si="6"/>
        <v>0</v>
      </c>
      <c r="H79" s="70">
        <f t="shared" si="7"/>
        <v>2686.9666666666667</v>
      </c>
      <c r="I79" s="70">
        <f t="shared" si="8"/>
        <v>0</v>
      </c>
      <c r="J79" s="53">
        <f t="shared" si="9"/>
        <v>0</v>
      </c>
      <c r="K79" s="53">
        <f t="shared" si="1"/>
        <v>558</v>
      </c>
      <c r="L79" s="289">
        <f t="shared" si="2"/>
        <v>558</v>
      </c>
      <c r="N79" s="7">
        <f t="shared" si="3"/>
        <v>6696</v>
      </c>
      <c r="O79" t="str">
        <f>Medicaid!G71</f>
        <v>No</v>
      </c>
      <c r="P79" t="str">
        <f>Medicaid!K71</f>
        <v>Yes</v>
      </c>
    </row>
    <row r="80" spans="1:21" x14ac:dyDescent="0.25">
      <c r="A80" s="3">
        <v>31500</v>
      </c>
      <c r="B80" s="3">
        <f t="shared" si="10"/>
        <v>2625</v>
      </c>
      <c r="C80" s="3">
        <f t="shared" si="11"/>
        <v>220.23750000000001</v>
      </c>
      <c r="D80" s="64">
        <f t="shared" si="12"/>
        <v>1.4556377079482441</v>
      </c>
      <c r="E80" s="50">
        <f t="shared" si="4"/>
        <v>0</v>
      </c>
      <c r="F80" s="50">
        <f t="shared" si="5"/>
        <v>0</v>
      </c>
      <c r="G80" s="69">
        <f t="shared" si="6"/>
        <v>0</v>
      </c>
      <c r="H80" s="70">
        <f t="shared" si="7"/>
        <v>2686.9666666666667</v>
      </c>
      <c r="I80" s="70">
        <f t="shared" si="8"/>
        <v>0</v>
      </c>
      <c r="J80" s="53">
        <f t="shared" si="9"/>
        <v>0</v>
      </c>
      <c r="K80" s="53">
        <f t="shared" si="1"/>
        <v>558</v>
      </c>
      <c r="L80" s="289">
        <f t="shared" si="2"/>
        <v>558</v>
      </c>
      <c r="N80" s="7">
        <f t="shared" si="3"/>
        <v>6696</v>
      </c>
      <c r="O80" t="str">
        <f>Medicaid!G72</f>
        <v>No</v>
      </c>
      <c r="P80" t="str">
        <f>Medicaid!K72</f>
        <v>Yes</v>
      </c>
    </row>
    <row r="81" spans="1:16" x14ac:dyDescent="0.25">
      <c r="A81" s="3">
        <v>32000</v>
      </c>
      <c r="B81" s="3">
        <f t="shared" si="10"/>
        <v>2666.6666666666665</v>
      </c>
      <c r="C81" s="3">
        <f t="shared" si="11"/>
        <v>223.73333333333332</v>
      </c>
      <c r="D81" s="64">
        <f t="shared" ref="D81:D112" si="13">B81/$K$2</f>
        <v>1.478743068391867</v>
      </c>
      <c r="E81" s="50">
        <f t="shared" si="4"/>
        <v>0</v>
      </c>
      <c r="F81" s="50">
        <f t="shared" si="5"/>
        <v>0</v>
      </c>
      <c r="G81" s="69">
        <f t="shared" si="6"/>
        <v>0</v>
      </c>
      <c r="H81" s="70">
        <f t="shared" si="7"/>
        <v>2686.9666666666667</v>
      </c>
      <c r="I81" s="70">
        <f t="shared" si="8"/>
        <v>0</v>
      </c>
      <c r="J81" s="53">
        <f t="shared" si="9"/>
        <v>0</v>
      </c>
      <c r="K81" s="53">
        <f t="shared" si="1"/>
        <v>558</v>
      </c>
      <c r="L81" s="289">
        <f t="shared" si="2"/>
        <v>558</v>
      </c>
      <c r="N81" s="7">
        <f t="shared" si="3"/>
        <v>6696</v>
      </c>
      <c r="O81" t="str">
        <f>Medicaid!G73</f>
        <v>No</v>
      </c>
      <c r="P81" t="str">
        <f>Medicaid!K73</f>
        <v>Yes</v>
      </c>
    </row>
    <row r="82" spans="1:16" x14ac:dyDescent="0.25">
      <c r="A82" s="3">
        <v>32500</v>
      </c>
      <c r="B82" s="3">
        <f t="shared" si="10"/>
        <v>2708.3333333333335</v>
      </c>
      <c r="C82" s="3">
        <f t="shared" si="11"/>
        <v>227.22916666666669</v>
      </c>
      <c r="D82" s="64">
        <f t="shared" si="13"/>
        <v>1.5018484288354901</v>
      </c>
      <c r="E82" s="50">
        <f t="shared" si="4"/>
        <v>0</v>
      </c>
      <c r="F82" s="50">
        <f t="shared" si="5"/>
        <v>0.02</v>
      </c>
      <c r="G82" s="69">
        <f t="shared" si="6"/>
        <v>2705</v>
      </c>
      <c r="H82" s="70">
        <f t="shared" si="7"/>
        <v>3588.6333333333332</v>
      </c>
      <c r="I82" s="70">
        <f t="shared" si="8"/>
        <v>2686.9666666666667</v>
      </c>
      <c r="J82" s="53">
        <f t="shared" ref="J82:J145" si="14">B82*(E82+(B82-I82)*(F82-E82)/(H82-I82))</f>
        <v>1.2835797905114064</v>
      </c>
      <c r="K82" s="53">
        <f t="shared" ref="K82:K145" si="15">SUM(IF(O82="Yes",0,$C$12),IF(P82="Yes",0,$C$13))</f>
        <v>558</v>
      </c>
      <c r="L82" s="289">
        <f t="shared" ref="L82:L145" si="16">MAX(0,K82-J82)</f>
        <v>556.71642020948855</v>
      </c>
      <c r="N82" s="7">
        <f t="shared" ref="N82:N145" si="17">MAX(0,L82*12)</f>
        <v>6680.5970425138621</v>
      </c>
      <c r="O82" t="str">
        <f>Medicaid!G74</f>
        <v>No</v>
      </c>
      <c r="P82" t="str">
        <f>Medicaid!K74</f>
        <v>Yes</v>
      </c>
    </row>
    <row r="83" spans="1:16" x14ac:dyDescent="0.25">
      <c r="A83" s="3">
        <v>33000</v>
      </c>
      <c r="B83" s="3">
        <f t="shared" si="10"/>
        <v>2750</v>
      </c>
      <c r="C83" s="3">
        <f t="shared" si="11"/>
        <v>230.72499999999999</v>
      </c>
      <c r="D83" s="64">
        <f t="shared" si="13"/>
        <v>1.5249537892791127</v>
      </c>
      <c r="E83" s="50">
        <f t="shared" ref="E83:E96" si="18">IF(D83&gt;3.99,0.085,IF(D83&gt;2.99,0.06,IF(D83&gt;1.99,0.02,IF(D83&gt;1.49,0,0))))</f>
        <v>0</v>
      </c>
      <c r="F83" s="50">
        <f t="shared" ref="F83:F146" si="19">IF(D83&gt;3.99,0.085,IF(D83&gt;2.99,0.085,IF(D83&gt;2.49,0.06,IF(D83&gt;1.99,0.04,IF(D83&gt;1.49,0.02,0)))))</f>
        <v>0.02</v>
      </c>
      <c r="G83" s="69">
        <f t="shared" ref="G83:G146" si="20">IF(D83&gt;3.99,$M$7,IF(D83&gt;2.99,$M$6,IF(D83&gt;2.49,$M$5,IF(D83&gt;1.99,$M$4,IF(D83&gt;1.49,$M$3,0)))))</f>
        <v>2705</v>
      </c>
      <c r="H83" s="70">
        <f t="shared" ref="H83:H146" si="21">IF(D83&gt;3.99,$N$7,IF(D83&gt;2.99,$N$6,IF(D83&gt;2.49,$N$5,IF(D83&gt;1.99,$N$4,IF(D83&gt;1.49,$N$3,IF(D83&gt;=0,$N$2,0))))))</f>
        <v>3588.6333333333332</v>
      </c>
      <c r="I83" s="70">
        <f t="shared" ref="I83:I146" si="22">IF(D83&gt;3.99,$N$6,IF(D83&gt;2.99,$N$5,IF(D83&gt;2.49,$N$4,IF(D83&gt;1.99,$N$3,IF(D83&gt;1.49,$N$2,IF(D83&gt;=0,0))))))</f>
        <v>2686.9666666666667</v>
      </c>
      <c r="J83" s="53">
        <f t="shared" si="14"/>
        <v>3.844916820702402</v>
      </c>
      <c r="K83" s="53">
        <f t="shared" si="15"/>
        <v>558</v>
      </c>
      <c r="L83" s="289">
        <f t="shared" si="16"/>
        <v>554.15508317929755</v>
      </c>
      <c r="N83" s="7">
        <f t="shared" si="17"/>
        <v>6649.860998151571</v>
      </c>
      <c r="O83" t="str">
        <f>Medicaid!G75</f>
        <v>No</v>
      </c>
      <c r="P83" t="str">
        <f>Medicaid!K75</f>
        <v>Yes</v>
      </c>
    </row>
    <row r="84" spans="1:16" x14ac:dyDescent="0.25">
      <c r="A84" s="3">
        <v>33500</v>
      </c>
      <c r="B84" s="3">
        <f t="shared" ref="B84:B147" si="23">A84/12</f>
        <v>2791.6666666666665</v>
      </c>
      <c r="C84" s="3">
        <f t="shared" ref="C84:C147" si="24">B84*0.0839</f>
        <v>234.22083333333333</v>
      </c>
      <c r="D84" s="64">
        <f t="shared" si="13"/>
        <v>1.5480591497227356</v>
      </c>
      <c r="E84" s="50">
        <f t="shared" si="18"/>
        <v>0</v>
      </c>
      <c r="F84" s="50">
        <f t="shared" si="19"/>
        <v>0.02</v>
      </c>
      <c r="G84" s="69">
        <f t="shared" si="20"/>
        <v>2705</v>
      </c>
      <c r="H84" s="70">
        <f t="shared" si="21"/>
        <v>3588.6333333333332</v>
      </c>
      <c r="I84" s="70">
        <f t="shared" si="22"/>
        <v>2686.9666666666667</v>
      </c>
      <c r="J84" s="53">
        <f t="shared" si="14"/>
        <v>6.4832717190388065</v>
      </c>
      <c r="K84" s="53">
        <f t="shared" si="15"/>
        <v>558</v>
      </c>
      <c r="L84" s="289">
        <f t="shared" si="16"/>
        <v>551.51672828096116</v>
      </c>
      <c r="N84" s="7">
        <f t="shared" si="17"/>
        <v>6618.2007393715339</v>
      </c>
      <c r="O84" t="str">
        <f>Medicaid!G76</f>
        <v>No</v>
      </c>
      <c r="P84" t="str">
        <f>Medicaid!K76</f>
        <v>Yes</v>
      </c>
    </row>
    <row r="85" spans="1:16" x14ac:dyDescent="0.25">
      <c r="A85" s="3">
        <v>34000</v>
      </c>
      <c r="B85" s="3">
        <f t="shared" si="23"/>
        <v>2833.3333333333335</v>
      </c>
      <c r="C85" s="3">
        <f t="shared" si="24"/>
        <v>237.7166666666667</v>
      </c>
      <c r="D85" s="64">
        <f t="shared" si="13"/>
        <v>1.5711645101663587</v>
      </c>
      <c r="E85" s="50">
        <f t="shared" si="18"/>
        <v>0</v>
      </c>
      <c r="F85" s="50">
        <f t="shared" si="19"/>
        <v>0.02</v>
      </c>
      <c r="G85" s="69">
        <f t="shared" si="20"/>
        <v>2705</v>
      </c>
      <c r="H85" s="70">
        <f t="shared" si="21"/>
        <v>3588.6333333333332</v>
      </c>
      <c r="I85" s="70">
        <f t="shared" si="22"/>
        <v>2686.9666666666667</v>
      </c>
      <c r="J85" s="53">
        <f t="shared" si="14"/>
        <v>9.1986444855206511</v>
      </c>
      <c r="K85" s="53">
        <f t="shared" si="15"/>
        <v>558</v>
      </c>
      <c r="L85" s="289">
        <f t="shared" si="16"/>
        <v>548.80135551447938</v>
      </c>
      <c r="N85" s="7">
        <f t="shared" si="17"/>
        <v>6585.6162661737526</v>
      </c>
      <c r="O85" t="str">
        <f>Medicaid!G77</f>
        <v>No</v>
      </c>
      <c r="P85" t="str">
        <f>Medicaid!K77</f>
        <v>Yes</v>
      </c>
    </row>
    <row r="86" spans="1:16" x14ac:dyDescent="0.25">
      <c r="A86" s="3">
        <v>34500</v>
      </c>
      <c r="B86" s="3">
        <f t="shared" si="23"/>
        <v>2875</v>
      </c>
      <c r="C86" s="3">
        <f t="shared" si="24"/>
        <v>241.21250000000001</v>
      </c>
      <c r="D86" s="64">
        <f t="shared" si="13"/>
        <v>1.5942698706099816</v>
      </c>
      <c r="E86" s="50">
        <f t="shared" si="18"/>
        <v>0</v>
      </c>
      <c r="F86" s="50">
        <f t="shared" si="19"/>
        <v>0.02</v>
      </c>
      <c r="G86" s="69">
        <f t="shared" si="20"/>
        <v>2705</v>
      </c>
      <c r="H86" s="70">
        <f t="shared" si="21"/>
        <v>3588.6333333333332</v>
      </c>
      <c r="I86" s="70">
        <f t="shared" si="22"/>
        <v>2686.9666666666667</v>
      </c>
      <c r="J86" s="53">
        <f t="shared" si="14"/>
        <v>11.991035120147876</v>
      </c>
      <c r="K86" s="53">
        <f t="shared" si="15"/>
        <v>558</v>
      </c>
      <c r="L86" s="289">
        <f t="shared" si="16"/>
        <v>546.0089648798521</v>
      </c>
      <c r="N86" s="7">
        <f t="shared" si="17"/>
        <v>6552.1075785582252</v>
      </c>
      <c r="O86" t="str">
        <f>Medicaid!G78</f>
        <v>No</v>
      </c>
      <c r="P86" t="str">
        <f>Medicaid!K78</f>
        <v>Yes</v>
      </c>
    </row>
    <row r="87" spans="1:16" x14ac:dyDescent="0.25">
      <c r="A87" s="3">
        <v>35000</v>
      </c>
      <c r="B87" s="3">
        <f t="shared" si="23"/>
        <v>2916.6666666666665</v>
      </c>
      <c r="C87" s="3">
        <f t="shared" si="24"/>
        <v>244.70833333333331</v>
      </c>
      <c r="D87" s="64">
        <f t="shared" si="13"/>
        <v>1.6173752310536045</v>
      </c>
      <c r="E87" s="50">
        <f t="shared" si="18"/>
        <v>0</v>
      </c>
      <c r="F87" s="50">
        <f t="shared" si="19"/>
        <v>0.02</v>
      </c>
      <c r="G87" s="69">
        <f t="shared" si="20"/>
        <v>2705</v>
      </c>
      <c r="H87" s="70">
        <f t="shared" si="21"/>
        <v>3588.6333333333332</v>
      </c>
      <c r="I87" s="70">
        <f t="shared" si="22"/>
        <v>2686.9666666666667</v>
      </c>
      <c r="J87" s="53">
        <f t="shared" si="14"/>
        <v>14.860443622920508</v>
      </c>
      <c r="K87" s="53">
        <f t="shared" si="15"/>
        <v>558</v>
      </c>
      <c r="L87" s="289">
        <f t="shared" si="16"/>
        <v>543.13955637707954</v>
      </c>
      <c r="N87" s="7">
        <f t="shared" si="17"/>
        <v>6517.6746765249545</v>
      </c>
      <c r="O87" t="str">
        <f>Medicaid!G79</f>
        <v>No</v>
      </c>
      <c r="P87" t="str">
        <f>Medicaid!K79</f>
        <v>Yes</v>
      </c>
    </row>
    <row r="88" spans="1:16" x14ac:dyDescent="0.25">
      <c r="A88" s="3">
        <v>35500</v>
      </c>
      <c r="B88" s="3">
        <f t="shared" si="23"/>
        <v>2958.3333333333335</v>
      </c>
      <c r="C88" s="3">
        <f t="shared" si="24"/>
        <v>248.20416666666668</v>
      </c>
      <c r="D88" s="64">
        <f t="shared" si="13"/>
        <v>1.6404805914972276</v>
      </c>
      <c r="E88" s="50">
        <f t="shared" si="18"/>
        <v>0</v>
      </c>
      <c r="F88" s="50">
        <f t="shared" si="19"/>
        <v>0.02</v>
      </c>
      <c r="G88" s="69">
        <f t="shared" si="20"/>
        <v>2705</v>
      </c>
      <c r="H88" s="70">
        <f t="shared" si="21"/>
        <v>3588.6333333333332</v>
      </c>
      <c r="I88" s="70">
        <f t="shared" si="22"/>
        <v>2686.9666666666667</v>
      </c>
      <c r="J88" s="53">
        <f t="shared" si="14"/>
        <v>17.806869993838582</v>
      </c>
      <c r="K88" s="53">
        <f t="shared" si="15"/>
        <v>558</v>
      </c>
      <c r="L88" s="289">
        <f t="shared" si="16"/>
        <v>540.19313000616137</v>
      </c>
      <c r="N88" s="7">
        <f t="shared" si="17"/>
        <v>6482.317560073936</v>
      </c>
      <c r="O88" t="str">
        <f>Medicaid!G80</f>
        <v>No</v>
      </c>
      <c r="P88" t="str">
        <f>Medicaid!K80</f>
        <v>Yes</v>
      </c>
    </row>
    <row r="89" spans="1:16" x14ac:dyDescent="0.25">
      <c r="A89" s="3">
        <v>36000</v>
      </c>
      <c r="B89" s="3">
        <f t="shared" si="23"/>
        <v>3000</v>
      </c>
      <c r="C89" s="3">
        <f t="shared" si="24"/>
        <v>251.70000000000002</v>
      </c>
      <c r="D89" s="64">
        <f t="shared" si="13"/>
        <v>1.6635859519408502</v>
      </c>
      <c r="E89" s="50">
        <f t="shared" si="18"/>
        <v>0</v>
      </c>
      <c r="F89" s="50">
        <f t="shared" si="19"/>
        <v>0.02</v>
      </c>
      <c r="G89" s="69">
        <f t="shared" si="20"/>
        <v>2705</v>
      </c>
      <c r="H89" s="70">
        <f t="shared" si="21"/>
        <v>3588.6333333333332</v>
      </c>
      <c r="I89" s="70">
        <f t="shared" si="22"/>
        <v>2686.9666666666667</v>
      </c>
      <c r="J89" s="53">
        <f t="shared" si="14"/>
        <v>20.830314232902037</v>
      </c>
      <c r="K89" s="53">
        <f t="shared" si="15"/>
        <v>558</v>
      </c>
      <c r="L89" s="289">
        <f t="shared" si="16"/>
        <v>537.16968576709792</v>
      </c>
      <c r="N89" s="7">
        <f t="shared" si="17"/>
        <v>6446.036229205175</v>
      </c>
      <c r="O89" t="str">
        <f>Medicaid!G81</f>
        <v>No</v>
      </c>
      <c r="P89" t="str">
        <f>Medicaid!K81</f>
        <v>Yes</v>
      </c>
    </row>
    <row r="90" spans="1:16" x14ac:dyDescent="0.25">
      <c r="A90" s="3">
        <v>36500</v>
      </c>
      <c r="B90" s="3">
        <f t="shared" si="23"/>
        <v>3041.6666666666665</v>
      </c>
      <c r="C90" s="3">
        <f t="shared" si="24"/>
        <v>255.19583333333333</v>
      </c>
      <c r="D90" s="64">
        <f t="shared" si="13"/>
        <v>1.6866913123844731</v>
      </c>
      <c r="E90" s="50">
        <f t="shared" si="18"/>
        <v>0</v>
      </c>
      <c r="F90" s="50">
        <f t="shared" si="19"/>
        <v>0.02</v>
      </c>
      <c r="G90" s="69">
        <f t="shared" si="20"/>
        <v>2705</v>
      </c>
      <c r="H90" s="70">
        <f t="shared" si="21"/>
        <v>3588.6333333333332</v>
      </c>
      <c r="I90" s="70">
        <f t="shared" si="22"/>
        <v>2686.9666666666667</v>
      </c>
      <c r="J90" s="53">
        <f t="shared" si="14"/>
        <v>23.930776340110899</v>
      </c>
      <c r="K90" s="53">
        <f t="shared" si="15"/>
        <v>558</v>
      </c>
      <c r="L90" s="289">
        <f t="shared" si="16"/>
        <v>534.06922365988908</v>
      </c>
      <c r="N90" s="7">
        <f t="shared" si="17"/>
        <v>6408.8306839186689</v>
      </c>
      <c r="O90" t="str">
        <f>Medicaid!G82</f>
        <v>No</v>
      </c>
      <c r="P90" t="str">
        <f>Medicaid!K82</f>
        <v>Yes</v>
      </c>
    </row>
    <row r="91" spans="1:16" x14ac:dyDescent="0.25">
      <c r="A91" s="3">
        <v>37000</v>
      </c>
      <c r="B91" s="3">
        <f t="shared" si="23"/>
        <v>3083.3333333333335</v>
      </c>
      <c r="C91" s="3">
        <f t="shared" si="24"/>
        <v>258.69166666666666</v>
      </c>
      <c r="D91" s="64">
        <f t="shared" si="13"/>
        <v>1.7097966728280962</v>
      </c>
      <c r="E91" s="50">
        <f t="shared" si="18"/>
        <v>0</v>
      </c>
      <c r="F91" s="50">
        <f t="shared" si="19"/>
        <v>0.02</v>
      </c>
      <c r="G91" s="69">
        <f t="shared" si="20"/>
        <v>2705</v>
      </c>
      <c r="H91" s="70">
        <f t="shared" si="21"/>
        <v>3588.6333333333332</v>
      </c>
      <c r="I91" s="70">
        <f t="shared" si="22"/>
        <v>2686.9666666666667</v>
      </c>
      <c r="J91" s="53">
        <f t="shared" si="14"/>
        <v>27.108256315465205</v>
      </c>
      <c r="K91" s="53">
        <f t="shared" si="15"/>
        <v>558</v>
      </c>
      <c r="L91" s="289">
        <f t="shared" si="16"/>
        <v>530.89174368453484</v>
      </c>
      <c r="N91" s="7">
        <f t="shared" si="17"/>
        <v>6370.7009242144177</v>
      </c>
      <c r="O91" t="str">
        <f>Medicaid!G83</f>
        <v>No</v>
      </c>
      <c r="P91" t="str">
        <f>Medicaid!K83</f>
        <v>Yes</v>
      </c>
    </row>
    <row r="92" spans="1:16" x14ac:dyDescent="0.25">
      <c r="A92" s="3">
        <v>37500</v>
      </c>
      <c r="B92" s="3">
        <f t="shared" si="23"/>
        <v>3125</v>
      </c>
      <c r="C92" s="3">
        <f t="shared" si="24"/>
        <v>262.1875</v>
      </c>
      <c r="D92" s="64">
        <f t="shared" si="13"/>
        <v>1.7329020332717191</v>
      </c>
      <c r="E92" s="50">
        <f t="shared" si="18"/>
        <v>0</v>
      </c>
      <c r="F92" s="50">
        <f t="shared" si="19"/>
        <v>0.02</v>
      </c>
      <c r="G92" s="69">
        <f t="shared" si="20"/>
        <v>2705</v>
      </c>
      <c r="H92" s="70">
        <f t="shared" si="21"/>
        <v>3588.6333333333332</v>
      </c>
      <c r="I92" s="70">
        <f t="shared" si="22"/>
        <v>2686.9666666666667</v>
      </c>
      <c r="J92" s="53">
        <f t="shared" si="14"/>
        <v>30.362754158964883</v>
      </c>
      <c r="K92" s="53">
        <f t="shared" si="15"/>
        <v>558</v>
      </c>
      <c r="L92" s="289">
        <f t="shared" si="16"/>
        <v>527.63724584103511</v>
      </c>
      <c r="N92" s="7">
        <f t="shared" si="17"/>
        <v>6331.6469500924213</v>
      </c>
      <c r="O92" t="str">
        <f>Medicaid!G84</f>
        <v>No</v>
      </c>
      <c r="P92" t="str">
        <f>Medicaid!K84</f>
        <v>Yes</v>
      </c>
    </row>
    <row r="93" spans="1:16" x14ac:dyDescent="0.25">
      <c r="A93" s="3">
        <v>38000</v>
      </c>
      <c r="B93" s="3">
        <f t="shared" si="23"/>
        <v>3166.6666666666665</v>
      </c>
      <c r="C93" s="3">
        <f t="shared" si="24"/>
        <v>265.68333333333334</v>
      </c>
      <c r="D93" s="64">
        <f t="shared" si="13"/>
        <v>1.756007393715342</v>
      </c>
      <c r="E93" s="50">
        <f t="shared" si="18"/>
        <v>0</v>
      </c>
      <c r="F93" s="50">
        <f t="shared" si="19"/>
        <v>0.02</v>
      </c>
      <c r="G93" s="69">
        <f t="shared" si="20"/>
        <v>2705</v>
      </c>
      <c r="H93" s="70">
        <f t="shared" si="21"/>
        <v>3588.6333333333332</v>
      </c>
      <c r="I93" s="70">
        <f t="shared" si="22"/>
        <v>2686.9666666666667</v>
      </c>
      <c r="J93" s="53">
        <f t="shared" si="14"/>
        <v>33.694269870609972</v>
      </c>
      <c r="K93" s="53">
        <f t="shared" si="15"/>
        <v>558</v>
      </c>
      <c r="L93" s="289">
        <f t="shared" si="16"/>
        <v>524.30573012938999</v>
      </c>
      <c r="N93" s="7">
        <f t="shared" si="17"/>
        <v>6291.6687615526798</v>
      </c>
      <c r="O93" t="str">
        <f>Medicaid!G85</f>
        <v>No</v>
      </c>
      <c r="P93" t="str">
        <f>Medicaid!K85</f>
        <v>Yes</v>
      </c>
    </row>
    <row r="94" spans="1:16" x14ac:dyDescent="0.25">
      <c r="A94" s="3">
        <v>38500</v>
      </c>
      <c r="B94" s="3">
        <f t="shared" si="23"/>
        <v>3208.3333333333335</v>
      </c>
      <c r="C94" s="3">
        <f t="shared" si="24"/>
        <v>269.17916666666667</v>
      </c>
      <c r="D94" s="64">
        <f t="shared" si="13"/>
        <v>1.7791127541589651</v>
      </c>
      <c r="E94" s="50">
        <f t="shared" si="18"/>
        <v>0</v>
      </c>
      <c r="F94" s="50">
        <f t="shared" si="19"/>
        <v>0.02</v>
      </c>
      <c r="G94" s="69">
        <f t="shared" si="20"/>
        <v>2705</v>
      </c>
      <c r="H94" s="70">
        <f t="shared" si="21"/>
        <v>3588.6333333333332</v>
      </c>
      <c r="I94" s="70">
        <f t="shared" si="22"/>
        <v>2686.9666666666667</v>
      </c>
      <c r="J94" s="53">
        <f t="shared" si="14"/>
        <v>37.102803450400508</v>
      </c>
      <c r="K94" s="53">
        <f t="shared" si="15"/>
        <v>558</v>
      </c>
      <c r="L94" s="289">
        <f t="shared" si="16"/>
        <v>520.89719654959947</v>
      </c>
      <c r="N94" s="7">
        <f t="shared" si="17"/>
        <v>6250.7663585951941</v>
      </c>
      <c r="O94" t="str">
        <f>Medicaid!G86</f>
        <v>No</v>
      </c>
      <c r="P94" t="str">
        <f>Medicaid!K86</f>
        <v>Yes</v>
      </c>
    </row>
    <row r="95" spans="1:16" x14ac:dyDescent="0.25">
      <c r="A95" s="3">
        <v>39000</v>
      </c>
      <c r="B95" s="3">
        <f t="shared" si="23"/>
        <v>3250</v>
      </c>
      <c r="C95" s="3">
        <f t="shared" si="24"/>
        <v>272.67500000000001</v>
      </c>
      <c r="D95" s="64">
        <f t="shared" si="13"/>
        <v>1.802218114602588</v>
      </c>
      <c r="E95" s="50">
        <f t="shared" si="18"/>
        <v>0</v>
      </c>
      <c r="F95" s="50">
        <f t="shared" si="19"/>
        <v>0.02</v>
      </c>
      <c r="G95" s="69">
        <f t="shared" si="20"/>
        <v>2705</v>
      </c>
      <c r="H95" s="70">
        <f t="shared" si="21"/>
        <v>3588.6333333333332</v>
      </c>
      <c r="I95" s="70">
        <f t="shared" si="22"/>
        <v>2686.9666666666667</v>
      </c>
      <c r="J95" s="53">
        <f t="shared" si="14"/>
        <v>40.588354898336419</v>
      </c>
      <c r="K95" s="53">
        <f t="shared" si="15"/>
        <v>558</v>
      </c>
      <c r="L95" s="289">
        <f t="shared" si="16"/>
        <v>517.41164510166357</v>
      </c>
      <c r="N95" s="7">
        <f t="shared" si="17"/>
        <v>6208.9397412199633</v>
      </c>
      <c r="O95" t="str">
        <f>Medicaid!G87</f>
        <v>No</v>
      </c>
      <c r="P95" t="str">
        <f>Medicaid!K87</f>
        <v>Yes</v>
      </c>
    </row>
    <row r="96" spans="1:16" x14ac:dyDescent="0.25">
      <c r="A96" s="3">
        <v>39500</v>
      </c>
      <c r="B96" s="3">
        <f t="shared" si="23"/>
        <v>3291.6666666666665</v>
      </c>
      <c r="C96" s="3">
        <f t="shared" si="24"/>
        <v>276.17083333333335</v>
      </c>
      <c r="D96" s="64">
        <f t="shared" si="13"/>
        <v>1.8253234750462106</v>
      </c>
      <c r="E96" s="50">
        <f t="shared" si="18"/>
        <v>0</v>
      </c>
      <c r="F96" s="50">
        <f t="shared" si="19"/>
        <v>0.02</v>
      </c>
      <c r="G96" s="69">
        <f t="shared" si="20"/>
        <v>2705</v>
      </c>
      <c r="H96" s="70">
        <f t="shared" si="21"/>
        <v>3588.6333333333332</v>
      </c>
      <c r="I96" s="70">
        <f t="shared" si="22"/>
        <v>2686.9666666666667</v>
      </c>
      <c r="J96" s="53">
        <f t="shared" si="14"/>
        <v>44.150924214417735</v>
      </c>
      <c r="K96" s="53">
        <f t="shared" si="15"/>
        <v>558</v>
      </c>
      <c r="L96" s="289">
        <f t="shared" si="16"/>
        <v>513.84907578558227</v>
      </c>
      <c r="N96" s="7">
        <f t="shared" si="17"/>
        <v>6166.1889094269873</v>
      </c>
      <c r="O96" t="str">
        <f>Medicaid!G88</f>
        <v>No</v>
      </c>
      <c r="P96" t="str">
        <f>Medicaid!K88</f>
        <v>Yes</v>
      </c>
    </row>
    <row r="97" spans="1:16" x14ac:dyDescent="0.25">
      <c r="A97" s="3">
        <v>40000</v>
      </c>
      <c r="B97" s="3">
        <f t="shared" si="23"/>
        <v>3333.3333333333335</v>
      </c>
      <c r="C97" s="3">
        <f t="shared" si="24"/>
        <v>279.66666666666669</v>
      </c>
      <c r="D97" s="64">
        <f t="shared" si="13"/>
        <v>1.8484288354898337</v>
      </c>
      <c r="E97" s="50">
        <f>IF(D97&gt;3.99,0.085,IF(D97&gt;2.99,0.06,IF(D97&gt;1.99,0.02,IF(D97&gt;1.49,0,0))))</f>
        <v>0</v>
      </c>
      <c r="F97" s="50">
        <f t="shared" si="19"/>
        <v>0.02</v>
      </c>
      <c r="G97" s="69">
        <f t="shared" si="20"/>
        <v>2705</v>
      </c>
      <c r="H97" s="70">
        <f t="shared" si="21"/>
        <v>3588.6333333333332</v>
      </c>
      <c r="I97" s="70">
        <f t="shared" si="22"/>
        <v>2686.9666666666667</v>
      </c>
      <c r="J97" s="53">
        <f t="shared" si="14"/>
        <v>47.790511398644504</v>
      </c>
      <c r="K97" s="53">
        <f t="shared" si="15"/>
        <v>558</v>
      </c>
      <c r="L97" s="289">
        <f t="shared" si="16"/>
        <v>510.20948860135547</v>
      </c>
      <c r="N97" s="7">
        <f t="shared" si="17"/>
        <v>6122.5138632162652</v>
      </c>
      <c r="O97" t="str">
        <f>Medicaid!G89</f>
        <v>No</v>
      </c>
      <c r="P97" t="str">
        <f>Medicaid!K89</f>
        <v>Yes</v>
      </c>
    </row>
    <row r="98" spans="1:16" x14ac:dyDescent="0.25">
      <c r="A98" s="3">
        <v>40500</v>
      </c>
      <c r="B98" s="3">
        <f t="shared" si="23"/>
        <v>3375</v>
      </c>
      <c r="C98" s="3">
        <f t="shared" si="24"/>
        <v>283.16250000000002</v>
      </c>
      <c r="D98" s="64">
        <f t="shared" si="13"/>
        <v>1.8715341959334566</v>
      </c>
      <c r="E98" s="50">
        <f t="shared" ref="E98:E161" si="25">IF(D98&gt;3.99,0.085,IF(D98&gt;2.99,0.06,IF(D98&gt;1.99,0.02,IF(D98&gt;1.49,0,0))))</f>
        <v>0</v>
      </c>
      <c r="F98" s="50">
        <f t="shared" si="19"/>
        <v>0.02</v>
      </c>
      <c r="G98" s="69">
        <f t="shared" si="20"/>
        <v>2705</v>
      </c>
      <c r="H98" s="70">
        <f t="shared" si="21"/>
        <v>3588.6333333333332</v>
      </c>
      <c r="I98" s="70">
        <f t="shared" si="22"/>
        <v>2686.9666666666667</v>
      </c>
      <c r="J98" s="53">
        <f t="shared" si="14"/>
        <v>51.507116451016643</v>
      </c>
      <c r="K98" s="53">
        <f t="shared" si="15"/>
        <v>558</v>
      </c>
      <c r="L98" s="289">
        <f t="shared" si="16"/>
        <v>506.49288354898334</v>
      </c>
      <c r="N98" s="7">
        <f t="shared" si="17"/>
        <v>6077.9146025877999</v>
      </c>
      <c r="O98" t="str">
        <f>Medicaid!G90</f>
        <v>No</v>
      </c>
      <c r="P98" t="str">
        <f>Medicaid!K90</f>
        <v>Yes</v>
      </c>
    </row>
    <row r="99" spans="1:16" x14ac:dyDescent="0.25">
      <c r="A99" s="3">
        <v>41000</v>
      </c>
      <c r="B99" s="3">
        <f t="shared" si="23"/>
        <v>3416.6666666666665</v>
      </c>
      <c r="C99" s="3">
        <f t="shared" si="24"/>
        <v>286.6583333333333</v>
      </c>
      <c r="D99" s="64">
        <f t="shared" si="13"/>
        <v>1.8946395563770795</v>
      </c>
      <c r="E99" s="50">
        <f t="shared" si="25"/>
        <v>0</v>
      </c>
      <c r="F99" s="50">
        <f t="shared" si="19"/>
        <v>0.02</v>
      </c>
      <c r="G99" s="69">
        <f t="shared" si="20"/>
        <v>2705</v>
      </c>
      <c r="H99" s="70">
        <f t="shared" si="21"/>
        <v>3588.6333333333332</v>
      </c>
      <c r="I99" s="70">
        <f t="shared" si="22"/>
        <v>2686.9666666666667</v>
      </c>
      <c r="J99" s="53">
        <f t="shared" si="14"/>
        <v>55.300739371534185</v>
      </c>
      <c r="K99" s="53">
        <f t="shared" si="15"/>
        <v>558</v>
      </c>
      <c r="L99" s="289">
        <f t="shared" si="16"/>
        <v>502.69926062846582</v>
      </c>
      <c r="N99" s="7">
        <f t="shared" si="17"/>
        <v>6032.3911275415903</v>
      </c>
      <c r="O99" t="str">
        <f>Medicaid!G91</f>
        <v>No</v>
      </c>
      <c r="P99" t="str">
        <f>Medicaid!K91</f>
        <v>Yes</v>
      </c>
    </row>
    <row r="100" spans="1:16" x14ac:dyDescent="0.25">
      <c r="A100" s="3">
        <v>41500</v>
      </c>
      <c r="B100" s="3">
        <f t="shared" si="23"/>
        <v>3458.3333333333335</v>
      </c>
      <c r="C100" s="3">
        <f t="shared" si="24"/>
        <v>290.1541666666667</v>
      </c>
      <c r="D100" s="64">
        <f t="shared" si="13"/>
        <v>1.9177449168207026</v>
      </c>
      <c r="E100" s="50">
        <f t="shared" si="25"/>
        <v>0</v>
      </c>
      <c r="F100" s="50">
        <f t="shared" si="19"/>
        <v>0.02</v>
      </c>
      <c r="G100" s="69">
        <f t="shared" si="20"/>
        <v>2705</v>
      </c>
      <c r="H100" s="70">
        <f t="shared" si="21"/>
        <v>3588.6333333333332</v>
      </c>
      <c r="I100" s="70">
        <f t="shared" si="22"/>
        <v>2686.9666666666667</v>
      </c>
      <c r="J100" s="53">
        <f t="shared" si="14"/>
        <v>59.171380160197188</v>
      </c>
      <c r="K100" s="53">
        <f t="shared" si="15"/>
        <v>558</v>
      </c>
      <c r="L100" s="289">
        <f t="shared" si="16"/>
        <v>498.8286198398028</v>
      </c>
      <c r="N100" s="7">
        <f t="shared" si="17"/>
        <v>5985.9434380776338</v>
      </c>
      <c r="O100" t="str">
        <f>Medicaid!G92</f>
        <v>No</v>
      </c>
      <c r="P100" t="str">
        <f>Medicaid!K92</f>
        <v>Yes</v>
      </c>
    </row>
    <row r="101" spans="1:16" x14ac:dyDescent="0.25">
      <c r="A101" s="3">
        <v>42000</v>
      </c>
      <c r="B101" s="3">
        <f t="shared" si="23"/>
        <v>3500</v>
      </c>
      <c r="C101" s="3">
        <f t="shared" si="24"/>
        <v>293.65000000000003</v>
      </c>
      <c r="D101" s="64">
        <f t="shared" si="13"/>
        <v>1.9408502772643255</v>
      </c>
      <c r="E101" s="50">
        <f t="shared" si="25"/>
        <v>0</v>
      </c>
      <c r="F101" s="50">
        <f t="shared" si="19"/>
        <v>0.02</v>
      </c>
      <c r="G101" s="69">
        <f t="shared" si="20"/>
        <v>2705</v>
      </c>
      <c r="H101" s="70">
        <f t="shared" si="21"/>
        <v>3588.6333333333332</v>
      </c>
      <c r="I101" s="70">
        <f t="shared" si="22"/>
        <v>2686.9666666666667</v>
      </c>
      <c r="J101" s="53">
        <f t="shared" si="14"/>
        <v>63.119038817005546</v>
      </c>
      <c r="K101" s="53">
        <f t="shared" si="15"/>
        <v>558</v>
      </c>
      <c r="L101" s="289">
        <f t="shared" si="16"/>
        <v>494.88096118299444</v>
      </c>
      <c r="N101" s="7">
        <f t="shared" si="17"/>
        <v>5938.5715341959331</v>
      </c>
      <c r="O101" t="str">
        <f>Medicaid!G93</f>
        <v>No</v>
      </c>
      <c r="P101" t="str">
        <f>Medicaid!K93</f>
        <v>Yes</v>
      </c>
    </row>
    <row r="102" spans="1:16" x14ac:dyDescent="0.25">
      <c r="A102" s="3">
        <v>42500</v>
      </c>
      <c r="B102" s="3">
        <f t="shared" si="23"/>
        <v>3541.6666666666665</v>
      </c>
      <c r="C102" s="3">
        <f t="shared" si="24"/>
        <v>297.14583333333331</v>
      </c>
      <c r="D102" s="64">
        <f t="shared" si="13"/>
        <v>1.9639556377079483</v>
      </c>
      <c r="E102" s="50">
        <f t="shared" si="25"/>
        <v>0</v>
      </c>
      <c r="F102" s="50">
        <f t="shared" si="19"/>
        <v>0.02</v>
      </c>
      <c r="G102" s="69">
        <f t="shared" si="20"/>
        <v>2705</v>
      </c>
      <c r="H102" s="70">
        <f t="shared" si="21"/>
        <v>3588.6333333333332</v>
      </c>
      <c r="I102" s="70">
        <f t="shared" si="22"/>
        <v>2686.9666666666667</v>
      </c>
      <c r="J102" s="53">
        <f t="shared" si="14"/>
        <v>67.143715341959336</v>
      </c>
      <c r="K102" s="53">
        <f t="shared" si="15"/>
        <v>558</v>
      </c>
      <c r="L102" s="289">
        <f t="shared" si="16"/>
        <v>490.85628465804064</v>
      </c>
      <c r="N102" s="7">
        <f t="shared" si="17"/>
        <v>5890.2754158964872</v>
      </c>
      <c r="O102" t="str">
        <f>Medicaid!G94</f>
        <v>No</v>
      </c>
      <c r="P102" t="str">
        <f>Medicaid!K94</f>
        <v>Yes</v>
      </c>
    </row>
    <row r="103" spans="1:16" x14ac:dyDescent="0.25">
      <c r="A103" s="3">
        <v>43000</v>
      </c>
      <c r="B103" s="3">
        <f t="shared" si="23"/>
        <v>3583.3333333333335</v>
      </c>
      <c r="C103" s="3">
        <f t="shared" si="24"/>
        <v>300.64166666666671</v>
      </c>
      <c r="D103" s="64">
        <f t="shared" si="13"/>
        <v>1.9870609981515712</v>
      </c>
      <c r="E103" s="50">
        <f t="shared" si="25"/>
        <v>0</v>
      </c>
      <c r="F103" s="50">
        <f t="shared" si="19"/>
        <v>0.02</v>
      </c>
      <c r="G103" s="69">
        <f t="shared" si="20"/>
        <v>2705</v>
      </c>
      <c r="H103" s="70">
        <f t="shared" si="21"/>
        <v>3588.6333333333332</v>
      </c>
      <c r="I103" s="70">
        <f t="shared" si="22"/>
        <v>2686.9666666666667</v>
      </c>
      <c r="J103" s="53">
        <f>B103*(E103+(B103-I103)*(F103-E103)/(H103-I103))</f>
        <v>71.245409735058558</v>
      </c>
      <c r="K103" s="53">
        <f t="shared" si="15"/>
        <v>558</v>
      </c>
      <c r="L103" s="289">
        <f t="shared" si="16"/>
        <v>486.75459026494144</v>
      </c>
      <c r="N103" s="7">
        <f t="shared" si="17"/>
        <v>5841.0550831792971</v>
      </c>
      <c r="O103" t="str">
        <f>Medicaid!G95</f>
        <v>No</v>
      </c>
      <c r="P103" t="str">
        <f>Medicaid!K95</f>
        <v>Yes</v>
      </c>
    </row>
    <row r="104" spans="1:16" x14ac:dyDescent="0.25">
      <c r="A104" s="3">
        <v>43500</v>
      </c>
      <c r="B104" s="3">
        <f t="shared" si="23"/>
        <v>3625</v>
      </c>
      <c r="C104" s="3">
        <f t="shared" si="24"/>
        <v>304.13749999999999</v>
      </c>
      <c r="D104" s="64">
        <f t="shared" si="13"/>
        <v>2.0101663585951943</v>
      </c>
      <c r="E104" s="50">
        <f t="shared" si="25"/>
        <v>0.02</v>
      </c>
      <c r="F104" s="50">
        <f t="shared" si="19"/>
        <v>0.04</v>
      </c>
      <c r="G104" s="69">
        <f t="shared" si="20"/>
        <v>3606.6666666666665</v>
      </c>
      <c r="H104" s="70">
        <f t="shared" si="21"/>
        <v>4490.3</v>
      </c>
      <c r="I104" s="70">
        <f t="shared" si="22"/>
        <v>3588.6333333333332</v>
      </c>
      <c r="J104" s="53">
        <f t="shared" si="14"/>
        <v>75.424121996303157</v>
      </c>
      <c r="K104" s="53">
        <f t="shared" si="15"/>
        <v>933</v>
      </c>
      <c r="L104" s="289">
        <f t="shared" si="16"/>
        <v>857.57587800369686</v>
      </c>
      <c r="N104" s="7">
        <f t="shared" si="17"/>
        <v>10290.910536044363</v>
      </c>
      <c r="O104" t="str">
        <f>Medicaid!G96</f>
        <v>No</v>
      </c>
      <c r="P104" t="str">
        <f>Medicaid!K96</f>
        <v>No</v>
      </c>
    </row>
    <row r="105" spans="1:16" x14ac:dyDescent="0.25">
      <c r="A105" s="3">
        <v>44000</v>
      </c>
      <c r="B105" s="3">
        <f t="shared" si="23"/>
        <v>3666.6666666666665</v>
      </c>
      <c r="C105" s="3">
        <f t="shared" si="24"/>
        <v>307.63333333333333</v>
      </c>
      <c r="D105" s="64">
        <f t="shared" si="13"/>
        <v>2.033271719038817</v>
      </c>
      <c r="E105" s="50">
        <f t="shared" si="25"/>
        <v>0.02</v>
      </c>
      <c r="F105" s="50">
        <f t="shared" si="19"/>
        <v>0.04</v>
      </c>
      <c r="G105" s="69">
        <f t="shared" si="20"/>
        <v>3606.6666666666665</v>
      </c>
      <c r="H105" s="70">
        <f t="shared" si="21"/>
        <v>4490.3</v>
      </c>
      <c r="I105" s="70">
        <f t="shared" si="22"/>
        <v>3588.6333333333332</v>
      </c>
      <c r="J105" s="53">
        <f t="shared" si="14"/>
        <v>79.679852125693159</v>
      </c>
      <c r="K105" s="53">
        <f t="shared" si="15"/>
        <v>933</v>
      </c>
      <c r="L105" s="289">
        <f t="shared" si="16"/>
        <v>853.32014787430683</v>
      </c>
      <c r="N105" s="7">
        <f t="shared" si="17"/>
        <v>10239.841774491682</v>
      </c>
      <c r="O105" t="str">
        <f>Medicaid!G97</f>
        <v>No</v>
      </c>
      <c r="P105" t="str">
        <f>Medicaid!K97</f>
        <v>No</v>
      </c>
    </row>
    <row r="106" spans="1:16" x14ac:dyDescent="0.25">
      <c r="A106" s="3">
        <v>44500</v>
      </c>
      <c r="B106" s="3">
        <f t="shared" si="23"/>
        <v>3708.3333333333335</v>
      </c>
      <c r="C106" s="3">
        <f t="shared" si="24"/>
        <v>311.12916666666666</v>
      </c>
      <c r="D106" s="64">
        <f t="shared" si="13"/>
        <v>2.0563770794824401</v>
      </c>
      <c r="E106" s="50">
        <f t="shared" si="25"/>
        <v>0.02</v>
      </c>
      <c r="F106" s="50">
        <f t="shared" si="19"/>
        <v>0.04</v>
      </c>
      <c r="G106" s="69">
        <f t="shared" si="20"/>
        <v>3606.6666666666665</v>
      </c>
      <c r="H106" s="70">
        <f t="shared" si="21"/>
        <v>4490.3</v>
      </c>
      <c r="I106" s="70">
        <f t="shared" si="22"/>
        <v>3588.6333333333332</v>
      </c>
      <c r="J106" s="53">
        <f t="shared" si="14"/>
        <v>84.012600123228623</v>
      </c>
      <c r="K106" s="53">
        <f t="shared" si="15"/>
        <v>933</v>
      </c>
      <c r="L106" s="289">
        <f t="shared" si="16"/>
        <v>848.98739987677141</v>
      </c>
      <c r="N106" s="7">
        <f t="shared" si="17"/>
        <v>10187.848798521256</v>
      </c>
      <c r="O106" t="str">
        <f>Medicaid!G98</f>
        <v>No</v>
      </c>
      <c r="P106" t="str">
        <f>Medicaid!K98</f>
        <v>No</v>
      </c>
    </row>
    <row r="107" spans="1:16" x14ac:dyDescent="0.25">
      <c r="A107" s="3">
        <v>45000</v>
      </c>
      <c r="B107" s="3">
        <f t="shared" si="23"/>
        <v>3750</v>
      </c>
      <c r="C107" s="3">
        <f t="shared" si="24"/>
        <v>314.625</v>
      </c>
      <c r="D107" s="64">
        <f t="shared" si="13"/>
        <v>2.0794824399260627</v>
      </c>
      <c r="E107" s="50">
        <f t="shared" si="25"/>
        <v>0.02</v>
      </c>
      <c r="F107" s="50">
        <f t="shared" si="19"/>
        <v>0.04</v>
      </c>
      <c r="G107" s="69">
        <f t="shared" si="20"/>
        <v>3606.6666666666665</v>
      </c>
      <c r="H107" s="70">
        <f t="shared" si="21"/>
        <v>4490.3</v>
      </c>
      <c r="I107" s="70">
        <f t="shared" si="22"/>
        <v>3588.6333333333332</v>
      </c>
      <c r="J107" s="53">
        <f t="shared" si="14"/>
        <v>88.422365988909434</v>
      </c>
      <c r="K107" s="53">
        <f t="shared" si="15"/>
        <v>933</v>
      </c>
      <c r="L107" s="289">
        <f t="shared" si="16"/>
        <v>844.57763401109059</v>
      </c>
      <c r="N107" s="7">
        <f t="shared" si="17"/>
        <v>10134.931608133087</v>
      </c>
      <c r="O107" t="str">
        <f>Medicaid!G99</f>
        <v>No</v>
      </c>
      <c r="P107" t="str">
        <f>Medicaid!K99</f>
        <v>No</v>
      </c>
    </row>
    <row r="108" spans="1:16" x14ac:dyDescent="0.25">
      <c r="A108" s="3">
        <v>45500</v>
      </c>
      <c r="B108" s="3">
        <f t="shared" si="23"/>
        <v>3791.6666666666665</v>
      </c>
      <c r="C108" s="3">
        <f t="shared" si="24"/>
        <v>318.12083333333334</v>
      </c>
      <c r="D108" s="64">
        <f t="shared" si="13"/>
        <v>2.1025878003696858</v>
      </c>
      <c r="E108" s="50">
        <f t="shared" si="25"/>
        <v>0.02</v>
      </c>
      <c r="F108" s="50">
        <f t="shared" si="19"/>
        <v>0.04</v>
      </c>
      <c r="G108" s="69">
        <f t="shared" si="20"/>
        <v>3606.6666666666665</v>
      </c>
      <c r="H108" s="70">
        <f t="shared" si="21"/>
        <v>4490.3</v>
      </c>
      <c r="I108" s="70">
        <f t="shared" si="22"/>
        <v>3588.6333333333332</v>
      </c>
      <c r="J108" s="53">
        <f t="shared" si="14"/>
        <v>92.909149722735663</v>
      </c>
      <c r="K108" s="53">
        <f t="shared" si="15"/>
        <v>933</v>
      </c>
      <c r="L108" s="289">
        <f t="shared" si="16"/>
        <v>840.09085027726428</v>
      </c>
      <c r="N108" s="7">
        <f t="shared" si="17"/>
        <v>10081.09020332717</v>
      </c>
      <c r="O108" t="str">
        <f>Medicaid!G100</f>
        <v>No</v>
      </c>
      <c r="P108" t="str">
        <f>Medicaid!K100</f>
        <v>No</v>
      </c>
    </row>
    <row r="109" spans="1:16" x14ac:dyDescent="0.25">
      <c r="A109" s="3">
        <v>46000</v>
      </c>
      <c r="B109" s="3">
        <f t="shared" si="23"/>
        <v>3833.3333333333335</v>
      </c>
      <c r="C109" s="3">
        <f t="shared" si="24"/>
        <v>321.61666666666667</v>
      </c>
      <c r="D109" s="64">
        <f t="shared" si="13"/>
        <v>2.1256931608133089</v>
      </c>
      <c r="E109" s="50">
        <f t="shared" si="25"/>
        <v>0.02</v>
      </c>
      <c r="F109" s="50">
        <f t="shared" si="19"/>
        <v>0.04</v>
      </c>
      <c r="G109" s="69">
        <f t="shared" si="20"/>
        <v>3606.6666666666665</v>
      </c>
      <c r="H109" s="70">
        <f t="shared" si="21"/>
        <v>4490.3</v>
      </c>
      <c r="I109" s="70">
        <f t="shared" si="22"/>
        <v>3588.6333333333332</v>
      </c>
      <c r="J109" s="53">
        <f t="shared" si="14"/>
        <v>97.472951324707353</v>
      </c>
      <c r="K109" s="53">
        <f t="shared" si="15"/>
        <v>933</v>
      </c>
      <c r="L109" s="289">
        <f t="shared" si="16"/>
        <v>835.52704867529269</v>
      </c>
      <c r="N109" s="7">
        <f t="shared" si="17"/>
        <v>10026.324584103513</v>
      </c>
      <c r="O109" t="str">
        <f>Medicaid!G101</f>
        <v>No</v>
      </c>
      <c r="P109" t="str">
        <f>Medicaid!K101</f>
        <v>No</v>
      </c>
    </row>
    <row r="110" spans="1:16" x14ac:dyDescent="0.25">
      <c r="A110" s="3">
        <v>46500</v>
      </c>
      <c r="B110" s="3">
        <f t="shared" si="23"/>
        <v>3875</v>
      </c>
      <c r="C110" s="3">
        <f t="shared" si="24"/>
        <v>325.11250000000001</v>
      </c>
      <c r="D110" s="64">
        <f t="shared" si="13"/>
        <v>2.1487985212569316</v>
      </c>
      <c r="E110" s="50">
        <f t="shared" si="25"/>
        <v>0.02</v>
      </c>
      <c r="F110" s="50">
        <f t="shared" si="19"/>
        <v>0.04</v>
      </c>
      <c r="G110" s="69">
        <f t="shared" si="20"/>
        <v>3606.6666666666665</v>
      </c>
      <c r="H110" s="70">
        <f t="shared" si="21"/>
        <v>4490.3</v>
      </c>
      <c r="I110" s="70">
        <f t="shared" si="22"/>
        <v>3588.6333333333332</v>
      </c>
      <c r="J110" s="53">
        <f t="shared" si="14"/>
        <v>102.1137707948244</v>
      </c>
      <c r="K110" s="53">
        <f t="shared" si="15"/>
        <v>933</v>
      </c>
      <c r="L110" s="289">
        <f t="shared" si="16"/>
        <v>830.8862292051756</v>
      </c>
      <c r="N110" s="7">
        <f t="shared" si="17"/>
        <v>9970.6347504621081</v>
      </c>
      <c r="O110" t="str">
        <f>Medicaid!G102</f>
        <v>No</v>
      </c>
      <c r="P110" t="str">
        <f>Medicaid!K102</f>
        <v>No</v>
      </c>
    </row>
    <row r="111" spans="1:16" x14ac:dyDescent="0.25">
      <c r="A111" s="3">
        <v>47000</v>
      </c>
      <c r="B111" s="3">
        <f t="shared" si="23"/>
        <v>3916.6666666666665</v>
      </c>
      <c r="C111" s="3">
        <f t="shared" si="24"/>
        <v>328.60833333333335</v>
      </c>
      <c r="D111" s="64">
        <f t="shared" si="13"/>
        <v>2.1719038817005547</v>
      </c>
      <c r="E111" s="50">
        <f t="shared" si="25"/>
        <v>0.02</v>
      </c>
      <c r="F111" s="50">
        <f t="shared" si="19"/>
        <v>0.04</v>
      </c>
      <c r="G111" s="69">
        <f t="shared" si="20"/>
        <v>3606.6666666666665</v>
      </c>
      <c r="H111" s="70">
        <f t="shared" si="21"/>
        <v>4490.3</v>
      </c>
      <c r="I111" s="70">
        <f t="shared" si="22"/>
        <v>3588.6333333333332</v>
      </c>
      <c r="J111" s="53">
        <f t="shared" si="14"/>
        <v>106.83160813308686</v>
      </c>
      <c r="K111" s="53">
        <f t="shared" si="15"/>
        <v>933</v>
      </c>
      <c r="L111" s="289">
        <f t="shared" si="16"/>
        <v>826.16839186691311</v>
      </c>
      <c r="N111" s="7">
        <f t="shared" si="17"/>
        <v>9914.0207024029569</v>
      </c>
      <c r="O111" t="str">
        <f>Medicaid!G103</f>
        <v>No</v>
      </c>
      <c r="P111" t="str">
        <f>Medicaid!K103</f>
        <v>No</v>
      </c>
    </row>
    <row r="112" spans="1:16" x14ac:dyDescent="0.25">
      <c r="A112" s="3">
        <v>47500</v>
      </c>
      <c r="B112" s="3">
        <f t="shared" si="23"/>
        <v>3958.3333333333335</v>
      </c>
      <c r="C112" s="3">
        <f t="shared" si="24"/>
        <v>332.10416666666669</v>
      </c>
      <c r="D112" s="64">
        <f t="shared" si="13"/>
        <v>2.1950092421441778</v>
      </c>
      <c r="E112" s="50">
        <f t="shared" si="25"/>
        <v>0.02</v>
      </c>
      <c r="F112" s="50">
        <f t="shared" si="19"/>
        <v>0.04</v>
      </c>
      <c r="G112" s="69">
        <f t="shared" si="20"/>
        <v>3606.6666666666665</v>
      </c>
      <c r="H112" s="70">
        <f t="shared" si="21"/>
        <v>4490.3</v>
      </c>
      <c r="I112" s="70">
        <f t="shared" si="22"/>
        <v>3588.6333333333332</v>
      </c>
      <c r="J112" s="53">
        <f t="shared" si="14"/>
        <v>111.62646333949479</v>
      </c>
      <c r="K112" s="53">
        <f t="shared" si="15"/>
        <v>933</v>
      </c>
      <c r="L112" s="289">
        <f t="shared" si="16"/>
        <v>821.37353666050524</v>
      </c>
      <c r="N112" s="7">
        <f t="shared" si="17"/>
        <v>9856.4824399260633</v>
      </c>
      <c r="O112" t="str">
        <f>Medicaid!G104</f>
        <v>No</v>
      </c>
      <c r="P112" t="str">
        <f>Medicaid!K104</f>
        <v>No</v>
      </c>
    </row>
    <row r="113" spans="1:16" x14ac:dyDescent="0.25">
      <c r="A113" s="3">
        <v>48000</v>
      </c>
      <c r="B113" s="3">
        <f t="shared" si="23"/>
        <v>4000</v>
      </c>
      <c r="C113" s="3">
        <f t="shared" si="24"/>
        <v>335.6</v>
      </c>
      <c r="D113" s="64">
        <f t="shared" ref="D113:D176" si="26">B113/$K$2</f>
        <v>2.2181146025878005</v>
      </c>
      <c r="E113" s="50">
        <f t="shared" si="25"/>
        <v>0.02</v>
      </c>
      <c r="F113" s="50">
        <f>IF(D113&gt;3.99,0.085,IF(D113&gt;2.99,0.085,IF(D113&gt;2.49,0.06,IF(D113&gt;1.99,0.04,IF(D113&gt;1.49,0.02,0)))))</f>
        <v>0.04</v>
      </c>
      <c r="G113" s="69">
        <f t="shared" si="20"/>
        <v>3606.6666666666665</v>
      </c>
      <c r="H113" s="70">
        <f t="shared" si="21"/>
        <v>4490.3</v>
      </c>
      <c r="I113" s="70">
        <f t="shared" si="22"/>
        <v>3588.6333333333332</v>
      </c>
      <c r="J113" s="53">
        <f t="shared" si="14"/>
        <v>116.49833641404805</v>
      </c>
      <c r="K113" s="53">
        <f t="shared" si="15"/>
        <v>933</v>
      </c>
      <c r="L113" s="289">
        <f t="shared" si="16"/>
        <v>816.50166358595197</v>
      </c>
      <c r="N113" s="7">
        <f t="shared" si="17"/>
        <v>9798.0199630314237</v>
      </c>
      <c r="O113" t="str">
        <f>Medicaid!G105</f>
        <v>No</v>
      </c>
      <c r="P113" t="str">
        <f>Medicaid!K105</f>
        <v>No</v>
      </c>
    </row>
    <row r="114" spans="1:16" x14ac:dyDescent="0.25">
      <c r="A114" s="3">
        <v>48500</v>
      </c>
      <c r="B114" s="3">
        <f t="shared" si="23"/>
        <v>4041.6666666666665</v>
      </c>
      <c r="C114" s="3">
        <f t="shared" si="24"/>
        <v>339.0958333333333</v>
      </c>
      <c r="D114" s="64">
        <f t="shared" si="26"/>
        <v>2.2412199630314231</v>
      </c>
      <c r="E114" s="50">
        <f t="shared" si="25"/>
        <v>0.02</v>
      </c>
      <c r="F114" s="50">
        <f t="shared" si="19"/>
        <v>0.04</v>
      </c>
      <c r="G114" s="69">
        <f t="shared" si="20"/>
        <v>3606.6666666666665</v>
      </c>
      <c r="H114" s="70">
        <f t="shared" si="21"/>
        <v>4490.3</v>
      </c>
      <c r="I114" s="70">
        <f t="shared" si="22"/>
        <v>3588.6333333333332</v>
      </c>
      <c r="J114" s="53">
        <f t="shared" si="14"/>
        <v>121.44722735674675</v>
      </c>
      <c r="K114" s="53">
        <f t="shared" si="15"/>
        <v>933</v>
      </c>
      <c r="L114" s="289">
        <f t="shared" si="16"/>
        <v>811.55277264325321</v>
      </c>
      <c r="N114" s="7">
        <f t="shared" si="17"/>
        <v>9738.633271719038</v>
      </c>
      <c r="O114" t="str">
        <f>Medicaid!G106</f>
        <v>No</v>
      </c>
      <c r="P114" t="str">
        <f>Medicaid!K106</f>
        <v>No</v>
      </c>
    </row>
    <row r="115" spans="1:16" x14ac:dyDescent="0.25">
      <c r="A115" s="3">
        <v>49000</v>
      </c>
      <c r="B115" s="3">
        <f t="shared" si="23"/>
        <v>4083.3333333333335</v>
      </c>
      <c r="C115" s="3">
        <f t="shared" si="24"/>
        <v>342.5916666666667</v>
      </c>
      <c r="D115" s="64">
        <f t="shared" si="26"/>
        <v>2.2643253234750462</v>
      </c>
      <c r="E115" s="50">
        <f t="shared" si="25"/>
        <v>0.02</v>
      </c>
      <c r="F115" s="50">
        <f t="shared" si="19"/>
        <v>0.04</v>
      </c>
      <c r="G115" s="69">
        <f t="shared" si="20"/>
        <v>3606.6666666666665</v>
      </c>
      <c r="H115" s="70">
        <f t="shared" si="21"/>
        <v>4490.3</v>
      </c>
      <c r="I115" s="70">
        <f t="shared" si="22"/>
        <v>3588.6333333333332</v>
      </c>
      <c r="J115" s="53">
        <f t="shared" si="14"/>
        <v>126.47313616759089</v>
      </c>
      <c r="K115" s="53">
        <f t="shared" si="15"/>
        <v>933</v>
      </c>
      <c r="L115" s="289">
        <f t="shared" si="16"/>
        <v>806.52686383240916</v>
      </c>
      <c r="N115" s="7">
        <f t="shared" si="17"/>
        <v>9678.32236598891</v>
      </c>
      <c r="O115" t="str">
        <f>Medicaid!G107</f>
        <v>No</v>
      </c>
      <c r="P115" t="str">
        <f>Medicaid!K107</f>
        <v>No</v>
      </c>
    </row>
    <row r="116" spans="1:16" x14ac:dyDescent="0.25">
      <c r="A116" s="3">
        <v>49500</v>
      </c>
      <c r="B116" s="3">
        <f t="shared" si="23"/>
        <v>4125</v>
      </c>
      <c r="C116" s="3">
        <f t="shared" si="24"/>
        <v>346.08750000000003</v>
      </c>
      <c r="D116" s="64">
        <f t="shared" si="26"/>
        <v>2.2874306839186693</v>
      </c>
      <c r="E116" s="50">
        <f t="shared" si="25"/>
        <v>0.02</v>
      </c>
      <c r="F116" s="50">
        <f t="shared" si="19"/>
        <v>0.04</v>
      </c>
      <c r="G116" s="69">
        <f t="shared" si="20"/>
        <v>3606.6666666666665</v>
      </c>
      <c r="H116" s="70">
        <f t="shared" si="21"/>
        <v>4490.3</v>
      </c>
      <c r="I116" s="70">
        <f t="shared" si="22"/>
        <v>3588.6333333333332</v>
      </c>
      <c r="J116" s="53">
        <f t="shared" si="14"/>
        <v>131.57606284658041</v>
      </c>
      <c r="K116" s="53">
        <f t="shared" si="15"/>
        <v>933</v>
      </c>
      <c r="L116" s="289">
        <f t="shared" si="16"/>
        <v>801.42393715341962</v>
      </c>
      <c r="N116" s="7">
        <f t="shared" si="17"/>
        <v>9617.0872458410358</v>
      </c>
      <c r="O116" t="str">
        <f>Medicaid!G108</f>
        <v>No</v>
      </c>
      <c r="P116" t="str">
        <f>Medicaid!K108</f>
        <v>No</v>
      </c>
    </row>
    <row r="117" spans="1:16" x14ac:dyDescent="0.25">
      <c r="A117" s="3">
        <v>50000</v>
      </c>
      <c r="B117" s="3">
        <f t="shared" si="23"/>
        <v>4166.666666666667</v>
      </c>
      <c r="C117" s="3">
        <f t="shared" si="24"/>
        <v>349.58333333333337</v>
      </c>
      <c r="D117" s="64">
        <f t="shared" si="26"/>
        <v>2.3105360443622924</v>
      </c>
      <c r="E117" s="50">
        <f t="shared" si="25"/>
        <v>0.02</v>
      </c>
      <c r="F117" s="50">
        <f t="shared" si="19"/>
        <v>0.04</v>
      </c>
      <c r="G117" s="69">
        <f t="shared" si="20"/>
        <v>3606.6666666666665</v>
      </c>
      <c r="H117" s="70">
        <f t="shared" si="21"/>
        <v>4490.3</v>
      </c>
      <c r="I117" s="70">
        <f t="shared" si="22"/>
        <v>3588.6333333333332</v>
      </c>
      <c r="J117" s="53">
        <f t="shared" si="14"/>
        <v>136.75600739371538</v>
      </c>
      <c r="K117" s="53">
        <f t="shared" si="15"/>
        <v>933</v>
      </c>
      <c r="L117" s="289">
        <f t="shared" si="16"/>
        <v>796.24399260628456</v>
      </c>
      <c r="N117" s="7">
        <f t="shared" si="17"/>
        <v>9554.9279112754157</v>
      </c>
      <c r="O117" t="str">
        <f>Medicaid!G109</f>
        <v>No</v>
      </c>
      <c r="P117" t="str">
        <f>Medicaid!K109</f>
        <v>No</v>
      </c>
    </row>
    <row r="118" spans="1:16" x14ac:dyDescent="0.25">
      <c r="A118" s="3">
        <v>50500</v>
      </c>
      <c r="B118" s="3">
        <f t="shared" si="23"/>
        <v>4208.333333333333</v>
      </c>
      <c r="C118" s="3">
        <f t="shared" si="24"/>
        <v>353.07916666666665</v>
      </c>
      <c r="D118" s="64">
        <f t="shared" si="26"/>
        <v>2.3336414048059151</v>
      </c>
      <c r="E118" s="50">
        <f t="shared" si="25"/>
        <v>0.02</v>
      </c>
      <c r="F118" s="50">
        <f t="shared" si="19"/>
        <v>0.04</v>
      </c>
      <c r="G118" s="69">
        <f t="shared" si="20"/>
        <v>3606.6666666666665</v>
      </c>
      <c r="H118" s="70">
        <f t="shared" si="21"/>
        <v>4490.3</v>
      </c>
      <c r="I118" s="70">
        <f t="shared" si="22"/>
        <v>3588.6333333333332</v>
      </c>
      <c r="J118" s="53">
        <f t="shared" si="14"/>
        <v>142.01296980899562</v>
      </c>
      <c r="K118" s="53">
        <f t="shared" si="15"/>
        <v>933</v>
      </c>
      <c r="L118" s="289">
        <f t="shared" si="16"/>
        <v>790.98703019100435</v>
      </c>
      <c r="N118" s="7">
        <f t="shared" si="17"/>
        <v>9491.8443622920531</v>
      </c>
      <c r="O118" t="str">
        <f>Medicaid!G110</f>
        <v>No</v>
      </c>
      <c r="P118" t="str">
        <f>Medicaid!K110</f>
        <v>No</v>
      </c>
    </row>
    <row r="119" spans="1:16" ht="15" customHeight="1" x14ac:dyDescent="0.25">
      <c r="A119" s="3">
        <v>51000</v>
      </c>
      <c r="B119" s="3">
        <f t="shared" si="23"/>
        <v>4250</v>
      </c>
      <c r="C119" s="3">
        <f t="shared" si="24"/>
        <v>356.57499999999999</v>
      </c>
      <c r="D119" s="64">
        <f t="shared" si="26"/>
        <v>2.3567467652495382</v>
      </c>
      <c r="E119" s="50">
        <f t="shared" si="25"/>
        <v>0.02</v>
      </c>
      <c r="F119" s="50">
        <f t="shared" si="19"/>
        <v>0.04</v>
      </c>
      <c r="G119" s="69">
        <f t="shared" si="20"/>
        <v>3606.6666666666665</v>
      </c>
      <c r="H119" s="70">
        <f t="shared" si="21"/>
        <v>4490.3</v>
      </c>
      <c r="I119" s="70">
        <f t="shared" si="22"/>
        <v>3588.6333333333332</v>
      </c>
      <c r="J119" s="53">
        <f t="shared" si="14"/>
        <v>147.34695009242145</v>
      </c>
      <c r="K119" s="53">
        <f t="shared" si="15"/>
        <v>933</v>
      </c>
      <c r="L119" s="289">
        <f t="shared" si="16"/>
        <v>785.65304990757852</v>
      </c>
      <c r="N119" s="7">
        <f t="shared" si="17"/>
        <v>9427.8365988909427</v>
      </c>
      <c r="O119" t="str">
        <f>Medicaid!G111</f>
        <v>No</v>
      </c>
      <c r="P119" t="str">
        <f>Medicaid!K111</f>
        <v>No</v>
      </c>
    </row>
    <row r="120" spans="1:16" ht="15" customHeight="1" x14ac:dyDescent="0.25">
      <c r="A120" s="3">
        <v>51500</v>
      </c>
      <c r="B120" s="3">
        <f t="shared" si="23"/>
        <v>4291.666666666667</v>
      </c>
      <c r="C120" s="3">
        <f t="shared" si="24"/>
        <v>360.07083333333338</v>
      </c>
      <c r="D120" s="64">
        <f t="shared" si="26"/>
        <v>2.3798521256931613</v>
      </c>
      <c r="E120" s="50">
        <f t="shared" si="25"/>
        <v>0.02</v>
      </c>
      <c r="F120" s="50">
        <f t="shared" si="19"/>
        <v>0.04</v>
      </c>
      <c r="G120" s="69">
        <f t="shared" si="20"/>
        <v>3606.6666666666665</v>
      </c>
      <c r="H120" s="70">
        <f t="shared" si="21"/>
        <v>4490.3</v>
      </c>
      <c r="I120" s="70">
        <f t="shared" si="22"/>
        <v>3588.6333333333332</v>
      </c>
      <c r="J120" s="53">
        <f t="shared" si="14"/>
        <v>152.75794824399264</v>
      </c>
      <c r="K120" s="53">
        <f t="shared" si="15"/>
        <v>933</v>
      </c>
      <c r="L120" s="289">
        <f t="shared" si="16"/>
        <v>780.24205175600741</v>
      </c>
      <c r="N120" s="7">
        <f t="shared" si="17"/>
        <v>9362.904621072088</v>
      </c>
      <c r="O120" t="str">
        <f>Medicaid!G112</f>
        <v>No</v>
      </c>
      <c r="P120" t="str">
        <f>Medicaid!K112</f>
        <v>No</v>
      </c>
    </row>
    <row r="121" spans="1:16" ht="15" customHeight="1" x14ac:dyDescent="0.25">
      <c r="A121" s="3">
        <v>52000</v>
      </c>
      <c r="B121" s="3">
        <f t="shared" si="23"/>
        <v>4333.333333333333</v>
      </c>
      <c r="C121" s="3">
        <f t="shared" si="24"/>
        <v>363.56666666666666</v>
      </c>
      <c r="D121" s="64">
        <f t="shared" si="26"/>
        <v>2.4029574861367835</v>
      </c>
      <c r="E121" s="50">
        <f t="shared" si="25"/>
        <v>0.02</v>
      </c>
      <c r="F121" s="50">
        <f t="shared" si="19"/>
        <v>0.04</v>
      </c>
      <c r="G121" s="69">
        <f t="shared" si="20"/>
        <v>3606.6666666666665</v>
      </c>
      <c r="H121" s="70">
        <f t="shared" si="21"/>
        <v>4490.3</v>
      </c>
      <c r="I121" s="70">
        <f t="shared" si="22"/>
        <v>3588.6333333333332</v>
      </c>
      <c r="J121" s="53">
        <f t="shared" si="14"/>
        <v>158.24596426370914</v>
      </c>
      <c r="K121" s="53">
        <f t="shared" si="15"/>
        <v>933</v>
      </c>
      <c r="L121" s="289">
        <f t="shared" si="16"/>
        <v>774.75403573629092</v>
      </c>
      <c r="N121" s="7">
        <f t="shared" si="17"/>
        <v>9297.048428835491</v>
      </c>
      <c r="O121" t="str">
        <f>Medicaid!G113</f>
        <v>No</v>
      </c>
      <c r="P121" t="str">
        <f>Medicaid!K113</f>
        <v>No</v>
      </c>
    </row>
    <row r="122" spans="1:16" ht="15" customHeight="1" x14ac:dyDescent="0.25">
      <c r="A122" s="3">
        <v>52500</v>
      </c>
      <c r="B122" s="3">
        <f t="shared" si="23"/>
        <v>4375</v>
      </c>
      <c r="C122" s="3">
        <f t="shared" si="24"/>
        <v>367.0625</v>
      </c>
      <c r="D122" s="64">
        <f t="shared" si="26"/>
        <v>2.4260628465804066</v>
      </c>
      <c r="E122" s="50">
        <f t="shared" si="25"/>
        <v>0.02</v>
      </c>
      <c r="F122" s="50">
        <f t="shared" si="19"/>
        <v>0.04</v>
      </c>
      <c r="G122" s="69">
        <f t="shared" si="20"/>
        <v>3606.6666666666665</v>
      </c>
      <c r="H122" s="70">
        <f t="shared" si="21"/>
        <v>4490.3</v>
      </c>
      <c r="I122" s="70">
        <f t="shared" si="22"/>
        <v>3588.6333333333332</v>
      </c>
      <c r="J122" s="53">
        <f t="shared" si="14"/>
        <v>163.81099815157114</v>
      </c>
      <c r="K122" s="53">
        <f t="shared" si="15"/>
        <v>933</v>
      </c>
      <c r="L122" s="289">
        <f t="shared" si="16"/>
        <v>769.18900184842892</v>
      </c>
      <c r="N122" s="7">
        <f t="shared" si="17"/>
        <v>9230.2680221811461</v>
      </c>
      <c r="O122" t="str">
        <f>Medicaid!G114</f>
        <v>No</v>
      </c>
      <c r="P122" t="str">
        <f>Medicaid!K114</f>
        <v>No</v>
      </c>
    </row>
    <row r="123" spans="1:16" ht="15" customHeight="1" x14ac:dyDescent="0.25">
      <c r="A123" s="3">
        <v>53000</v>
      </c>
      <c r="B123" s="3">
        <f t="shared" si="23"/>
        <v>4416.666666666667</v>
      </c>
      <c r="C123" s="3">
        <f t="shared" si="24"/>
        <v>370.55833333333339</v>
      </c>
      <c r="D123" s="64">
        <f t="shared" si="26"/>
        <v>2.4491682070240297</v>
      </c>
      <c r="E123" s="50">
        <f t="shared" si="25"/>
        <v>0.02</v>
      </c>
      <c r="F123" s="50">
        <f t="shared" si="19"/>
        <v>0.04</v>
      </c>
      <c r="G123" s="69">
        <f t="shared" si="20"/>
        <v>3606.6666666666665</v>
      </c>
      <c r="H123" s="70">
        <f t="shared" si="21"/>
        <v>4490.3</v>
      </c>
      <c r="I123" s="70">
        <f t="shared" si="22"/>
        <v>3588.6333333333332</v>
      </c>
      <c r="J123" s="53">
        <f t="shared" si="14"/>
        <v>169.45304990757859</v>
      </c>
      <c r="K123" s="53">
        <f t="shared" si="15"/>
        <v>933</v>
      </c>
      <c r="L123" s="289">
        <f t="shared" si="16"/>
        <v>763.54695009242141</v>
      </c>
      <c r="N123" s="7">
        <f t="shared" si="17"/>
        <v>9162.5634011090569</v>
      </c>
      <c r="O123" t="str">
        <f>Medicaid!G115</f>
        <v>No</v>
      </c>
      <c r="P123" t="str">
        <f>Medicaid!K115</f>
        <v>No</v>
      </c>
    </row>
    <row r="124" spans="1:16" ht="15" customHeight="1" x14ac:dyDescent="0.25">
      <c r="A124" s="3">
        <v>53500</v>
      </c>
      <c r="B124" s="3">
        <f t="shared" si="23"/>
        <v>4458.333333333333</v>
      </c>
      <c r="C124" s="3">
        <f t="shared" si="24"/>
        <v>374.05416666666667</v>
      </c>
      <c r="D124" s="64">
        <f t="shared" si="26"/>
        <v>2.4722735674676524</v>
      </c>
      <c r="E124" s="50">
        <f t="shared" si="25"/>
        <v>0.02</v>
      </c>
      <c r="F124" s="50">
        <f t="shared" si="19"/>
        <v>0.04</v>
      </c>
      <c r="G124" s="69">
        <f t="shared" si="20"/>
        <v>3606.6666666666665</v>
      </c>
      <c r="H124" s="70">
        <f t="shared" si="21"/>
        <v>4490.3</v>
      </c>
      <c r="I124" s="70">
        <f t="shared" si="22"/>
        <v>3588.6333333333332</v>
      </c>
      <c r="J124" s="53">
        <f t="shared" si="14"/>
        <v>175.17211953173131</v>
      </c>
      <c r="K124" s="53">
        <f t="shared" si="15"/>
        <v>933</v>
      </c>
      <c r="L124" s="289">
        <f t="shared" si="16"/>
        <v>757.82788046826863</v>
      </c>
      <c r="N124" s="7">
        <f t="shared" si="17"/>
        <v>9093.9345656192236</v>
      </c>
      <c r="O124" t="str">
        <f>Medicaid!G116</f>
        <v>No</v>
      </c>
      <c r="P124" t="str">
        <f>Medicaid!K116</f>
        <v>No</v>
      </c>
    </row>
    <row r="125" spans="1:16" ht="15" customHeight="1" x14ac:dyDescent="0.25">
      <c r="A125" s="3">
        <v>54000</v>
      </c>
      <c r="B125" s="3">
        <f t="shared" si="23"/>
        <v>4500</v>
      </c>
      <c r="C125" s="3">
        <f t="shared" si="24"/>
        <v>377.55</v>
      </c>
      <c r="D125" s="64">
        <f t="shared" si="26"/>
        <v>2.4953789279112755</v>
      </c>
      <c r="E125" s="50">
        <f t="shared" si="25"/>
        <v>0.02</v>
      </c>
      <c r="F125" s="50">
        <f t="shared" si="19"/>
        <v>0.06</v>
      </c>
      <c r="G125" s="69">
        <f t="shared" si="20"/>
        <v>4508.333333333333</v>
      </c>
      <c r="H125" s="70">
        <f t="shared" si="21"/>
        <v>5391.9666666666672</v>
      </c>
      <c r="I125" s="70">
        <f t="shared" si="22"/>
        <v>4490.3</v>
      </c>
      <c r="J125" s="53">
        <f t="shared" si="14"/>
        <v>91.93641404805912</v>
      </c>
      <c r="K125" s="53">
        <f t="shared" si="15"/>
        <v>933</v>
      </c>
      <c r="L125" s="289">
        <f t="shared" si="16"/>
        <v>841.06358595194092</v>
      </c>
      <c r="N125" s="7">
        <f t="shared" si="17"/>
        <v>10092.763031423292</v>
      </c>
      <c r="O125" t="str">
        <f>Medicaid!G117</f>
        <v>No</v>
      </c>
      <c r="P125" t="str">
        <f>Medicaid!K117</f>
        <v>No</v>
      </c>
    </row>
    <row r="126" spans="1:16" ht="15" customHeight="1" x14ac:dyDescent="0.25">
      <c r="A126" s="3">
        <v>54500</v>
      </c>
      <c r="B126" s="3">
        <f t="shared" si="23"/>
        <v>4541.666666666667</v>
      </c>
      <c r="C126" s="3">
        <f t="shared" si="24"/>
        <v>381.04583333333335</v>
      </c>
      <c r="D126" s="64">
        <f t="shared" si="26"/>
        <v>2.5184842883548986</v>
      </c>
      <c r="E126" s="50">
        <f t="shared" si="25"/>
        <v>0.02</v>
      </c>
      <c r="F126" s="50">
        <f t="shared" si="19"/>
        <v>0.06</v>
      </c>
      <c r="G126" s="69">
        <f t="shared" si="20"/>
        <v>4508.333333333333</v>
      </c>
      <c r="H126" s="70">
        <f t="shared" si="21"/>
        <v>5391.9666666666672</v>
      </c>
      <c r="I126" s="70">
        <f t="shared" si="22"/>
        <v>4490.3</v>
      </c>
      <c r="J126" s="53">
        <f t="shared" si="14"/>
        <v>101.18262476894643</v>
      </c>
      <c r="K126" s="53">
        <f t="shared" si="15"/>
        <v>933</v>
      </c>
      <c r="L126" s="289">
        <f t="shared" si="16"/>
        <v>831.81737523105357</v>
      </c>
      <c r="N126" s="7">
        <f t="shared" si="17"/>
        <v>9981.8085027726429</v>
      </c>
      <c r="O126" t="str">
        <f>Medicaid!G118</f>
        <v>No</v>
      </c>
      <c r="P126" t="str">
        <f>Medicaid!K118</f>
        <v>No</v>
      </c>
    </row>
    <row r="127" spans="1:16" ht="15" customHeight="1" x14ac:dyDescent="0.25">
      <c r="A127" s="3">
        <v>55000</v>
      </c>
      <c r="B127" s="3">
        <f t="shared" si="23"/>
        <v>4583.333333333333</v>
      </c>
      <c r="C127" s="3">
        <f t="shared" si="24"/>
        <v>384.54166666666663</v>
      </c>
      <c r="D127" s="64">
        <f t="shared" si="26"/>
        <v>2.5415896487985212</v>
      </c>
      <c r="E127" s="50">
        <f t="shared" si="25"/>
        <v>0.02</v>
      </c>
      <c r="F127" s="50">
        <f t="shared" si="19"/>
        <v>0.06</v>
      </c>
      <c r="G127" s="69">
        <f t="shared" si="20"/>
        <v>4508.333333333333</v>
      </c>
      <c r="H127" s="70">
        <f t="shared" si="21"/>
        <v>5391.9666666666672</v>
      </c>
      <c r="I127" s="70">
        <f t="shared" si="22"/>
        <v>4490.3</v>
      </c>
      <c r="J127" s="53">
        <f t="shared" si="14"/>
        <v>110.58287122612434</v>
      </c>
      <c r="K127" s="53">
        <f t="shared" si="15"/>
        <v>933</v>
      </c>
      <c r="L127" s="289">
        <f t="shared" si="16"/>
        <v>822.41712877387567</v>
      </c>
      <c r="N127" s="7">
        <f t="shared" si="17"/>
        <v>9869.005545286509</v>
      </c>
      <c r="O127" t="str">
        <f>Medicaid!G119</f>
        <v>No</v>
      </c>
      <c r="P127" t="str">
        <f>Medicaid!K119</f>
        <v>No</v>
      </c>
    </row>
    <row r="128" spans="1:16" ht="15" customHeight="1" x14ac:dyDescent="0.25">
      <c r="A128" s="3">
        <v>55500</v>
      </c>
      <c r="B128" s="3">
        <f t="shared" si="23"/>
        <v>4625</v>
      </c>
      <c r="C128" s="3">
        <f t="shared" si="24"/>
        <v>388.03750000000002</v>
      </c>
      <c r="D128" s="64">
        <f t="shared" si="26"/>
        <v>2.5646950092421443</v>
      </c>
      <c r="E128" s="50">
        <f t="shared" si="25"/>
        <v>0.02</v>
      </c>
      <c r="F128" s="50">
        <f t="shared" si="19"/>
        <v>0.06</v>
      </c>
      <c r="G128" s="69">
        <f t="shared" si="20"/>
        <v>4508.333333333333</v>
      </c>
      <c r="H128" s="70">
        <f t="shared" si="21"/>
        <v>5391.9666666666672</v>
      </c>
      <c r="I128" s="70">
        <f t="shared" si="22"/>
        <v>4490.3</v>
      </c>
      <c r="J128" s="53">
        <f t="shared" si="14"/>
        <v>120.1371534195933</v>
      </c>
      <c r="K128" s="53">
        <f t="shared" si="15"/>
        <v>933</v>
      </c>
      <c r="L128" s="289">
        <f t="shared" si="16"/>
        <v>812.86284658040665</v>
      </c>
      <c r="N128" s="7">
        <f t="shared" si="17"/>
        <v>9754.3541589648794</v>
      </c>
      <c r="O128" t="str">
        <f>Medicaid!G120</f>
        <v>No</v>
      </c>
      <c r="P128" t="str">
        <f>Medicaid!K120</f>
        <v>No</v>
      </c>
    </row>
    <row r="129" spans="1:16" ht="15" customHeight="1" x14ac:dyDescent="0.25">
      <c r="A129" s="3">
        <v>56000</v>
      </c>
      <c r="B129" s="3">
        <f t="shared" si="23"/>
        <v>4666.666666666667</v>
      </c>
      <c r="C129" s="3">
        <f t="shared" si="24"/>
        <v>391.53333333333336</v>
      </c>
      <c r="D129" s="64">
        <f t="shared" si="26"/>
        <v>2.5878003696857674</v>
      </c>
      <c r="E129" s="50">
        <f t="shared" si="25"/>
        <v>0.02</v>
      </c>
      <c r="F129" s="50">
        <f t="shared" si="19"/>
        <v>0.06</v>
      </c>
      <c r="G129" s="69">
        <f t="shared" si="20"/>
        <v>4508.333333333333</v>
      </c>
      <c r="H129" s="70">
        <f t="shared" si="21"/>
        <v>5391.9666666666672</v>
      </c>
      <c r="I129" s="70">
        <f t="shared" si="22"/>
        <v>4490.3</v>
      </c>
      <c r="J129" s="53">
        <f t="shared" si="14"/>
        <v>129.84547134935306</v>
      </c>
      <c r="K129" s="53">
        <f t="shared" si="15"/>
        <v>933</v>
      </c>
      <c r="L129" s="289">
        <f t="shared" si="16"/>
        <v>803.15452865064697</v>
      </c>
      <c r="N129" s="7">
        <f t="shared" si="17"/>
        <v>9637.8543438077631</v>
      </c>
      <c r="O129" t="str">
        <f>Medicaid!G121</f>
        <v>No</v>
      </c>
      <c r="P129" t="str">
        <f>Medicaid!K121</f>
        <v>No</v>
      </c>
    </row>
    <row r="130" spans="1:16" ht="15" customHeight="1" x14ac:dyDescent="0.25">
      <c r="A130" s="3">
        <v>56500</v>
      </c>
      <c r="B130" s="3">
        <f t="shared" si="23"/>
        <v>4708.333333333333</v>
      </c>
      <c r="C130" s="3">
        <f t="shared" si="24"/>
        <v>395.02916666666664</v>
      </c>
      <c r="D130" s="64">
        <f t="shared" si="26"/>
        <v>2.6109057301293901</v>
      </c>
      <c r="E130" s="50">
        <f t="shared" si="25"/>
        <v>0.02</v>
      </c>
      <c r="F130" s="50">
        <f t="shared" si="19"/>
        <v>0.06</v>
      </c>
      <c r="G130" s="69">
        <f t="shared" si="20"/>
        <v>4508.333333333333</v>
      </c>
      <c r="H130" s="70">
        <f t="shared" si="21"/>
        <v>5391.9666666666672</v>
      </c>
      <c r="I130" s="70">
        <f t="shared" si="22"/>
        <v>4490.3</v>
      </c>
      <c r="J130" s="53">
        <f t="shared" si="14"/>
        <v>139.70782501540344</v>
      </c>
      <c r="K130" s="53">
        <f t="shared" si="15"/>
        <v>933</v>
      </c>
      <c r="L130" s="289">
        <f t="shared" si="16"/>
        <v>793.29217498459661</v>
      </c>
      <c r="N130" s="7">
        <f t="shared" si="17"/>
        <v>9519.5060998151603</v>
      </c>
      <c r="O130" t="str">
        <f>Medicaid!G122</f>
        <v>No</v>
      </c>
      <c r="P130" t="str">
        <f>Medicaid!K122</f>
        <v>No</v>
      </c>
    </row>
    <row r="131" spans="1:16" ht="15" customHeight="1" x14ac:dyDescent="0.25">
      <c r="A131" s="3">
        <v>57000</v>
      </c>
      <c r="B131" s="3">
        <f t="shared" si="23"/>
        <v>4750</v>
      </c>
      <c r="C131" s="3">
        <f t="shared" si="24"/>
        <v>398.52500000000003</v>
      </c>
      <c r="D131" s="64">
        <f t="shared" si="26"/>
        <v>2.6340110905730132</v>
      </c>
      <c r="E131" s="50">
        <f t="shared" si="25"/>
        <v>0.02</v>
      </c>
      <c r="F131" s="50">
        <f t="shared" si="19"/>
        <v>0.06</v>
      </c>
      <c r="G131" s="69">
        <f t="shared" si="20"/>
        <v>4508.333333333333</v>
      </c>
      <c r="H131" s="70">
        <f t="shared" si="21"/>
        <v>5391.9666666666672</v>
      </c>
      <c r="I131" s="70">
        <f t="shared" si="22"/>
        <v>4490.3</v>
      </c>
      <c r="J131" s="53">
        <f t="shared" si="14"/>
        <v>149.72421441774486</v>
      </c>
      <c r="K131" s="53">
        <f t="shared" si="15"/>
        <v>933</v>
      </c>
      <c r="L131" s="289">
        <f t="shared" si="16"/>
        <v>783.27578558225514</v>
      </c>
      <c r="N131" s="7">
        <f t="shared" si="17"/>
        <v>9399.3094269870617</v>
      </c>
      <c r="O131" t="str">
        <f>Medicaid!G123</f>
        <v>No</v>
      </c>
      <c r="P131" t="str">
        <f>Medicaid!K123</f>
        <v>No</v>
      </c>
    </row>
    <row r="132" spans="1:16" ht="15" customHeight="1" x14ac:dyDescent="0.25">
      <c r="A132" s="3">
        <v>57500</v>
      </c>
      <c r="B132" s="3">
        <f t="shared" si="23"/>
        <v>4791.666666666667</v>
      </c>
      <c r="C132" s="3">
        <f t="shared" si="24"/>
        <v>402.02083333333337</v>
      </c>
      <c r="D132" s="64">
        <f t="shared" si="26"/>
        <v>2.6571164510166363</v>
      </c>
      <c r="E132" s="50">
        <f t="shared" si="25"/>
        <v>0.02</v>
      </c>
      <c r="F132" s="50">
        <f t="shared" si="19"/>
        <v>0.06</v>
      </c>
      <c r="G132" s="69">
        <f t="shared" si="20"/>
        <v>4508.333333333333</v>
      </c>
      <c r="H132" s="70">
        <f t="shared" si="21"/>
        <v>5391.9666666666672</v>
      </c>
      <c r="I132" s="70">
        <f t="shared" si="22"/>
        <v>4490.3</v>
      </c>
      <c r="J132" s="53">
        <f t="shared" si="14"/>
        <v>159.89463955637709</v>
      </c>
      <c r="K132" s="53">
        <f t="shared" si="15"/>
        <v>933</v>
      </c>
      <c r="L132" s="289">
        <f t="shared" si="16"/>
        <v>773.10536044362289</v>
      </c>
      <c r="N132" s="7">
        <f t="shared" si="17"/>
        <v>9277.2643253234746</v>
      </c>
      <c r="O132" t="str">
        <f>Medicaid!G124</f>
        <v>No</v>
      </c>
      <c r="P132" t="str">
        <f>Medicaid!K124</f>
        <v>No</v>
      </c>
    </row>
    <row r="133" spans="1:16" ht="15" customHeight="1" x14ac:dyDescent="0.25">
      <c r="A133" s="3">
        <v>58000</v>
      </c>
      <c r="B133" s="3">
        <f t="shared" si="23"/>
        <v>4833.333333333333</v>
      </c>
      <c r="C133" s="3">
        <f t="shared" si="24"/>
        <v>405.51666666666665</v>
      </c>
      <c r="D133" s="64">
        <f t="shared" si="26"/>
        <v>2.6802218114602585</v>
      </c>
      <c r="E133" s="50">
        <f t="shared" si="25"/>
        <v>0.02</v>
      </c>
      <c r="F133" s="50">
        <f t="shared" si="19"/>
        <v>0.06</v>
      </c>
      <c r="G133" s="69">
        <f t="shared" si="20"/>
        <v>4508.333333333333</v>
      </c>
      <c r="H133" s="70">
        <f t="shared" si="21"/>
        <v>5391.9666666666672</v>
      </c>
      <c r="I133" s="70">
        <f t="shared" si="22"/>
        <v>4490.3</v>
      </c>
      <c r="J133" s="53">
        <f t="shared" si="14"/>
        <v>170.21910043129992</v>
      </c>
      <c r="K133" s="53">
        <f t="shared" si="15"/>
        <v>933</v>
      </c>
      <c r="L133" s="289">
        <f t="shared" si="16"/>
        <v>762.78089956870008</v>
      </c>
      <c r="N133" s="7">
        <f t="shared" si="17"/>
        <v>9153.3707948244009</v>
      </c>
      <c r="O133" t="str">
        <f>Medicaid!G125</f>
        <v>No</v>
      </c>
      <c r="P133" t="str">
        <f>Medicaid!K125</f>
        <v>No</v>
      </c>
    </row>
    <row r="134" spans="1:16" ht="15" customHeight="1" x14ac:dyDescent="0.25">
      <c r="A134" s="3">
        <v>58500</v>
      </c>
      <c r="B134" s="3">
        <f t="shared" si="23"/>
        <v>4875</v>
      </c>
      <c r="C134" s="3">
        <f t="shared" si="24"/>
        <v>409.01249999999999</v>
      </c>
      <c r="D134" s="64">
        <f t="shared" si="26"/>
        <v>2.7033271719038816</v>
      </c>
      <c r="E134" s="50">
        <f t="shared" si="25"/>
        <v>0.02</v>
      </c>
      <c r="F134" s="50">
        <f t="shared" si="19"/>
        <v>0.06</v>
      </c>
      <c r="G134" s="69">
        <f t="shared" si="20"/>
        <v>4508.333333333333</v>
      </c>
      <c r="H134" s="70">
        <f t="shared" si="21"/>
        <v>5391.9666666666672</v>
      </c>
      <c r="I134" s="70">
        <f t="shared" si="22"/>
        <v>4490.3</v>
      </c>
      <c r="J134" s="53">
        <f t="shared" si="14"/>
        <v>180.69759704251379</v>
      </c>
      <c r="K134" s="53">
        <f t="shared" si="15"/>
        <v>933</v>
      </c>
      <c r="L134" s="289">
        <f t="shared" si="16"/>
        <v>752.30240295748627</v>
      </c>
      <c r="N134" s="7">
        <f t="shared" si="17"/>
        <v>9027.6288354898352</v>
      </c>
      <c r="O134" t="str">
        <f>Medicaid!G126</f>
        <v>No</v>
      </c>
      <c r="P134" t="str">
        <f>Medicaid!K126</f>
        <v>No</v>
      </c>
    </row>
    <row r="135" spans="1:16" ht="15" customHeight="1" x14ac:dyDescent="0.25">
      <c r="A135" s="3">
        <v>59000</v>
      </c>
      <c r="B135" s="3">
        <f t="shared" si="23"/>
        <v>4916.666666666667</v>
      </c>
      <c r="C135" s="3">
        <f t="shared" si="24"/>
        <v>412.50833333333338</v>
      </c>
      <c r="D135" s="64">
        <f t="shared" si="26"/>
        <v>2.7264325323475047</v>
      </c>
      <c r="E135" s="50">
        <f t="shared" si="25"/>
        <v>0.02</v>
      </c>
      <c r="F135" s="50">
        <f t="shared" si="19"/>
        <v>0.06</v>
      </c>
      <c r="G135" s="69">
        <f t="shared" si="20"/>
        <v>4508.333333333333</v>
      </c>
      <c r="H135" s="70">
        <f t="shared" si="21"/>
        <v>5391.9666666666672</v>
      </c>
      <c r="I135" s="70">
        <f t="shared" si="22"/>
        <v>4490.3</v>
      </c>
      <c r="J135" s="53">
        <f t="shared" si="14"/>
        <v>191.3301293900185</v>
      </c>
      <c r="K135" s="53">
        <f t="shared" si="15"/>
        <v>933</v>
      </c>
      <c r="L135" s="289">
        <f t="shared" si="16"/>
        <v>741.66987060998144</v>
      </c>
      <c r="N135" s="7">
        <f t="shared" si="17"/>
        <v>8900.0384473197773</v>
      </c>
      <c r="O135" t="str">
        <f>Medicaid!G127</f>
        <v>No</v>
      </c>
      <c r="P135" t="str">
        <f>Medicaid!K127</f>
        <v>No</v>
      </c>
    </row>
    <row r="136" spans="1:16" ht="15" customHeight="1" x14ac:dyDescent="0.25">
      <c r="A136" s="3">
        <v>59500</v>
      </c>
      <c r="B136" s="3">
        <f t="shared" si="23"/>
        <v>4958.333333333333</v>
      </c>
      <c r="C136" s="3">
        <f t="shared" si="24"/>
        <v>416.00416666666666</v>
      </c>
      <c r="D136" s="64">
        <f t="shared" si="26"/>
        <v>2.7495378927911274</v>
      </c>
      <c r="E136" s="50">
        <f t="shared" si="25"/>
        <v>0.02</v>
      </c>
      <c r="F136" s="50">
        <f t="shared" si="19"/>
        <v>0.06</v>
      </c>
      <c r="G136" s="69">
        <f t="shared" si="20"/>
        <v>4508.333333333333</v>
      </c>
      <c r="H136" s="70">
        <f t="shared" si="21"/>
        <v>5391.9666666666672</v>
      </c>
      <c r="I136" s="70">
        <f t="shared" si="22"/>
        <v>4490.3</v>
      </c>
      <c r="J136" s="53">
        <f t="shared" si="14"/>
        <v>202.11669747381376</v>
      </c>
      <c r="K136" s="53">
        <f t="shared" si="15"/>
        <v>933</v>
      </c>
      <c r="L136" s="289">
        <f t="shared" si="16"/>
        <v>730.8833025261863</v>
      </c>
      <c r="N136" s="7">
        <f t="shared" si="17"/>
        <v>8770.5996303142347</v>
      </c>
      <c r="O136" t="str">
        <f>Medicaid!G128</f>
        <v>No</v>
      </c>
      <c r="P136" t="str">
        <f>Medicaid!K128</f>
        <v>No</v>
      </c>
    </row>
    <row r="137" spans="1:16" ht="15" customHeight="1" x14ac:dyDescent="0.25">
      <c r="A137" s="3">
        <v>60000</v>
      </c>
      <c r="B137" s="3">
        <f t="shared" si="23"/>
        <v>5000</v>
      </c>
      <c r="C137" s="3">
        <f t="shared" si="24"/>
        <v>419.5</v>
      </c>
      <c r="D137" s="64">
        <f t="shared" si="26"/>
        <v>2.7726432532347505</v>
      </c>
      <c r="E137" s="50">
        <f t="shared" si="25"/>
        <v>0.02</v>
      </c>
      <c r="F137" s="50">
        <f t="shared" si="19"/>
        <v>0.06</v>
      </c>
      <c r="G137" s="69">
        <f t="shared" si="20"/>
        <v>4508.333333333333</v>
      </c>
      <c r="H137" s="70">
        <f t="shared" si="21"/>
        <v>5391.9666666666672</v>
      </c>
      <c r="I137" s="70">
        <f t="shared" si="22"/>
        <v>4490.3</v>
      </c>
      <c r="J137" s="53">
        <f t="shared" si="14"/>
        <v>213.05730129390008</v>
      </c>
      <c r="K137" s="53">
        <f t="shared" si="15"/>
        <v>933</v>
      </c>
      <c r="L137" s="289">
        <f t="shared" si="16"/>
        <v>719.94269870609992</v>
      </c>
      <c r="N137" s="7">
        <f t="shared" si="17"/>
        <v>8639.3123844731999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2.7957486136783736</v>
      </c>
      <c r="E138" s="50">
        <f t="shared" si="25"/>
        <v>0.02</v>
      </c>
      <c r="F138" s="50">
        <f t="shared" si="19"/>
        <v>0.06</v>
      </c>
      <c r="G138" s="69">
        <f t="shared" si="20"/>
        <v>4508.333333333333</v>
      </c>
      <c r="H138" s="70">
        <f t="shared" si="21"/>
        <v>5391.9666666666672</v>
      </c>
      <c r="I138" s="70">
        <f t="shared" si="22"/>
        <v>4490.3</v>
      </c>
      <c r="J138" s="53">
        <f t="shared" si="14"/>
        <v>224.15194085027724</v>
      </c>
      <c r="K138" s="53">
        <f t="shared" si="15"/>
        <v>933</v>
      </c>
      <c r="L138" s="289">
        <f t="shared" si="16"/>
        <v>708.84805914972276</v>
      </c>
      <c r="N138" s="7">
        <f t="shared" si="17"/>
        <v>8506.1767097966731</v>
      </c>
      <c r="O138" t="str">
        <f>Medicaid!G130</f>
        <v>No</v>
      </c>
      <c r="P138" t="str">
        <f>Medicaid!K130</f>
        <v>No</v>
      </c>
    </row>
    <row r="139" spans="1:16" ht="15" customHeight="1" x14ac:dyDescent="0.25">
      <c r="A139" s="3">
        <v>61000</v>
      </c>
      <c r="B139" s="3">
        <f t="shared" si="23"/>
        <v>5083.333333333333</v>
      </c>
      <c r="C139" s="3">
        <f t="shared" si="24"/>
        <v>426.49166666666667</v>
      </c>
      <c r="D139" s="64">
        <f t="shared" si="26"/>
        <v>2.8188539741219962</v>
      </c>
      <c r="E139" s="50">
        <f t="shared" si="25"/>
        <v>0.02</v>
      </c>
      <c r="F139" s="50">
        <f t="shared" si="19"/>
        <v>0.06</v>
      </c>
      <c r="G139" s="69">
        <f t="shared" si="20"/>
        <v>4508.333333333333</v>
      </c>
      <c r="H139" s="70">
        <f t="shared" si="21"/>
        <v>5391.9666666666672</v>
      </c>
      <c r="I139" s="70">
        <f t="shared" si="22"/>
        <v>4490.3</v>
      </c>
      <c r="J139" s="53">
        <f t="shared" si="14"/>
        <v>235.40061614294498</v>
      </c>
      <c r="K139" s="53">
        <f t="shared" si="15"/>
        <v>933</v>
      </c>
      <c r="L139" s="289">
        <f t="shared" si="16"/>
        <v>697.59938385705505</v>
      </c>
      <c r="N139" s="7">
        <f t="shared" si="17"/>
        <v>8371.1926062846615</v>
      </c>
      <c r="O139" t="str">
        <f>Medicaid!G131</f>
        <v>No</v>
      </c>
      <c r="P139" t="str">
        <f>Medicaid!K131</f>
        <v>No</v>
      </c>
    </row>
    <row r="140" spans="1:16" ht="15" customHeight="1" x14ac:dyDescent="0.25">
      <c r="A140" s="3">
        <v>61500</v>
      </c>
      <c r="B140" s="3">
        <f t="shared" si="23"/>
        <v>5125</v>
      </c>
      <c r="C140" s="3">
        <f t="shared" si="24"/>
        <v>429.98750000000001</v>
      </c>
      <c r="D140" s="64">
        <f t="shared" si="26"/>
        <v>2.8419593345656193</v>
      </c>
      <c r="E140" s="50">
        <f t="shared" si="25"/>
        <v>0.02</v>
      </c>
      <c r="F140" s="50">
        <f t="shared" si="19"/>
        <v>0.06</v>
      </c>
      <c r="G140" s="69">
        <f t="shared" si="20"/>
        <v>4508.333333333333</v>
      </c>
      <c r="H140" s="70">
        <f t="shared" si="21"/>
        <v>5391.9666666666672</v>
      </c>
      <c r="I140" s="70">
        <f t="shared" si="22"/>
        <v>4490.3</v>
      </c>
      <c r="J140" s="53">
        <f t="shared" si="14"/>
        <v>246.80332717190376</v>
      </c>
      <c r="K140" s="53">
        <f t="shared" si="15"/>
        <v>933</v>
      </c>
      <c r="L140" s="289">
        <f t="shared" si="16"/>
        <v>686.19667282809621</v>
      </c>
      <c r="N140" s="7">
        <f t="shared" si="17"/>
        <v>8234.3600739371541</v>
      </c>
      <c r="O140" t="str">
        <f>Medicaid!G132</f>
        <v>No</v>
      </c>
      <c r="P140" t="str">
        <f>Medicaid!K132</f>
        <v>No</v>
      </c>
    </row>
    <row r="141" spans="1:16" ht="15" customHeight="1" x14ac:dyDescent="0.25">
      <c r="A141" s="3">
        <v>62000</v>
      </c>
      <c r="B141" s="3">
        <f t="shared" si="23"/>
        <v>5166.666666666667</v>
      </c>
      <c r="C141" s="3">
        <f t="shared" si="24"/>
        <v>433.48333333333335</v>
      </c>
      <c r="D141" s="64">
        <f t="shared" si="26"/>
        <v>2.8650646950092424</v>
      </c>
      <c r="E141" s="50">
        <f t="shared" si="25"/>
        <v>0.02</v>
      </c>
      <c r="F141" s="50">
        <f t="shared" si="19"/>
        <v>0.06</v>
      </c>
      <c r="G141" s="69">
        <f t="shared" si="20"/>
        <v>4508.333333333333</v>
      </c>
      <c r="H141" s="70">
        <f t="shared" si="21"/>
        <v>5391.9666666666672</v>
      </c>
      <c r="I141" s="70">
        <f t="shared" si="22"/>
        <v>4490.3</v>
      </c>
      <c r="J141" s="53">
        <f t="shared" si="14"/>
        <v>258.3600739371534</v>
      </c>
      <c r="K141" s="53">
        <f t="shared" si="15"/>
        <v>933</v>
      </c>
      <c r="L141" s="289">
        <f t="shared" si="16"/>
        <v>674.6399260628466</v>
      </c>
      <c r="N141" s="7">
        <f t="shared" si="17"/>
        <v>8095.6791127541592</v>
      </c>
      <c r="O141" t="str">
        <f>Medicaid!G133</f>
        <v>No</v>
      </c>
      <c r="P141" t="str">
        <f>Medicaid!K133</f>
        <v>No</v>
      </c>
    </row>
    <row r="142" spans="1:16" ht="15" customHeight="1" x14ac:dyDescent="0.25">
      <c r="A142" s="3">
        <v>62500</v>
      </c>
      <c r="B142" s="3">
        <f t="shared" si="23"/>
        <v>5208.333333333333</v>
      </c>
      <c r="C142" s="3">
        <f t="shared" si="24"/>
        <v>436.97916666666663</v>
      </c>
      <c r="D142" s="64">
        <f t="shared" si="26"/>
        <v>2.8881700554528651</v>
      </c>
      <c r="E142" s="50">
        <f t="shared" si="25"/>
        <v>0.02</v>
      </c>
      <c r="F142" s="50">
        <f t="shared" si="19"/>
        <v>0.06</v>
      </c>
      <c r="G142" s="69">
        <f t="shared" si="20"/>
        <v>4508.333333333333</v>
      </c>
      <c r="H142" s="70">
        <f t="shared" si="21"/>
        <v>5391.9666666666672</v>
      </c>
      <c r="I142" s="70">
        <f t="shared" si="22"/>
        <v>4490.3</v>
      </c>
      <c r="J142" s="53">
        <f t="shared" si="14"/>
        <v>270.07085643869351</v>
      </c>
      <c r="K142" s="53">
        <f t="shared" si="15"/>
        <v>933</v>
      </c>
      <c r="L142" s="289">
        <f t="shared" si="16"/>
        <v>662.92914356130655</v>
      </c>
      <c r="N142" s="7">
        <f t="shared" si="17"/>
        <v>7955.1497227356786</v>
      </c>
      <c r="O142" t="str">
        <f>Medicaid!G134</f>
        <v>No</v>
      </c>
      <c r="P142" t="str">
        <f>Medicaid!K134</f>
        <v>No</v>
      </c>
    </row>
    <row r="143" spans="1:16" ht="15" customHeight="1" x14ac:dyDescent="0.25">
      <c r="A143" s="3">
        <v>63000</v>
      </c>
      <c r="B143" s="3">
        <f t="shared" si="23"/>
        <v>5250</v>
      </c>
      <c r="C143" s="3">
        <f t="shared" si="24"/>
        <v>440.47500000000002</v>
      </c>
      <c r="D143" s="64">
        <f t="shared" si="26"/>
        <v>2.9112754158964882</v>
      </c>
      <c r="E143" s="50">
        <f t="shared" si="25"/>
        <v>0.02</v>
      </c>
      <c r="F143" s="50">
        <f t="shared" si="19"/>
        <v>0.06</v>
      </c>
      <c r="G143" s="69">
        <f t="shared" si="20"/>
        <v>4508.333333333333</v>
      </c>
      <c r="H143" s="70">
        <f t="shared" si="21"/>
        <v>5391.9666666666672</v>
      </c>
      <c r="I143" s="70">
        <f t="shared" si="22"/>
        <v>4490.3</v>
      </c>
      <c r="J143" s="53">
        <f t="shared" si="14"/>
        <v>281.93567467652485</v>
      </c>
      <c r="K143" s="53">
        <f t="shared" si="15"/>
        <v>933</v>
      </c>
      <c r="L143" s="289">
        <f t="shared" si="16"/>
        <v>651.06432532347515</v>
      </c>
      <c r="N143" s="7">
        <f t="shared" si="17"/>
        <v>7812.7719038817013</v>
      </c>
      <c r="O143" t="str">
        <f>Medicaid!G135</f>
        <v>No</v>
      </c>
      <c r="P143" t="str">
        <f>Medicaid!K135</f>
        <v>No</v>
      </c>
    </row>
    <row r="144" spans="1:16" ht="15" customHeight="1" x14ac:dyDescent="0.25">
      <c r="A144" s="3">
        <v>63500</v>
      </c>
      <c r="B144" s="3">
        <f t="shared" si="23"/>
        <v>5291.666666666667</v>
      </c>
      <c r="C144" s="3">
        <f t="shared" si="24"/>
        <v>443.97083333333336</v>
      </c>
      <c r="D144" s="64">
        <f t="shared" si="26"/>
        <v>2.9343807763401113</v>
      </c>
      <c r="E144" s="50">
        <f t="shared" si="25"/>
        <v>0.02</v>
      </c>
      <c r="F144" s="50">
        <f t="shared" si="19"/>
        <v>0.06</v>
      </c>
      <c r="G144" s="69">
        <f t="shared" si="20"/>
        <v>4508.333333333333</v>
      </c>
      <c r="H144" s="70">
        <f t="shared" si="21"/>
        <v>5391.9666666666672</v>
      </c>
      <c r="I144" s="70">
        <f t="shared" si="22"/>
        <v>4490.3</v>
      </c>
      <c r="J144" s="53">
        <f t="shared" si="14"/>
        <v>293.95452865064692</v>
      </c>
      <c r="K144" s="53">
        <f t="shared" si="15"/>
        <v>933</v>
      </c>
      <c r="L144" s="289">
        <f t="shared" si="16"/>
        <v>639.04547134935308</v>
      </c>
      <c r="N144" s="7">
        <f t="shared" si="17"/>
        <v>7668.5456561922365</v>
      </c>
      <c r="O144" t="str">
        <f>Medicaid!G136</f>
        <v>No</v>
      </c>
      <c r="P144" t="str">
        <f>Medicaid!K136</f>
        <v>No</v>
      </c>
    </row>
    <row r="145" spans="1:16" ht="15" customHeight="1" x14ac:dyDescent="0.25">
      <c r="A145" s="3">
        <v>64000</v>
      </c>
      <c r="B145" s="3">
        <f t="shared" si="23"/>
        <v>5333.333333333333</v>
      </c>
      <c r="C145" s="3">
        <f t="shared" si="24"/>
        <v>447.46666666666664</v>
      </c>
      <c r="D145" s="64">
        <f t="shared" si="26"/>
        <v>2.957486136783734</v>
      </c>
      <c r="E145" s="50">
        <f t="shared" si="25"/>
        <v>0.02</v>
      </c>
      <c r="F145" s="50">
        <f t="shared" si="19"/>
        <v>0.06</v>
      </c>
      <c r="G145" s="69">
        <f t="shared" si="20"/>
        <v>4508.333333333333</v>
      </c>
      <c r="H145" s="70">
        <f t="shared" si="21"/>
        <v>5391.9666666666672</v>
      </c>
      <c r="I145" s="70">
        <f t="shared" si="22"/>
        <v>4490.3</v>
      </c>
      <c r="J145" s="53">
        <f t="shared" si="14"/>
        <v>306.12741836105954</v>
      </c>
      <c r="K145" s="53">
        <f t="shared" si="15"/>
        <v>933</v>
      </c>
      <c r="L145" s="289">
        <f t="shared" si="16"/>
        <v>626.87258163894046</v>
      </c>
      <c r="N145" s="7">
        <f t="shared" si="17"/>
        <v>7522.4709796672851</v>
      </c>
      <c r="O145" t="str">
        <f>Medicaid!G137</f>
        <v>No</v>
      </c>
      <c r="P145" t="str">
        <f>Medicaid!K137</f>
        <v>No</v>
      </c>
    </row>
    <row r="146" spans="1:16" ht="15" customHeight="1" x14ac:dyDescent="0.25">
      <c r="A146" s="3">
        <v>64500</v>
      </c>
      <c r="B146" s="3">
        <f t="shared" si="23"/>
        <v>5375</v>
      </c>
      <c r="C146" s="3">
        <f t="shared" si="24"/>
        <v>450.96250000000003</v>
      </c>
      <c r="D146" s="64">
        <f t="shared" si="26"/>
        <v>2.9805914972273571</v>
      </c>
      <c r="E146" s="50">
        <f t="shared" si="25"/>
        <v>0.02</v>
      </c>
      <c r="F146" s="50">
        <f t="shared" si="19"/>
        <v>0.06</v>
      </c>
      <c r="G146" s="69">
        <f t="shared" si="20"/>
        <v>4508.333333333333</v>
      </c>
      <c r="H146" s="70">
        <f t="shared" si="21"/>
        <v>5391.9666666666672</v>
      </c>
      <c r="I146" s="70">
        <f t="shared" si="22"/>
        <v>4490.3</v>
      </c>
      <c r="J146" s="53">
        <f t="shared" ref="J146:J209" si="27">B146*(E146+(B146-I146)*(F146-E146)/(H146-I146))</f>
        <v>318.45434380776322</v>
      </c>
      <c r="K146" s="53">
        <f t="shared" ref="K146:K209" si="28">SUM(IF(O146="Yes",0,$C$12),IF(P146="Yes",0,$C$13))</f>
        <v>933</v>
      </c>
      <c r="L146" s="289">
        <f t="shared" ref="L146:L209" si="29">MAX(0,K146-J146)</f>
        <v>614.54565619223672</v>
      </c>
      <c r="N146" s="7">
        <f t="shared" ref="N146:N209" si="30">MAX(0,L146*12)</f>
        <v>7374.5478743068406</v>
      </c>
      <c r="O146" t="str">
        <f>Medicaid!G138</f>
        <v>No</v>
      </c>
      <c r="P146" t="str">
        <f>Medicaid!K138</f>
        <v>No</v>
      </c>
    </row>
    <row r="147" spans="1:16" ht="15" customHeight="1" x14ac:dyDescent="0.25">
      <c r="A147" s="3">
        <v>65000</v>
      </c>
      <c r="B147" s="3">
        <f t="shared" si="23"/>
        <v>5416.666666666667</v>
      </c>
      <c r="C147" s="3">
        <f t="shared" si="24"/>
        <v>454.45833333333337</v>
      </c>
      <c r="D147" s="64">
        <f t="shared" si="26"/>
        <v>3.0036968576709802</v>
      </c>
      <c r="E147" s="50">
        <f t="shared" si="25"/>
        <v>0.06</v>
      </c>
      <c r="F147" s="50">
        <f t="shared" ref="F147:F210" si="31">IF(D147&gt;3.99,0.085,IF(D147&gt;2.99,0.085,IF(D147&gt;2.49,0.06,IF(D147&gt;1.99,0.04,IF(D147&gt;1.49,0.02,0)))))</f>
        <v>8.5000000000000006E-2</v>
      </c>
      <c r="G147" s="69">
        <f t="shared" ref="G147:G210" si="32">IF(D147&gt;3.99,$M$7,IF(D147&gt;2.99,$M$6,IF(D147&gt;2.49,$M$5,IF(D147&gt;1.99,$M$4,IF(D147&gt;1.49,$M$3,0)))))</f>
        <v>5410</v>
      </c>
      <c r="H147" s="70">
        <f t="shared" ref="H147:H210" si="33">IF(D147&gt;3.99,$N$7,IF(D147&gt;2.99,$N$6,IF(D147&gt;2.49,$N$5,IF(D147&gt;1.99,$N$4,IF(D147&gt;1.49,$N$3,IF(D147&gt;=0,$N$2,0))))))</f>
        <v>7195.3</v>
      </c>
      <c r="I147" s="70">
        <f t="shared" ref="I147:I210" si="34">IF(D147&gt;3.99,$N$6,IF(D147&gt;2.99,$N$5,IF(D147&gt;2.49,$N$4,IF(D147&gt;1.99,$N$3,IF(D147&gt;1.49,$N$2,IF(D147&gt;=0,0))))))</f>
        <v>5391.9666666666672</v>
      </c>
      <c r="J147" s="53">
        <f t="shared" si="27"/>
        <v>326.85478280961183</v>
      </c>
      <c r="K147" s="53">
        <f t="shared" si="28"/>
        <v>933</v>
      </c>
      <c r="L147" s="289">
        <f t="shared" si="29"/>
        <v>606.14521719038817</v>
      </c>
      <c r="N147" s="7">
        <f t="shared" si="30"/>
        <v>7273.742606284658</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3.0268022181146024</v>
      </c>
      <c r="E148" s="50">
        <f t="shared" si="25"/>
        <v>0.06</v>
      </c>
      <c r="F148" s="50">
        <f t="shared" si="31"/>
        <v>8.5000000000000006E-2</v>
      </c>
      <c r="G148" s="69">
        <f t="shared" si="32"/>
        <v>5410</v>
      </c>
      <c r="H148" s="70">
        <f t="shared" si="33"/>
        <v>7195.3</v>
      </c>
      <c r="I148" s="70">
        <f t="shared" si="34"/>
        <v>5391.9666666666672</v>
      </c>
      <c r="J148" s="53">
        <f t="shared" si="27"/>
        <v>332.5219693468884</v>
      </c>
      <c r="K148" s="53">
        <f t="shared" si="28"/>
        <v>933</v>
      </c>
      <c r="L148" s="289">
        <f t="shared" si="29"/>
        <v>600.47803065311155</v>
      </c>
      <c r="N148" s="7">
        <f t="shared" si="30"/>
        <v>7205.7363678373385</v>
      </c>
      <c r="O148" t="str">
        <f>Medicaid!G140</f>
        <v>No</v>
      </c>
      <c r="P148" t="str">
        <f>Medicaid!K140</f>
        <v>No</v>
      </c>
    </row>
    <row r="149" spans="1:16" ht="15" customHeight="1" x14ac:dyDescent="0.25">
      <c r="A149" s="3">
        <v>66000</v>
      </c>
      <c r="B149" s="3">
        <f t="shared" si="35"/>
        <v>5500</v>
      </c>
      <c r="C149" s="3">
        <f t="shared" si="36"/>
        <v>461.45</v>
      </c>
      <c r="D149" s="64">
        <f t="shared" si="26"/>
        <v>3.0499075785582255</v>
      </c>
      <c r="E149" s="50">
        <f t="shared" si="25"/>
        <v>0.06</v>
      </c>
      <c r="F149" s="50">
        <f t="shared" si="31"/>
        <v>8.5000000000000006E-2</v>
      </c>
      <c r="G149" s="69">
        <f t="shared" si="32"/>
        <v>5410</v>
      </c>
      <c r="H149" s="70">
        <f t="shared" si="33"/>
        <v>7195.3</v>
      </c>
      <c r="I149" s="70">
        <f t="shared" si="34"/>
        <v>5391.9666666666672</v>
      </c>
      <c r="J149" s="53">
        <f t="shared" si="27"/>
        <v>338.23729205175596</v>
      </c>
      <c r="K149" s="53">
        <f t="shared" si="28"/>
        <v>933</v>
      </c>
      <c r="L149" s="289">
        <f t="shared" si="29"/>
        <v>594.76270794824404</v>
      </c>
      <c r="N149" s="7">
        <f t="shared" si="30"/>
        <v>7137.1524953789285</v>
      </c>
      <c r="O149" t="str">
        <f>Medicaid!G141</f>
        <v>No</v>
      </c>
      <c r="P149" t="str">
        <f>Medicaid!K141</f>
        <v>No</v>
      </c>
    </row>
    <row r="150" spans="1:16" ht="15" customHeight="1" x14ac:dyDescent="0.25">
      <c r="A150" s="3">
        <v>66500</v>
      </c>
      <c r="B150" s="3">
        <f t="shared" si="35"/>
        <v>5541.666666666667</v>
      </c>
      <c r="C150" s="3">
        <f t="shared" si="36"/>
        <v>464.94583333333338</v>
      </c>
      <c r="D150" s="64">
        <f t="shared" si="26"/>
        <v>3.0730129390018486</v>
      </c>
      <c r="E150" s="50">
        <f t="shared" si="25"/>
        <v>0.06</v>
      </c>
      <c r="F150" s="50">
        <f t="shared" si="31"/>
        <v>8.5000000000000006E-2</v>
      </c>
      <c r="G150" s="69">
        <f t="shared" si="32"/>
        <v>5410</v>
      </c>
      <c r="H150" s="70">
        <f t="shared" si="33"/>
        <v>7195.3</v>
      </c>
      <c r="I150" s="70">
        <f t="shared" si="34"/>
        <v>5391.9666666666672</v>
      </c>
      <c r="J150" s="53">
        <f t="shared" si="27"/>
        <v>344.0007509242144</v>
      </c>
      <c r="K150" s="53">
        <f t="shared" si="28"/>
        <v>933</v>
      </c>
      <c r="L150" s="289">
        <f t="shared" si="29"/>
        <v>588.99924907578566</v>
      </c>
      <c r="N150" s="7">
        <f t="shared" si="30"/>
        <v>7067.9909889094279</v>
      </c>
      <c r="O150" t="str">
        <f>Medicaid!G142</f>
        <v>No</v>
      </c>
      <c r="P150" t="str">
        <f>Medicaid!K142</f>
        <v>No</v>
      </c>
    </row>
    <row r="151" spans="1:16" ht="15" customHeight="1" x14ac:dyDescent="0.25">
      <c r="A151" s="3">
        <v>67000</v>
      </c>
      <c r="B151" s="3">
        <f t="shared" si="35"/>
        <v>5583.333333333333</v>
      </c>
      <c r="C151" s="3">
        <f t="shared" si="36"/>
        <v>468.44166666666666</v>
      </c>
      <c r="D151" s="64">
        <f t="shared" si="26"/>
        <v>3.0961182994454712</v>
      </c>
      <c r="E151" s="50">
        <f t="shared" si="25"/>
        <v>0.06</v>
      </c>
      <c r="F151" s="50">
        <f t="shared" si="31"/>
        <v>8.5000000000000006E-2</v>
      </c>
      <c r="G151" s="69">
        <f t="shared" si="32"/>
        <v>5410</v>
      </c>
      <c r="H151" s="70">
        <f t="shared" si="33"/>
        <v>7195.3</v>
      </c>
      <c r="I151" s="70">
        <f t="shared" si="34"/>
        <v>5391.9666666666672</v>
      </c>
      <c r="J151" s="53">
        <f t="shared" si="27"/>
        <v>349.81234596426367</v>
      </c>
      <c r="K151" s="53">
        <f t="shared" si="28"/>
        <v>933</v>
      </c>
      <c r="L151" s="289">
        <f t="shared" si="29"/>
        <v>583.18765403573639</v>
      </c>
      <c r="N151" s="7">
        <f t="shared" si="30"/>
        <v>6998.2518484288366</v>
      </c>
      <c r="O151" t="str">
        <f>Medicaid!G143</f>
        <v>No</v>
      </c>
      <c r="P151" t="str">
        <f>Medicaid!K143</f>
        <v>No</v>
      </c>
    </row>
    <row r="152" spans="1:16" ht="15" customHeight="1" x14ac:dyDescent="0.25">
      <c r="A152" s="3">
        <v>67500</v>
      </c>
      <c r="B152" s="3">
        <f t="shared" si="35"/>
        <v>5625</v>
      </c>
      <c r="C152" s="3">
        <f t="shared" si="36"/>
        <v>471.9375</v>
      </c>
      <c r="D152" s="64">
        <f t="shared" si="26"/>
        <v>3.1192236598890943</v>
      </c>
      <c r="E152" s="50">
        <f t="shared" si="25"/>
        <v>0.06</v>
      </c>
      <c r="F152" s="50">
        <f t="shared" si="31"/>
        <v>8.5000000000000006E-2</v>
      </c>
      <c r="G152" s="69">
        <f t="shared" si="32"/>
        <v>5410</v>
      </c>
      <c r="H152" s="70">
        <f t="shared" si="33"/>
        <v>7195.3</v>
      </c>
      <c r="I152" s="70">
        <f t="shared" si="34"/>
        <v>5391.9666666666672</v>
      </c>
      <c r="J152" s="53">
        <f t="shared" si="27"/>
        <v>355.67207717190382</v>
      </c>
      <c r="K152" s="53">
        <f t="shared" si="28"/>
        <v>933</v>
      </c>
      <c r="L152" s="289">
        <f t="shared" si="29"/>
        <v>577.32792282809623</v>
      </c>
      <c r="N152" s="7">
        <f t="shared" si="30"/>
        <v>6927.9350739371548</v>
      </c>
      <c r="O152" t="str">
        <f>Medicaid!G144</f>
        <v>No</v>
      </c>
      <c r="P152" t="str">
        <f>Medicaid!K144</f>
        <v>No</v>
      </c>
    </row>
    <row r="153" spans="1:16" ht="15" customHeight="1" x14ac:dyDescent="0.25">
      <c r="A153" s="3">
        <v>68000</v>
      </c>
      <c r="B153" s="3">
        <f t="shared" si="35"/>
        <v>5666.666666666667</v>
      </c>
      <c r="C153" s="3">
        <f t="shared" si="36"/>
        <v>475.43333333333339</v>
      </c>
      <c r="D153" s="64">
        <f t="shared" si="26"/>
        <v>3.1423290203327174</v>
      </c>
      <c r="E153" s="50">
        <f t="shared" si="25"/>
        <v>0.06</v>
      </c>
      <c r="F153" s="50">
        <f t="shared" si="31"/>
        <v>8.5000000000000006E-2</v>
      </c>
      <c r="G153" s="69">
        <f t="shared" si="32"/>
        <v>5410</v>
      </c>
      <c r="H153" s="70">
        <f t="shared" si="33"/>
        <v>7195.3</v>
      </c>
      <c r="I153" s="70">
        <f t="shared" si="34"/>
        <v>5391.9666666666672</v>
      </c>
      <c r="J153" s="53">
        <f t="shared" si="27"/>
        <v>361.57994454713491</v>
      </c>
      <c r="K153" s="53">
        <f t="shared" si="28"/>
        <v>933</v>
      </c>
      <c r="L153" s="289">
        <f t="shared" si="29"/>
        <v>571.42005545286509</v>
      </c>
      <c r="N153" s="7">
        <f t="shared" si="30"/>
        <v>6857.0406654343806</v>
      </c>
      <c r="O153" t="str">
        <f>Medicaid!G145</f>
        <v>No</v>
      </c>
      <c r="P153" t="str">
        <f>Medicaid!K145</f>
        <v>No</v>
      </c>
    </row>
    <row r="154" spans="1:16" ht="15" customHeight="1" x14ac:dyDescent="0.25">
      <c r="A154" s="3">
        <v>68500</v>
      </c>
      <c r="B154" s="3">
        <f t="shared" si="35"/>
        <v>5708.333333333333</v>
      </c>
      <c r="C154" s="3">
        <f t="shared" si="36"/>
        <v>478.92916666666667</v>
      </c>
      <c r="D154" s="64">
        <f t="shared" si="26"/>
        <v>3.1654343807763401</v>
      </c>
      <c r="E154" s="50">
        <f t="shared" si="25"/>
        <v>0.06</v>
      </c>
      <c r="F154" s="50">
        <f t="shared" si="31"/>
        <v>8.5000000000000006E-2</v>
      </c>
      <c r="G154" s="69">
        <f t="shared" si="32"/>
        <v>5410</v>
      </c>
      <c r="H154" s="70">
        <f t="shared" si="33"/>
        <v>7195.3</v>
      </c>
      <c r="I154" s="70">
        <f t="shared" si="34"/>
        <v>5391.9666666666672</v>
      </c>
      <c r="J154" s="53">
        <f t="shared" si="27"/>
        <v>367.53594808995678</v>
      </c>
      <c r="K154" s="53">
        <f t="shared" si="28"/>
        <v>933</v>
      </c>
      <c r="L154" s="289">
        <f t="shared" si="29"/>
        <v>565.46405191004328</v>
      </c>
      <c r="N154" s="7">
        <f t="shared" si="30"/>
        <v>6785.5686229205194</v>
      </c>
      <c r="O154" t="str">
        <f>Medicaid!G146</f>
        <v>No</v>
      </c>
      <c r="P154" t="str">
        <f>Medicaid!K146</f>
        <v>No</v>
      </c>
    </row>
    <row r="155" spans="1:16" ht="15" customHeight="1" x14ac:dyDescent="0.25">
      <c r="A155" s="3">
        <v>69000</v>
      </c>
      <c r="B155" s="3">
        <f t="shared" si="35"/>
        <v>5750</v>
      </c>
      <c r="C155" s="3">
        <f t="shared" si="36"/>
        <v>482.42500000000001</v>
      </c>
      <c r="D155" s="64">
        <f t="shared" si="26"/>
        <v>3.1885397412199632</v>
      </c>
      <c r="E155" s="50">
        <f t="shared" si="25"/>
        <v>0.06</v>
      </c>
      <c r="F155" s="50">
        <f t="shared" si="31"/>
        <v>8.5000000000000006E-2</v>
      </c>
      <c r="G155" s="69">
        <f t="shared" si="32"/>
        <v>5410</v>
      </c>
      <c r="H155" s="70">
        <f t="shared" si="33"/>
        <v>7195.3</v>
      </c>
      <c r="I155" s="70">
        <f t="shared" si="34"/>
        <v>5391.9666666666672</v>
      </c>
      <c r="J155" s="53">
        <f t="shared" si="27"/>
        <v>373.54008780036969</v>
      </c>
      <c r="K155" s="53">
        <f t="shared" si="28"/>
        <v>933</v>
      </c>
      <c r="L155" s="289">
        <f t="shared" si="29"/>
        <v>559.45991219963025</v>
      </c>
      <c r="N155" s="7">
        <f t="shared" si="30"/>
        <v>6713.518946395563</v>
      </c>
      <c r="O155" t="str">
        <f>Medicaid!G147</f>
        <v>No</v>
      </c>
      <c r="P155" t="str">
        <f>Medicaid!K147</f>
        <v>No</v>
      </c>
    </row>
    <row r="156" spans="1:16" ht="15" customHeight="1" x14ac:dyDescent="0.25">
      <c r="A156" s="3">
        <v>69500</v>
      </c>
      <c r="B156" s="3">
        <f t="shared" si="35"/>
        <v>5791.666666666667</v>
      </c>
      <c r="C156" s="3">
        <f t="shared" si="36"/>
        <v>485.92083333333335</v>
      </c>
      <c r="D156" s="64">
        <f t="shared" si="26"/>
        <v>3.2116451016635863</v>
      </c>
      <c r="E156" s="50">
        <f t="shared" si="25"/>
        <v>0.06</v>
      </c>
      <c r="F156" s="50">
        <f t="shared" si="31"/>
        <v>8.5000000000000006E-2</v>
      </c>
      <c r="G156" s="69">
        <f t="shared" si="32"/>
        <v>5410</v>
      </c>
      <c r="H156" s="70">
        <f t="shared" si="33"/>
        <v>7195.3</v>
      </c>
      <c r="I156" s="70">
        <f t="shared" si="34"/>
        <v>5391.9666666666672</v>
      </c>
      <c r="J156" s="53">
        <f t="shared" si="27"/>
        <v>379.59236367837343</v>
      </c>
      <c r="K156" s="53">
        <f t="shared" si="28"/>
        <v>933</v>
      </c>
      <c r="L156" s="289">
        <f t="shared" si="29"/>
        <v>553.40763632162657</v>
      </c>
      <c r="N156" s="7">
        <f t="shared" si="30"/>
        <v>6640.8916358595188</v>
      </c>
      <c r="O156" t="str">
        <f>Medicaid!G148</f>
        <v>No</v>
      </c>
      <c r="P156" t="str">
        <f>Medicaid!K148</f>
        <v>No</v>
      </c>
    </row>
    <row r="157" spans="1:16" ht="15" customHeight="1" x14ac:dyDescent="0.25">
      <c r="A157" s="3">
        <v>70000</v>
      </c>
      <c r="B157" s="3">
        <f t="shared" si="35"/>
        <v>5833.333333333333</v>
      </c>
      <c r="C157" s="3">
        <f t="shared" si="36"/>
        <v>489.41666666666663</v>
      </c>
      <c r="D157" s="64">
        <f t="shared" si="26"/>
        <v>3.234750462107209</v>
      </c>
      <c r="E157" s="50">
        <f t="shared" si="25"/>
        <v>0.06</v>
      </c>
      <c r="F157" s="50">
        <f t="shared" si="31"/>
        <v>8.5000000000000006E-2</v>
      </c>
      <c r="G157" s="69">
        <f t="shared" si="32"/>
        <v>5410</v>
      </c>
      <c r="H157" s="70">
        <f t="shared" si="33"/>
        <v>7195.3</v>
      </c>
      <c r="I157" s="70">
        <f t="shared" si="34"/>
        <v>5391.9666666666672</v>
      </c>
      <c r="J157" s="53">
        <f t="shared" si="27"/>
        <v>385.69277572396783</v>
      </c>
      <c r="K157" s="53">
        <f t="shared" si="28"/>
        <v>933</v>
      </c>
      <c r="L157" s="289">
        <f t="shared" si="29"/>
        <v>547.30722427603223</v>
      </c>
      <c r="N157" s="7">
        <f t="shared" si="30"/>
        <v>6567.6866913123868</v>
      </c>
      <c r="O157" t="str">
        <f>Medicaid!G149</f>
        <v>No</v>
      </c>
      <c r="P157" t="str">
        <f>Medicaid!K149</f>
        <v>No</v>
      </c>
    </row>
    <row r="158" spans="1:16" ht="15" customHeight="1" x14ac:dyDescent="0.25">
      <c r="A158" s="3">
        <v>70500</v>
      </c>
      <c r="B158" s="3">
        <f t="shared" si="35"/>
        <v>5875</v>
      </c>
      <c r="C158" s="3">
        <f t="shared" si="36"/>
        <v>492.91250000000002</v>
      </c>
      <c r="D158" s="64">
        <f t="shared" si="26"/>
        <v>3.2578558225508321</v>
      </c>
      <c r="E158" s="50">
        <f t="shared" si="25"/>
        <v>0.06</v>
      </c>
      <c r="F158" s="50">
        <f t="shared" si="31"/>
        <v>8.5000000000000006E-2</v>
      </c>
      <c r="G158" s="69">
        <f t="shared" si="32"/>
        <v>5410</v>
      </c>
      <c r="H158" s="70">
        <f t="shared" si="33"/>
        <v>7195.3</v>
      </c>
      <c r="I158" s="70">
        <f t="shared" si="34"/>
        <v>5391.9666666666672</v>
      </c>
      <c r="J158" s="53">
        <f t="shared" si="27"/>
        <v>391.84132393715339</v>
      </c>
      <c r="K158" s="53">
        <f t="shared" si="28"/>
        <v>933</v>
      </c>
      <c r="L158" s="289">
        <f t="shared" si="29"/>
        <v>541.15867606284655</v>
      </c>
      <c r="N158" s="7">
        <f t="shared" si="30"/>
        <v>6493.9041127541586</v>
      </c>
      <c r="O158" t="str">
        <f>Medicaid!G150</f>
        <v>No</v>
      </c>
      <c r="P158" t="str">
        <f>Medicaid!K150</f>
        <v>No</v>
      </c>
    </row>
    <row r="159" spans="1:16" ht="15" customHeight="1" x14ac:dyDescent="0.25">
      <c r="A159" s="3">
        <v>71000</v>
      </c>
      <c r="B159" s="3">
        <f t="shared" si="35"/>
        <v>5916.666666666667</v>
      </c>
      <c r="C159" s="3">
        <f t="shared" si="36"/>
        <v>496.40833333333336</v>
      </c>
      <c r="D159" s="64">
        <f t="shared" si="26"/>
        <v>3.2809611829944552</v>
      </c>
      <c r="E159" s="50">
        <f t="shared" si="25"/>
        <v>0.06</v>
      </c>
      <c r="F159" s="50">
        <f t="shared" si="31"/>
        <v>8.5000000000000006E-2</v>
      </c>
      <c r="G159" s="69">
        <f t="shared" si="32"/>
        <v>5410</v>
      </c>
      <c r="H159" s="70">
        <f t="shared" si="33"/>
        <v>7195.3</v>
      </c>
      <c r="I159" s="70">
        <f t="shared" si="34"/>
        <v>5391.9666666666672</v>
      </c>
      <c r="J159" s="53">
        <f t="shared" si="27"/>
        <v>398.03800831792978</v>
      </c>
      <c r="K159" s="53">
        <f t="shared" si="28"/>
        <v>933</v>
      </c>
      <c r="L159" s="289">
        <f t="shared" si="29"/>
        <v>534.96199168207022</v>
      </c>
      <c r="N159" s="7">
        <f t="shared" si="30"/>
        <v>6419.5439001848426</v>
      </c>
      <c r="O159" t="str">
        <f>Medicaid!G151</f>
        <v>No</v>
      </c>
      <c r="P159" t="str">
        <f>Medicaid!K151</f>
        <v>No</v>
      </c>
    </row>
    <row r="160" spans="1:16" ht="15" customHeight="1" x14ac:dyDescent="0.25">
      <c r="A160" s="3">
        <v>71500</v>
      </c>
      <c r="B160" s="3">
        <f t="shared" si="35"/>
        <v>5958.333333333333</v>
      </c>
      <c r="C160" s="3">
        <f t="shared" si="36"/>
        <v>499.90416666666664</v>
      </c>
      <c r="D160" s="64">
        <f t="shared" si="26"/>
        <v>3.3040665434380778</v>
      </c>
      <c r="E160" s="50">
        <f t="shared" si="25"/>
        <v>0.06</v>
      </c>
      <c r="F160" s="50">
        <f t="shared" si="31"/>
        <v>8.5000000000000006E-2</v>
      </c>
      <c r="G160" s="69">
        <f t="shared" si="32"/>
        <v>5410</v>
      </c>
      <c r="H160" s="70">
        <f t="shared" si="33"/>
        <v>7195.3</v>
      </c>
      <c r="I160" s="70">
        <f t="shared" si="34"/>
        <v>5391.9666666666672</v>
      </c>
      <c r="J160" s="53">
        <f t="shared" si="27"/>
        <v>404.28282886629688</v>
      </c>
      <c r="K160" s="53">
        <f t="shared" si="28"/>
        <v>933</v>
      </c>
      <c r="L160" s="289">
        <f t="shared" si="29"/>
        <v>528.71717113370312</v>
      </c>
      <c r="N160" s="7">
        <f t="shared" si="30"/>
        <v>6344.606053604437</v>
      </c>
      <c r="O160" t="str">
        <f>Medicaid!G152</f>
        <v>No</v>
      </c>
      <c r="P160" t="str">
        <f>Medicaid!K152</f>
        <v>No</v>
      </c>
    </row>
    <row r="161" spans="1:16" ht="15" customHeight="1" x14ac:dyDescent="0.25">
      <c r="A161" s="3">
        <v>72000</v>
      </c>
      <c r="B161" s="3">
        <f t="shared" si="35"/>
        <v>6000</v>
      </c>
      <c r="C161" s="3">
        <f t="shared" si="36"/>
        <v>503.40000000000003</v>
      </c>
      <c r="D161" s="64">
        <f t="shared" si="26"/>
        <v>3.3271719038817005</v>
      </c>
      <c r="E161" s="50">
        <f t="shared" si="25"/>
        <v>0.06</v>
      </c>
      <c r="F161" s="50">
        <f t="shared" si="31"/>
        <v>8.5000000000000006E-2</v>
      </c>
      <c r="G161" s="69">
        <f t="shared" si="32"/>
        <v>5410</v>
      </c>
      <c r="H161" s="70">
        <f t="shared" si="33"/>
        <v>7195.3</v>
      </c>
      <c r="I161" s="70">
        <f t="shared" si="34"/>
        <v>5391.9666666666672</v>
      </c>
      <c r="J161" s="53">
        <f t="shared" si="27"/>
        <v>410.57578558225509</v>
      </c>
      <c r="K161" s="53">
        <f t="shared" si="28"/>
        <v>933</v>
      </c>
      <c r="L161" s="289">
        <f t="shared" si="29"/>
        <v>522.42421441774491</v>
      </c>
      <c r="N161" s="7">
        <f t="shared" si="30"/>
        <v>6269.0905730129389</v>
      </c>
      <c r="O161" t="str">
        <f>Medicaid!G153</f>
        <v>No</v>
      </c>
      <c r="P161" t="str">
        <f>Medicaid!K153</f>
        <v>No</v>
      </c>
    </row>
    <row r="162" spans="1:16" ht="15" customHeight="1" x14ac:dyDescent="0.25">
      <c r="A162" s="3">
        <v>72500</v>
      </c>
      <c r="B162" s="3">
        <f t="shared" si="35"/>
        <v>6041.666666666667</v>
      </c>
      <c r="C162" s="3">
        <f t="shared" si="36"/>
        <v>506.89583333333337</v>
      </c>
      <c r="D162" s="64">
        <f t="shared" si="26"/>
        <v>3.3502772643253236</v>
      </c>
      <c r="E162" s="50">
        <f t="shared" ref="E162:E217" si="37">IF(D162&gt;3.99,0.085,IF(D162&gt;2.99,0.06,IF(D162&gt;1.99,0.02,IF(D162&gt;1.49,0,0))))</f>
        <v>0.06</v>
      </c>
      <c r="F162" s="50">
        <f t="shared" si="31"/>
        <v>8.5000000000000006E-2</v>
      </c>
      <c r="G162" s="69">
        <f t="shared" si="32"/>
        <v>5410</v>
      </c>
      <c r="H162" s="70">
        <f t="shared" si="33"/>
        <v>7195.3</v>
      </c>
      <c r="I162" s="70">
        <f t="shared" si="34"/>
        <v>5391.9666666666672</v>
      </c>
      <c r="J162" s="53">
        <f t="shared" si="27"/>
        <v>416.91687846580413</v>
      </c>
      <c r="K162" s="53">
        <f t="shared" si="28"/>
        <v>933</v>
      </c>
      <c r="L162" s="289">
        <f t="shared" si="29"/>
        <v>516.08312153419593</v>
      </c>
      <c r="N162" s="7">
        <f t="shared" si="30"/>
        <v>6192.9974584103511</v>
      </c>
      <c r="O162" t="str">
        <f>Medicaid!G154</f>
        <v>No</v>
      </c>
      <c r="P162" t="str">
        <f>Medicaid!K154</f>
        <v>No</v>
      </c>
    </row>
    <row r="163" spans="1:16" ht="15" customHeight="1" x14ac:dyDescent="0.25">
      <c r="A163" s="3">
        <v>73000</v>
      </c>
      <c r="B163" s="3">
        <f t="shared" si="35"/>
        <v>6083.333333333333</v>
      </c>
      <c r="C163" s="3">
        <f t="shared" si="36"/>
        <v>510.39166666666665</v>
      </c>
      <c r="D163" s="64">
        <f t="shared" si="26"/>
        <v>3.3733826247689462</v>
      </c>
      <c r="E163" s="50">
        <f t="shared" si="37"/>
        <v>0.06</v>
      </c>
      <c r="F163" s="50">
        <f t="shared" si="31"/>
        <v>8.5000000000000006E-2</v>
      </c>
      <c r="G163" s="69">
        <f t="shared" si="32"/>
        <v>5410</v>
      </c>
      <c r="H163" s="70">
        <f t="shared" si="33"/>
        <v>7195.3</v>
      </c>
      <c r="I163" s="70">
        <f t="shared" si="34"/>
        <v>5391.9666666666672</v>
      </c>
      <c r="J163" s="53">
        <f t="shared" si="27"/>
        <v>423.30610751694388</v>
      </c>
      <c r="K163" s="53">
        <f t="shared" si="28"/>
        <v>933</v>
      </c>
      <c r="L163" s="289">
        <f t="shared" si="29"/>
        <v>509.69389248305612</v>
      </c>
      <c r="N163" s="7">
        <f t="shared" si="30"/>
        <v>6116.3267097966736</v>
      </c>
      <c r="O163" t="str">
        <f>Medicaid!G155</f>
        <v>No</v>
      </c>
      <c r="P163" t="str">
        <f>Medicaid!K155</f>
        <v>No</v>
      </c>
    </row>
    <row r="164" spans="1:16" ht="15" customHeight="1" x14ac:dyDescent="0.25">
      <c r="A164" s="3">
        <v>73500</v>
      </c>
      <c r="B164" s="3">
        <f t="shared" si="35"/>
        <v>6125</v>
      </c>
      <c r="C164" s="3">
        <f t="shared" si="36"/>
        <v>513.88750000000005</v>
      </c>
      <c r="D164" s="64">
        <f t="shared" si="26"/>
        <v>3.3964879852125693</v>
      </c>
      <c r="E164" s="50">
        <f t="shared" si="37"/>
        <v>0.06</v>
      </c>
      <c r="F164" s="50">
        <f t="shared" si="31"/>
        <v>8.5000000000000006E-2</v>
      </c>
      <c r="G164" s="69">
        <f t="shared" si="32"/>
        <v>5410</v>
      </c>
      <c r="H164" s="70">
        <f t="shared" si="33"/>
        <v>7195.3</v>
      </c>
      <c r="I164" s="70">
        <f t="shared" si="34"/>
        <v>5391.9666666666672</v>
      </c>
      <c r="J164" s="53">
        <f t="shared" si="27"/>
        <v>429.74347273567463</v>
      </c>
      <c r="K164" s="53">
        <f t="shared" si="28"/>
        <v>933</v>
      </c>
      <c r="L164" s="289">
        <f t="shared" si="29"/>
        <v>503.25652726432537</v>
      </c>
      <c r="N164" s="7">
        <f t="shared" si="30"/>
        <v>6039.0783271719047</v>
      </c>
      <c r="O164" t="str">
        <f>Medicaid!G156</f>
        <v>No</v>
      </c>
      <c r="P164" t="str">
        <f>Medicaid!K156</f>
        <v>No</v>
      </c>
    </row>
    <row r="165" spans="1:16" ht="15" customHeight="1" x14ac:dyDescent="0.25">
      <c r="A165" s="3">
        <v>74000</v>
      </c>
      <c r="B165" s="3">
        <f t="shared" si="35"/>
        <v>6166.666666666667</v>
      </c>
      <c r="C165" s="3">
        <f t="shared" si="36"/>
        <v>517.38333333333333</v>
      </c>
      <c r="D165" s="64">
        <f t="shared" si="26"/>
        <v>3.4195933456561924</v>
      </c>
      <c r="E165" s="50">
        <f t="shared" si="37"/>
        <v>0.06</v>
      </c>
      <c r="F165" s="50">
        <f t="shared" si="31"/>
        <v>8.5000000000000006E-2</v>
      </c>
      <c r="G165" s="69">
        <f t="shared" si="32"/>
        <v>5410</v>
      </c>
      <c r="H165" s="70">
        <f t="shared" si="33"/>
        <v>7195.3</v>
      </c>
      <c r="I165" s="70">
        <f t="shared" si="34"/>
        <v>5391.9666666666672</v>
      </c>
      <c r="J165" s="53">
        <f t="shared" si="27"/>
        <v>436.22897412199632</v>
      </c>
      <c r="K165" s="53">
        <f t="shared" si="28"/>
        <v>933</v>
      </c>
      <c r="L165" s="289">
        <f t="shared" si="29"/>
        <v>496.77102587800368</v>
      </c>
      <c r="N165" s="7">
        <f t="shared" si="30"/>
        <v>5961.2523105360442</v>
      </c>
      <c r="O165" t="str">
        <f>Medicaid!G157</f>
        <v>No</v>
      </c>
      <c r="P165" t="str">
        <f>Medicaid!K157</f>
        <v>No</v>
      </c>
    </row>
    <row r="166" spans="1:16" ht="15" customHeight="1" x14ac:dyDescent="0.25">
      <c r="A166" s="3">
        <v>74500</v>
      </c>
      <c r="B166" s="3">
        <f t="shared" si="35"/>
        <v>6208.333333333333</v>
      </c>
      <c r="C166" s="3">
        <f t="shared" si="36"/>
        <v>520.87916666666661</v>
      </c>
      <c r="D166" s="64">
        <f t="shared" si="26"/>
        <v>3.4426987060998151</v>
      </c>
      <c r="E166" s="50">
        <f t="shared" si="37"/>
        <v>0.06</v>
      </c>
      <c r="F166" s="50">
        <f t="shared" si="31"/>
        <v>8.5000000000000006E-2</v>
      </c>
      <c r="G166" s="69">
        <f t="shared" si="32"/>
        <v>5410</v>
      </c>
      <c r="H166" s="70">
        <f t="shared" si="33"/>
        <v>7195.3</v>
      </c>
      <c r="I166" s="70">
        <f t="shared" si="34"/>
        <v>5391.9666666666672</v>
      </c>
      <c r="J166" s="53">
        <f t="shared" si="27"/>
        <v>442.76261167590877</v>
      </c>
      <c r="K166" s="53">
        <f t="shared" si="28"/>
        <v>933</v>
      </c>
      <c r="L166" s="289">
        <f t="shared" si="29"/>
        <v>490.23738832409123</v>
      </c>
      <c r="N166" s="7">
        <f t="shared" si="30"/>
        <v>5882.848659889095</v>
      </c>
      <c r="O166" t="str">
        <f>Medicaid!G158</f>
        <v>No</v>
      </c>
      <c r="P166" t="str">
        <f>Medicaid!K158</f>
        <v>No</v>
      </c>
    </row>
    <row r="167" spans="1:16" ht="15" customHeight="1" x14ac:dyDescent="0.25">
      <c r="A167" s="3">
        <v>75000</v>
      </c>
      <c r="B167" s="3">
        <f t="shared" si="35"/>
        <v>6250</v>
      </c>
      <c r="C167" s="3">
        <f t="shared" si="36"/>
        <v>524.375</v>
      </c>
      <c r="D167" s="64">
        <f t="shared" si="26"/>
        <v>3.4658040665434382</v>
      </c>
      <c r="E167" s="50">
        <f t="shared" si="37"/>
        <v>0.06</v>
      </c>
      <c r="F167" s="50">
        <f t="shared" si="31"/>
        <v>8.5000000000000006E-2</v>
      </c>
      <c r="G167" s="69">
        <f t="shared" si="32"/>
        <v>5410</v>
      </c>
      <c r="H167" s="70">
        <f t="shared" si="33"/>
        <v>7195.3</v>
      </c>
      <c r="I167" s="70">
        <f t="shared" si="34"/>
        <v>5391.9666666666672</v>
      </c>
      <c r="J167" s="53">
        <f t="shared" si="27"/>
        <v>449.34438539741222</v>
      </c>
      <c r="K167" s="53">
        <f t="shared" si="28"/>
        <v>933</v>
      </c>
      <c r="L167" s="289">
        <f t="shared" si="29"/>
        <v>483.65561460258778</v>
      </c>
      <c r="N167" s="7">
        <f t="shared" si="30"/>
        <v>5803.8673752310533</v>
      </c>
      <c r="O167" t="str">
        <f>Medicaid!G159</f>
        <v>No</v>
      </c>
      <c r="P167" t="str">
        <f>Medicaid!K159</f>
        <v>No</v>
      </c>
    </row>
    <row r="168" spans="1:16" ht="15" customHeight="1" x14ac:dyDescent="0.25">
      <c r="A168" s="3">
        <v>75500</v>
      </c>
      <c r="B168" s="3">
        <f t="shared" si="35"/>
        <v>6291.666666666667</v>
      </c>
      <c r="C168" s="3">
        <f t="shared" si="36"/>
        <v>527.87083333333339</v>
      </c>
      <c r="D168" s="64">
        <f t="shared" si="26"/>
        <v>3.4889094269870613</v>
      </c>
      <c r="E168" s="50">
        <f t="shared" si="37"/>
        <v>0.06</v>
      </c>
      <c r="F168" s="50">
        <f t="shared" si="31"/>
        <v>8.5000000000000006E-2</v>
      </c>
      <c r="G168" s="69">
        <f t="shared" si="32"/>
        <v>5410</v>
      </c>
      <c r="H168" s="70">
        <f t="shared" si="33"/>
        <v>7195.3</v>
      </c>
      <c r="I168" s="70">
        <f t="shared" si="34"/>
        <v>5391.9666666666672</v>
      </c>
      <c r="J168" s="53">
        <f t="shared" si="27"/>
        <v>455.97429528650645</v>
      </c>
      <c r="K168" s="53">
        <f t="shared" si="28"/>
        <v>933</v>
      </c>
      <c r="L168" s="289">
        <f t="shared" si="29"/>
        <v>477.02570471349355</v>
      </c>
      <c r="N168" s="7">
        <f t="shared" si="30"/>
        <v>5724.3084565619229</v>
      </c>
      <c r="O168" t="str">
        <f>Medicaid!G160</f>
        <v>No</v>
      </c>
      <c r="P168" t="str">
        <f>Medicaid!K160</f>
        <v>No</v>
      </c>
    </row>
    <row r="169" spans="1:16" ht="15" customHeight="1" x14ac:dyDescent="0.25">
      <c r="A169" s="3">
        <v>76000</v>
      </c>
      <c r="B169" s="3">
        <f t="shared" si="35"/>
        <v>6333.333333333333</v>
      </c>
      <c r="C169" s="3">
        <f t="shared" si="36"/>
        <v>531.36666666666667</v>
      </c>
      <c r="D169" s="64">
        <f t="shared" si="26"/>
        <v>3.512014787430684</v>
      </c>
      <c r="E169" s="50">
        <f t="shared" si="37"/>
        <v>0.06</v>
      </c>
      <c r="F169" s="50">
        <f t="shared" si="31"/>
        <v>8.5000000000000006E-2</v>
      </c>
      <c r="G169" s="69">
        <f t="shared" si="32"/>
        <v>5410</v>
      </c>
      <c r="H169" s="70">
        <f t="shared" si="33"/>
        <v>7195.3</v>
      </c>
      <c r="I169" s="70">
        <f t="shared" si="34"/>
        <v>5391.9666666666672</v>
      </c>
      <c r="J169" s="53">
        <f t="shared" si="27"/>
        <v>462.65234134319149</v>
      </c>
      <c r="K169" s="53">
        <f t="shared" si="28"/>
        <v>933</v>
      </c>
      <c r="L169" s="289">
        <f t="shared" si="29"/>
        <v>470.34765865680851</v>
      </c>
      <c r="N169" s="7">
        <f t="shared" si="30"/>
        <v>5644.1719038817018</v>
      </c>
      <c r="O169" t="str">
        <f>Medicaid!G161</f>
        <v>No</v>
      </c>
      <c r="P169" t="str">
        <f>Medicaid!K161</f>
        <v>No</v>
      </c>
    </row>
    <row r="170" spans="1:16" ht="15" customHeight="1" x14ac:dyDescent="0.25">
      <c r="A170" s="3">
        <v>76500</v>
      </c>
      <c r="B170" s="3">
        <f t="shared" si="35"/>
        <v>6375</v>
      </c>
      <c r="C170" s="3">
        <f t="shared" si="36"/>
        <v>534.86250000000007</v>
      </c>
      <c r="D170" s="64">
        <f t="shared" si="26"/>
        <v>3.5351201478743071</v>
      </c>
      <c r="E170" s="50">
        <f t="shared" si="37"/>
        <v>0.06</v>
      </c>
      <c r="F170" s="50">
        <f t="shared" si="31"/>
        <v>8.5000000000000006E-2</v>
      </c>
      <c r="G170" s="69">
        <f t="shared" si="32"/>
        <v>5410</v>
      </c>
      <c r="H170" s="70">
        <f t="shared" si="33"/>
        <v>7195.3</v>
      </c>
      <c r="I170" s="70">
        <f t="shared" si="34"/>
        <v>5391.9666666666672</v>
      </c>
      <c r="J170" s="53">
        <f t="shared" si="27"/>
        <v>469.3785235674676</v>
      </c>
      <c r="K170" s="53">
        <f t="shared" si="28"/>
        <v>933</v>
      </c>
      <c r="L170" s="289">
        <f t="shared" si="29"/>
        <v>463.6214764325324</v>
      </c>
      <c r="N170" s="7">
        <f t="shared" si="30"/>
        <v>5563.4577171903893</v>
      </c>
      <c r="O170" t="str">
        <f>Medicaid!G162</f>
        <v>No</v>
      </c>
      <c r="P170" t="str">
        <f>Medicaid!K162</f>
        <v>No</v>
      </c>
    </row>
    <row r="171" spans="1:16" ht="15" customHeight="1" x14ac:dyDescent="0.25">
      <c r="A171" s="3">
        <v>77000</v>
      </c>
      <c r="B171" s="3">
        <f t="shared" si="35"/>
        <v>6416.666666666667</v>
      </c>
      <c r="C171" s="3">
        <f t="shared" si="36"/>
        <v>538.35833333333335</v>
      </c>
      <c r="D171" s="64">
        <f t="shared" si="26"/>
        <v>3.5582255083179302</v>
      </c>
      <c r="E171" s="50">
        <f t="shared" si="37"/>
        <v>0.06</v>
      </c>
      <c r="F171" s="50">
        <f t="shared" si="31"/>
        <v>8.5000000000000006E-2</v>
      </c>
      <c r="G171" s="69">
        <f t="shared" si="32"/>
        <v>5410</v>
      </c>
      <c r="H171" s="70">
        <f t="shared" si="33"/>
        <v>7195.3</v>
      </c>
      <c r="I171" s="70">
        <f t="shared" si="34"/>
        <v>5391.9666666666672</v>
      </c>
      <c r="J171" s="53">
        <f t="shared" si="27"/>
        <v>476.15284195933458</v>
      </c>
      <c r="K171" s="53">
        <f t="shared" si="28"/>
        <v>933</v>
      </c>
      <c r="L171" s="289">
        <f t="shared" si="29"/>
        <v>456.84715804066542</v>
      </c>
      <c r="N171" s="7">
        <f t="shared" si="30"/>
        <v>5482.1658964879853</v>
      </c>
      <c r="O171" t="str">
        <f>Medicaid!G163</f>
        <v>No</v>
      </c>
      <c r="P171" t="str">
        <f>Medicaid!K163</f>
        <v>No</v>
      </c>
    </row>
    <row r="172" spans="1:16" ht="15" customHeight="1" x14ac:dyDescent="0.25">
      <c r="A172" s="3">
        <v>77500</v>
      </c>
      <c r="B172" s="3">
        <f t="shared" si="35"/>
        <v>6458.333333333333</v>
      </c>
      <c r="C172" s="3">
        <f t="shared" si="36"/>
        <v>541.85416666666663</v>
      </c>
      <c r="D172" s="64">
        <f t="shared" si="26"/>
        <v>3.5813308687615528</v>
      </c>
      <c r="E172" s="50">
        <f t="shared" si="37"/>
        <v>0.06</v>
      </c>
      <c r="F172" s="50">
        <f t="shared" si="31"/>
        <v>8.5000000000000006E-2</v>
      </c>
      <c r="G172" s="69">
        <f t="shared" si="32"/>
        <v>5410</v>
      </c>
      <c r="H172" s="70">
        <f t="shared" si="33"/>
        <v>7195.3</v>
      </c>
      <c r="I172" s="70">
        <f t="shared" si="34"/>
        <v>5391.9666666666672</v>
      </c>
      <c r="J172" s="53">
        <f t="shared" si="27"/>
        <v>482.97529651879233</v>
      </c>
      <c r="K172" s="53">
        <f t="shared" si="28"/>
        <v>933</v>
      </c>
      <c r="L172" s="289">
        <f t="shared" si="29"/>
        <v>450.02470348120767</v>
      </c>
      <c r="N172" s="7">
        <f t="shared" si="30"/>
        <v>5400.2964417744915</v>
      </c>
      <c r="O172" t="str">
        <f>Medicaid!G164</f>
        <v>No</v>
      </c>
      <c r="P172" t="str">
        <f>Medicaid!K164</f>
        <v>No</v>
      </c>
    </row>
    <row r="173" spans="1:16" ht="15" customHeight="1" x14ac:dyDescent="0.25">
      <c r="A173" s="3">
        <v>78000</v>
      </c>
      <c r="B173" s="3">
        <f t="shared" si="35"/>
        <v>6500</v>
      </c>
      <c r="C173" s="3">
        <f t="shared" si="36"/>
        <v>545.35</v>
      </c>
      <c r="D173" s="64">
        <f t="shared" si="26"/>
        <v>3.6044362292051759</v>
      </c>
      <c r="E173" s="50">
        <f t="shared" si="37"/>
        <v>0.06</v>
      </c>
      <c r="F173" s="50">
        <f t="shared" si="31"/>
        <v>8.5000000000000006E-2</v>
      </c>
      <c r="G173" s="69">
        <f t="shared" si="32"/>
        <v>5410</v>
      </c>
      <c r="H173" s="70">
        <f t="shared" si="33"/>
        <v>7195.3</v>
      </c>
      <c r="I173" s="70">
        <f t="shared" si="34"/>
        <v>5391.9666666666672</v>
      </c>
      <c r="J173" s="53">
        <f t="shared" si="27"/>
        <v>489.84588724584108</v>
      </c>
      <c r="K173" s="53">
        <f t="shared" si="28"/>
        <v>933</v>
      </c>
      <c r="L173" s="289">
        <f t="shared" si="29"/>
        <v>443.15411275415892</v>
      </c>
      <c r="N173" s="7">
        <f t="shared" si="30"/>
        <v>5317.8493530499072</v>
      </c>
      <c r="O173" t="str">
        <f>Medicaid!G165</f>
        <v>No</v>
      </c>
      <c r="P173" t="str">
        <f>Medicaid!K165</f>
        <v>No</v>
      </c>
    </row>
    <row r="174" spans="1:16" ht="15" customHeight="1" x14ac:dyDescent="0.25">
      <c r="A174" s="3">
        <v>78500</v>
      </c>
      <c r="B174" s="3">
        <f t="shared" si="35"/>
        <v>6541.666666666667</v>
      </c>
      <c r="C174" s="3">
        <f t="shared" si="36"/>
        <v>548.84583333333342</v>
      </c>
      <c r="D174" s="64">
        <f t="shared" si="26"/>
        <v>3.627541589648799</v>
      </c>
      <c r="E174" s="50">
        <f t="shared" si="37"/>
        <v>0.06</v>
      </c>
      <c r="F174" s="50">
        <f t="shared" si="31"/>
        <v>8.5000000000000006E-2</v>
      </c>
      <c r="G174" s="69">
        <f t="shared" si="32"/>
        <v>5410</v>
      </c>
      <c r="H174" s="70">
        <f t="shared" si="33"/>
        <v>7195.3</v>
      </c>
      <c r="I174" s="70">
        <f t="shared" si="34"/>
        <v>5391.9666666666672</v>
      </c>
      <c r="J174" s="53">
        <f t="shared" si="27"/>
        <v>496.76461414048066</v>
      </c>
      <c r="K174" s="53">
        <f t="shared" si="28"/>
        <v>933</v>
      </c>
      <c r="L174" s="289">
        <f t="shared" si="29"/>
        <v>436.23538585951934</v>
      </c>
      <c r="N174" s="7">
        <f t="shared" si="30"/>
        <v>5234.8246303142323</v>
      </c>
      <c r="O174" t="str">
        <f>Medicaid!G166</f>
        <v>No</v>
      </c>
      <c r="P174" t="str">
        <f>Medicaid!K166</f>
        <v>No</v>
      </c>
    </row>
    <row r="175" spans="1:16" ht="15" customHeight="1" x14ac:dyDescent="0.25">
      <c r="A175" s="3">
        <v>79000</v>
      </c>
      <c r="B175" s="3">
        <f t="shared" si="35"/>
        <v>6583.333333333333</v>
      </c>
      <c r="C175" s="3">
        <f t="shared" si="36"/>
        <v>552.3416666666667</v>
      </c>
      <c r="D175" s="64">
        <f t="shared" si="26"/>
        <v>3.6506469500924212</v>
      </c>
      <c r="E175" s="50">
        <f t="shared" si="37"/>
        <v>0.06</v>
      </c>
      <c r="F175" s="50">
        <f t="shared" si="31"/>
        <v>8.5000000000000006E-2</v>
      </c>
      <c r="G175" s="69">
        <f t="shared" si="32"/>
        <v>5410</v>
      </c>
      <c r="H175" s="70">
        <f t="shared" si="33"/>
        <v>7195.3</v>
      </c>
      <c r="I175" s="70">
        <f t="shared" si="34"/>
        <v>5391.9666666666672</v>
      </c>
      <c r="J175" s="53">
        <f t="shared" si="27"/>
        <v>503.73147720271095</v>
      </c>
      <c r="K175" s="53">
        <f t="shared" si="28"/>
        <v>933</v>
      </c>
      <c r="L175" s="289">
        <f t="shared" si="29"/>
        <v>429.26852279728905</v>
      </c>
      <c r="N175" s="7">
        <f t="shared" si="30"/>
        <v>5151.2222735674686</v>
      </c>
      <c r="O175" t="str">
        <f>Medicaid!G167</f>
        <v>No</v>
      </c>
      <c r="P175" t="str">
        <f>Medicaid!K167</f>
        <v>No</v>
      </c>
    </row>
    <row r="176" spans="1:16" ht="15" customHeight="1" x14ac:dyDescent="0.25">
      <c r="A176" s="3">
        <v>79500</v>
      </c>
      <c r="B176" s="3">
        <f t="shared" si="35"/>
        <v>6625</v>
      </c>
      <c r="C176" s="3">
        <f t="shared" si="36"/>
        <v>555.83749999999998</v>
      </c>
      <c r="D176" s="64">
        <f t="shared" si="26"/>
        <v>3.6737523105360443</v>
      </c>
      <c r="E176" s="50">
        <f t="shared" si="37"/>
        <v>0.06</v>
      </c>
      <c r="F176" s="50">
        <f t="shared" si="31"/>
        <v>8.5000000000000006E-2</v>
      </c>
      <c r="G176" s="69">
        <f t="shared" si="32"/>
        <v>5410</v>
      </c>
      <c r="H176" s="70">
        <f t="shared" si="33"/>
        <v>7195.3</v>
      </c>
      <c r="I176" s="70">
        <f t="shared" si="34"/>
        <v>5391.9666666666672</v>
      </c>
      <c r="J176" s="53">
        <f t="shared" si="27"/>
        <v>510.74647643253235</v>
      </c>
      <c r="K176" s="53">
        <f t="shared" si="28"/>
        <v>933</v>
      </c>
      <c r="L176" s="289">
        <f t="shared" si="29"/>
        <v>422.25352356746765</v>
      </c>
      <c r="N176" s="7">
        <f t="shared" si="30"/>
        <v>5067.0422828096116</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3.6968576709796674</v>
      </c>
      <c r="E177" s="50">
        <f t="shared" si="37"/>
        <v>0.06</v>
      </c>
      <c r="F177" s="50">
        <f t="shared" si="31"/>
        <v>8.5000000000000006E-2</v>
      </c>
      <c r="G177" s="69">
        <f t="shared" si="32"/>
        <v>5410</v>
      </c>
      <c r="H177" s="70">
        <f t="shared" si="33"/>
        <v>7195.3</v>
      </c>
      <c r="I177" s="70">
        <f t="shared" si="34"/>
        <v>5391.9666666666672</v>
      </c>
      <c r="J177" s="53">
        <f t="shared" si="27"/>
        <v>517.80961182994463</v>
      </c>
      <c r="K177" s="53">
        <f t="shared" si="28"/>
        <v>933</v>
      </c>
      <c r="L177" s="289">
        <f t="shared" si="29"/>
        <v>415.19038817005537</v>
      </c>
      <c r="N177" s="7">
        <f t="shared" si="30"/>
        <v>4982.284658040664</v>
      </c>
      <c r="O177" t="str">
        <f>Medicaid!G169</f>
        <v>No</v>
      </c>
      <c r="P177" t="str">
        <f>Medicaid!K169</f>
        <v>No</v>
      </c>
    </row>
    <row r="178" spans="1:16" ht="15" customHeight="1" x14ac:dyDescent="0.25">
      <c r="A178" s="3">
        <v>80500</v>
      </c>
      <c r="B178" s="3">
        <f t="shared" si="35"/>
        <v>6708.333333333333</v>
      </c>
      <c r="C178" s="3">
        <f t="shared" si="36"/>
        <v>562.82916666666665</v>
      </c>
      <c r="D178" s="64">
        <f t="shared" si="38"/>
        <v>3.7199630314232901</v>
      </c>
      <c r="E178" s="50">
        <f t="shared" si="37"/>
        <v>0.06</v>
      </c>
      <c r="F178" s="50">
        <f t="shared" si="31"/>
        <v>8.5000000000000006E-2</v>
      </c>
      <c r="G178" s="69">
        <f t="shared" si="32"/>
        <v>5410</v>
      </c>
      <c r="H178" s="70">
        <f t="shared" si="33"/>
        <v>7195.3</v>
      </c>
      <c r="I178" s="70">
        <f t="shared" si="34"/>
        <v>5391.9666666666672</v>
      </c>
      <c r="J178" s="53">
        <f t="shared" si="27"/>
        <v>524.92088339494762</v>
      </c>
      <c r="K178" s="53">
        <f t="shared" si="28"/>
        <v>933</v>
      </c>
      <c r="L178" s="289">
        <f t="shared" si="29"/>
        <v>408.07911660505238</v>
      </c>
      <c r="N178" s="7">
        <f t="shared" si="30"/>
        <v>4896.9493992606285</v>
      </c>
      <c r="O178" t="str">
        <f>Medicaid!G170</f>
        <v>No</v>
      </c>
      <c r="P178" t="str">
        <f>Medicaid!K170</f>
        <v>No</v>
      </c>
    </row>
    <row r="179" spans="1:16" ht="15" customHeight="1" x14ac:dyDescent="0.25">
      <c r="A179" s="3">
        <v>81000</v>
      </c>
      <c r="B179" s="3">
        <f t="shared" si="35"/>
        <v>6750</v>
      </c>
      <c r="C179" s="3">
        <f t="shared" si="36"/>
        <v>566.32500000000005</v>
      </c>
      <c r="D179" s="64">
        <f t="shared" si="38"/>
        <v>3.7430683918669132</v>
      </c>
      <c r="E179" s="50">
        <f t="shared" si="37"/>
        <v>0.06</v>
      </c>
      <c r="F179" s="50">
        <f t="shared" si="31"/>
        <v>8.5000000000000006E-2</v>
      </c>
      <c r="G179" s="69">
        <f t="shared" si="32"/>
        <v>5410</v>
      </c>
      <c r="H179" s="70">
        <f t="shared" si="33"/>
        <v>7195.3</v>
      </c>
      <c r="I179" s="70">
        <f t="shared" si="34"/>
        <v>5391.9666666666672</v>
      </c>
      <c r="J179" s="53">
        <f t="shared" si="27"/>
        <v>532.08029112754161</v>
      </c>
      <c r="K179" s="53">
        <f t="shared" si="28"/>
        <v>933</v>
      </c>
      <c r="L179" s="289">
        <f t="shared" si="29"/>
        <v>400.91970887245839</v>
      </c>
      <c r="N179" s="7">
        <f t="shared" si="30"/>
        <v>4811.0365064695006</v>
      </c>
      <c r="O179" t="str">
        <f>Medicaid!G171</f>
        <v>No</v>
      </c>
      <c r="P179" t="str">
        <f>Medicaid!K171</f>
        <v>No</v>
      </c>
    </row>
    <row r="180" spans="1:16" ht="15" customHeight="1" x14ac:dyDescent="0.25">
      <c r="A180" s="3">
        <v>81500</v>
      </c>
      <c r="B180" s="3">
        <f t="shared" si="35"/>
        <v>6791.666666666667</v>
      </c>
      <c r="C180" s="3">
        <f t="shared" si="36"/>
        <v>569.82083333333333</v>
      </c>
      <c r="D180" s="64">
        <f t="shared" si="38"/>
        <v>3.7661737523105363</v>
      </c>
      <c r="E180" s="50">
        <f t="shared" si="37"/>
        <v>0.06</v>
      </c>
      <c r="F180" s="50">
        <f t="shared" si="31"/>
        <v>8.5000000000000006E-2</v>
      </c>
      <c r="G180" s="69">
        <f t="shared" si="32"/>
        <v>5410</v>
      </c>
      <c r="H180" s="70">
        <f t="shared" si="33"/>
        <v>7195.3</v>
      </c>
      <c r="I180" s="70">
        <f t="shared" si="34"/>
        <v>5391.9666666666672</v>
      </c>
      <c r="J180" s="53">
        <f t="shared" si="27"/>
        <v>539.28783502772649</v>
      </c>
      <c r="K180" s="53">
        <f t="shared" si="28"/>
        <v>933</v>
      </c>
      <c r="L180" s="289">
        <f t="shared" si="29"/>
        <v>393.71216497227351</v>
      </c>
      <c r="N180" s="7">
        <f t="shared" si="30"/>
        <v>4724.5459796672822</v>
      </c>
      <c r="O180" t="str">
        <f>Medicaid!G172</f>
        <v>No</v>
      </c>
      <c r="P180" t="str">
        <f>Medicaid!K172</f>
        <v>No</v>
      </c>
    </row>
    <row r="181" spans="1:16" ht="15" customHeight="1" x14ac:dyDescent="0.25">
      <c r="A181" s="3">
        <v>82000</v>
      </c>
      <c r="B181" s="3">
        <f t="shared" si="35"/>
        <v>6833.333333333333</v>
      </c>
      <c r="C181" s="3">
        <f t="shared" si="36"/>
        <v>573.31666666666661</v>
      </c>
      <c r="D181" s="64">
        <f t="shared" si="38"/>
        <v>3.789279112754159</v>
      </c>
      <c r="E181" s="50">
        <f t="shared" si="37"/>
        <v>0.06</v>
      </c>
      <c r="F181" s="50">
        <f t="shared" si="31"/>
        <v>8.5000000000000006E-2</v>
      </c>
      <c r="G181" s="69">
        <f t="shared" si="32"/>
        <v>5410</v>
      </c>
      <c r="H181" s="70">
        <f t="shared" si="33"/>
        <v>7195.3</v>
      </c>
      <c r="I181" s="70">
        <f t="shared" si="34"/>
        <v>5391.9666666666672</v>
      </c>
      <c r="J181" s="53">
        <f t="shared" si="27"/>
        <v>546.54351509550213</v>
      </c>
      <c r="K181" s="53">
        <f t="shared" si="28"/>
        <v>933</v>
      </c>
      <c r="L181" s="289">
        <f t="shared" si="29"/>
        <v>386.45648490449787</v>
      </c>
      <c r="N181" s="7">
        <f t="shared" si="30"/>
        <v>4637.4778188539749</v>
      </c>
      <c r="O181" t="str">
        <f>Medicaid!G173</f>
        <v>No</v>
      </c>
      <c r="P181" t="str">
        <f>Medicaid!K173</f>
        <v>No</v>
      </c>
    </row>
    <row r="182" spans="1:16" ht="15" customHeight="1" x14ac:dyDescent="0.25">
      <c r="A182" s="3">
        <v>82500</v>
      </c>
      <c r="B182" s="3">
        <f t="shared" si="35"/>
        <v>6875</v>
      </c>
      <c r="C182" s="3">
        <f t="shared" si="36"/>
        <v>576.8125</v>
      </c>
      <c r="D182" s="64">
        <f t="shared" si="38"/>
        <v>3.8123844731977821</v>
      </c>
      <c r="E182" s="50">
        <f t="shared" si="37"/>
        <v>0.06</v>
      </c>
      <c r="F182" s="50">
        <f t="shared" si="31"/>
        <v>8.5000000000000006E-2</v>
      </c>
      <c r="G182" s="69">
        <f t="shared" si="32"/>
        <v>5410</v>
      </c>
      <c r="H182" s="70">
        <f t="shared" si="33"/>
        <v>7195.3</v>
      </c>
      <c r="I182" s="70">
        <f t="shared" si="34"/>
        <v>5391.9666666666672</v>
      </c>
      <c r="J182" s="53">
        <f t="shared" si="27"/>
        <v>553.84733133086877</v>
      </c>
      <c r="K182" s="53">
        <f t="shared" si="28"/>
        <v>933</v>
      </c>
      <c r="L182" s="289">
        <f t="shared" si="29"/>
        <v>379.15266866913123</v>
      </c>
      <c r="N182" s="7">
        <f t="shared" si="30"/>
        <v>4549.8320240295743</v>
      </c>
      <c r="O182" t="str">
        <f>Medicaid!G174</f>
        <v>No</v>
      </c>
      <c r="P182" t="str">
        <f>Medicaid!K174</f>
        <v>No</v>
      </c>
    </row>
    <row r="183" spans="1:16" ht="15" customHeight="1" x14ac:dyDescent="0.25">
      <c r="A183" s="3">
        <v>83000</v>
      </c>
      <c r="B183" s="3">
        <f t="shared" si="35"/>
        <v>6916.666666666667</v>
      </c>
      <c r="C183" s="3">
        <f t="shared" si="36"/>
        <v>580.30833333333339</v>
      </c>
      <c r="D183" s="64">
        <f t="shared" si="38"/>
        <v>3.8354898336414052</v>
      </c>
      <c r="E183" s="50">
        <f t="shared" si="37"/>
        <v>0.06</v>
      </c>
      <c r="F183" s="50">
        <f t="shared" si="31"/>
        <v>8.5000000000000006E-2</v>
      </c>
      <c r="G183" s="69">
        <f t="shared" si="32"/>
        <v>5410</v>
      </c>
      <c r="H183" s="70">
        <f t="shared" si="33"/>
        <v>7195.3</v>
      </c>
      <c r="I183" s="70">
        <f t="shared" si="34"/>
        <v>5391.9666666666672</v>
      </c>
      <c r="J183" s="53">
        <f t="shared" si="27"/>
        <v>561.19928373382629</v>
      </c>
      <c r="K183" s="53">
        <f t="shared" si="28"/>
        <v>933</v>
      </c>
      <c r="L183" s="289">
        <f t="shared" si="29"/>
        <v>371.80071626617371</v>
      </c>
      <c r="N183" s="7">
        <f t="shared" si="30"/>
        <v>4461.608595194084</v>
      </c>
      <c r="O183" t="str">
        <f>Medicaid!G175</f>
        <v>No</v>
      </c>
      <c r="P183" t="str">
        <f>Medicaid!K175</f>
        <v>No</v>
      </c>
    </row>
    <row r="184" spans="1:16" ht="15" customHeight="1" x14ac:dyDescent="0.25">
      <c r="A184" s="3">
        <v>83500</v>
      </c>
      <c r="B184" s="3">
        <f t="shared" si="35"/>
        <v>6958.333333333333</v>
      </c>
      <c r="C184" s="3">
        <f t="shared" si="36"/>
        <v>583.80416666666667</v>
      </c>
      <c r="D184" s="64">
        <f t="shared" si="38"/>
        <v>3.8585951940850278</v>
      </c>
      <c r="E184" s="50">
        <f t="shared" si="37"/>
        <v>0.06</v>
      </c>
      <c r="F184" s="50">
        <f t="shared" si="31"/>
        <v>8.5000000000000006E-2</v>
      </c>
      <c r="G184" s="69">
        <f t="shared" si="32"/>
        <v>5410</v>
      </c>
      <c r="H184" s="70">
        <f t="shared" si="33"/>
        <v>7195.3</v>
      </c>
      <c r="I184" s="70">
        <f t="shared" si="34"/>
        <v>5391.9666666666672</v>
      </c>
      <c r="J184" s="53">
        <f t="shared" si="27"/>
        <v>568.59937230437458</v>
      </c>
      <c r="K184" s="53">
        <f t="shared" si="28"/>
        <v>933</v>
      </c>
      <c r="L184" s="289">
        <f t="shared" si="29"/>
        <v>364.40062769562542</v>
      </c>
      <c r="N184" s="7">
        <f t="shared" si="30"/>
        <v>4372.807532347505</v>
      </c>
      <c r="O184" t="str">
        <f>Medicaid!G176</f>
        <v>No</v>
      </c>
      <c r="P184" t="str">
        <f>Medicaid!K176</f>
        <v>No</v>
      </c>
    </row>
    <row r="185" spans="1:16" ht="15" customHeight="1" x14ac:dyDescent="0.25">
      <c r="A185" s="3">
        <v>84000</v>
      </c>
      <c r="B185" s="3">
        <f t="shared" si="35"/>
        <v>7000</v>
      </c>
      <c r="C185" s="3">
        <f t="shared" si="36"/>
        <v>587.30000000000007</v>
      </c>
      <c r="D185" s="64">
        <f t="shared" si="38"/>
        <v>3.8817005545286509</v>
      </c>
      <c r="E185" s="50">
        <f t="shared" si="37"/>
        <v>0.06</v>
      </c>
      <c r="F185" s="50">
        <f t="shared" si="31"/>
        <v>8.5000000000000006E-2</v>
      </c>
      <c r="G185" s="69">
        <f t="shared" si="32"/>
        <v>5410</v>
      </c>
      <c r="H185" s="70">
        <f t="shared" si="33"/>
        <v>7195.3</v>
      </c>
      <c r="I185" s="70">
        <f t="shared" si="34"/>
        <v>5391.9666666666672</v>
      </c>
      <c r="J185" s="53">
        <f t="shared" si="27"/>
        <v>576.04759704251387</v>
      </c>
      <c r="K185" s="53">
        <f t="shared" si="28"/>
        <v>933</v>
      </c>
      <c r="L185" s="289">
        <f t="shared" si="29"/>
        <v>356.95240295748613</v>
      </c>
      <c r="N185" s="7">
        <f t="shared" si="30"/>
        <v>4283.4288354898335</v>
      </c>
      <c r="O185" t="str">
        <f>Medicaid!G177</f>
        <v>No</v>
      </c>
      <c r="P185" t="str">
        <f>Medicaid!K177</f>
        <v>No</v>
      </c>
    </row>
    <row r="186" spans="1:16" ht="15" customHeight="1" x14ac:dyDescent="0.25">
      <c r="A186" s="3">
        <v>84500</v>
      </c>
      <c r="B186" s="3">
        <f t="shared" si="35"/>
        <v>7041.666666666667</v>
      </c>
      <c r="C186" s="3">
        <f t="shared" si="36"/>
        <v>590.79583333333335</v>
      </c>
      <c r="D186" s="64">
        <f t="shared" si="38"/>
        <v>3.904805914972274</v>
      </c>
      <c r="E186" s="50">
        <f t="shared" si="37"/>
        <v>0.06</v>
      </c>
      <c r="F186" s="50">
        <f t="shared" si="31"/>
        <v>8.5000000000000006E-2</v>
      </c>
      <c r="G186" s="69">
        <f t="shared" si="32"/>
        <v>5410</v>
      </c>
      <c r="H186" s="70">
        <f t="shared" si="33"/>
        <v>7195.3</v>
      </c>
      <c r="I186" s="70">
        <f t="shared" si="34"/>
        <v>5391.9666666666672</v>
      </c>
      <c r="J186" s="53">
        <f t="shared" si="27"/>
        <v>583.54395794824404</v>
      </c>
      <c r="K186" s="53">
        <f t="shared" si="28"/>
        <v>933</v>
      </c>
      <c r="L186" s="289">
        <f t="shared" si="29"/>
        <v>349.45604205175596</v>
      </c>
      <c r="N186" s="7">
        <f t="shared" si="30"/>
        <v>4193.4725046210715</v>
      </c>
      <c r="O186" t="str">
        <f>Medicaid!G178</f>
        <v>No</v>
      </c>
      <c r="P186" t="str">
        <f>Medicaid!K178</f>
        <v>No</v>
      </c>
    </row>
    <row r="187" spans="1:16" ht="15" customHeight="1" x14ac:dyDescent="0.25">
      <c r="A187" s="3">
        <v>85000</v>
      </c>
      <c r="B187" s="3">
        <f t="shared" si="35"/>
        <v>7083.333333333333</v>
      </c>
      <c r="C187" s="3">
        <f t="shared" si="36"/>
        <v>594.29166666666663</v>
      </c>
      <c r="D187" s="64">
        <f t="shared" si="38"/>
        <v>3.9279112754158967</v>
      </c>
      <c r="E187" s="50">
        <f t="shared" si="37"/>
        <v>0.06</v>
      </c>
      <c r="F187" s="50">
        <f t="shared" si="31"/>
        <v>8.5000000000000006E-2</v>
      </c>
      <c r="G187" s="69">
        <f t="shared" si="32"/>
        <v>5410</v>
      </c>
      <c r="H187" s="70">
        <f t="shared" si="33"/>
        <v>7195.3</v>
      </c>
      <c r="I187" s="70">
        <f t="shared" si="34"/>
        <v>5391.9666666666672</v>
      </c>
      <c r="J187" s="53">
        <f t="shared" si="27"/>
        <v>591.08845502156498</v>
      </c>
      <c r="K187" s="53">
        <f t="shared" si="28"/>
        <v>933</v>
      </c>
      <c r="L187" s="289">
        <f t="shared" si="29"/>
        <v>341.91154497843502</v>
      </c>
      <c r="N187" s="7">
        <f t="shared" si="30"/>
        <v>4102.9385397412207</v>
      </c>
      <c r="O187" t="str">
        <f>Medicaid!G179</f>
        <v>No</v>
      </c>
      <c r="P187" t="str">
        <f>Medicaid!K179</f>
        <v>No</v>
      </c>
    </row>
    <row r="188" spans="1:16" ht="15" customHeight="1" x14ac:dyDescent="0.25">
      <c r="A188" s="3">
        <v>85500</v>
      </c>
      <c r="B188" s="3">
        <f t="shared" si="35"/>
        <v>7125</v>
      </c>
      <c r="C188" s="3">
        <f t="shared" si="36"/>
        <v>597.78750000000002</v>
      </c>
      <c r="D188" s="64">
        <f t="shared" si="38"/>
        <v>3.9510166358595198</v>
      </c>
      <c r="E188" s="50">
        <f t="shared" si="37"/>
        <v>0.06</v>
      </c>
      <c r="F188" s="50">
        <f t="shared" si="31"/>
        <v>8.5000000000000006E-2</v>
      </c>
      <c r="G188" s="69">
        <f t="shared" si="32"/>
        <v>5410</v>
      </c>
      <c r="H188" s="70">
        <f t="shared" si="33"/>
        <v>7195.3</v>
      </c>
      <c r="I188" s="70">
        <f t="shared" si="34"/>
        <v>5391.9666666666672</v>
      </c>
      <c r="J188" s="53">
        <f t="shared" si="27"/>
        <v>598.68108826247692</v>
      </c>
      <c r="K188" s="53">
        <f t="shared" si="28"/>
        <v>933</v>
      </c>
      <c r="L188" s="289">
        <f t="shared" si="29"/>
        <v>334.31891173752308</v>
      </c>
      <c r="N188" s="7">
        <f t="shared" si="30"/>
        <v>4011.826940850277</v>
      </c>
      <c r="O188" t="str">
        <f>Medicaid!G180</f>
        <v>No</v>
      </c>
      <c r="P188" t="str">
        <f>Medicaid!K180</f>
        <v>No</v>
      </c>
    </row>
    <row r="189" spans="1:16" ht="15" customHeight="1" x14ac:dyDescent="0.25">
      <c r="A189" s="3">
        <v>86000</v>
      </c>
      <c r="B189" s="3">
        <f t="shared" si="35"/>
        <v>7166.666666666667</v>
      </c>
      <c r="C189" s="3">
        <f t="shared" si="36"/>
        <v>601.28333333333342</v>
      </c>
      <c r="D189" s="64">
        <f t="shared" si="38"/>
        <v>3.9741219963031424</v>
      </c>
      <c r="E189" s="50">
        <f t="shared" si="37"/>
        <v>0.06</v>
      </c>
      <c r="F189" s="50">
        <f t="shared" si="31"/>
        <v>8.5000000000000006E-2</v>
      </c>
      <c r="G189" s="69">
        <f t="shared" si="32"/>
        <v>5410</v>
      </c>
      <c r="H189" s="70">
        <f t="shared" si="33"/>
        <v>7195.3</v>
      </c>
      <c r="I189" s="70">
        <f t="shared" si="34"/>
        <v>5391.9666666666672</v>
      </c>
      <c r="J189" s="53">
        <f t="shared" si="27"/>
        <v>606.32185767097974</v>
      </c>
      <c r="K189" s="53">
        <f t="shared" si="28"/>
        <v>933</v>
      </c>
      <c r="L189" s="289">
        <f t="shared" si="29"/>
        <v>326.67814232902026</v>
      </c>
      <c r="N189" s="7">
        <f t="shared" si="30"/>
        <v>3920.1377079482431</v>
      </c>
      <c r="O189" t="str">
        <f>Medicaid!G181</f>
        <v>No</v>
      </c>
      <c r="P189" t="str">
        <f>Medicaid!K181</f>
        <v>No</v>
      </c>
    </row>
    <row r="190" spans="1:16" ht="15" customHeight="1" x14ac:dyDescent="0.25">
      <c r="A190" s="3">
        <v>86500</v>
      </c>
      <c r="B190" s="3">
        <f t="shared" si="35"/>
        <v>7208.333333333333</v>
      </c>
      <c r="C190" s="3">
        <f t="shared" si="36"/>
        <v>604.7791666666667</v>
      </c>
      <c r="D190" s="64">
        <f t="shared" si="38"/>
        <v>3.9972273567467651</v>
      </c>
      <c r="E190" s="50">
        <f t="shared" si="37"/>
        <v>8.5000000000000006E-2</v>
      </c>
      <c r="F190" s="50">
        <f t="shared" si="31"/>
        <v>8.5000000000000006E-2</v>
      </c>
      <c r="G190" s="69">
        <f t="shared" si="32"/>
        <v>7213.333333333333</v>
      </c>
      <c r="H190" s="70">
        <f t="shared" si="33"/>
        <v>41666.666666666664</v>
      </c>
      <c r="I190" s="70">
        <f t="shared" si="34"/>
        <v>7195.3</v>
      </c>
      <c r="J190" s="53">
        <f t="shared" si="27"/>
        <v>612.70833333333337</v>
      </c>
      <c r="K190" s="53">
        <f t="shared" si="28"/>
        <v>933</v>
      </c>
      <c r="L190" s="289">
        <f t="shared" si="29"/>
        <v>320.29166666666663</v>
      </c>
      <c r="N190" s="7">
        <f t="shared" si="30"/>
        <v>3843.4999999999995</v>
      </c>
      <c r="O190" t="str">
        <f>Medicaid!G182</f>
        <v>No</v>
      </c>
      <c r="P190" t="str">
        <f>Medicaid!K182</f>
        <v>No</v>
      </c>
    </row>
    <row r="191" spans="1:16" ht="15" customHeight="1" x14ac:dyDescent="0.25">
      <c r="A191" s="3">
        <v>87000</v>
      </c>
      <c r="B191" s="3">
        <f t="shared" si="35"/>
        <v>7250</v>
      </c>
      <c r="C191" s="3">
        <f t="shared" si="36"/>
        <v>608.27499999999998</v>
      </c>
      <c r="D191" s="64">
        <f t="shared" si="38"/>
        <v>4.0203327171903886</v>
      </c>
      <c r="E191" s="50">
        <f t="shared" si="37"/>
        <v>8.5000000000000006E-2</v>
      </c>
      <c r="F191" s="50">
        <f t="shared" si="31"/>
        <v>8.5000000000000006E-2</v>
      </c>
      <c r="G191" s="69">
        <f t="shared" si="32"/>
        <v>7213.333333333333</v>
      </c>
      <c r="H191" s="70">
        <f t="shared" si="33"/>
        <v>41666.666666666664</v>
      </c>
      <c r="I191" s="70">
        <f t="shared" si="34"/>
        <v>7195.3</v>
      </c>
      <c r="J191" s="53">
        <f t="shared" si="27"/>
        <v>616.25</v>
      </c>
      <c r="K191" s="53">
        <f t="shared" si="28"/>
        <v>933</v>
      </c>
      <c r="L191" s="289">
        <f t="shared" si="29"/>
        <v>316.75</v>
      </c>
      <c r="N191" s="7">
        <f t="shared" si="30"/>
        <v>3801</v>
      </c>
      <c r="O191" t="str">
        <f>Medicaid!G183</f>
        <v>No</v>
      </c>
      <c r="P191" t="str">
        <f>Medicaid!K183</f>
        <v>No</v>
      </c>
    </row>
    <row r="192" spans="1:16" ht="15" customHeight="1" x14ac:dyDescent="0.25">
      <c r="A192" s="3">
        <v>87500</v>
      </c>
      <c r="B192" s="3">
        <f t="shared" si="35"/>
        <v>7291.666666666667</v>
      </c>
      <c r="C192" s="3">
        <f t="shared" si="36"/>
        <v>611.77083333333337</v>
      </c>
      <c r="D192" s="64">
        <f t="shared" si="38"/>
        <v>4.0434380776340113</v>
      </c>
      <c r="E192" s="50">
        <f t="shared" si="37"/>
        <v>8.5000000000000006E-2</v>
      </c>
      <c r="F192" s="50">
        <f t="shared" si="31"/>
        <v>8.5000000000000006E-2</v>
      </c>
      <c r="G192" s="69">
        <f t="shared" si="32"/>
        <v>7213.333333333333</v>
      </c>
      <c r="H192" s="70">
        <f t="shared" si="33"/>
        <v>41666.666666666664</v>
      </c>
      <c r="I192" s="70">
        <f t="shared" si="34"/>
        <v>7195.3</v>
      </c>
      <c r="J192" s="53">
        <f t="shared" si="27"/>
        <v>619.79166666666674</v>
      </c>
      <c r="K192" s="53">
        <f t="shared" si="28"/>
        <v>933</v>
      </c>
      <c r="L192" s="289">
        <f t="shared" si="29"/>
        <v>313.20833333333326</v>
      </c>
      <c r="N192" s="7">
        <f t="shared" si="30"/>
        <v>3758.4999999999991</v>
      </c>
      <c r="O192" t="str">
        <f>Medicaid!G184</f>
        <v>No</v>
      </c>
      <c r="P192" t="str">
        <f>Medicaid!K184</f>
        <v>No</v>
      </c>
    </row>
    <row r="193" spans="1:16" ht="15" customHeight="1" x14ac:dyDescent="0.25">
      <c r="A193" s="3">
        <v>88000</v>
      </c>
      <c r="B193" s="3">
        <f t="shared" si="35"/>
        <v>7333.333333333333</v>
      </c>
      <c r="C193" s="3">
        <f t="shared" si="36"/>
        <v>615.26666666666665</v>
      </c>
      <c r="D193" s="64">
        <f t="shared" si="38"/>
        <v>4.066543438077634</v>
      </c>
      <c r="E193" s="50">
        <f t="shared" si="37"/>
        <v>8.5000000000000006E-2</v>
      </c>
      <c r="F193" s="50">
        <f t="shared" si="31"/>
        <v>8.5000000000000006E-2</v>
      </c>
      <c r="G193" s="69">
        <f t="shared" si="32"/>
        <v>7213.333333333333</v>
      </c>
      <c r="H193" s="70">
        <f t="shared" si="33"/>
        <v>41666.666666666664</v>
      </c>
      <c r="I193" s="70">
        <f t="shared" si="34"/>
        <v>7195.3</v>
      </c>
      <c r="J193" s="53">
        <f t="shared" si="27"/>
        <v>623.33333333333337</v>
      </c>
      <c r="K193" s="53">
        <f t="shared" si="28"/>
        <v>933</v>
      </c>
      <c r="L193" s="289">
        <f t="shared" si="29"/>
        <v>309.66666666666663</v>
      </c>
      <c r="N193" s="7">
        <f t="shared" si="30"/>
        <v>3715.9999999999995</v>
      </c>
      <c r="O193" t="str">
        <f>Medicaid!G185</f>
        <v>No</v>
      </c>
      <c r="P193" t="str">
        <f>Medicaid!K185</f>
        <v>No</v>
      </c>
    </row>
    <row r="194" spans="1:16" ht="15" customHeight="1" x14ac:dyDescent="0.25">
      <c r="A194" s="3">
        <v>88500</v>
      </c>
      <c r="B194" s="3">
        <f t="shared" si="35"/>
        <v>7375</v>
      </c>
      <c r="C194" s="3">
        <f t="shared" si="36"/>
        <v>618.76250000000005</v>
      </c>
      <c r="D194" s="64">
        <f t="shared" si="38"/>
        <v>4.0896487985212575</v>
      </c>
      <c r="E194" s="50">
        <f t="shared" si="37"/>
        <v>8.5000000000000006E-2</v>
      </c>
      <c r="F194" s="50">
        <f t="shared" si="31"/>
        <v>8.5000000000000006E-2</v>
      </c>
      <c r="G194" s="69">
        <f t="shared" si="32"/>
        <v>7213.333333333333</v>
      </c>
      <c r="H194" s="70">
        <f t="shared" si="33"/>
        <v>41666.666666666664</v>
      </c>
      <c r="I194" s="70">
        <f t="shared" si="34"/>
        <v>7195.3</v>
      </c>
      <c r="J194" s="53">
        <f t="shared" si="27"/>
        <v>626.875</v>
      </c>
      <c r="K194" s="53">
        <f t="shared" si="28"/>
        <v>933</v>
      </c>
      <c r="L194" s="289">
        <f t="shared" si="29"/>
        <v>306.125</v>
      </c>
      <c r="N194" s="7">
        <f t="shared" si="30"/>
        <v>3673.5</v>
      </c>
      <c r="O194" t="str">
        <f>Medicaid!G186</f>
        <v>No</v>
      </c>
      <c r="P194" t="str">
        <f>Medicaid!K186</f>
        <v>No</v>
      </c>
    </row>
    <row r="195" spans="1:16" ht="15" customHeight="1" x14ac:dyDescent="0.25">
      <c r="A195" s="3">
        <v>89000</v>
      </c>
      <c r="B195" s="3">
        <f t="shared" si="35"/>
        <v>7416.666666666667</v>
      </c>
      <c r="C195" s="3">
        <f t="shared" si="36"/>
        <v>622.25833333333333</v>
      </c>
      <c r="D195" s="64">
        <f t="shared" si="38"/>
        <v>4.1127541589648802</v>
      </c>
      <c r="E195" s="50">
        <f t="shared" si="37"/>
        <v>8.5000000000000006E-2</v>
      </c>
      <c r="F195" s="50">
        <f t="shared" si="31"/>
        <v>8.5000000000000006E-2</v>
      </c>
      <c r="G195" s="69">
        <f t="shared" si="32"/>
        <v>7213.333333333333</v>
      </c>
      <c r="H195" s="70">
        <f t="shared" si="33"/>
        <v>41666.666666666664</v>
      </c>
      <c r="I195" s="70">
        <f t="shared" si="34"/>
        <v>7195.3</v>
      </c>
      <c r="J195" s="53">
        <f t="shared" si="27"/>
        <v>630.41666666666674</v>
      </c>
      <c r="K195" s="53">
        <f t="shared" si="28"/>
        <v>933</v>
      </c>
      <c r="L195" s="289">
        <f t="shared" si="29"/>
        <v>302.58333333333326</v>
      </c>
      <c r="N195" s="7">
        <f t="shared" si="30"/>
        <v>3630.9999999999991</v>
      </c>
      <c r="O195" t="str">
        <f>Medicaid!G187</f>
        <v>No</v>
      </c>
      <c r="P195" t="str">
        <f>Medicaid!K187</f>
        <v>No</v>
      </c>
    </row>
    <row r="196" spans="1:16" ht="15" customHeight="1" x14ac:dyDescent="0.25">
      <c r="A196" s="3">
        <v>89500</v>
      </c>
      <c r="B196" s="3">
        <f t="shared" si="35"/>
        <v>7458.333333333333</v>
      </c>
      <c r="C196" s="3">
        <f t="shared" si="36"/>
        <v>625.75416666666661</v>
      </c>
      <c r="D196" s="64">
        <f t="shared" si="38"/>
        <v>4.1358595194085028</v>
      </c>
      <c r="E196" s="50">
        <f t="shared" si="37"/>
        <v>8.5000000000000006E-2</v>
      </c>
      <c r="F196" s="50">
        <f t="shared" si="31"/>
        <v>8.5000000000000006E-2</v>
      </c>
      <c r="G196" s="69">
        <f t="shared" si="32"/>
        <v>7213.333333333333</v>
      </c>
      <c r="H196" s="70">
        <f t="shared" si="33"/>
        <v>41666.666666666664</v>
      </c>
      <c r="I196" s="70">
        <f t="shared" si="34"/>
        <v>7195.3</v>
      </c>
      <c r="J196" s="53">
        <f t="shared" si="27"/>
        <v>633.95833333333337</v>
      </c>
      <c r="K196" s="53">
        <f t="shared" si="28"/>
        <v>933</v>
      </c>
      <c r="L196" s="289">
        <f t="shared" si="29"/>
        <v>299.04166666666663</v>
      </c>
      <c r="N196" s="7">
        <f t="shared" si="30"/>
        <v>3588.4999999999995</v>
      </c>
      <c r="O196" t="str">
        <f>Medicaid!G188</f>
        <v>No</v>
      </c>
      <c r="P196" t="str">
        <f>Medicaid!K188</f>
        <v>No</v>
      </c>
    </row>
    <row r="197" spans="1:16" ht="15" customHeight="1" x14ac:dyDescent="0.25">
      <c r="A197" s="3">
        <v>90000</v>
      </c>
      <c r="B197" s="3">
        <f t="shared" si="35"/>
        <v>7500</v>
      </c>
      <c r="C197" s="3">
        <f t="shared" si="36"/>
        <v>629.25</v>
      </c>
      <c r="D197" s="64">
        <f t="shared" si="38"/>
        <v>4.1589648798521255</v>
      </c>
      <c r="E197" s="50">
        <f t="shared" si="37"/>
        <v>8.5000000000000006E-2</v>
      </c>
      <c r="F197" s="50">
        <f t="shared" si="31"/>
        <v>8.5000000000000006E-2</v>
      </c>
      <c r="G197" s="69">
        <f t="shared" si="32"/>
        <v>7213.333333333333</v>
      </c>
      <c r="H197" s="70">
        <f t="shared" si="33"/>
        <v>41666.666666666664</v>
      </c>
      <c r="I197" s="70">
        <f t="shared" si="34"/>
        <v>7195.3</v>
      </c>
      <c r="J197" s="53">
        <f t="shared" si="27"/>
        <v>637.5</v>
      </c>
      <c r="K197" s="53">
        <f t="shared" si="28"/>
        <v>933</v>
      </c>
      <c r="L197" s="289">
        <f t="shared" si="29"/>
        <v>295.5</v>
      </c>
      <c r="N197" s="7">
        <f t="shared" si="30"/>
        <v>3546</v>
      </c>
      <c r="O197" t="str">
        <f>Medicaid!G189</f>
        <v>No</v>
      </c>
      <c r="P197" t="str">
        <f>Medicaid!K189</f>
        <v>No</v>
      </c>
    </row>
    <row r="198" spans="1:16" ht="15" customHeight="1" x14ac:dyDescent="0.25">
      <c r="A198" s="3">
        <v>90500</v>
      </c>
      <c r="B198" s="3">
        <f t="shared" si="35"/>
        <v>7541.666666666667</v>
      </c>
      <c r="C198" s="3">
        <f t="shared" si="36"/>
        <v>632.74583333333339</v>
      </c>
      <c r="D198" s="64">
        <f t="shared" si="38"/>
        <v>4.182070240295749</v>
      </c>
      <c r="E198" s="50">
        <f t="shared" si="37"/>
        <v>8.5000000000000006E-2</v>
      </c>
      <c r="F198" s="50">
        <f t="shared" si="31"/>
        <v>8.5000000000000006E-2</v>
      </c>
      <c r="G198" s="69">
        <f t="shared" si="32"/>
        <v>7213.333333333333</v>
      </c>
      <c r="H198" s="70">
        <f t="shared" si="33"/>
        <v>41666.666666666664</v>
      </c>
      <c r="I198" s="70">
        <f t="shared" si="34"/>
        <v>7195.3</v>
      </c>
      <c r="J198" s="53">
        <f t="shared" si="27"/>
        <v>641.04166666666674</v>
      </c>
      <c r="K198" s="53">
        <f t="shared" si="28"/>
        <v>933</v>
      </c>
      <c r="L198" s="289">
        <f t="shared" si="29"/>
        <v>291.95833333333326</v>
      </c>
      <c r="N198" s="7">
        <f t="shared" si="30"/>
        <v>3503.4999999999991</v>
      </c>
      <c r="O198" t="str">
        <f>Medicaid!G190</f>
        <v>No</v>
      </c>
      <c r="P198" t="str">
        <f>Medicaid!K190</f>
        <v>No</v>
      </c>
    </row>
    <row r="199" spans="1:16" ht="15" customHeight="1" x14ac:dyDescent="0.25">
      <c r="A199" s="3">
        <v>91000</v>
      </c>
      <c r="B199" s="3">
        <f t="shared" si="35"/>
        <v>7583.333333333333</v>
      </c>
      <c r="C199" s="3">
        <f t="shared" si="36"/>
        <v>636.24166666666667</v>
      </c>
      <c r="D199" s="64">
        <f t="shared" si="38"/>
        <v>4.2051756007393717</v>
      </c>
      <c r="E199" s="50">
        <f t="shared" si="37"/>
        <v>8.5000000000000006E-2</v>
      </c>
      <c r="F199" s="50">
        <f t="shared" si="31"/>
        <v>8.5000000000000006E-2</v>
      </c>
      <c r="G199" s="69">
        <f t="shared" si="32"/>
        <v>7213.333333333333</v>
      </c>
      <c r="H199" s="70">
        <f t="shared" si="33"/>
        <v>41666.666666666664</v>
      </c>
      <c r="I199" s="70">
        <f t="shared" si="34"/>
        <v>7195.3</v>
      </c>
      <c r="J199" s="53">
        <f t="shared" si="27"/>
        <v>644.58333333333337</v>
      </c>
      <c r="K199" s="53">
        <f t="shared" si="28"/>
        <v>933</v>
      </c>
      <c r="L199" s="289">
        <f t="shared" si="29"/>
        <v>288.41666666666663</v>
      </c>
      <c r="N199" s="7">
        <f t="shared" si="30"/>
        <v>3460.9999999999995</v>
      </c>
      <c r="O199" t="str">
        <f>Medicaid!G191</f>
        <v>No</v>
      </c>
      <c r="P199" t="str">
        <f>Medicaid!K191</f>
        <v>No</v>
      </c>
    </row>
    <row r="200" spans="1:16" ht="15" customHeight="1" x14ac:dyDescent="0.25">
      <c r="A200" s="3">
        <v>91500</v>
      </c>
      <c r="B200" s="3">
        <f t="shared" si="35"/>
        <v>7625</v>
      </c>
      <c r="C200" s="3">
        <f t="shared" si="36"/>
        <v>639.73750000000007</v>
      </c>
      <c r="D200" s="64">
        <f t="shared" si="38"/>
        <v>4.2282809611829943</v>
      </c>
      <c r="E200" s="50">
        <f t="shared" si="37"/>
        <v>8.5000000000000006E-2</v>
      </c>
      <c r="F200" s="50">
        <f t="shared" si="31"/>
        <v>8.5000000000000006E-2</v>
      </c>
      <c r="G200" s="69">
        <f t="shared" si="32"/>
        <v>7213.333333333333</v>
      </c>
      <c r="H200" s="70">
        <f t="shared" si="33"/>
        <v>41666.666666666664</v>
      </c>
      <c r="I200" s="70">
        <f t="shared" si="34"/>
        <v>7195.3</v>
      </c>
      <c r="J200" s="53">
        <f t="shared" si="27"/>
        <v>648.125</v>
      </c>
      <c r="K200" s="53">
        <f t="shared" si="28"/>
        <v>933</v>
      </c>
      <c r="L200" s="289">
        <f t="shared" si="29"/>
        <v>284.875</v>
      </c>
      <c r="N200" s="7">
        <f t="shared" si="30"/>
        <v>3418.5</v>
      </c>
      <c r="O200" t="str">
        <f>Medicaid!G192</f>
        <v>No</v>
      </c>
      <c r="P200" t="str">
        <f>Medicaid!K192</f>
        <v>No</v>
      </c>
    </row>
    <row r="201" spans="1:16" ht="15" customHeight="1" x14ac:dyDescent="0.25">
      <c r="A201" s="3">
        <v>92000</v>
      </c>
      <c r="B201" s="3">
        <f t="shared" si="35"/>
        <v>7666.666666666667</v>
      </c>
      <c r="C201" s="3">
        <f t="shared" si="36"/>
        <v>643.23333333333335</v>
      </c>
      <c r="D201" s="64">
        <f t="shared" si="38"/>
        <v>4.2513863216266179</v>
      </c>
      <c r="E201" s="50">
        <f t="shared" si="37"/>
        <v>8.5000000000000006E-2</v>
      </c>
      <c r="F201" s="50">
        <f t="shared" si="31"/>
        <v>8.5000000000000006E-2</v>
      </c>
      <c r="G201" s="69">
        <f t="shared" si="32"/>
        <v>7213.333333333333</v>
      </c>
      <c r="H201" s="70">
        <f t="shared" si="33"/>
        <v>41666.666666666664</v>
      </c>
      <c r="I201" s="70">
        <f t="shared" si="34"/>
        <v>7195.3</v>
      </c>
      <c r="J201" s="53">
        <f t="shared" si="27"/>
        <v>651.66666666666674</v>
      </c>
      <c r="K201" s="53">
        <f t="shared" si="28"/>
        <v>933</v>
      </c>
      <c r="L201" s="289">
        <f t="shared" si="29"/>
        <v>281.33333333333326</v>
      </c>
      <c r="N201" s="7">
        <f t="shared" si="30"/>
        <v>3375.9999999999991</v>
      </c>
      <c r="O201" t="str">
        <f>Medicaid!G193</f>
        <v>No</v>
      </c>
      <c r="P201" t="str">
        <f>Medicaid!K193</f>
        <v>No</v>
      </c>
    </row>
    <row r="202" spans="1:16" ht="15" customHeight="1" x14ac:dyDescent="0.25">
      <c r="A202" s="3">
        <v>92500</v>
      </c>
      <c r="B202" s="3">
        <f t="shared" si="35"/>
        <v>7708.333333333333</v>
      </c>
      <c r="C202" s="3">
        <f t="shared" si="36"/>
        <v>646.72916666666663</v>
      </c>
      <c r="D202" s="64">
        <f t="shared" si="38"/>
        <v>4.2744916820702406</v>
      </c>
      <c r="E202" s="50">
        <f t="shared" si="37"/>
        <v>8.5000000000000006E-2</v>
      </c>
      <c r="F202" s="50">
        <f t="shared" si="31"/>
        <v>8.5000000000000006E-2</v>
      </c>
      <c r="G202" s="69">
        <f t="shared" si="32"/>
        <v>7213.333333333333</v>
      </c>
      <c r="H202" s="70">
        <f t="shared" si="33"/>
        <v>41666.666666666664</v>
      </c>
      <c r="I202" s="70">
        <f t="shared" si="34"/>
        <v>7195.3</v>
      </c>
      <c r="J202" s="53">
        <f t="shared" si="27"/>
        <v>655.20833333333337</v>
      </c>
      <c r="K202" s="53">
        <f t="shared" si="28"/>
        <v>933</v>
      </c>
      <c r="L202" s="289">
        <f t="shared" si="29"/>
        <v>277.79166666666663</v>
      </c>
      <c r="N202" s="7">
        <f t="shared" si="30"/>
        <v>3333.4999999999995</v>
      </c>
      <c r="O202" t="str">
        <f>Medicaid!G194</f>
        <v>No</v>
      </c>
      <c r="P202" t="str">
        <f>Medicaid!K194</f>
        <v>No</v>
      </c>
    </row>
    <row r="203" spans="1:16" ht="15" customHeight="1" x14ac:dyDescent="0.25">
      <c r="A203" s="3">
        <v>93000</v>
      </c>
      <c r="B203" s="3">
        <f t="shared" si="35"/>
        <v>7750</v>
      </c>
      <c r="C203" s="3">
        <f t="shared" si="36"/>
        <v>650.22500000000002</v>
      </c>
      <c r="D203" s="64">
        <f t="shared" si="38"/>
        <v>4.2975970425138632</v>
      </c>
      <c r="E203" s="50">
        <f t="shared" si="37"/>
        <v>8.5000000000000006E-2</v>
      </c>
      <c r="F203" s="50">
        <f t="shared" si="31"/>
        <v>8.5000000000000006E-2</v>
      </c>
      <c r="G203" s="69">
        <f t="shared" si="32"/>
        <v>7213.333333333333</v>
      </c>
      <c r="H203" s="70">
        <f t="shared" si="33"/>
        <v>41666.666666666664</v>
      </c>
      <c r="I203" s="70">
        <f t="shared" si="34"/>
        <v>7195.3</v>
      </c>
      <c r="J203" s="53">
        <f t="shared" si="27"/>
        <v>658.75</v>
      </c>
      <c r="K203" s="53">
        <f t="shared" si="28"/>
        <v>933</v>
      </c>
      <c r="L203" s="289">
        <f t="shared" si="29"/>
        <v>274.25</v>
      </c>
      <c r="N203" s="7">
        <f t="shared" si="30"/>
        <v>3291</v>
      </c>
      <c r="O203" t="str">
        <f>Medicaid!G195</f>
        <v>No</v>
      </c>
      <c r="P203" t="str">
        <f>Medicaid!K195</f>
        <v>No</v>
      </c>
    </row>
    <row r="204" spans="1:16" ht="15" customHeight="1" x14ac:dyDescent="0.25">
      <c r="A204" s="3">
        <v>93500</v>
      </c>
      <c r="B204" s="3">
        <f t="shared" si="35"/>
        <v>7791.666666666667</v>
      </c>
      <c r="C204" s="3">
        <f t="shared" si="36"/>
        <v>653.72083333333342</v>
      </c>
      <c r="D204" s="64">
        <f t="shared" si="38"/>
        <v>4.3207024029574868</v>
      </c>
      <c r="E204" s="50">
        <f t="shared" si="37"/>
        <v>8.5000000000000006E-2</v>
      </c>
      <c r="F204" s="50">
        <f t="shared" si="31"/>
        <v>8.5000000000000006E-2</v>
      </c>
      <c r="G204" s="69">
        <f t="shared" si="32"/>
        <v>7213.333333333333</v>
      </c>
      <c r="H204" s="70">
        <f t="shared" si="33"/>
        <v>41666.666666666664</v>
      </c>
      <c r="I204" s="70">
        <f t="shared" si="34"/>
        <v>7195.3</v>
      </c>
      <c r="J204" s="53">
        <f t="shared" si="27"/>
        <v>662.29166666666674</v>
      </c>
      <c r="K204" s="53">
        <f t="shared" si="28"/>
        <v>933</v>
      </c>
      <c r="L204" s="289">
        <f t="shared" si="29"/>
        <v>270.70833333333326</v>
      </c>
      <c r="N204" s="7">
        <f t="shared" si="30"/>
        <v>3248.4999999999991</v>
      </c>
      <c r="O204" t="str">
        <f>Medicaid!G196</f>
        <v>No</v>
      </c>
      <c r="P204" t="str">
        <f>Medicaid!K196</f>
        <v>No</v>
      </c>
    </row>
    <row r="205" spans="1:16" ht="15" customHeight="1" x14ac:dyDescent="0.25">
      <c r="A205" s="3">
        <v>94000</v>
      </c>
      <c r="B205" s="3">
        <f t="shared" si="35"/>
        <v>7833.333333333333</v>
      </c>
      <c r="C205" s="3">
        <f t="shared" si="36"/>
        <v>657.2166666666667</v>
      </c>
      <c r="D205" s="64">
        <f t="shared" si="38"/>
        <v>4.3438077634011094</v>
      </c>
      <c r="E205" s="50">
        <f t="shared" si="37"/>
        <v>8.5000000000000006E-2</v>
      </c>
      <c r="F205" s="50">
        <f t="shared" si="31"/>
        <v>8.5000000000000006E-2</v>
      </c>
      <c r="G205" s="69">
        <f t="shared" si="32"/>
        <v>7213.333333333333</v>
      </c>
      <c r="H205" s="70">
        <f t="shared" si="33"/>
        <v>41666.666666666664</v>
      </c>
      <c r="I205" s="70">
        <f t="shared" si="34"/>
        <v>7195.3</v>
      </c>
      <c r="J205" s="53">
        <f t="shared" si="27"/>
        <v>665.83333333333337</v>
      </c>
      <c r="K205" s="53">
        <f t="shared" si="28"/>
        <v>933</v>
      </c>
      <c r="L205" s="289">
        <f t="shared" si="29"/>
        <v>267.16666666666663</v>
      </c>
      <c r="N205" s="7">
        <f t="shared" si="30"/>
        <v>3205.9999999999995</v>
      </c>
      <c r="O205" t="str">
        <f>Medicaid!G197</f>
        <v>No</v>
      </c>
      <c r="P205" t="str">
        <f>Medicaid!K197</f>
        <v>No</v>
      </c>
    </row>
    <row r="206" spans="1:16" ht="15" customHeight="1" x14ac:dyDescent="0.25">
      <c r="A206" s="3">
        <v>94500</v>
      </c>
      <c r="B206" s="3">
        <f t="shared" si="35"/>
        <v>7875</v>
      </c>
      <c r="C206" s="3">
        <f t="shared" si="36"/>
        <v>660.71249999999998</v>
      </c>
      <c r="D206" s="64">
        <f t="shared" si="38"/>
        <v>4.3669131238447321</v>
      </c>
      <c r="E206" s="50">
        <f t="shared" si="37"/>
        <v>8.5000000000000006E-2</v>
      </c>
      <c r="F206" s="50">
        <f t="shared" si="31"/>
        <v>8.5000000000000006E-2</v>
      </c>
      <c r="G206" s="69">
        <f t="shared" si="32"/>
        <v>7213.333333333333</v>
      </c>
      <c r="H206" s="70">
        <f t="shared" si="33"/>
        <v>41666.666666666664</v>
      </c>
      <c r="I206" s="70">
        <f t="shared" si="34"/>
        <v>7195.3</v>
      </c>
      <c r="J206" s="53">
        <f t="shared" si="27"/>
        <v>669.375</v>
      </c>
      <c r="K206" s="53">
        <f t="shared" si="28"/>
        <v>933</v>
      </c>
      <c r="L206" s="289">
        <f t="shared" si="29"/>
        <v>263.625</v>
      </c>
      <c r="N206" s="7">
        <f t="shared" si="30"/>
        <v>3163.5</v>
      </c>
      <c r="O206" t="str">
        <f>Medicaid!G198</f>
        <v>No</v>
      </c>
      <c r="P206" t="str">
        <f>Medicaid!K198</f>
        <v>No</v>
      </c>
    </row>
    <row r="207" spans="1:16" ht="15" customHeight="1" x14ac:dyDescent="0.25">
      <c r="A207" s="3">
        <v>95000</v>
      </c>
      <c r="B207" s="3">
        <f t="shared" si="35"/>
        <v>7916.666666666667</v>
      </c>
      <c r="C207" s="3">
        <f t="shared" si="36"/>
        <v>664.20833333333337</v>
      </c>
      <c r="D207" s="64">
        <f t="shared" si="38"/>
        <v>4.3900184842883556</v>
      </c>
      <c r="E207" s="50">
        <f t="shared" si="37"/>
        <v>8.5000000000000006E-2</v>
      </c>
      <c r="F207" s="50">
        <f t="shared" si="31"/>
        <v>8.5000000000000006E-2</v>
      </c>
      <c r="G207" s="69">
        <f t="shared" si="32"/>
        <v>7213.333333333333</v>
      </c>
      <c r="H207" s="70">
        <f t="shared" si="33"/>
        <v>41666.666666666664</v>
      </c>
      <c r="I207" s="70">
        <f t="shared" si="34"/>
        <v>7195.3</v>
      </c>
      <c r="J207" s="53">
        <f t="shared" si="27"/>
        <v>672.91666666666674</v>
      </c>
      <c r="K207" s="53">
        <f t="shared" si="28"/>
        <v>933</v>
      </c>
      <c r="L207" s="289">
        <f t="shared" si="29"/>
        <v>260.08333333333326</v>
      </c>
      <c r="N207" s="7">
        <f t="shared" si="30"/>
        <v>3120.9999999999991</v>
      </c>
      <c r="O207" t="str">
        <f>Medicaid!G199</f>
        <v>No</v>
      </c>
      <c r="P207" t="str">
        <f>Medicaid!K199</f>
        <v>No</v>
      </c>
    </row>
    <row r="208" spans="1:16" ht="15" customHeight="1" x14ac:dyDescent="0.25">
      <c r="A208" s="3">
        <v>95500</v>
      </c>
      <c r="B208" s="3">
        <f t="shared" si="35"/>
        <v>7958.333333333333</v>
      </c>
      <c r="C208" s="3">
        <f t="shared" si="36"/>
        <v>667.70416666666665</v>
      </c>
      <c r="D208" s="64">
        <f t="shared" si="38"/>
        <v>4.4131238447319783</v>
      </c>
      <c r="E208" s="50">
        <f t="shared" si="37"/>
        <v>8.5000000000000006E-2</v>
      </c>
      <c r="F208" s="50">
        <f t="shared" si="31"/>
        <v>8.5000000000000006E-2</v>
      </c>
      <c r="G208" s="69">
        <f t="shared" si="32"/>
        <v>7213.333333333333</v>
      </c>
      <c r="H208" s="70">
        <f t="shared" si="33"/>
        <v>41666.666666666664</v>
      </c>
      <c r="I208" s="70">
        <f t="shared" si="34"/>
        <v>7195.3</v>
      </c>
      <c r="J208" s="53">
        <f t="shared" si="27"/>
        <v>676.45833333333337</v>
      </c>
      <c r="K208" s="53">
        <f t="shared" si="28"/>
        <v>933</v>
      </c>
      <c r="L208" s="289">
        <f t="shared" si="29"/>
        <v>256.54166666666663</v>
      </c>
      <c r="N208" s="7">
        <f t="shared" si="30"/>
        <v>3078.4999999999995</v>
      </c>
      <c r="O208" t="str">
        <f>Medicaid!G200</f>
        <v>No</v>
      </c>
      <c r="P208" t="str">
        <f>Medicaid!K200</f>
        <v>No</v>
      </c>
    </row>
    <row r="209" spans="1:16" ht="15" customHeight="1" x14ac:dyDescent="0.25">
      <c r="A209" s="3">
        <v>96000</v>
      </c>
      <c r="B209" s="3">
        <f t="shared" si="35"/>
        <v>8000</v>
      </c>
      <c r="C209" s="3">
        <f t="shared" si="36"/>
        <v>671.2</v>
      </c>
      <c r="D209" s="64">
        <f t="shared" si="38"/>
        <v>4.4362292051756009</v>
      </c>
      <c r="E209" s="50">
        <f t="shared" si="37"/>
        <v>8.5000000000000006E-2</v>
      </c>
      <c r="F209" s="50">
        <f t="shared" si="31"/>
        <v>8.5000000000000006E-2</v>
      </c>
      <c r="G209" s="69">
        <f t="shared" si="32"/>
        <v>7213.333333333333</v>
      </c>
      <c r="H209" s="70">
        <f t="shared" si="33"/>
        <v>41666.666666666664</v>
      </c>
      <c r="I209" s="70">
        <f t="shared" si="34"/>
        <v>7195.3</v>
      </c>
      <c r="J209" s="53">
        <f t="shared" si="27"/>
        <v>680</v>
      </c>
      <c r="K209" s="53">
        <f t="shared" si="28"/>
        <v>933</v>
      </c>
      <c r="L209" s="289">
        <f t="shared" si="29"/>
        <v>253</v>
      </c>
      <c r="N209" s="7">
        <f t="shared" si="30"/>
        <v>3036</v>
      </c>
      <c r="O209" t="str">
        <f>Medicaid!G201</f>
        <v>No</v>
      </c>
      <c r="P209" t="str">
        <f>Medicaid!K201</f>
        <v>No</v>
      </c>
    </row>
    <row r="210" spans="1:16" ht="15" customHeight="1" x14ac:dyDescent="0.25">
      <c r="A210" s="3">
        <v>96500</v>
      </c>
      <c r="B210" s="3">
        <f t="shared" si="35"/>
        <v>8041.666666666667</v>
      </c>
      <c r="C210" s="3">
        <f t="shared" si="36"/>
        <v>674.69583333333333</v>
      </c>
      <c r="D210" s="64">
        <f t="shared" si="38"/>
        <v>4.4593345656192236</v>
      </c>
      <c r="E210" s="50">
        <f t="shared" si="37"/>
        <v>8.5000000000000006E-2</v>
      </c>
      <c r="F210" s="50">
        <f t="shared" si="31"/>
        <v>8.5000000000000006E-2</v>
      </c>
      <c r="G210" s="69">
        <f t="shared" si="32"/>
        <v>7213.333333333333</v>
      </c>
      <c r="H210" s="70">
        <f t="shared" si="33"/>
        <v>41666.666666666664</v>
      </c>
      <c r="I210" s="70">
        <f t="shared" si="34"/>
        <v>7195.3</v>
      </c>
      <c r="J210" s="53">
        <f t="shared" ref="J210:J217" si="39">B210*(E210+(B210-I210)*(F210-E210)/(H210-I210))</f>
        <v>683.54166666666674</v>
      </c>
      <c r="K210" s="53">
        <f t="shared" ref="K210:K217" si="40">SUM(IF(O210="Yes",0,$C$12),IF(P210="Yes",0,$C$13))</f>
        <v>933</v>
      </c>
      <c r="L210" s="289">
        <f t="shared" ref="L210:L217" si="41">MAX(0,K210-J210)</f>
        <v>249.45833333333326</v>
      </c>
      <c r="N210" s="7">
        <f t="shared" ref="N210:N217" si="42">MAX(0,L210*12)</f>
        <v>2993.4999999999991</v>
      </c>
      <c r="O210" t="str">
        <f>Medicaid!G202</f>
        <v>No</v>
      </c>
      <c r="P210" t="str">
        <f>Medicaid!K202</f>
        <v>No</v>
      </c>
    </row>
    <row r="211" spans="1:16" ht="15" customHeight="1" x14ac:dyDescent="0.25">
      <c r="A211" s="3">
        <v>97000</v>
      </c>
      <c r="B211" s="3">
        <f t="shared" si="35"/>
        <v>8083.333333333333</v>
      </c>
      <c r="C211" s="3">
        <f t="shared" si="36"/>
        <v>678.19166666666661</v>
      </c>
      <c r="D211" s="64">
        <f t="shared" si="38"/>
        <v>4.4824399260628462</v>
      </c>
      <c r="E211" s="50">
        <f t="shared" si="37"/>
        <v>8.5000000000000006E-2</v>
      </c>
      <c r="F211" s="50">
        <f t="shared" ref="F211:F217" si="43">IF(D211&gt;3.99,0.085,IF(D211&gt;2.99,0.085,IF(D211&gt;2.49,0.06,IF(D211&gt;1.99,0.04,IF(D211&gt;1.49,0.02,0)))))</f>
        <v>8.5000000000000006E-2</v>
      </c>
      <c r="G211" s="69">
        <f t="shared" ref="G211:G217" si="44">IF(D211&gt;3.99,$M$7,IF(D211&gt;2.99,$M$6,IF(D211&gt;2.49,$M$5,IF(D211&gt;1.99,$M$4,IF(D211&gt;1.49,$M$3,0)))))</f>
        <v>7213.333333333333</v>
      </c>
      <c r="H211" s="70">
        <f t="shared" ref="H211:H217" si="45">IF(D211&gt;3.99,$N$7,IF(D211&gt;2.99,$N$6,IF(D211&gt;2.49,$N$5,IF(D211&gt;1.99,$N$4,IF(D211&gt;1.49,$N$3,IF(D211&gt;=0,$N$2,0))))))</f>
        <v>41666.666666666664</v>
      </c>
      <c r="I211" s="70">
        <f t="shared" ref="I211:I217" si="46">IF(D211&gt;3.99,$N$6,IF(D211&gt;2.99,$N$5,IF(D211&gt;2.49,$N$4,IF(D211&gt;1.99,$N$3,IF(D211&gt;1.49,$N$2,IF(D211&gt;=0,0))))))</f>
        <v>7195.3</v>
      </c>
      <c r="J211" s="53">
        <f t="shared" si="39"/>
        <v>687.08333333333337</v>
      </c>
      <c r="K211" s="53">
        <f t="shared" si="40"/>
        <v>933</v>
      </c>
      <c r="L211" s="289">
        <f t="shared" si="41"/>
        <v>245.91666666666663</v>
      </c>
      <c r="N211" s="7">
        <f t="shared" si="42"/>
        <v>2950.9999999999995</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4.5055452865064698</v>
      </c>
      <c r="E212" s="50">
        <f t="shared" si="37"/>
        <v>8.5000000000000006E-2</v>
      </c>
      <c r="F212" s="50">
        <f t="shared" si="43"/>
        <v>8.5000000000000006E-2</v>
      </c>
      <c r="G212" s="69">
        <f t="shared" si="44"/>
        <v>7213.333333333333</v>
      </c>
      <c r="H212" s="70">
        <f t="shared" si="45"/>
        <v>41666.666666666664</v>
      </c>
      <c r="I212" s="70">
        <f t="shared" si="46"/>
        <v>7195.3</v>
      </c>
      <c r="J212" s="53">
        <f t="shared" si="39"/>
        <v>690.625</v>
      </c>
      <c r="K212" s="53">
        <f t="shared" si="40"/>
        <v>933</v>
      </c>
      <c r="L212" s="289">
        <f t="shared" si="41"/>
        <v>242.375</v>
      </c>
      <c r="N212" s="7">
        <f t="shared" si="42"/>
        <v>2908.5</v>
      </c>
      <c r="O212" t="str">
        <f>Medicaid!G204</f>
        <v>No</v>
      </c>
      <c r="P212" t="str">
        <f>Medicaid!K204</f>
        <v>No</v>
      </c>
    </row>
    <row r="213" spans="1:16" ht="15" customHeight="1" x14ac:dyDescent="0.25">
      <c r="A213" s="3">
        <v>98000</v>
      </c>
      <c r="B213" s="3">
        <f t="shared" si="47"/>
        <v>8166.666666666667</v>
      </c>
      <c r="C213" s="3">
        <f t="shared" si="48"/>
        <v>685.18333333333339</v>
      </c>
      <c r="D213" s="64">
        <f t="shared" si="38"/>
        <v>4.5286506469500925</v>
      </c>
      <c r="E213" s="50">
        <f t="shared" si="37"/>
        <v>8.5000000000000006E-2</v>
      </c>
      <c r="F213" s="50">
        <f t="shared" si="43"/>
        <v>8.5000000000000006E-2</v>
      </c>
      <c r="G213" s="69">
        <f t="shared" si="44"/>
        <v>7213.333333333333</v>
      </c>
      <c r="H213" s="70">
        <f t="shared" si="45"/>
        <v>41666.666666666664</v>
      </c>
      <c r="I213" s="70">
        <f t="shared" si="46"/>
        <v>7195.3</v>
      </c>
      <c r="J213" s="53">
        <f t="shared" si="39"/>
        <v>694.16666666666674</v>
      </c>
      <c r="K213" s="53">
        <f t="shared" si="40"/>
        <v>933</v>
      </c>
      <c r="L213" s="289">
        <f t="shared" si="41"/>
        <v>238.83333333333326</v>
      </c>
      <c r="N213" s="7">
        <f t="shared" si="42"/>
        <v>2865.9999999999991</v>
      </c>
      <c r="O213" t="str">
        <f>Medicaid!G205</f>
        <v>No</v>
      </c>
      <c r="P213" t="str">
        <f>Medicaid!K205</f>
        <v>No</v>
      </c>
    </row>
    <row r="214" spans="1:16" ht="15" customHeight="1" x14ac:dyDescent="0.25">
      <c r="A214" s="3">
        <v>98500</v>
      </c>
      <c r="B214" s="3">
        <f t="shared" si="47"/>
        <v>8208.3333333333339</v>
      </c>
      <c r="C214" s="3">
        <f t="shared" si="48"/>
        <v>688.67916666666679</v>
      </c>
      <c r="D214" s="64">
        <f t="shared" si="38"/>
        <v>4.551756007393716</v>
      </c>
      <c r="E214" s="50">
        <f t="shared" si="37"/>
        <v>8.5000000000000006E-2</v>
      </c>
      <c r="F214" s="50">
        <f t="shared" si="43"/>
        <v>8.5000000000000006E-2</v>
      </c>
      <c r="G214" s="69">
        <f t="shared" si="44"/>
        <v>7213.333333333333</v>
      </c>
      <c r="H214" s="70">
        <f t="shared" si="45"/>
        <v>41666.666666666664</v>
      </c>
      <c r="I214" s="70">
        <f t="shared" si="46"/>
        <v>7195.3</v>
      </c>
      <c r="J214" s="53">
        <f t="shared" si="39"/>
        <v>697.70833333333348</v>
      </c>
      <c r="K214" s="53">
        <f t="shared" si="40"/>
        <v>933</v>
      </c>
      <c r="L214" s="289">
        <f t="shared" si="41"/>
        <v>235.29166666666652</v>
      </c>
      <c r="N214" s="7">
        <f t="shared" si="42"/>
        <v>2823.4999999999982</v>
      </c>
      <c r="O214" t="str">
        <f>Medicaid!G206</f>
        <v>No</v>
      </c>
      <c r="P214" t="str">
        <f>Medicaid!K206</f>
        <v>No</v>
      </c>
    </row>
    <row r="215" spans="1:16" ht="15" customHeight="1" x14ac:dyDescent="0.25">
      <c r="A215" s="3">
        <v>99000</v>
      </c>
      <c r="B215" s="3">
        <f t="shared" si="47"/>
        <v>8250</v>
      </c>
      <c r="C215" s="3">
        <f t="shared" si="48"/>
        <v>692.17500000000007</v>
      </c>
      <c r="D215" s="64">
        <f t="shared" si="38"/>
        <v>4.5748613678373387</v>
      </c>
      <c r="E215" s="50">
        <f t="shared" si="37"/>
        <v>8.5000000000000006E-2</v>
      </c>
      <c r="F215" s="50">
        <f t="shared" si="43"/>
        <v>8.5000000000000006E-2</v>
      </c>
      <c r="G215" s="69">
        <f t="shared" si="44"/>
        <v>7213.333333333333</v>
      </c>
      <c r="H215" s="70">
        <f t="shared" si="45"/>
        <v>41666.666666666664</v>
      </c>
      <c r="I215" s="70">
        <f t="shared" si="46"/>
        <v>7195.3</v>
      </c>
      <c r="J215" s="53">
        <f t="shared" si="39"/>
        <v>701.25</v>
      </c>
      <c r="K215" s="53">
        <f t="shared" si="40"/>
        <v>933</v>
      </c>
      <c r="L215" s="289">
        <f t="shared" si="41"/>
        <v>231.75</v>
      </c>
      <c r="N215" s="7">
        <f t="shared" si="42"/>
        <v>2781</v>
      </c>
      <c r="O215" t="str">
        <f>Medicaid!G207</f>
        <v>No</v>
      </c>
      <c r="P215" t="str">
        <f>Medicaid!K207</f>
        <v>No</v>
      </c>
    </row>
    <row r="216" spans="1:16" ht="15" customHeight="1" x14ac:dyDescent="0.25">
      <c r="A216" s="3">
        <v>99500</v>
      </c>
      <c r="B216" s="3">
        <f t="shared" si="47"/>
        <v>8291.6666666666661</v>
      </c>
      <c r="C216" s="3">
        <f t="shared" si="48"/>
        <v>695.67083333333335</v>
      </c>
      <c r="D216" s="64">
        <f t="shared" si="38"/>
        <v>4.5979667282809613</v>
      </c>
      <c r="E216" s="50">
        <f t="shared" si="37"/>
        <v>8.5000000000000006E-2</v>
      </c>
      <c r="F216" s="50">
        <f t="shared" si="43"/>
        <v>8.5000000000000006E-2</v>
      </c>
      <c r="G216" s="69">
        <f t="shared" si="44"/>
        <v>7213.333333333333</v>
      </c>
      <c r="H216" s="70">
        <f t="shared" si="45"/>
        <v>41666.666666666664</v>
      </c>
      <c r="I216" s="70">
        <f t="shared" si="46"/>
        <v>7195.3</v>
      </c>
      <c r="J216" s="53">
        <f t="shared" si="39"/>
        <v>704.79166666666663</v>
      </c>
      <c r="K216" s="53">
        <f t="shared" si="40"/>
        <v>933</v>
      </c>
      <c r="L216" s="289">
        <f t="shared" si="41"/>
        <v>228.20833333333337</v>
      </c>
      <c r="N216" s="7">
        <f t="shared" si="42"/>
        <v>2738.5000000000005</v>
      </c>
      <c r="O216" t="str">
        <f>Medicaid!G208</f>
        <v>No</v>
      </c>
      <c r="P216" t="str">
        <f>Medicaid!K208</f>
        <v>No</v>
      </c>
    </row>
    <row r="217" spans="1:16" ht="15" customHeight="1" x14ac:dyDescent="0.25">
      <c r="A217" s="3">
        <v>100000</v>
      </c>
      <c r="B217" s="3">
        <f t="shared" si="47"/>
        <v>8333.3333333333339</v>
      </c>
      <c r="C217" s="3">
        <f t="shared" si="48"/>
        <v>699.16666666666674</v>
      </c>
      <c r="D217" s="64">
        <f t="shared" si="38"/>
        <v>4.6210720887245849</v>
      </c>
      <c r="E217" s="50">
        <f t="shared" si="37"/>
        <v>8.5000000000000006E-2</v>
      </c>
      <c r="F217" s="50">
        <f t="shared" si="43"/>
        <v>8.5000000000000006E-2</v>
      </c>
      <c r="G217" s="69">
        <f t="shared" si="44"/>
        <v>7213.333333333333</v>
      </c>
      <c r="H217" s="70">
        <f t="shared" si="45"/>
        <v>41666.666666666664</v>
      </c>
      <c r="I217" s="70">
        <f t="shared" si="46"/>
        <v>7195.3</v>
      </c>
      <c r="J217" s="53">
        <f t="shared" si="39"/>
        <v>708.33333333333348</v>
      </c>
      <c r="K217" s="53">
        <f t="shared" si="40"/>
        <v>933</v>
      </c>
      <c r="L217" s="289">
        <f t="shared" si="41"/>
        <v>224.66666666666652</v>
      </c>
      <c r="N217" s="7">
        <f t="shared" si="42"/>
        <v>2695.9999999999982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1289</v>
      </c>
      <c r="C220" s="3">
        <f>B220*0.0839</f>
        <v>108.14710000000001</v>
      </c>
      <c r="D220" s="64">
        <f>B220/$K$2</f>
        <v>0.7147874306839187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2686.9666666666667</v>
      </c>
      <c r="I220" s="70">
        <f>IF(D220&gt;3.99,$N$6,IF(D220&gt;2.99,$N$5,IF(D220&gt;2.49,$N$4,IF(D220&gt;1.99,$N$3,IF(D220&gt;1.49,$N$2,IF(D220&gt;=0,0))))))</f>
        <v>0</v>
      </c>
      <c r="J220" s="53">
        <f>B220*(E220+(B220-I220)*(F220-E220)/(H220-I220))</f>
        <v>0</v>
      </c>
      <c r="K220" s="53">
        <f>$C$12</f>
        <v>558</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1289</v>
      </c>
      <c r="C222" s="3">
        <f>B222*0.0839</f>
        <v>108.14710000000001</v>
      </c>
      <c r="D222" s="64">
        <f>B222/$K$2</f>
        <v>0.7147874306839187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2686.9666666666667</v>
      </c>
      <c r="I222" s="70">
        <f>IF(D222&gt;3.99,$N$6,IF(D222&gt;2.99,$N$5,IF(D222&gt;2.49,$N$4,IF(D222&gt;1.99,$N$3,IF(D222&gt;1.49,$N$2,IF(D222&gt;=0,0))))))</f>
        <v>0</v>
      </c>
      <c r="J222" s="53">
        <f>B222*(E222+(B222-I222)*(F222-E222)/(H222-I222))</f>
        <v>0</v>
      </c>
      <c r="K222" s="53">
        <f>$C$12</f>
        <v>558</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2</v>
      </c>
      <c r="C2" s="77">
        <f>'Total income package'!B30</f>
        <v>1</v>
      </c>
      <c r="D2" s="77">
        <f>'Total income package'!B31</f>
        <v>1</v>
      </c>
      <c r="E2" s="77">
        <f>ROUNDUP(C2/2,0)</f>
        <v>1</v>
      </c>
      <c r="F2" s="77">
        <f>ROUNDDOWN(D2/2,0)</f>
        <v>0</v>
      </c>
      <c r="G2" s="77">
        <f>'Total income package'!D13</f>
        <v>2</v>
      </c>
      <c r="H2" s="77">
        <f>COUNTIF('Total income package'!B37:B44,"&gt;61")</f>
        <v>0</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4166.666666666667</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385</v>
      </c>
      <c r="D6" s="4">
        <f>'Total income package'!$D$80</f>
        <v>0</v>
      </c>
      <c r="E6" s="4">
        <f>'Total income package'!$H$61+'Total income package'!$F$66</f>
        <v>100</v>
      </c>
      <c r="F6" s="4">
        <f>B6+C6+D6+E6</f>
        <v>485</v>
      </c>
      <c r="G6" s="181" t="str">
        <f>IF(F6&lt;$L$2,"Yes","No")</f>
        <v>Yes</v>
      </c>
      <c r="H6" s="3">
        <f>40*($D$2+$I$2)</f>
        <v>40</v>
      </c>
      <c r="I6" s="3">
        <f>IF($H$2+$J$2&gt;0,33.33,0)</f>
        <v>33.33</v>
      </c>
      <c r="J6" s="3">
        <f t="shared" ref="J6:J69" si="1">IF(F6-H6-I6&lt;0,0,F6-H6-I6)</f>
        <v>411.67</v>
      </c>
      <c r="K6" s="3">
        <f>J6*0.3</f>
        <v>123.501</v>
      </c>
      <c r="L6" s="3">
        <f t="shared" ref="L6:L69" si="2">F6*0.1</f>
        <v>48.5</v>
      </c>
      <c r="M6" s="3">
        <v>50</v>
      </c>
      <c r="N6" s="3">
        <f>MAX(K6:M6)</f>
        <v>123.501</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 s="337">
        <f>IF(AND(G6="Yes",'Total income package'!$A$14=TRUE,P6-N6&gt;0),P6-N6,0)</f>
        <v>871.49900000000002</v>
      </c>
      <c r="R6" s="24"/>
      <c r="S6" s="28"/>
    </row>
    <row r="7" spans="1:21" x14ac:dyDescent="0.25">
      <c r="A7" s="117">
        <v>500</v>
      </c>
      <c r="B7" s="4">
        <f t="shared" si="0"/>
        <v>41.666666666666664</v>
      </c>
      <c r="C7" s="4">
        <f>MAX('TANF-VIEW'!L10,'TANF-VIEW'!T10)</f>
        <v>385</v>
      </c>
      <c r="D7" s="4">
        <f>'Total income package'!$D$80</f>
        <v>0</v>
      </c>
      <c r="E7" s="4">
        <f>'Total income package'!$H$61+'Total income package'!$F$66</f>
        <v>100</v>
      </c>
      <c r="F7" s="4">
        <f t="shared" ref="F7:F70" si="3">B7+C7+D7+E7</f>
        <v>526.66666666666674</v>
      </c>
      <c r="G7" s="181" t="str">
        <f t="shared" ref="G7:G70" si="4">IF(F7&lt;$L$2,"Yes","No")</f>
        <v>Yes</v>
      </c>
      <c r="H7" s="3">
        <f t="shared" ref="H7:H70" si="5">40*($D$2+$I$2)</f>
        <v>40</v>
      </c>
      <c r="I7" s="3">
        <f t="shared" ref="I7:I70" si="6">IF($H$2+$I$2&gt;0,33.33,0)</f>
        <v>0</v>
      </c>
      <c r="J7" s="3">
        <f t="shared" si="1"/>
        <v>486.66666666666674</v>
      </c>
      <c r="K7" s="3">
        <f t="shared" ref="K7:K69" si="7">J7*0.3</f>
        <v>146.00000000000003</v>
      </c>
      <c r="L7" s="3">
        <f t="shared" si="2"/>
        <v>52.666666666666679</v>
      </c>
      <c r="M7" s="3">
        <v>50</v>
      </c>
      <c r="N7" s="3">
        <f t="shared" ref="N7:N71" si="8">MAX(K7:M7)</f>
        <v>146.00000000000003</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 s="337">
        <f>IF(AND(G7="Yes",'Total income package'!$A$14=TRUE,P7-N7&gt;0),P7-N7,0)</f>
        <v>849</v>
      </c>
      <c r="R7" s="29"/>
      <c r="S7" s="7"/>
    </row>
    <row r="8" spans="1:21" x14ac:dyDescent="0.25">
      <c r="A8" s="182">
        <v>1000</v>
      </c>
      <c r="B8" s="4">
        <f t="shared" si="0"/>
        <v>83.333333333333329</v>
      </c>
      <c r="C8" s="4">
        <f>MAX('TANF-VIEW'!L11,'TANF-VIEW'!T11)</f>
        <v>385</v>
      </c>
      <c r="D8" s="4">
        <f>'Total income package'!$D$80</f>
        <v>0</v>
      </c>
      <c r="E8" s="4">
        <f>'Total income package'!$H$61+'Total income package'!$F$66</f>
        <v>100</v>
      </c>
      <c r="F8" s="4">
        <f t="shared" si="3"/>
        <v>568.33333333333326</v>
      </c>
      <c r="G8" s="181" t="str">
        <f t="shared" si="4"/>
        <v>Yes</v>
      </c>
      <c r="H8" s="3">
        <f t="shared" si="5"/>
        <v>40</v>
      </c>
      <c r="I8" s="3">
        <f t="shared" si="6"/>
        <v>0</v>
      </c>
      <c r="J8" s="3">
        <f t="shared" si="1"/>
        <v>528.33333333333326</v>
      </c>
      <c r="K8" s="3">
        <f t="shared" si="7"/>
        <v>158.49999999999997</v>
      </c>
      <c r="L8" s="3">
        <f t="shared" si="2"/>
        <v>56.833333333333329</v>
      </c>
      <c r="M8" s="3">
        <v>50</v>
      </c>
      <c r="N8" s="3">
        <f t="shared" si="8"/>
        <v>158.49999999999997</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 s="337">
        <f>IF(AND(G8="Yes",'Total income package'!$A$14=TRUE,P8-N8&gt;0),P8-N8,0)</f>
        <v>836.5</v>
      </c>
      <c r="R8" s="29"/>
    </row>
    <row r="9" spans="1:21" x14ac:dyDescent="0.25">
      <c r="A9" s="182">
        <v>1500</v>
      </c>
      <c r="B9" s="4">
        <f t="shared" si="0"/>
        <v>125</v>
      </c>
      <c r="C9" s="4">
        <f>MAX('TANF-VIEW'!L12,'TANF-VIEW'!T12)</f>
        <v>385</v>
      </c>
      <c r="D9" s="4">
        <f>'Total income package'!$D$80</f>
        <v>0</v>
      </c>
      <c r="E9" s="4">
        <f>'Total income package'!$H$61+'Total income package'!$F$66</f>
        <v>100</v>
      </c>
      <c r="F9" s="4">
        <f t="shared" si="3"/>
        <v>610</v>
      </c>
      <c r="G9" s="181" t="str">
        <f t="shared" si="4"/>
        <v>Yes</v>
      </c>
      <c r="H9" s="3">
        <f t="shared" si="5"/>
        <v>40</v>
      </c>
      <c r="I9" s="3">
        <f t="shared" si="6"/>
        <v>0</v>
      </c>
      <c r="J9" s="3">
        <f t="shared" si="1"/>
        <v>570</v>
      </c>
      <c r="K9" s="3">
        <f t="shared" si="7"/>
        <v>171</v>
      </c>
      <c r="L9" s="3">
        <f t="shared" si="2"/>
        <v>61</v>
      </c>
      <c r="M9" s="3">
        <v>50</v>
      </c>
      <c r="N9" s="3">
        <f>MAX(K9:M9)</f>
        <v>171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 s="337">
        <f>IF(AND(G9="Yes",'Total income package'!$A$14=TRUE,P9-N9&gt;0),P9-N9,0)</f>
        <v>824</v>
      </c>
      <c r="R9" s="29"/>
    </row>
    <row r="10" spans="1:21" x14ac:dyDescent="0.25">
      <c r="A10" s="182">
        <v>2000</v>
      </c>
      <c r="B10" s="4">
        <f t="shared" si="0"/>
        <v>166.66666666666666</v>
      </c>
      <c r="C10" s="4">
        <f>MAX('TANF-VIEW'!L13,'TANF-VIEW'!T13)</f>
        <v>385</v>
      </c>
      <c r="D10" s="4">
        <f>'Total income package'!$D$80</f>
        <v>0</v>
      </c>
      <c r="E10" s="4">
        <f>'Total income package'!$H$61+'Total income package'!$F$66</f>
        <v>100</v>
      </c>
      <c r="F10" s="4">
        <f t="shared" si="3"/>
        <v>651.66666666666663</v>
      </c>
      <c r="G10" s="181" t="str">
        <f t="shared" si="4"/>
        <v>Yes</v>
      </c>
      <c r="H10" s="3">
        <f t="shared" si="5"/>
        <v>40</v>
      </c>
      <c r="I10" s="3">
        <f t="shared" si="6"/>
        <v>0</v>
      </c>
      <c r="J10" s="3">
        <f t="shared" si="1"/>
        <v>611.66666666666663</v>
      </c>
      <c r="K10" s="3">
        <f t="shared" si="7"/>
        <v>183.49999999999997</v>
      </c>
      <c r="L10" s="3">
        <f t="shared" si="2"/>
        <v>65.166666666666671</v>
      </c>
      <c r="M10" s="3">
        <v>50</v>
      </c>
      <c r="N10" s="3">
        <f t="shared" si="8"/>
        <v>183.49999999999997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 s="337">
        <f>IF(AND(G10="Yes",'Total income package'!$A$14=TRUE,P10-N10&gt;0),P10-N10,0)</f>
        <v>811.5</v>
      </c>
      <c r="R10" s="29"/>
    </row>
    <row r="11" spans="1:21" x14ac:dyDescent="0.25">
      <c r="A11" s="182">
        <v>2500</v>
      </c>
      <c r="B11" s="4">
        <f t="shared" si="0"/>
        <v>208.33333333333334</v>
      </c>
      <c r="C11" s="4">
        <f>MAX('TANF-VIEW'!L14,'TANF-VIEW'!T14)</f>
        <v>385</v>
      </c>
      <c r="D11" s="4">
        <f>'Total income package'!$D$80</f>
        <v>0</v>
      </c>
      <c r="E11" s="4">
        <f>'Total income package'!$H$61+'Total income package'!$F$66</f>
        <v>100</v>
      </c>
      <c r="F11" s="4">
        <f t="shared" si="3"/>
        <v>693.33333333333337</v>
      </c>
      <c r="G11" s="181" t="str">
        <f t="shared" si="4"/>
        <v>Yes</v>
      </c>
      <c r="H11" s="3">
        <f t="shared" si="5"/>
        <v>40</v>
      </c>
      <c r="I11" s="3">
        <f t="shared" si="6"/>
        <v>0</v>
      </c>
      <c r="J11" s="3">
        <f t="shared" si="1"/>
        <v>653.33333333333337</v>
      </c>
      <c r="K11" s="3">
        <f t="shared" si="7"/>
        <v>196</v>
      </c>
      <c r="L11" s="3">
        <f t="shared" si="2"/>
        <v>69.333333333333343</v>
      </c>
      <c r="M11" s="3">
        <v>50</v>
      </c>
      <c r="N11" s="3">
        <f t="shared" si="8"/>
        <v>196</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 s="337">
        <f>IF(AND(G11="Yes",'Total income package'!$A$14=TRUE,P11-N11&gt;0),P11-N11,0)</f>
        <v>799</v>
      </c>
      <c r="R11" s="29"/>
    </row>
    <row r="12" spans="1:21" x14ac:dyDescent="0.25">
      <c r="A12" s="182">
        <v>3000</v>
      </c>
      <c r="B12" s="4">
        <f t="shared" si="0"/>
        <v>250</v>
      </c>
      <c r="C12" s="4">
        <f>MAX('TANF-VIEW'!L15,'TANF-VIEW'!T15)</f>
        <v>352.2</v>
      </c>
      <c r="D12" s="4">
        <f>'Total income package'!$D$80</f>
        <v>0</v>
      </c>
      <c r="E12" s="4">
        <f>'Total income package'!$H$61+'Total income package'!$F$66</f>
        <v>100</v>
      </c>
      <c r="F12" s="4">
        <f t="shared" si="3"/>
        <v>702.2</v>
      </c>
      <c r="G12" s="181" t="str">
        <f t="shared" si="4"/>
        <v>Yes</v>
      </c>
      <c r="H12" s="3">
        <f t="shared" si="5"/>
        <v>40</v>
      </c>
      <c r="I12" s="3">
        <f t="shared" si="6"/>
        <v>0</v>
      </c>
      <c r="J12" s="3">
        <f t="shared" si="1"/>
        <v>662.2</v>
      </c>
      <c r="K12" s="3">
        <f t="shared" si="7"/>
        <v>198.66</v>
      </c>
      <c r="L12" s="3">
        <f t="shared" si="2"/>
        <v>70.220000000000013</v>
      </c>
      <c r="M12" s="3">
        <v>50</v>
      </c>
      <c r="N12" s="3">
        <f t="shared" si="8"/>
        <v>198.66</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 s="337">
        <f>IF(AND(G12="Yes",'Total income package'!$A$14=TRUE,P12-N12&gt;0),P12-N12,0)</f>
        <v>796.34</v>
      </c>
      <c r="R12" s="29"/>
    </row>
    <row r="13" spans="1:21" x14ac:dyDescent="0.25">
      <c r="A13" s="182">
        <v>3500</v>
      </c>
      <c r="B13" s="4">
        <f t="shared" si="0"/>
        <v>291.66666666666669</v>
      </c>
      <c r="C13" s="4">
        <f>MAX('TANF-VIEW'!L16,'TANF-VIEW'!T16)</f>
        <v>318.86666666666667</v>
      </c>
      <c r="D13" s="4">
        <f>'Total income package'!$D$80</f>
        <v>0</v>
      </c>
      <c r="E13" s="4">
        <f>'Total income package'!$H$61+'Total income package'!$F$66</f>
        <v>100</v>
      </c>
      <c r="F13" s="4">
        <f t="shared" si="3"/>
        <v>710.5333333333333</v>
      </c>
      <c r="G13" s="181" t="str">
        <f t="shared" si="4"/>
        <v>Yes</v>
      </c>
      <c r="H13" s="3">
        <f t="shared" si="5"/>
        <v>40</v>
      </c>
      <c r="I13" s="3">
        <f t="shared" si="6"/>
        <v>0</v>
      </c>
      <c r="J13" s="3">
        <f t="shared" si="1"/>
        <v>670.5333333333333</v>
      </c>
      <c r="K13" s="3">
        <f t="shared" si="7"/>
        <v>201.16</v>
      </c>
      <c r="L13" s="3">
        <f t="shared" si="2"/>
        <v>71.053333333333327</v>
      </c>
      <c r="M13" s="3">
        <v>50</v>
      </c>
      <c r="N13" s="3">
        <f t="shared" si="8"/>
        <v>201.16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 s="337">
        <f>IF(AND(G13="Yes",'Total income package'!$A$14=TRUE,P13-N13&gt;0),P13-N13,0)</f>
        <v>793.84</v>
      </c>
      <c r="R13" s="29"/>
    </row>
    <row r="14" spans="1:21" x14ac:dyDescent="0.25">
      <c r="A14" s="182">
        <v>4000</v>
      </c>
      <c r="B14" s="4">
        <f t="shared" si="0"/>
        <v>333.33333333333331</v>
      </c>
      <c r="C14" s="4">
        <f>MAX('TANF-VIEW'!L17,'TANF-VIEW'!T17)</f>
        <v>285.53333333333336</v>
      </c>
      <c r="D14" s="4">
        <f>'Total income package'!$D$80</f>
        <v>0</v>
      </c>
      <c r="E14" s="4">
        <f>'Total income package'!$H$61+'Total income package'!$F$66</f>
        <v>100</v>
      </c>
      <c r="F14" s="4">
        <f>B14+C14+D14+E14</f>
        <v>718.86666666666667</v>
      </c>
      <c r="G14" s="181" t="str">
        <f t="shared" si="4"/>
        <v>Yes</v>
      </c>
      <c r="H14" s="3">
        <f t="shared" si="5"/>
        <v>40</v>
      </c>
      <c r="I14" s="3">
        <f t="shared" si="6"/>
        <v>0</v>
      </c>
      <c r="J14" s="3">
        <f t="shared" si="1"/>
        <v>678.86666666666667</v>
      </c>
      <c r="K14" s="3">
        <f t="shared" si="7"/>
        <v>203.66</v>
      </c>
      <c r="L14" s="3">
        <f t="shared" si="2"/>
        <v>71.88666666666667</v>
      </c>
      <c r="M14" s="3">
        <v>50</v>
      </c>
      <c r="N14" s="3">
        <f t="shared" si="8"/>
        <v>203.66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 s="337">
        <f>IF(AND(G14="Yes",'Total income package'!$A$14=TRUE,P14-N14&gt;0),P14-N14,0)</f>
        <v>791.34</v>
      </c>
      <c r="R14" s="29"/>
    </row>
    <row r="15" spans="1:21" x14ac:dyDescent="0.25">
      <c r="A15" s="182">
        <v>4500</v>
      </c>
      <c r="B15" s="4">
        <f t="shared" si="0"/>
        <v>375</v>
      </c>
      <c r="C15" s="4">
        <f>MAX('TANF-VIEW'!L18,'TANF-VIEW'!T18)</f>
        <v>252.2</v>
      </c>
      <c r="D15" s="4">
        <f>'Total income package'!$D$80</f>
        <v>0</v>
      </c>
      <c r="E15" s="4">
        <f>'Total income package'!$H$61+'Total income package'!$F$66</f>
        <v>100</v>
      </c>
      <c r="F15" s="4">
        <f t="shared" si="3"/>
        <v>727.2</v>
      </c>
      <c r="G15" s="181" t="str">
        <f t="shared" si="4"/>
        <v>Yes</v>
      </c>
      <c r="H15" s="3">
        <f t="shared" si="5"/>
        <v>40</v>
      </c>
      <c r="I15" s="3">
        <f t="shared" si="6"/>
        <v>0</v>
      </c>
      <c r="J15" s="3">
        <f t="shared" si="1"/>
        <v>687.2</v>
      </c>
      <c r="K15" s="3">
        <f t="shared" si="7"/>
        <v>206.16</v>
      </c>
      <c r="L15" s="3">
        <f t="shared" si="2"/>
        <v>72.720000000000013</v>
      </c>
      <c r="M15" s="3">
        <v>50</v>
      </c>
      <c r="N15" s="3">
        <f t="shared" si="8"/>
        <v>206.16</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 s="337">
        <f>IF(AND(G15="Yes",'Total income package'!$A$14=TRUE,P15-N15&gt;0),P15-N15,0)</f>
        <v>788.84</v>
      </c>
      <c r="R15" s="29"/>
    </row>
    <row r="16" spans="1:21" x14ac:dyDescent="0.25">
      <c r="A16" s="182">
        <v>5000</v>
      </c>
      <c r="B16" s="4">
        <f t="shared" si="0"/>
        <v>416.66666666666669</v>
      </c>
      <c r="C16" s="4">
        <f>MAX('TANF-VIEW'!L19,'TANF-VIEW'!T19)</f>
        <v>218.86666666666665</v>
      </c>
      <c r="D16" s="4">
        <f>'Total income package'!$D$80</f>
        <v>0</v>
      </c>
      <c r="E16" s="4">
        <f>'Total income package'!$H$61+'Total income package'!$F$66</f>
        <v>100</v>
      </c>
      <c r="F16" s="4">
        <f t="shared" si="3"/>
        <v>735.5333333333333</v>
      </c>
      <c r="G16" s="181" t="str">
        <f t="shared" si="4"/>
        <v>Yes</v>
      </c>
      <c r="H16" s="3">
        <f t="shared" si="5"/>
        <v>40</v>
      </c>
      <c r="I16" s="3">
        <f t="shared" si="6"/>
        <v>0</v>
      </c>
      <c r="J16" s="3">
        <f t="shared" si="1"/>
        <v>695.5333333333333</v>
      </c>
      <c r="K16" s="3">
        <f t="shared" si="7"/>
        <v>208.66</v>
      </c>
      <c r="L16" s="3">
        <f t="shared" si="2"/>
        <v>73.553333333333327</v>
      </c>
      <c r="M16" s="3">
        <v>50</v>
      </c>
      <c r="N16" s="3">
        <f t="shared" si="8"/>
        <v>208.66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 s="337">
        <f>IF(AND(G16="Yes",'Total income package'!$A$14=TRUE,P16-N16&gt;0),P16-N16,0)</f>
        <v>786.34</v>
      </c>
      <c r="R16" s="29"/>
    </row>
    <row r="17" spans="1:18" x14ac:dyDescent="0.25">
      <c r="A17" s="182">
        <v>5500</v>
      </c>
      <c r="B17" s="4">
        <f t="shared" si="0"/>
        <v>458.33333333333331</v>
      </c>
      <c r="C17" s="4">
        <f>MAX('TANF-VIEW'!L20,'TANF-VIEW'!T20)</f>
        <v>185.53333333333336</v>
      </c>
      <c r="D17" s="4">
        <f>'Total income package'!$D$80</f>
        <v>0</v>
      </c>
      <c r="E17" s="4">
        <f>'Total income package'!$H$61+'Total income package'!$F$66</f>
        <v>100</v>
      </c>
      <c r="F17" s="4">
        <f t="shared" si="3"/>
        <v>743.86666666666667</v>
      </c>
      <c r="G17" s="181" t="str">
        <f t="shared" si="4"/>
        <v>Yes</v>
      </c>
      <c r="H17" s="3">
        <f t="shared" si="5"/>
        <v>40</v>
      </c>
      <c r="I17" s="3">
        <f t="shared" si="6"/>
        <v>0</v>
      </c>
      <c r="J17" s="3">
        <f t="shared" si="1"/>
        <v>703.86666666666667</v>
      </c>
      <c r="K17" s="3">
        <f t="shared" si="7"/>
        <v>211.16</v>
      </c>
      <c r="L17" s="3">
        <f t="shared" si="2"/>
        <v>74.38666666666667</v>
      </c>
      <c r="M17" s="3">
        <v>50</v>
      </c>
      <c r="N17" s="3">
        <f t="shared" si="8"/>
        <v>211.16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 s="337">
        <f>IF(AND(G17="Yes",'Total income package'!$A$14=TRUE,P17-N17&gt;0),P17-N17,0)</f>
        <v>783.84</v>
      </c>
      <c r="R17" s="29"/>
    </row>
    <row r="18" spans="1:18" x14ac:dyDescent="0.25">
      <c r="A18" s="182">
        <v>6000</v>
      </c>
      <c r="B18" s="4">
        <f t="shared" si="0"/>
        <v>500</v>
      </c>
      <c r="C18" s="4">
        <f>MAX('TANF-VIEW'!L21,'TANF-VIEW'!T21)</f>
        <v>152.19999999999999</v>
      </c>
      <c r="D18" s="4">
        <f>'Total income package'!$D$80</f>
        <v>0</v>
      </c>
      <c r="E18" s="4">
        <f>'Total income package'!$H$61+'Total income package'!$F$66</f>
        <v>100</v>
      </c>
      <c r="F18" s="4">
        <f t="shared" si="3"/>
        <v>752.2</v>
      </c>
      <c r="G18" s="181" t="str">
        <f t="shared" si="4"/>
        <v>Yes</v>
      </c>
      <c r="H18" s="3">
        <f t="shared" si="5"/>
        <v>40</v>
      </c>
      <c r="I18" s="3">
        <f t="shared" si="6"/>
        <v>0</v>
      </c>
      <c r="J18" s="3">
        <f t="shared" si="1"/>
        <v>712.2</v>
      </c>
      <c r="K18" s="3">
        <f t="shared" si="7"/>
        <v>213.66</v>
      </c>
      <c r="L18" s="3">
        <f t="shared" si="2"/>
        <v>75.220000000000013</v>
      </c>
      <c r="M18" s="3">
        <v>50</v>
      </c>
      <c r="N18" s="3">
        <f t="shared" si="8"/>
        <v>213.66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 s="337">
        <f>IF(AND(G18="Yes",'Total income package'!$A$14=TRUE,P18-N18&gt;0),P18-N18,0)</f>
        <v>781.34</v>
      </c>
      <c r="R18" s="29"/>
    </row>
    <row r="19" spans="1:18" x14ac:dyDescent="0.25">
      <c r="A19" s="182">
        <v>6500</v>
      </c>
      <c r="B19" s="4">
        <f t="shared" si="0"/>
        <v>541.66666666666663</v>
      </c>
      <c r="C19" s="4">
        <f>MAX('TANF-VIEW'!L22,'TANF-VIEW'!T22)</f>
        <v>118.86666666666667</v>
      </c>
      <c r="D19" s="4">
        <f>'Total income package'!$D$80</f>
        <v>0</v>
      </c>
      <c r="E19" s="4">
        <f>'Total income package'!$H$61+'Total income package'!$F$66</f>
        <v>100</v>
      </c>
      <c r="F19" s="4">
        <f t="shared" si="3"/>
        <v>760.5333333333333</v>
      </c>
      <c r="G19" s="181" t="str">
        <f t="shared" si="4"/>
        <v>Yes</v>
      </c>
      <c r="H19" s="3">
        <f t="shared" si="5"/>
        <v>40</v>
      </c>
      <c r="I19" s="3">
        <f t="shared" si="6"/>
        <v>0</v>
      </c>
      <c r="J19" s="3">
        <f t="shared" si="1"/>
        <v>720.5333333333333</v>
      </c>
      <c r="K19" s="3">
        <f t="shared" si="7"/>
        <v>216.16</v>
      </c>
      <c r="L19" s="3">
        <f t="shared" si="2"/>
        <v>76.053333333333327</v>
      </c>
      <c r="M19" s="3">
        <v>50</v>
      </c>
      <c r="N19" s="3">
        <f t="shared" si="8"/>
        <v>216.16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 s="337">
        <f>IF(AND(G19="Yes",'Total income package'!$A$14=TRUE,P19-N19&gt;0),P19-N19,0)</f>
        <v>778.84</v>
      </c>
      <c r="R19" s="29"/>
    </row>
    <row r="20" spans="1:18" x14ac:dyDescent="0.25">
      <c r="A20" s="182">
        <v>7000</v>
      </c>
      <c r="B20" s="4">
        <f t="shared" si="0"/>
        <v>583.33333333333337</v>
      </c>
      <c r="C20" s="4">
        <f>MAX('TANF-VIEW'!L23,'TANF-VIEW'!T23)</f>
        <v>85.533333333333303</v>
      </c>
      <c r="D20" s="4">
        <f>'Total income package'!$D$80</f>
        <v>0</v>
      </c>
      <c r="E20" s="4">
        <f>'Total income package'!$H$61+'Total income package'!$F$66</f>
        <v>100</v>
      </c>
      <c r="F20" s="4">
        <f t="shared" si="3"/>
        <v>768.86666666666667</v>
      </c>
      <c r="G20" s="181" t="str">
        <f t="shared" si="4"/>
        <v>Yes</v>
      </c>
      <c r="H20" s="3">
        <f t="shared" si="5"/>
        <v>40</v>
      </c>
      <c r="I20" s="3">
        <f t="shared" si="6"/>
        <v>0</v>
      </c>
      <c r="J20" s="3">
        <f t="shared" si="1"/>
        <v>728.86666666666667</v>
      </c>
      <c r="K20" s="3">
        <f t="shared" si="7"/>
        <v>218.66</v>
      </c>
      <c r="L20" s="3">
        <f t="shared" si="2"/>
        <v>76.88666666666667</v>
      </c>
      <c r="M20" s="3">
        <v>50</v>
      </c>
      <c r="N20" s="3">
        <f t="shared" si="8"/>
        <v>218.66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 s="337">
        <f>IF(AND(G20="Yes",'Total income package'!$A$14=TRUE,P20-N20&gt;0),P20-N20,0)</f>
        <v>776.34</v>
      </c>
      <c r="R20" s="29"/>
    </row>
    <row r="21" spans="1:18" x14ac:dyDescent="0.25">
      <c r="A21" s="182">
        <v>7500</v>
      </c>
      <c r="B21" s="4">
        <f t="shared" si="0"/>
        <v>625</v>
      </c>
      <c r="C21" s="4">
        <f>MAX('TANF-VIEW'!L24,'TANF-VIEW'!T24)</f>
        <v>52.199999999999989</v>
      </c>
      <c r="D21" s="4">
        <f>'Total income package'!$D$80</f>
        <v>0</v>
      </c>
      <c r="E21" s="4">
        <f>'Total income package'!$H$61+'Total income package'!$F$66</f>
        <v>100</v>
      </c>
      <c r="F21" s="4">
        <f t="shared" si="3"/>
        <v>777.2</v>
      </c>
      <c r="G21" s="181" t="str">
        <f t="shared" si="4"/>
        <v>Yes</v>
      </c>
      <c r="H21" s="3">
        <f t="shared" si="5"/>
        <v>40</v>
      </c>
      <c r="I21" s="3">
        <f t="shared" si="6"/>
        <v>0</v>
      </c>
      <c r="J21" s="3">
        <f t="shared" si="1"/>
        <v>737.2</v>
      </c>
      <c r="K21" s="3">
        <f t="shared" si="7"/>
        <v>221.16</v>
      </c>
      <c r="L21" s="3">
        <f t="shared" si="2"/>
        <v>77.720000000000013</v>
      </c>
      <c r="M21" s="3">
        <v>50</v>
      </c>
      <c r="N21" s="3">
        <f t="shared" si="8"/>
        <v>221.16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 s="337">
        <f>IF(AND(G21="Yes",'Total income package'!$A$14=TRUE,P21-N21&gt;0),P21-N21,0)</f>
        <v>773.84</v>
      </c>
      <c r="R21" s="29"/>
    </row>
    <row r="22" spans="1:18" x14ac:dyDescent="0.25">
      <c r="A22" s="182">
        <v>8000</v>
      </c>
      <c r="B22" s="4">
        <f t="shared" si="0"/>
        <v>666.66666666666663</v>
      </c>
      <c r="C22" s="4">
        <f>MAX('TANF-VIEW'!L25,'TANF-VIEW'!T25)</f>
        <v>18.866666666666674</v>
      </c>
      <c r="D22" s="4">
        <f>'Total income package'!$D$80</f>
        <v>0</v>
      </c>
      <c r="E22" s="4">
        <f>'Total income package'!$H$61+'Total income package'!$F$66</f>
        <v>100</v>
      </c>
      <c r="F22" s="4">
        <f t="shared" si="3"/>
        <v>785.5333333333333</v>
      </c>
      <c r="G22" s="181" t="str">
        <f t="shared" si="4"/>
        <v>Yes</v>
      </c>
      <c r="H22" s="3">
        <f t="shared" si="5"/>
        <v>40</v>
      </c>
      <c r="I22" s="3">
        <f t="shared" si="6"/>
        <v>0</v>
      </c>
      <c r="J22" s="3">
        <f t="shared" si="1"/>
        <v>745.5333333333333</v>
      </c>
      <c r="K22" s="3">
        <f t="shared" si="7"/>
        <v>223.66</v>
      </c>
      <c r="L22" s="3">
        <f t="shared" si="2"/>
        <v>78.553333333333342</v>
      </c>
      <c r="M22" s="3">
        <v>50</v>
      </c>
      <c r="N22" s="3">
        <f t="shared" si="8"/>
        <v>223.66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2" s="337">
        <f>IF(AND(G22="Yes",'Total income package'!$A$14=TRUE,P22-N22&gt;0),P22-N22,0)</f>
        <v>771.34</v>
      </c>
      <c r="R22" s="29"/>
    </row>
    <row r="23" spans="1:18" x14ac:dyDescent="0.25">
      <c r="A23" s="182">
        <v>8500</v>
      </c>
      <c r="B23" s="4">
        <f t="shared" si="0"/>
        <v>708.33333333333337</v>
      </c>
      <c r="C23" s="4">
        <f>MAX('TANF-VIEW'!L26,'TANF-VIEW'!T26)</f>
        <v>0</v>
      </c>
      <c r="D23" s="4">
        <f>'Total income package'!$D$80</f>
        <v>0</v>
      </c>
      <c r="E23" s="4">
        <f>'Total income package'!$H$61+'Total income package'!$F$66</f>
        <v>100</v>
      </c>
      <c r="F23" s="4">
        <f t="shared" si="3"/>
        <v>808.33333333333337</v>
      </c>
      <c r="G23" s="181" t="str">
        <f t="shared" si="4"/>
        <v>Yes</v>
      </c>
      <c r="H23" s="3">
        <f t="shared" si="5"/>
        <v>40</v>
      </c>
      <c r="I23" s="3">
        <f t="shared" si="6"/>
        <v>0</v>
      </c>
      <c r="J23" s="3">
        <f t="shared" si="1"/>
        <v>768.33333333333337</v>
      </c>
      <c r="K23" s="3">
        <f t="shared" si="7"/>
        <v>230.5</v>
      </c>
      <c r="L23" s="3">
        <f t="shared" si="2"/>
        <v>80.833333333333343</v>
      </c>
      <c r="M23" s="3">
        <v>50</v>
      </c>
      <c r="N23" s="3">
        <f t="shared" si="8"/>
        <v>230.5</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3" s="337">
        <f>IF(AND(G23="Yes",'Total income package'!$A$14=TRUE,P23-N23&gt;0),P23-N23,0)</f>
        <v>764.5</v>
      </c>
      <c r="R23" s="29"/>
    </row>
    <row r="24" spans="1:18" x14ac:dyDescent="0.25">
      <c r="A24" s="182">
        <v>9000</v>
      </c>
      <c r="B24" s="4">
        <f t="shared" si="0"/>
        <v>750</v>
      </c>
      <c r="C24" s="4">
        <f>MAX('TANF-VIEW'!L27,'TANF-VIEW'!T27)</f>
        <v>0</v>
      </c>
      <c r="D24" s="4">
        <f>'Total income package'!$D$80</f>
        <v>0</v>
      </c>
      <c r="E24" s="4">
        <f>'Total income package'!$H$61+'Total income package'!$F$66</f>
        <v>100</v>
      </c>
      <c r="F24" s="4">
        <f t="shared" si="3"/>
        <v>850</v>
      </c>
      <c r="G24" s="181" t="str">
        <f t="shared" si="4"/>
        <v>Yes</v>
      </c>
      <c r="H24" s="3">
        <f t="shared" si="5"/>
        <v>40</v>
      </c>
      <c r="I24" s="3">
        <f t="shared" si="6"/>
        <v>0</v>
      </c>
      <c r="J24" s="3">
        <f t="shared" si="1"/>
        <v>810</v>
      </c>
      <c r="K24" s="3">
        <f t="shared" si="7"/>
        <v>243</v>
      </c>
      <c r="L24" s="3">
        <f t="shared" si="2"/>
        <v>85</v>
      </c>
      <c r="M24" s="3">
        <v>50</v>
      </c>
      <c r="N24" s="3">
        <f t="shared" si="8"/>
        <v>243</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4" s="337">
        <f>IF(AND(G24="Yes",'Total income package'!$A$14=TRUE,P24-N24&gt;0),P24-N24,0)</f>
        <v>752</v>
      </c>
      <c r="R24" s="29"/>
    </row>
    <row r="25" spans="1:18" x14ac:dyDescent="0.25">
      <c r="A25" s="182">
        <v>9500</v>
      </c>
      <c r="B25" s="4">
        <f t="shared" si="0"/>
        <v>791.66666666666663</v>
      </c>
      <c r="C25" s="4">
        <f>MAX('TANF-VIEW'!L28,'TANF-VIEW'!T28)</f>
        <v>0</v>
      </c>
      <c r="D25" s="4">
        <f>'Total income package'!$D$80</f>
        <v>0</v>
      </c>
      <c r="E25" s="4">
        <f>'Total income package'!$H$61+'Total income package'!$F$66</f>
        <v>100</v>
      </c>
      <c r="F25" s="4">
        <f t="shared" si="3"/>
        <v>891.66666666666663</v>
      </c>
      <c r="G25" s="181" t="str">
        <f t="shared" si="4"/>
        <v>Yes</v>
      </c>
      <c r="H25" s="3">
        <f t="shared" si="5"/>
        <v>40</v>
      </c>
      <c r="I25" s="3">
        <f t="shared" si="6"/>
        <v>0</v>
      </c>
      <c r="J25" s="3">
        <f t="shared" si="1"/>
        <v>851.66666666666663</v>
      </c>
      <c r="K25" s="3">
        <f t="shared" si="7"/>
        <v>255.49999999999997</v>
      </c>
      <c r="L25" s="3">
        <f t="shared" si="2"/>
        <v>89.166666666666671</v>
      </c>
      <c r="M25" s="3">
        <v>50</v>
      </c>
      <c r="N25" s="3">
        <f t="shared" si="8"/>
        <v>255.49999999999997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5" s="337">
        <f>IF(AND(G25="Yes",'Total income package'!$A$14=TRUE,P25-N25&gt;0),P25-N25,0)</f>
        <v>739.5</v>
      </c>
      <c r="R25" s="29"/>
    </row>
    <row r="26" spans="1:18" x14ac:dyDescent="0.25">
      <c r="A26" s="182">
        <v>10000</v>
      </c>
      <c r="B26" s="4">
        <f t="shared" si="0"/>
        <v>833.33333333333337</v>
      </c>
      <c r="C26" s="4">
        <f>MAX('TANF-VIEW'!L29,'TANF-VIEW'!T29)</f>
        <v>0</v>
      </c>
      <c r="D26" s="4">
        <f>'Total income package'!$D$80</f>
        <v>0</v>
      </c>
      <c r="E26" s="4">
        <f>'Total income package'!$H$61+'Total income package'!$F$66</f>
        <v>100</v>
      </c>
      <c r="F26" s="4">
        <f t="shared" si="3"/>
        <v>933.33333333333337</v>
      </c>
      <c r="G26" s="181" t="str">
        <f t="shared" si="4"/>
        <v>Yes</v>
      </c>
      <c r="H26" s="3">
        <f t="shared" si="5"/>
        <v>40</v>
      </c>
      <c r="I26" s="3">
        <f t="shared" si="6"/>
        <v>0</v>
      </c>
      <c r="J26" s="3">
        <f t="shared" si="1"/>
        <v>893.33333333333337</v>
      </c>
      <c r="K26" s="3">
        <f t="shared" si="7"/>
        <v>268</v>
      </c>
      <c r="L26" s="3">
        <f t="shared" si="2"/>
        <v>93.333333333333343</v>
      </c>
      <c r="M26" s="3">
        <v>50</v>
      </c>
      <c r="N26" s="3">
        <f t="shared" si="8"/>
        <v>268</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6" s="337">
        <f>IF(AND(G26="Yes",'Total income package'!$A$14=TRUE,P26-N26&gt;0),P26-N26,0)</f>
        <v>727</v>
      </c>
      <c r="R26" s="29"/>
    </row>
    <row r="27" spans="1:18" x14ac:dyDescent="0.25">
      <c r="A27" s="182">
        <v>10500</v>
      </c>
      <c r="B27" s="4">
        <f t="shared" si="0"/>
        <v>875</v>
      </c>
      <c r="C27" s="4">
        <f>MAX('TANF-VIEW'!L30,'TANF-VIEW'!T30)</f>
        <v>0</v>
      </c>
      <c r="D27" s="4">
        <f>'Total income package'!$D$80</f>
        <v>0</v>
      </c>
      <c r="E27" s="4">
        <f>'Total income package'!$H$61+'Total income package'!$F$66</f>
        <v>100</v>
      </c>
      <c r="F27" s="4">
        <f t="shared" si="3"/>
        <v>975</v>
      </c>
      <c r="G27" s="181" t="str">
        <f t="shared" si="4"/>
        <v>Yes</v>
      </c>
      <c r="H27" s="3">
        <f t="shared" si="5"/>
        <v>40</v>
      </c>
      <c r="I27" s="3">
        <f t="shared" si="6"/>
        <v>0</v>
      </c>
      <c r="J27" s="3">
        <f t="shared" si="1"/>
        <v>935</v>
      </c>
      <c r="K27" s="3">
        <f t="shared" si="7"/>
        <v>280.5</v>
      </c>
      <c r="L27" s="3">
        <f t="shared" si="2"/>
        <v>97.5</v>
      </c>
      <c r="M27" s="3">
        <v>50</v>
      </c>
      <c r="N27" s="3">
        <f t="shared" si="8"/>
        <v>280.5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7" s="337">
        <f>IF(AND(G27="Yes",'Total income package'!$A$14=TRUE,P27-N27&gt;0),P27-N27,0)</f>
        <v>714.5</v>
      </c>
      <c r="R27" s="29"/>
    </row>
    <row r="28" spans="1:18" x14ac:dyDescent="0.25">
      <c r="A28" s="182">
        <v>11000</v>
      </c>
      <c r="B28" s="4">
        <f t="shared" si="0"/>
        <v>916.66666666666663</v>
      </c>
      <c r="C28" s="4">
        <f>MAX('TANF-VIEW'!L31,'TANF-VIEW'!T31)</f>
        <v>0</v>
      </c>
      <c r="D28" s="4">
        <f>'Total income package'!$D$80</f>
        <v>0</v>
      </c>
      <c r="E28" s="4">
        <f>'Total income package'!$H$61+'Total income package'!$F$66</f>
        <v>100</v>
      </c>
      <c r="F28" s="4">
        <f t="shared" si="3"/>
        <v>1016.6666666666666</v>
      </c>
      <c r="G28" s="181" t="str">
        <f t="shared" si="4"/>
        <v>Yes</v>
      </c>
      <c r="H28" s="3">
        <f t="shared" si="5"/>
        <v>40</v>
      </c>
      <c r="I28" s="3">
        <f t="shared" si="6"/>
        <v>0</v>
      </c>
      <c r="J28" s="3">
        <f t="shared" si="1"/>
        <v>976.66666666666663</v>
      </c>
      <c r="K28" s="3">
        <f t="shared" si="7"/>
        <v>293</v>
      </c>
      <c r="L28" s="3">
        <f t="shared" si="2"/>
        <v>101.66666666666667</v>
      </c>
      <c r="M28" s="3">
        <v>50</v>
      </c>
      <c r="N28" s="3">
        <f t="shared" si="8"/>
        <v>293</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8" s="337">
        <f>IF(AND(G28="Yes",'Total income package'!$A$14=TRUE,P28-N28&gt;0),P28-N28,0)</f>
        <v>702</v>
      </c>
      <c r="R28" s="29"/>
    </row>
    <row r="29" spans="1:18" x14ac:dyDescent="0.25">
      <c r="A29" s="182">
        <v>11500</v>
      </c>
      <c r="B29" s="4">
        <f t="shared" si="0"/>
        <v>958.33333333333337</v>
      </c>
      <c r="C29" s="4">
        <f>MAX('TANF-VIEW'!L32,'TANF-VIEW'!T32)</f>
        <v>0</v>
      </c>
      <c r="D29" s="4">
        <f>'Total income package'!$D$80</f>
        <v>0</v>
      </c>
      <c r="E29" s="4">
        <f>'Total income package'!$H$61+'Total income package'!$F$66</f>
        <v>100</v>
      </c>
      <c r="F29" s="4">
        <f t="shared" si="3"/>
        <v>1058.3333333333335</v>
      </c>
      <c r="G29" s="181" t="str">
        <f t="shared" si="4"/>
        <v>Yes</v>
      </c>
      <c r="H29" s="3">
        <f t="shared" si="5"/>
        <v>40</v>
      </c>
      <c r="I29" s="3">
        <f t="shared" si="6"/>
        <v>0</v>
      </c>
      <c r="J29" s="3">
        <f t="shared" si="1"/>
        <v>1018.3333333333335</v>
      </c>
      <c r="K29" s="3">
        <f t="shared" si="7"/>
        <v>305.50000000000006</v>
      </c>
      <c r="L29" s="3">
        <f t="shared" si="2"/>
        <v>105.83333333333336</v>
      </c>
      <c r="M29" s="3">
        <v>50</v>
      </c>
      <c r="N29" s="3">
        <f t="shared" si="8"/>
        <v>305.50000000000006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9" s="337">
        <f>IF(AND(G29="Yes",'Total income package'!$A$14=TRUE,P29-N29&gt;0),P29-N29,0)</f>
        <v>689.5</v>
      </c>
      <c r="R29" s="29"/>
    </row>
    <row r="30" spans="1:18" x14ac:dyDescent="0.25">
      <c r="A30" s="182">
        <v>12000</v>
      </c>
      <c r="B30" s="4">
        <f t="shared" si="0"/>
        <v>1000</v>
      </c>
      <c r="C30" s="4">
        <f>MAX('TANF-VIEW'!L33,'TANF-VIEW'!T33)</f>
        <v>0</v>
      </c>
      <c r="D30" s="4">
        <f>'Total income package'!$D$80</f>
        <v>0</v>
      </c>
      <c r="E30" s="4">
        <f>'Total income package'!$H$61+'Total income package'!$F$66</f>
        <v>100</v>
      </c>
      <c r="F30" s="4">
        <f t="shared" si="3"/>
        <v>1100</v>
      </c>
      <c r="G30" s="181" t="str">
        <f t="shared" si="4"/>
        <v>Yes</v>
      </c>
      <c r="H30" s="3">
        <f t="shared" si="5"/>
        <v>40</v>
      </c>
      <c r="I30" s="3">
        <f t="shared" si="6"/>
        <v>0</v>
      </c>
      <c r="J30" s="3">
        <f t="shared" si="1"/>
        <v>1060</v>
      </c>
      <c r="K30" s="3">
        <f t="shared" si="7"/>
        <v>318</v>
      </c>
      <c r="L30" s="3">
        <f t="shared" si="2"/>
        <v>110</v>
      </c>
      <c r="M30" s="3">
        <v>50</v>
      </c>
      <c r="N30" s="3">
        <f t="shared" si="8"/>
        <v>318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0" s="337">
        <f>IF(AND(G30="Yes",'Total income package'!$A$14=TRUE,P30-N30&gt;0),P30-N30,0)</f>
        <v>677</v>
      </c>
      <c r="R30" s="29"/>
    </row>
    <row r="31" spans="1:18" x14ac:dyDescent="0.25">
      <c r="A31" s="182">
        <v>12500</v>
      </c>
      <c r="B31" s="4">
        <f t="shared" si="0"/>
        <v>1041.6666666666667</v>
      </c>
      <c r="C31" s="4">
        <f>MAX('TANF-VIEW'!L34,'TANF-VIEW'!T34)</f>
        <v>0</v>
      </c>
      <c r="D31" s="4">
        <f>'Total income package'!$D$80</f>
        <v>0</v>
      </c>
      <c r="E31" s="4">
        <f>'Total income package'!$H$61+'Total income package'!$F$66</f>
        <v>100</v>
      </c>
      <c r="F31" s="4">
        <f t="shared" si="3"/>
        <v>1141.6666666666667</v>
      </c>
      <c r="G31" s="181" t="str">
        <f t="shared" si="4"/>
        <v>Yes</v>
      </c>
      <c r="H31" s="3">
        <f t="shared" si="5"/>
        <v>40</v>
      </c>
      <c r="I31" s="3">
        <f t="shared" si="6"/>
        <v>0</v>
      </c>
      <c r="J31" s="3">
        <f t="shared" si="1"/>
        <v>1101.6666666666667</v>
      </c>
      <c r="K31" s="3">
        <f t="shared" si="7"/>
        <v>330.5</v>
      </c>
      <c r="L31" s="3">
        <f t="shared" si="2"/>
        <v>114.16666666666669</v>
      </c>
      <c r="M31" s="3">
        <v>50</v>
      </c>
      <c r="N31" s="3">
        <f t="shared" si="8"/>
        <v>330.5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1" s="337">
        <f>IF(AND(G31="Yes",'Total income package'!$A$14=TRUE,P31-N31&gt;0),P31-N31,0)</f>
        <v>664.5</v>
      </c>
      <c r="R31" s="29"/>
    </row>
    <row r="32" spans="1:18" x14ac:dyDescent="0.25">
      <c r="A32" s="182">
        <v>13000</v>
      </c>
      <c r="B32" s="4">
        <f t="shared" si="0"/>
        <v>1083.3333333333333</v>
      </c>
      <c r="C32" s="4">
        <f>MAX('TANF-VIEW'!L35,'TANF-VIEW'!T35)</f>
        <v>0</v>
      </c>
      <c r="D32" s="4">
        <f>'Total income package'!$D$80</f>
        <v>0</v>
      </c>
      <c r="E32" s="4">
        <f>'Total income package'!$H$61+'Total income package'!$F$66</f>
        <v>100</v>
      </c>
      <c r="F32" s="4">
        <f t="shared" si="3"/>
        <v>1183.3333333333333</v>
      </c>
      <c r="G32" s="181" t="str">
        <f t="shared" si="4"/>
        <v>Yes</v>
      </c>
      <c r="H32" s="3">
        <f t="shared" si="5"/>
        <v>40</v>
      </c>
      <c r="I32" s="3">
        <f t="shared" si="6"/>
        <v>0</v>
      </c>
      <c r="J32" s="3">
        <f t="shared" si="1"/>
        <v>1143.3333333333333</v>
      </c>
      <c r="K32" s="3">
        <f t="shared" si="7"/>
        <v>342.99999999999994</v>
      </c>
      <c r="L32" s="3">
        <f t="shared" si="2"/>
        <v>118.33333333333333</v>
      </c>
      <c r="M32" s="3">
        <v>50</v>
      </c>
      <c r="N32" s="3">
        <f t="shared" si="8"/>
        <v>342.99999999999994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2" s="337">
        <f>IF(AND(G32="Yes",'Total income package'!$A$14=TRUE,P32-N32&gt;0),P32-N32,0)</f>
        <v>652</v>
      </c>
      <c r="R32" s="29"/>
    </row>
    <row r="33" spans="1:18" x14ac:dyDescent="0.25">
      <c r="A33" s="182">
        <v>13500</v>
      </c>
      <c r="B33" s="4">
        <f t="shared" si="0"/>
        <v>1125</v>
      </c>
      <c r="C33" s="4">
        <f>MAX('TANF-VIEW'!L36,'TANF-VIEW'!T36)</f>
        <v>0</v>
      </c>
      <c r="D33" s="4">
        <f>'Total income package'!$D$80</f>
        <v>0</v>
      </c>
      <c r="E33" s="4">
        <f>'Total income package'!$H$61+'Total income package'!$F$66</f>
        <v>100</v>
      </c>
      <c r="F33" s="4">
        <f t="shared" si="3"/>
        <v>1225</v>
      </c>
      <c r="G33" s="181" t="str">
        <f t="shared" si="4"/>
        <v>Yes</v>
      </c>
      <c r="H33" s="3">
        <f t="shared" si="5"/>
        <v>40</v>
      </c>
      <c r="I33" s="3">
        <f t="shared" si="6"/>
        <v>0</v>
      </c>
      <c r="J33" s="3">
        <f t="shared" si="1"/>
        <v>1185</v>
      </c>
      <c r="K33" s="3">
        <f t="shared" si="7"/>
        <v>355.5</v>
      </c>
      <c r="L33" s="3">
        <f t="shared" si="2"/>
        <v>122.5</v>
      </c>
      <c r="M33" s="3">
        <v>50</v>
      </c>
      <c r="N33" s="3">
        <f t="shared" si="8"/>
        <v>355.5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3" s="337">
        <f>IF(AND(G33="Yes",'Total income package'!$A$14=TRUE,P33-N33&gt;0),P33-N33,0)</f>
        <v>639.5</v>
      </c>
      <c r="R33" s="29"/>
    </row>
    <row r="34" spans="1:18" x14ac:dyDescent="0.25">
      <c r="A34" s="182">
        <v>14000</v>
      </c>
      <c r="B34" s="4">
        <f t="shared" si="0"/>
        <v>1166.6666666666667</v>
      </c>
      <c r="C34" s="4">
        <f>MAX('TANF-VIEW'!L37,'TANF-VIEW'!T37)</f>
        <v>0</v>
      </c>
      <c r="D34" s="4">
        <f>'Total income package'!$D$80</f>
        <v>0</v>
      </c>
      <c r="E34" s="4">
        <f>'Total income package'!$H$61+'Total income package'!$F$66</f>
        <v>100</v>
      </c>
      <c r="F34" s="4">
        <f t="shared" si="3"/>
        <v>1266.6666666666667</v>
      </c>
      <c r="G34" s="181" t="str">
        <f t="shared" si="4"/>
        <v>Yes</v>
      </c>
      <c r="H34" s="3">
        <f t="shared" si="5"/>
        <v>40</v>
      </c>
      <c r="I34" s="3">
        <f t="shared" si="6"/>
        <v>0</v>
      </c>
      <c r="J34" s="3">
        <f t="shared" si="1"/>
        <v>1226.6666666666667</v>
      </c>
      <c r="K34" s="3">
        <f t="shared" si="7"/>
        <v>368</v>
      </c>
      <c r="L34" s="3">
        <f t="shared" si="2"/>
        <v>126.66666666666669</v>
      </c>
      <c r="M34" s="3">
        <v>50</v>
      </c>
      <c r="N34" s="3">
        <f t="shared" si="8"/>
        <v>368</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4" s="337">
        <f>IF(AND(G34="Yes",'Total income package'!$A$14=TRUE,P34-N34&gt;0),P34-N34,0)</f>
        <v>627</v>
      </c>
      <c r="R34" s="29"/>
    </row>
    <row r="35" spans="1:18" x14ac:dyDescent="0.25">
      <c r="A35" s="182">
        <v>14500</v>
      </c>
      <c r="B35" s="4">
        <f t="shared" si="0"/>
        <v>1208.3333333333333</v>
      </c>
      <c r="C35" s="4">
        <f>MAX('TANF-VIEW'!L38,'TANF-VIEW'!T38)</f>
        <v>0</v>
      </c>
      <c r="D35" s="4">
        <f>'Total income package'!$D$80</f>
        <v>0</v>
      </c>
      <c r="E35" s="4">
        <f>'Total income package'!$H$61+'Total income package'!$F$66</f>
        <v>100</v>
      </c>
      <c r="F35" s="4">
        <f t="shared" si="3"/>
        <v>1308.3333333333333</v>
      </c>
      <c r="G35" s="181" t="str">
        <f t="shared" si="4"/>
        <v>Yes</v>
      </c>
      <c r="H35" s="3">
        <f t="shared" si="5"/>
        <v>40</v>
      </c>
      <c r="I35" s="3">
        <f t="shared" si="6"/>
        <v>0</v>
      </c>
      <c r="J35" s="3">
        <f t="shared" si="1"/>
        <v>1268.3333333333333</v>
      </c>
      <c r="K35" s="3">
        <f t="shared" si="7"/>
        <v>380.49999999999994</v>
      </c>
      <c r="L35" s="3">
        <f t="shared" si="2"/>
        <v>130.83333333333334</v>
      </c>
      <c r="M35" s="3">
        <v>50</v>
      </c>
      <c r="N35" s="3">
        <f t="shared" si="8"/>
        <v>380.49999999999994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5" s="337">
        <f>IF(AND(G35="Yes",'Total income package'!$A$14=TRUE,P35-N35&gt;0),P35-N35,0)</f>
        <v>614.5</v>
      </c>
      <c r="R35" s="29"/>
    </row>
    <row r="36" spans="1:18" x14ac:dyDescent="0.25">
      <c r="A36" s="182">
        <v>15000</v>
      </c>
      <c r="B36" s="4">
        <f t="shared" si="0"/>
        <v>1250</v>
      </c>
      <c r="C36" s="4">
        <f>MAX('TANF-VIEW'!L39,'TANF-VIEW'!T39)</f>
        <v>0</v>
      </c>
      <c r="D36" s="4">
        <f>'Total income package'!$D$80</f>
        <v>0</v>
      </c>
      <c r="E36" s="4">
        <f>'Total income package'!$H$61+'Total income package'!$F$66</f>
        <v>100</v>
      </c>
      <c r="F36" s="4">
        <f t="shared" si="3"/>
        <v>1350</v>
      </c>
      <c r="G36" s="181" t="str">
        <f t="shared" si="4"/>
        <v>Yes</v>
      </c>
      <c r="H36" s="3">
        <f t="shared" si="5"/>
        <v>40</v>
      </c>
      <c r="I36" s="3">
        <f t="shared" si="6"/>
        <v>0</v>
      </c>
      <c r="J36" s="3">
        <f t="shared" si="1"/>
        <v>1310</v>
      </c>
      <c r="K36" s="3">
        <f t="shared" si="7"/>
        <v>393</v>
      </c>
      <c r="L36" s="3">
        <f t="shared" si="2"/>
        <v>135</v>
      </c>
      <c r="M36" s="3">
        <v>50</v>
      </c>
      <c r="N36" s="3">
        <f t="shared" si="8"/>
        <v>393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6" s="337">
        <f>IF(AND(G36="Yes",'Total income package'!$A$14=TRUE,P36-N36&gt;0),P36-N36,0)</f>
        <v>602</v>
      </c>
      <c r="R36" s="29"/>
    </row>
    <row r="37" spans="1:18" x14ac:dyDescent="0.25">
      <c r="A37" s="182">
        <v>15500</v>
      </c>
      <c r="B37" s="4">
        <f t="shared" si="0"/>
        <v>1291.6666666666667</v>
      </c>
      <c r="C37" s="4">
        <f>MAX('TANF-VIEW'!L40,'TANF-VIEW'!T40)</f>
        <v>0</v>
      </c>
      <c r="D37" s="4">
        <f>'Total income package'!$D$80</f>
        <v>0</v>
      </c>
      <c r="E37" s="4">
        <f>'Total income package'!$H$61+'Total income package'!$F$66</f>
        <v>100</v>
      </c>
      <c r="F37" s="4">
        <f t="shared" si="3"/>
        <v>1391.6666666666667</v>
      </c>
      <c r="G37" s="181" t="str">
        <f t="shared" si="4"/>
        <v>Yes</v>
      </c>
      <c r="H37" s="3">
        <f t="shared" si="5"/>
        <v>40</v>
      </c>
      <c r="I37" s="3">
        <f t="shared" si="6"/>
        <v>0</v>
      </c>
      <c r="J37" s="3">
        <f t="shared" si="1"/>
        <v>1351.6666666666667</v>
      </c>
      <c r="K37" s="3">
        <f t="shared" si="7"/>
        <v>405.5</v>
      </c>
      <c r="L37" s="3">
        <f t="shared" si="2"/>
        <v>139.16666666666669</v>
      </c>
      <c r="M37" s="3">
        <v>50</v>
      </c>
      <c r="N37" s="3">
        <f t="shared" si="8"/>
        <v>405.5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7" s="337">
        <f>IF(AND(G37="Yes",'Total income package'!$A$14=TRUE,P37-N37&gt;0),P37-N37,0)</f>
        <v>589.5</v>
      </c>
      <c r="R37" s="29"/>
    </row>
    <row r="38" spans="1:18" x14ac:dyDescent="0.25">
      <c r="A38" s="182">
        <v>16000</v>
      </c>
      <c r="B38" s="4">
        <f t="shared" si="0"/>
        <v>1333.3333333333333</v>
      </c>
      <c r="C38" s="4">
        <f>MAX('TANF-VIEW'!L41,'TANF-VIEW'!T41)</f>
        <v>0</v>
      </c>
      <c r="D38" s="4">
        <f>'Total income package'!$D$80</f>
        <v>0</v>
      </c>
      <c r="E38" s="4">
        <f>'Total income package'!$H$61+'Total income package'!$F$66</f>
        <v>100</v>
      </c>
      <c r="F38" s="4">
        <f t="shared" si="3"/>
        <v>1433.3333333333333</v>
      </c>
      <c r="G38" s="181" t="str">
        <f t="shared" si="4"/>
        <v>Yes</v>
      </c>
      <c r="H38" s="3">
        <f t="shared" si="5"/>
        <v>40</v>
      </c>
      <c r="I38" s="3">
        <f t="shared" si="6"/>
        <v>0</v>
      </c>
      <c r="J38" s="3">
        <f t="shared" si="1"/>
        <v>1393.3333333333333</v>
      </c>
      <c r="K38" s="3">
        <f t="shared" si="7"/>
        <v>417.99999999999994</v>
      </c>
      <c r="L38" s="3">
        <f t="shared" si="2"/>
        <v>143.33333333333334</v>
      </c>
      <c r="M38" s="3">
        <v>50</v>
      </c>
      <c r="N38" s="3">
        <f t="shared" si="8"/>
        <v>417.99999999999994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8" s="337">
        <f>IF(AND(G38="Yes",'Total income package'!$A$14=TRUE,P38-N38&gt;0),P38-N38,0)</f>
        <v>577</v>
      </c>
      <c r="R38" s="29"/>
    </row>
    <row r="39" spans="1:18" x14ac:dyDescent="0.25">
      <c r="A39" s="182">
        <v>16500</v>
      </c>
      <c r="B39" s="4">
        <f t="shared" si="0"/>
        <v>1375</v>
      </c>
      <c r="C39" s="4">
        <f>MAX('TANF-VIEW'!L42,'TANF-VIEW'!T42)</f>
        <v>0</v>
      </c>
      <c r="D39" s="4">
        <f>'Total income package'!$D$80</f>
        <v>0</v>
      </c>
      <c r="E39" s="4">
        <f>'Total income package'!$H$61+'Total income package'!$F$66</f>
        <v>100</v>
      </c>
      <c r="F39" s="4">
        <f t="shared" si="3"/>
        <v>1475</v>
      </c>
      <c r="G39" s="181" t="str">
        <f t="shared" si="4"/>
        <v>Yes</v>
      </c>
      <c r="H39" s="3">
        <f t="shared" si="5"/>
        <v>40</v>
      </c>
      <c r="I39" s="3">
        <f t="shared" si="6"/>
        <v>0</v>
      </c>
      <c r="J39" s="3">
        <f t="shared" si="1"/>
        <v>1435</v>
      </c>
      <c r="K39" s="3">
        <f t="shared" si="7"/>
        <v>430.5</v>
      </c>
      <c r="L39" s="3">
        <f t="shared" si="2"/>
        <v>147.5</v>
      </c>
      <c r="M39" s="3">
        <v>50</v>
      </c>
      <c r="N39" s="3">
        <f t="shared" si="8"/>
        <v>430.5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39" s="337">
        <f>IF(AND(G39="Yes",'Total income package'!$A$14=TRUE,P39-N39&gt;0),P39-N39,0)</f>
        <v>564.5</v>
      </c>
      <c r="R39" s="29"/>
    </row>
    <row r="40" spans="1:18" x14ac:dyDescent="0.25">
      <c r="A40" s="182">
        <v>17000</v>
      </c>
      <c r="B40" s="4">
        <f t="shared" si="0"/>
        <v>1416.6666666666667</v>
      </c>
      <c r="C40" s="4">
        <f>MAX('TANF-VIEW'!L43,'TANF-VIEW'!T43)</f>
        <v>0</v>
      </c>
      <c r="D40" s="4">
        <f>'Total income package'!$D$80</f>
        <v>0</v>
      </c>
      <c r="E40" s="4">
        <f>'Total income package'!$H$61+'Total income package'!$F$66</f>
        <v>100</v>
      </c>
      <c r="F40" s="4">
        <f t="shared" si="3"/>
        <v>1516.6666666666667</v>
      </c>
      <c r="G40" s="181" t="str">
        <f t="shared" si="4"/>
        <v>Yes</v>
      </c>
      <c r="H40" s="3">
        <f t="shared" si="5"/>
        <v>40</v>
      </c>
      <c r="I40" s="3">
        <f t="shared" si="6"/>
        <v>0</v>
      </c>
      <c r="J40" s="3">
        <f t="shared" si="1"/>
        <v>1476.6666666666667</v>
      </c>
      <c r="K40" s="3">
        <f t="shared" si="7"/>
        <v>443</v>
      </c>
      <c r="L40" s="3">
        <f t="shared" si="2"/>
        <v>151.66666666666669</v>
      </c>
      <c r="M40" s="3">
        <v>50</v>
      </c>
      <c r="N40" s="3">
        <f t="shared" si="8"/>
        <v>443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0" s="337">
        <f>IF(AND(G40="Yes",'Total income package'!$A$14=TRUE,P40-N40&gt;0),P40-N40,0)</f>
        <v>552</v>
      </c>
      <c r="R40" s="29"/>
    </row>
    <row r="41" spans="1:18" x14ac:dyDescent="0.25">
      <c r="A41" s="182">
        <v>17500</v>
      </c>
      <c r="B41" s="4">
        <f t="shared" si="0"/>
        <v>1458.3333333333333</v>
      </c>
      <c r="C41" s="4">
        <f>MAX('TANF-VIEW'!L44,'TANF-VIEW'!T44)</f>
        <v>0</v>
      </c>
      <c r="D41" s="4">
        <f>'Total income package'!$D$80</f>
        <v>0</v>
      </c>
      <c r="E41" s="4">
        <f>'Total income package'!$H$61+'Total income package'!$F$66</f>
        <v>100</v>
      </c>
      <c r="F41" s="4">
        <f t="shared" si="3"/>
        <v>1558.3333333333333</v>
      </c>
      <c r="G41" s="181" t="str">
        <f t="shared" si="4"/>
        <v>Yes</v>
      </c>
      <c r="H41" s="3">
        <f t="shared" si="5"/>
        <v>40</v>
      </c>
      <c r="I41" s="3">
        <f t="shared" si="6"/>
        <v>0</v>
      </c>
      <c r="J41" s="3">
        <f t="shared" si="1"/>
        <v>1518.3333333333333</v>
      </c>
      <c r="K41" s="3">
        <f t="shared" si="7"/>
        <v>455.49999999999994</v>
      </c>
      <c r="L41" s="3">
        <f t="shared" si="2"/>
        <v>155.83333333333334</v>
      </c>
      <c r="M41" s="3">
        <v>50</v>
      </c>
      <c r="N41" s="3">
        <f t="shared" si="8"/>
        <v>455.49999999999994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1" s="337">
        <f>IF(AND(G41="Yes",'Total income package'!$A$14=TRUE,P41-N41&gt;0),P41-N41,0)</f>
        <v>539.5</v>
      </c>
      <c r="R41" s="29"/>
    </row>
    <row r="42" spans="1:18" x14ac:dyDescent="0.25">
      <c r="A42" s="182">
        <v>18000</v>
      </c>
      <c r="B42" s="4">
        <f t="shared" si="0"/>
        <v>1500</v>
      </c>
      <c r="C42" s="4">
        <f>MAX('TANF-VIEW'!L45,'TANF-VIEW'!T45)</f>
        <v>0</v>
      </c>
      <c r="D42" s="4">
        <f>'Total income package'!$D$80</f>
        <v>0</v>
      </c>
      <c r="E42" s="4">
        <f>'Total income package'!$H$61+'Total income package'!$F$66</f>
        <v>100</v>
      </c>
      <c r="F42" s="4">
        <f t="shared" si="3"/>
        <v>1600</v>
      </c>
      <c r="G42" s="181" t="str">
        <f t="shared" si="4"/>
        <v>Yes</v>
      </c>
      <c r="H42" s="3">
        <f t="shared" si="5"/>
        <v>40</v>
      </c>
      <c r="I42" s="3">
        <f t="shared" si="6"/>
        <v>0</v>
      </c>
      <c r="J42" s="3">
        <f t="shared" si="1"/>
        <v>1560</v>
      </c>
      <c r="K42" s="3">
        <f t="shared" si="7"/>
        <v>468</v>
      </c>
      <c r="L42" s="3">
        <f t="shared" si="2"/>
        <v>160</v>
      </c>
      <c r="M42" s="3">
        <v>50</v>
      </c>
      <c r="N42" s="3">
        <f t="shared" si="8"/>
        <v>468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2" s="337">
        <f>IF(AND(G42="Yes",'Total income package'!$A$14=TRUE,P42-N42&gt;0),P42-N42,0)</f>
        <v>527</v>
      </c>
      <c r="R42" s="29"/>
    </row>
    <row r="43" spans="1:18" x14ac:dyDescent="0.25">
      <c r="A43" s="182">
        <v>18500</v>
      </c>
      <c r="B43" s="4">
        <f t="shared" si="0"/>
        <v>1541.6666666666667</v>
      </c>
      <c r="C43" s="4">
        <f>MAX('TANF-VIEW'!L46,'TANF-VIEW'!T46)</f>
        <v>0</v>
      </c>
      <c r="D43" s="4">
        <f>'Total income package'!$D$80</f>
        <v>0</v>
      </c>
      <c r="E43" s="4">
        <f>'Total income package'!$H$61+'Total income package'!$F$66</f>
        <v>100</v>
      </c>
      <c r="F43" s="4">
        <f t="shared" si="3"/>
        <v>1641.6666666666667</v>
      </c>
      <c r="G43" s="181" t="str">
        <f t="shared" si="4"/>
        <v>Yes</v>
      </c>
      <c r="H43" s="3">
        <f t="shared" si="5"/>
        <v>40</v>
      </c>
      <c r="I43" s="3">
        <f t="shared" si="6"/>
        <v>0</v>
      </c>
      <c r="J43" s="3">
        <f t="shared" si="1"/>
        <v>1601.6666666666667</v>
      </c>
      <c r="K43" s="3">
        <f t="shared" si="7"/>
        <v>480.5</v>
      </c>
      <c r="L43" s="3">
        <f t="shared" si="2"/>
        <v>164.16666666666669</v>
      </c>
      <c r="M43" s="3">
        <v>50</v>
      </c>
      <c r="N43" s="3">
        <f t="shared" si="8"/>
        <v>480.5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3" s="337">
        <f>IF(AND(G43="Yes",'Total income package'!$A$14=TRUE,P43-N43&gt;0),P43-N43,0)</f>
        <v>514.5</v>
      </c>
      <c r="R43" s="29"/>
    </row>
    <row r="44" spans="1:18" x14ac:dyDescent="0.25">
      <c r="A44" s="182">
        <v>19000</v>
      </c>
      <c r="B44" s="4">
        <f t="shared" si="0"/>
        <v>1583.3333333333333</v>
      </c>
      <c r="C44" s="4">
        <f>MAX('TANF-VIEW'!L47,'TANF-VIEW'!T47)</f>
        <v>0</v>
      </c>
      <c r="D44" s="4">
        <f>'Total income package'!$D$80</f>
        <v>0</v>
      </c>
      <c r="E44" s="4">
        <f>'Total income package'!$H$61+'Total income package'!$F$66</f>
        <v>100</v>
      </c>
      <c r="F44" s="4">
        <f t="shared" si="3"/>
        <v>1683.3333333333333</v>
      </c>
      <c r="G44" s="181" t="str">
        <f t="shared" si="4"/>
        <v>Yes</v>
      </c>
      <c r="H44" s="3">
        <f t="shared" si="5"/>
        <v>40</v>
      </c>
      <c r="I44" s="3">
        <f t="shared" si="6"/>
        <v>0</v>
      </c>
      <c r="J44" s="3">
        <f t="shared" si="1"/>
        <v>1643.3333333333333</v>
      </c>
      <c r="K44" s="3">
        <f t="shared" si="7"/>
        <v>492.99999999999994</v>
      </c>
      <c r="L44" s="3">
        <f t="shared" si="2"/>
        <v>168.33333333333334</v>
      </c>
      <c r="M44" s="3">
        <v>50</v>
      </c>
      <c r="N44" s="3">
        <f t="shared" si="8"/>
        <v>492.99999999999994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4" s="337">
        <f>IF(AND(G44="Yes",'Total income package'!$A$14=TRUE,P44-N44&gt;0),P44-N44,0)</f>
        <v>502.00000000000006</v>
      </c>
      <c r="R44" s="29"/>
    </row>
    <row r="45" spans="1:18" x14ac:dyDescent="0.25">
      <c r="A45" s="182">
        <v>19500</v>
      </c>
      <c r="B45" s="4">
        <f t="shared" si="0"/>
        <v>1625</v>
      </c>
      <c r="C45" s="4">
        <f>MAX('TANF-VIEW'!L48,'TANF-VIEW'!T48)</f>
        <v>0</v>
      </c>
      <c r="D45" s="4">
        <f>'Total income package'!$D$80</f>
        <v>0</v>
      </c>
      <c r="E45" s="4">
        <f>'Total income package'!$H$61+'Total income package'!$F$66</f>
        <v>100</v>
      </c>
      <c r="F45" s="4">
        <f t="shared" si="3"/>
        <v>1725</v>
      </c>
      <c r="G45" s="181" t="str">
        <f t="shared" si="4"/>
        <v>Yes</v>
      </c>
      <c r="H45" s="3">
        <f t="shared" si="5"/>
        <v>40</v>
      </c>
      <c r="I45" s="3">
        <f t="shared" si="6"/>
        <v>0</v>
      </c>
      <c r="J45" s="3">
        <f t="shared" si="1"/>
        <v>1685</v>
      </c>
      <c r="K45" s="3">
        <f t="shared" si="7"/>
        <v>505.5</v>
      </c>
      <c r="L45" s="3">
        <f t="shared" si="2"/>
        <v>172.5</v>
      </c>
      <c r="M45" s="3">
        <v>50</v>
      </c>
      <c r="N45" s="3">
        <f t="shared" si="8"/>
        <v>505.5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5" s="337">
        <f>IF(AND(G45="Yes",'Total income package'!$A$14=TRUE,P45-N45&gt;0),P45-N45,0)</f>
        <v>489.5</v>
      </c>
      <c r="R45" s="29"/>
    </row>
    <row r="46" spans="1:18" x14ac:dyDescent="0.25">
      <c r="A46" s="182">
        <v>20000</v>
      </c>
      <c r="B46" s="4">
        <f t="shared" si="0"/>
        <v>1666.6666666666667</v>
      </c>
      <c r="C46" s="4">
        <f>MAX('TANF-VIEW'!L49,'TANF-VIEW'!T49)</f>
        <v>0</v>
      </c>
      <c r="D46" s="4">
        <f>'Total income package'!$D$80</f>
        <v>0</v>
      </c>
      <c r="E46" s="4">
        <f>'Total income package'!$H$61+'Total income package'!$F$66</f>
        <v>100</v>
      </c>
      <c r="F46" s="4">
        <f t="shared" si="3"/>
        <v>1766.6666666666667</v>
      </c>
      <c r="G46" s="181" t="str">
        <f t="shared" si="4"/>
        <v>Yes</v>
      </c>
      <c r="H46" s="3">
        <f t="shared" si="5"/>
        <v>40</v>
      </c>
      <c r="I46" s="3">
        <f t="shared" si="6"/>
        <v>0</v>
      </c>
      <c r="J46" s="3">
        <f t="shared" si="1"/>
        <v>1726.6666666666667</v>
      </c>
      <c r="K46" s="3">
        <f t="shared" si="7"/>
        <v>518</v>
      </c>
      <c r="L46" s="3">
        <f t="shared" si="2"/>
        <v>176.66666666666669</v>
      </c>
      <c r="M46" s="3">
        <v>50</v>
      </c>
      <c r="N46" s="3">
        <f t="shared" si="8"/>
        <v>518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6" s="337">
        <f>IF(AND(G46="Yes",'Total income package'!$A$14=TRUE,P46-N46&gt;0),P46-N46,0)</f>
        <v>477</v>
      </c>
      <c r="R46" s="29"/>
    </row>
    <row r="47" spans="1:18" x14ac:dyDescent="0.25">
      <c r="A47" s="182">
        <v>20500</v>
      </c>
      <c r="B47" s="4">
        <f t="shared" si="0"/>
        <v>1708.3333333333333</v>
      </c>
      <c r="C47" s="4">
        <f>MAX('TANF-VIEW'!L50,'TANF-VIEW'!T50)</f>
        <v>0</v>
      </c>
      <c r="D47" s="4">
        <f>'Total income package'!$D$80</f>
        <v>0</v>
      </c>
      <c r="E47" s="4">
        <f>'Total income package'!$H$61+'Total income package'!$F$66</f>
        <v>100</v>
      </c>
      <c r="F47" s="4">
        <f t="shared" si="3"/>
        <v>1808.3333333333333</v>
      </c>
      <c r="G47" s="181" t="str">
        <f t="shared" si="4"/>
        <v>Yes</v>
      </c>
      <c r="H47" s="3">
        <f t="shared" si="5"/>
        <v>40</v>
      </c>
      <c r="I47" s="3">
        <f t="shared" si="6"/>
        <v>0</v>
      </c>
      <c r="J47" s="3">
        <f t="shared" si="1"/>
        <v>1768.3333333333333</v>
      </c>
      <c r="K47" s="3">
        <f t="shared" si="7"/>
        <v>530.5</v>
      </c>
      <c r="L47" s="3">
        <f t="shared" si="2"/>
        <v>180.83333333333334</v>
      </c>
      <c r="M47" s="3">
        <v>50</v>
      </c>
      <c r="N47" s="3">
        <f t="shared" si="8"/>
        <v>530.5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7" s="337">
        <f>IF(AND(G47="Yes",'Total income package'!$A$14=TRUE,P47-N47&gt;0),P47-N47,0)</f>
        <v>464.5</v>
      </c>
      <c r="R47" s="29"/>
    </row>
    <row r="48" spans="1:18" x14ac:dyDescent="0.25">
      <c r="A48" s="182">
        <v>21000</v>
      </c>
      <c r="B48" s="4">
        <f t="shared" si="0"/>
        <v>1750</v>
      </c>
      <c r="C48" s="4">
        <f>MAX('TANF-VIEW'!L51,'TANF-VIEW'!T51)</f>
        <v>0</v>
      </c>
      <c r="D48" s="4">
        <f>'Total income package'!$D$80</f>
        <v>0</v>
      </c>
      <c r="E48" s="4">
        <f>'Total income package'!$H$61+'Total income package'!$F$66</f>
        <v>100</v>
      </c>
      <c r="F48" s="4">
        <f t="shared" si="3"/>
        <v>1850</v>
      </c>
      <c r="G48" s="181" t="str">
        <f t="shared" si="4"/>
        <v>Yes</v>
      </c>
      <c r="H48" s="3">
        <f t="shared" si="5"/>
        <v>40</v>
      </c>
      <c r="I48" s="3">
        <f t="shared" si="6"/>
        <v>0</v>
      </c>
      <c r="J48" s="3">
        <f t="shared" si="1"/>
        <v>1810</v>
      </c>
      <c r="K48" s="3">
        <f t="shared" si="7"/>
        <v>543</v>
      </c>
      <c r="L48" s="3">
        <f t="shared" si="2"/>
        <v>185</v>
      </c>
      <c r="M48" s="3">
        <v>50</v>
      </c>
      <c r="N48" s="3">
        <f t="shared" si="8"/>
        <v>543</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8" s="337">
        <f>IF(AND(G48="Yes",'Total income package'!$A$14=TRUE,P48-N48&gt;0),P48-N48,0)</f>
        <v>452</v>
      </c>
      <c r="R48" s="29"/>
    </row>
    <row r="49" spans="1:18" x14ac:dyDescent="0.25">
      <c r="A49" s="182">
        <v>21500</v>
      </c>
      <c r="B49" s="4">
        <f t="shared" si="0"/>
        <v>1791.6666666666667</v>
      </c>
      <c r="C49" s="4">
        <f>MAX('TANF-VIEW'!L52,'TANF-VIEW'!T52)</f>
        <v>0</v>
      </c>
      <c r="D49" s="4">
        <f>'Total income package'!$D$80</f>
        <v>0</v>
      </c>
      <c r="E49" s="4">
        <f>'Total income package'!$H$61+'Total income package'!$F$66</f>
        <v>100</v>
      </c>
      <c r="F49" s="4">
        <f t="shared" si="3"/>
        <v>1891.6666666666667</v>
      </c>
      <c r="G49" s="181" t="str">
        <f t="shared" si="4"/>
        <v>Yes</v>
      </c>
      <c r="H49" s="3">
        <f t="shared" si="5"/>
        <v>40</v>
      </c>
      <c r="I49" s="3">
        <f t="shared" si="6"/>
        <v>0</v>
      </c>
      <c r="J49" s="3">
        <f t="shared" si="1"/>
        <v>1851.6666666666667</v>
      </c>
      <c r="K49" s="3">
        <f t="shared" si="7"/>
        <v>555.5</v>
      </c>
      <c r="L49" s="3">
        <f t="shared" si="2"/>
        <v>189.16666666666669</v>
      </c>
      <c r="M49" s="3">
        <v>50</v>
      </c>
      <c r="N49" s="3">
        <f t="shared" si="8"/>
        <v>555.5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49" s="337">
        <f>IF(AND(G49="Yes",'Total income package'!$A$14=TRUE,P49-N49&gt;0),P49-N49,0)</f>
        <v>439.5</v>
      </c>
      <c r="R49" s="29"/>
    </row>
    <row r="50" spans="1:18" x14ac:dyDescent="0.25">
      <c r="A50" s="182">
        <v>22000</v>
      </c>
      <c r="B50" s="4">
        <f t="shared" si="0"/>
        <v>1833.3333333333333</v>
      </c>
      <c r="C50" s="4">
        <f>MAX('TANF-VIEW'!L53,'TANF-VIEW'!T53)</f>
        <v>0</v>
      </c>
      <c r="D50" s="4">
        <f>'Total income package'!$D$80</f>
        <v>0</v>
      </c>
      <c r="E50" s="4">
        <f>'Total income package'!$H$61+'Total income package'!$F$66</f>
        <v>100</v>
      </c>
      <c r="F50" s="4">
        <f t="shared" si="3"/>
        <v>1933.3333333333333</v>
      </c>
      <c r="G50" s="181" t="str">
        <f t="shared" si="4"/>
        <v>Yes</v>
      </c>
      <c r="H50" s="3">
        <f t="shared" si="5"/>
        <v>40</v>
      </c>
      <c r="I50" s="3">
        <f t="shared" si="6"/>
        <v>0</v>
      </c>
      <c r="J50" s="3">
        <f t="shared" si="1"/>
        <v>1893.3333333333333</v>
      </c>
      <c r="K50" s="3">
        <f t="shared" si="7"/>
        <v>568</v>
      </c>
      <c r="L50" s="3">
        <f t="shared" si="2"/>
        <v>193.33333333333334</v>
      </c>
      <c r="M50" s="3">
        <v>50</v>
      </c>
      <c r="N50" s="3">
        <f t="shared" si="8"/>
        <v>568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0" s="337">
        <f>IF(AND(G50="Yes",'Total income package'!$A$14=TRUE,P50-N50&gt;0),P50-N50,0)</f>
        <v>427</v>
      </c>
      <c r="R50" s="29"/>
    </row>
    <row r="51" spans="1:18" x14ac:dyDescent="0.25">
      <c r="A51" s="182">
        <v>22500</v>
      </c>
      <c r="B51" s="4">
        <f t="shared" si="0"/>
        <v>1875</v>
      </c>
      <c r="C51" s="4">
        <f>MAX('TANF-VIEW'!L54,'TANF-VIEW'!T54)</f>
        <v>0</v>
      </c>
      <c r="D51" s="4">
        <f>'Total income package'!$D$80</f>
        <v>0</v>
      </c>
      <c r="E51" s="4">
        <f>'Total income package'!$H$61+'Total income package'!$F$66</f>
        <v>100</v>
      </c>
      <c r="F51" s="4">
        <f t="shared" si="3"/>
        <v>1975</v>
      </c>
      <c r="G51" s="181" t="str">
        <f t="shared" si="4"/>
        <v>Yes</v>
      </c>
      <c r="H51" s="3">
        <f t="shared" si="5"/>
        <v>40</v>
      </c>
      <c r="I51" s="3">
        <f t="shared" si="6"/>
        <v>0</v>
      </c>
      <c r="J51" s="3">
        <f t="shared" si="1"/>
        <v>1935</v>
      </c>
      <c r="K51" s="3">
        <f t="shared" si="7"/>
        <v>580.5</v>
      </c>
      <c r="L51" s="3">
        <f t="shared" si="2"/>
        <v>197.5</v>
      </c>
      <c r="M51" s="3">
        <v>50</v>
      </c>
      <c r="N51" s="3">
        <f t="shared" si="8"/>
        <v>580.5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1" s="337">
        <f>IF(AND(G51="Yes",'Total income package'!$A$14=TRUE,P51-N51&gt;0),P51-N51,0)</f>
        <v>414.5</v>
      </c>
      <c r="R51" s="29"/>
    </row>
    <row r="52" spans="1:18" x14ac:dyDescent="0.25">
      <c r="A52" s="182">
        <v>23000</v>
      </c>
      <c r="B52" s="4">
        <f t="shared" si="0"/>
        <v>1916.6666666666667</v>
      </c>
      <c r="C52" s="4">
        <f>MAX('TANF-VIEW'!L55,'TANF-VIEW'!T55)</f>
        <v>0</v>
      </c>
      <c r="D52" s="4">
        <f>'Total income package'!$D$80</f>
        <v>0</v>
      </c>
      <c r="E52" s="4">
        <f>'Total income package'!$H$61+'Total income package'!$F$66</f>
        <v>100</v>
      </c>
      <c r="F52" s="4">
        <f t="shared" si="3"/>
        <v>2016.6666666666667</v>
      </c>
      <c r="G52" s="181" t="str">
        <f t="shared" si="4"/>
        <v>Yes</v>
      </c>
      <c r="H52" s="3">
        <f t="shared" si="5"/>
        <v>40</v>
      </c>
      <c r="I52" s="3">
        <f t="shared" si="6"/>
        <v>0</v>
      </c>
      <c r="J52" s="3">
        <f t="shared" si="1"/>
        <v>1976.6666666666667</v>
      </c>
      <c r="K52" s="3">
        <f t="shared" si="7"/>
        <v>593</v>
      </c>
      <c r="L52" s="3">
        <f t="shared" si="2"/>
        <v>201.66666666666669</v>
      </c>
      <c r="M52" s="3">
        <v>50</v>
      </c>
      <c r="N52" s="3">
        <f t="shared" si="8"/>
        <v>593</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2" s="337">
        <f>IF(AND(G52="Yes",'Total income package'!$A$14=TRUE,P52-N52&gt;0),P52-N52,0)</f>
        <v>402</v>
      </c>
      <c r="R52" s="29"/>
    </row>
    <row r="53" spans="1:18" x14ac:dyDescent="0.25">
      <c r="A53" s="182">
        <v>23500</v>
      </c>
      <c r="B53" s="4">
        <f t="shared" si="0"/>
        <v>1958.3333333333333</v>
      </c>
      <c r="C53" s="4">
        <f>MAX('TANF-VIEW'!L56,'TANF-VIEW'!T56)</f>
        <v>0</v>
      </c>
      <c r="D53" s="4">
        <f>'Total income package'!$D$80</f>
        <v>0</v>
      </c>
      <c r="E53" s="4">
        <f>'Total income package'!$H$61+'Total income package'!$F$66</f>
        <v>100</v>
      </c>
      <c r="F53" s="4">
        <f t="shared" si="3"/>
        <v>2058.333333333333</v>
      </c>
      <c r="G53" s="181" t="str">
        <f t="shared" si="4"/>
        <v>Yes</v>
      </c>
      <c r="H53" s="3">
        <f t="shared" si="5"/>
        <v>40</v>
      </c>
      <c r="I53" s="3">
        <f t="shared" si="6"/>
        <v>0</v>
      </c>
      <c r="J53" s="3">
        <f t="shared" si="1"/>
        <v>2018.333333333333</v>
      </c>
      <c r="K53" s="3">
        <f t="shared" si="7"/>
        <v>605.49999999999989</v>
      </c>
      <c r="L53" s="3">
        <f t="shared" si="2"/>
        <v>205.83333333333331</v>
      </c>
      <c r="M53" s="3">
        <v>50</v>
      </c>
      <c r="N53" s="3">
        <f t="shared" si="8"/>
        <v>605.49999999999989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3" s="337">
        <f>IF(AND(G53="Yes",'Total income package'!$A$14=TRUE,P53-N53&gt;0),P53-N53,0)</f>
        <v>389.50000000000011</v>
      </c>
      <c r="R53" s="29"/>
    </row>
    <row r="54" spans="1:18" x14ac:dyDescent="0.25">
      <c r="A54" s="182">
        <v>24000</v>
      </c>
      <c r="B54" s="4">
        <f t="shared" si="0"/>
        <v>2000</v>
      </c>
      <c r="C54" s="4">
        <f>MAX('TANF-VIEW'!L57,'TANF-VIEW'!T57)</f>
        <v>0</v>
      </c>
      <c r="D54" s="4">
        <f>'Total income package'!$D$80</f>
        <v>0</v>
      </c>
      <c r="E54" s="4">
        <f>'Total income package'!$H$61+'Total income package'!$F$66</f>
        <v>100</v>
      </c>
      <c r="F54" s="4">
        <f t="shared" si="3"/>
        <v>2100</v>
      </c>
      <c r="G54" s="181" t="str">
        <f t="shared" si="4"/>
        <v>Yes</v>
      </c>
      <c r="H54" s="3">
        <f t="shared" si="5"/>
        <v>40</v>
      </c>
      <c r="I54" s="3">
        <f t="shared" si="6"/>
        <v>0</v>
      </c>
      <c r="J54" s="3">
        <f t="shared" si="1"/>
        <v>2060</v>
      </c>
      <c r="K54" s="3">
        <f t="shared" si="7"/>
        <v>618</v>
      </c>
      <c r="L54" s="3">
        <f t="shared" si="2"/>
        <v>210</v>
      </c>
      <c r="M54" s="3">
        <v>50</v>
      </c>
      <c r="N54" s="3">
        <f t="shared" si="8"/>
        <v>618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4" s="337">
        <f>IF(AND(G54="Yes",'Total income package'!$A$14=TRUE,P54-N54&gt;0),P54-N54,0)</f>
        <v>377</v>
      </c>
      <c r="R54" s="29"/>
    </row>
    <row r="55" spans="1:18" x14ac:dyDescent="0.25">
      <c r="A55" s="182">
        <v>24500</v>
      </c>
      <c r="B55" s="4">
        <f t="shared" si="0"/>
        <v>2041.6666666666667</v>
      </c>
      <c r="C55" s="4">
        <f>MAX('TANF-VIEW'!L58,'TANF-VIEW'!T58)</f>
        <v>0</v>
      </c>
      <c r="D55" s="4">
        <f>'Total income package'!$D$80</f>
        <v>0</v>
      </c>
      <c r="E55" s="4">
        <f>'Total income package'!$H$61+'Total income package'!$F$66</f>
        <v>100</v>
      </c>
      <c r="F55" s="4">
        <f t="shared" si="3"/>
        <v>2141.666666666667</v>
      </c>
      <c r="G55" s="181" t="str">
        <f t="shared" si="4"/>
        <v>Yes</v>
      </c>
      <c r="H55" s="3">
        <f t="shared" si="5"/>
        <v>40</v>
      </c>
      <c r="I55" s="3">
        <f t="shared" si="6"/>
        <v>0</v>
      </c>
      <c r="J55" s="3">
        <f t="shared" si="1"/>
        <v>2101.666666666667</v>
      </c>
      <c r="K55" s="3">
        <f t="shared" si="7"/>
        <v>630.50000000000011</v>
      </c>
      <c r="L55" s="3">
        <f t="shared" si="2"/>
        <v>214.16666666666671</v>
      </c>
      <c r="M55" s="3">
        <v>50</v>
      </c>
      <c r="N55" s="3">
        <f t="shared" si="8"/>
        <v>630.50000000000011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5" s="337">
        <f>IF(AND(G55="Yes",'Total income package'!$A$14=TRUE,P55-N55&gt;0),P55-N55,0)</f>
        <v>364.49999999999989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100</v>
      </c>
      <c r="F56" s="4">
        <f t="shared" si="3"/>
        <v>2183.3333333333335</v>
      </c>
      <c r="G56" s="181" t="str">
        <f t="shared" si="4"/>
        <v>Yes</v>
      </c>
      <c r="H56" s="3">
        <f t="shared" si="5"/>
        <v>40</v>
      </c>
      <c r="I56" s="3">
        <f t="shared" si="6"/>
        <v>0</v>
      </c>
      <c r="J56" s="3">
        <f t="shared" si="1"/>
        <v>2143.3333333333335</v>
      </c>
      <c r="K56" s="3">
        <f t="shared" si="7"/>
        <v>643</v>
      </c>
      <c r="L56" s="3">
        <f t="shared" si="2"/>
        <v>218.33333333333337</v>
      </c>
      <c r="M56" s="3">
        <v>50</v>
      </c>
      <c r="N56" s="3">
        <f t="shared" si="8"/>
        <v>643</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6" s="337">
        <f>IF(AND(G56="Yes",'Total income package'!$A$14=TRUE,P56-N56&gt;0),P56-N56,0)</f>
        <v>352</v>
      </c>
      <c r="R56" s="29"/>
    </row>
    <row r="57" spans="1:18" x14ac:dyDescent="0.25">
      <c r="A57" s="182">
        <v>25500</v>
      </c>
      <c r="B57" s="4">
        <f t="shared" si="0"/>
        <v>2125</v>
      </c>
      <c r="C57" s="4">
        <f>MAX('TANF-VIEW'!L60,'TANF-VIEW'!T60)</f>
        <v>0</v>
      </c>
      <c r="D57" s="4">
        <f>'Total income package'!$D$80</f>
        <v>0</v>
      </c>
      <c r="E57" s="4">
        <f>'Total income package'!$H$61+'Total income package'!$F$66</f>
        <v>100</v>
      </c>
      <c r="F57" s="4">
        <f t="shared" si="3"/>
        <v>2225</v>
      </c>
      <c r="G57" s="181" t="str">
        <f t="shared" si="4"/>
        <v>Yes</v>
      </c>
      <c r="H57" s="3">
        <f t="shared" si="5"/>
        <v>40</v>
      </c>
      <c r="I57" s="3">
        <f t="shared" si="6"/>
        <v>0</v>
      </c>
      <c r="J57" s="3">
        <f t="shared" si="1"/>
        <v>2185</v>
      </c>
      <c r="K57" s="3">
        <f t="shared" si="7"/>
        <v>655.5</v>
      </c>
      <c r="L57" s="3">
        <f t="shared" si="2"/>
        <v>222.5</v>
      </c>
      <c r="M57" s="3">
        <v>50</v>
      </c>
      <c r="N57" s="3">
        <f t="shared" si="8"/>
        <v>655.5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7" s="337">
        <f>IF(AND(G57="Yes",'Total income package'!$A$14=TRUE,P57-N57&gt;0),P57-N57,0)</f>
        <v>339.5</v>
      </c>
      <c r="R57" s="29"/>
    </row>
    <row r="58" spans="1:18" x14ac:dyDescent="0.25">
      <c r="A58" s="182">
        <v>26000</v>
      </c>
      <c r="B58" s="4">
        <f t="shared" si="0"/>
        <v>2166.6666666666665</v>
      </c>
      <c r="C58" s="4">
        <f>MAX('TANF-VIEW'!L61,'TANF-VIEW'!T61)</f>
        <v>0</v>
      </c>
      <c r="D58" s="4">
        <f>'Total income package'!$D$80</f>
        <v>0</v>
      </c>
      <c r="E58" s="4">
        <f>'Total income package'!$H$61+'Total income package'!$F$66</f>
        <v>100</v>
      </c>
      <c r="F58" s="4">
        <f t="shared" si="3"/>
        <v>2266.6666666666665</v>
      </c>
      <c r="G58" s="181" t="str">
        <f t="shared" si="4"/>
        <v>Yes</v>
      </c>
      <c r="H58" s="3">
        <f t="shared" si="5"/>
        <v>40</v>
      </c>
      <c r="I58" s="3">
        <f t="shared" si="6"/>
        <v>0</v>
      </c>
      <c r="J58" s="3">
        <f t="shared" si="1"/>
        <v>2226.6666666666665</v>
      </c>
      <c r="K58" s="3">
        <f t="shared" si="7"/>
        <v>667.99999999999989</v>
      </c>
      <c r="L58" s="3">
        <f t="shared" si="2"/>
        <v>226.66666666666666</v>
      </c>
      <c r="M58" s="3">
        <v>50</v>
      </c>
      <c r="N58" s="3">
        <f t="shared" si="8"/>
        <v>667.99999999999989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8" s="337">
        <f>IF(AND(G58="Yes",'Total income package'!$A$14=TRUE,P58-N58&gt;0),P58-N58,0)</f>
        <v>327.00000000000011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100</v>
      </c>
      <c r="F59" s="4">
        <f t="shared" si="3"/>
        <v>2308.3333333333335</v>
      </c>
      <c r="G59" s="181" t="str">
        <f t="shared" si="4"/>
        <v>Yes</v>
      </c>
      <c r="H59" s="3">
        <f t="shared" si="5"/>
        <v>40</v>
      </c>
      <c r="I59" s="3">
        <f t="shared" si="6"/>
        <v>0</v>
      </c>
      <c r="J59" s="3">
        <f t="shared" si="1"/>
        <v>2268.3333333333335</v>
      </c>
      <c r="K59" s="3">
        <f t="shared" si="7"/>
        <v>680.5</v>
      </c>
      <c r="L59" s="3">
        <f t="shared" si="2"/>
        <v>230.83333333333337</v>
      </c>
      <c r="M59" s="3">
        <v>50</v>
      </c>
      <c r="N59" s="3">
        <f t="shared" si="8"/>
        <v>680.5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59" s="337">
        <f>IF(AND(G59="Yes",'Total income package'!$A$14=TRUE,P59-N59&gt;0),P59-N59,0)</f>
        <v>314.5</v>
      </c>
      <c r="R59" s="29"/>
    </row>
    <row r="60" spans="1:18" x14ac:dyDescent="0.25">
      <c r="A60" s="182">
        <v>27000</v>
      </c>
      <c r="B60" s="4">
        <f t="shared" si="0"/>
        <v>2250</v>
      </c>
      <c r="C60" s="4">
        <f>MAX('TANF-VIEW'!L63,'TANF-VIEW'!T63)</f>
        <v>0</v>
      </c>
      <c r="D60" s="4">
        <f>'Total income package'!$D$80</f>
        <v>0</v>
      </c>
      <c r="E60" s="4">
        <f>'Total income package'!$H$61+'Total income package'!$F$66</f>
        <v>100</v>
      </c>
      <c r="F60" s="4">
        <f t="shared" si="3"/>
        <v>2350</v>
      </c>
      <c r="G60" s="181" t="str">
        <f t="shared" si="4"/>
        <v>Yes</v>
      </c>
      <c r="H60" s="3">
        <f t="shared" si="5"/>
        <v>40</v>
      </c>
      <c r="I60" s="3">
        <f t="shared" si="6"/>
        <v>0</v>
      </c>
      <c r="J60" s="3">
        <f t="shared" si="1"/>
        <v>2310</v>
      </c>
      <c r="K60" s="3">
        <f t="shared" si="7"/>
        <v>693</v>
      </c>
      <c r="L60" s="3">
        <f t="shared" si="2"/>
        <v>235</v>
      </c>
      <c r="M60" s="3">
        <v>50</v>
      </c>
      <c r="N60" s="3">
        <f t="shared" si="8"/>
        <v>693</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0" s="337">
        <f>IF(AND(G60="Yes",'Total income package'!$A$14=TRUE,P60-N60&gt;0),P60-N60,0)</f>
        <v>302</v>
      </c>
      <c r="R60" s="29"/>
    </row>
    <row r="61" spans="1:18" x14ac:dyDescent="0.25">
      <c r="A61" s="182">
        <v>27500</v>
      </c>
      <c r="B61" s="4">
        <f t="shared" si="0"/>
        <v>2291.6666666666665</v>
      </c>
      <c r="C61" s="4">
        <f>MAX('TANF-VIEW'!L64,'TANF-VIEW'!T64)</f>
        <v>0</v>
      </c>
      <c r="D61" s="4">
        <f>'Total income package'!$D$80</f>
        <v>0</v>
      </c>
      <c r="E61" s="4">
        <f>'Total income package'!$H$61+'Total income package'!$F$66</f>
        <v>100</v>
      </c>
      <c r="F61" s="4">
        <f t="shared" si="3"/>
        <v>2391.6666666666665</v>
      </c>
      <c r="G61" s="181" t="str">
        <f t="shared" si="4"/>
        <v>Yes</v>
      </c>
      <c r="H61" s="3">
        <f t="shared" si="5"/>
        <v>40</v>
      </c>
      <c r="I61" s="3">
        <f t="shared" si="6"/>
        <v>0</v>
      </c>
      <c r="J61" s="3">
        <f t="shared" si="1"/>
        <v>2351.6666666666665</v>
      </c>
      <c r="K61" s="3">
        <f t="shared" si="7"/>
        <v>705.49999999999989</v>
      </c>
      <c r="L61" s="3">
        <f t="shared" si="2"/>
        <v>239.16666666666666</v>
      </c>
      <c r="M61" s="3">
        <v>50</v>
      </c>
      <c r="N61" s="3">
        <f t="shared" si="8"/>
        <v>705.49999999999989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1" s="337">
        <f>IF(AND(G61="Yes",'Total income package'!$A$14=TRUE,P61-N61&gt;0),P61-N61,0)</f>
        <v>289.50000000000011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100</v>
      </c>
      <c r="F62" s="4">
        <f t="shared" si="3"/>
        <v>2433.3333333333335</v>
      </c>
      <c r="G62" s="181" t="str">
        <f t="shared" si="4"/>
        <v>Yes</v>
      </c>
      <c r="H62" s="3">
        <f t="shared" si="5"/>
        <v>40</v>
      </c>
      <c r="I62" s="3">
        <f t="shared" si="6"/>
        <v>0</v>
      </c>
      <c r="J62" s="3">
        <f t="shared" si="1"/>
        <v>2393.3333333333335</v>
      </c>
      <c r="K62" s="3">
        <f t="shared" si="7"/>
        <v>718</v>
      </c>
      <c r="L62" s="3">
        <f t="shared" si="2"/>
        <v>243.33333333333337</v>
      </c>
      <c r="M62" s="3">
        <v>50</v>
      </c>
      <c r="N62" s="3">
        <f t="shared" si="8"/>
        <v>718</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2" s="337">
        <f>IF(AND(G62="Yes",'Total income package'!$A$14=TRUE,P62-N62&gt;0),P62-N62,0)</f>
        <v>277</v>
      </c>
      <c r="R62" s="29"/>
    </row>
    <row r="63" spans="1:18" x14ac:dyDescent="0.25">
      <c r="A63" s="182">
        <v>28500</v>
      </c>
      <c r="B63" s="4">
        <f t="shared" si="0"/>
        <v>2375</v>
      </c>
      <c r="C63" s="4">
        <f>MAX('TANF-VIEW'!L66,'TANF-VIEW'!T66)</f>
        <v>0</v>
      </c>
      <c r="D63" s="4">
        <f>'Total income package'!$D$80</f>
        <v>0</v>
      </c>
      <c r="E63" s="4">
        <f>'Total income package'!$H$61+'Total income package'!$F$66</f>
        <v>100</v>
      </c>
      <c r="F63" s="4">
        <f t="shared" si="3"/>
        <v>2475</v>
      </c>
      <c r="G63" s="181" t="str">
        <f t="shared" si="4"/>
        <v>Yes</v>
      </c>
      <c r="H63" s="3">
        <f t="shared" si="5"/>
        <v>40</v>
      </c>
      <c r="I63" s="3">
        <f t="shared" si="6"/>
        <v>0</v>
      </c>
      <c r="J63" s="3">
        <f t="shared" si="1"/>
        <v>2435</v>
      </c>
      <c r="K63" s="3">
        <f t="shared" si="7"/>
        <v>730.5</v>
      </c>
      <c r="L63" s="3">
        <f t="shared" si="2"/>
        <v>247.5</v>
      </c>
      <c r="M63" s="3">
        <v>50</v>
      </c>
      <c r="N63" s="3">
        <f t="shared" si="8"/>
        <v>730.5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3" s="337">
        <f>IF(AND(G63="Yes",'Total income package'!$A$14=TRUE,P63-N63&gt;0),P63-N63,0)</f>
        <v>264.5</v>
      </c>
      <c r="R63" s="29"/>
    </row>
    <row r="64" spans="1:18" x14ac:dyDescent="0.25">
      <c r="A64" s="182">
        <v>29000</v>
      </c>
      <c r="B64" s="4">
        <f t="shared" si="0"/>
        <v>2416.6666666666665</v>
      </c>
      <c r="C64" s="4">
        <f>MAX('TANF-VIEW'!L67,'TANF-VIEW'!T67)</f>
        <v>0</v>
      </c>
      <c r="D64" s="4">
        <f>'Total income package'!$D$80</f>
        <v>0</v>
      </c>
      <c r="E64" s="4">
        <f>'Total income package'!$H$61+'Total income package'!$F$66</f>
        <v>100</v>
      </c>
      <c r="F64" s="4">
        <f t="shared" si="3"/>
        <v>2516.6666666666665</v>
      </c>
      <c r="G64" s="181" t="str">
        <f t="shared" si="4"/>
        <v>Yes</v>
      </c>
      <c r="H64" s="3">
        <f t="shared" si="5"/>
        <v>40</v>
      </c>
      <c r="I64" s="3">
        <f t="shared" si="6"/>
        <v>0</v>
      </c>
      <c r="J64" s="3">
        <f t="shared" si="1"/>
        <v>2476.6666666666665</v>
      </c>
      <c r="K64" s="3">
        <f t="shared" si="7"/>
        <v>742.99999999999989</v>
      </c>
      <c r="L64" s="3">
        <f t="shared" si="2"/>
        <v>251.66666666666666</v>
      </c>
      <c r="M64" s="3">
        <v>50</v>
      </c>
      <c r="N64" s="3">
        <f t="shared" si="8"/>
        <v>742.99999999999989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4" s="337">
        <f>IF(AND(G64="Yes",'Total income package'!$A$14=TRUE,P64-N64&gt;0),P64-N64,0)</f>
        <v>252.00000000000011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100</v>
      </c>
      <c r="F65" s="4">
        <f t="shared" si="3"/>
        <v>2558.3333333333335</v>
      </c>
      <c r="G65" s="181" t="str">
        <f t="shared" si="4"/>
        <v>Yes</v>
      </c>
      <c r="H65" s="3">
        <f t="shared" si="5"/>
        <v>40</v>
      </c>
      <c r="I65" s="3">
        <f t="shared" si="6"/>
        <v>0</v>
      </c>
      <c r="J65" s="3">
        <f t="shared" si="1"/>
        <v>2518.3333333333335</v>
      </c>
      <c r="K65" s="3">
        <f t="shared" si="7"/>
        <v>755.5</v>
      </c>
      <c r="L65" s="3">
        <f t="shared" si="2"/>
        <v>255.83333333333337</v>
      </c>
      <c r="M65" s="3">
        <v>50</v>
      </c>
      <c r="N65" s="3">
        <f t="shared" si="8"/>
        <v>755.5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5" s="337">
        <f>IF(AND(G65="Yes",'Total income package'!$A$14=TRUE,P65-N65&gt;0),P65-N65,0)</f>
        <v>239.5</v>
      </c>
      <c r="R65" s="29"/>
    </row>
    <row r="66" spans="1:18" x14ac:dyDescent="0.25">
      <c r="A66" s="182">
        <v>30000</v>
      </c>
      <c r="B66" s="4">
        <f t="shared" si="0"/>
        <v>2500</v>
      </c>
      <c r="C66" s="4">
        <f>MAX('TANF-VIEW'!L69,'TANF-VIEW'!T69)</f>
        <v>0</v>
      </c>
      <c r="D66" s="4">
        <f>'Total income package'!$D$80</f>
        <v>0</v>
      </c>
      <c r="E66" s="4">
        <f>'Total income package'!$H$61+'Total income package'!$F$66</f>
        <v>100</v>
      </c>
      <c r="F66" s="4">
        <f t="shared" si="3"/>
        <v>2600</v>
      </c>
      <c r="G66" s="181" t="str">
        <f t="shared" si="4"/>
        <v>Yes</v>
      </c>
      <c r="H66" s="3">
        <f t="shared" si="5"/>
        <v>40</v>
      </c>
      <c r="I66" s="3">
        <f t="shared" si="6"/>
        <v>0</v>
      </c>
      <c r="J66" s="3">
        <f t="shared" si="1"/>
        <v>2560</v>
      </c>
      <c r="K66" s="3">
        <f t="shared" si="7"/>
        <v>768</v>
      </c>
      <c r="L66" s="3">
        <f t="shared" si="2"/>
        <v>260</v>
      </c>
      <c r="M66" s="3">
        <v>50</v>
      </c>
      <c r="N66" s="3">
        <f t="shared" si="8"/>
        <v>768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6" s="337">
        <f>IF(AND(G66="Yes",'Total income package'!$A$14=TRUE,P66-N66&gt;0),P66-N66,0)</f>
        <v>227</v>
      </c>
      <c r="R66" s="29"/>
    </row>
    <row r="67" spans="1:18" x14ac:dyDescent="0.25">
      <c r="A67" s="182">
        <v>30500</v>
      </c>
      <c r="B67" s="4">
        <f t="shared" si="0"/>
        <v>2541.6666666666665</v>
      </c>
      <c r="C67" s="4">
        <f>MAX('TANF-VIEW'!L70,'TANF-VIEW'!T70)</f>
        <v>0</v>
      </c>
      <c r="D67" s="4">
        <f>'Total income package'!$D$80</f>
        <v>0</v>
      </c>
      <c r="E67" s="4">
        <f>'Total income package'!$H$61+'Total income package'!$F$66</f>
        <v>100</v>
      </c>
      <c r="F67" s="4">
        <f t="shared" si="3"/>
        <v>2641.6666666666665</v>
      </c>
      <c r="G67" s="181" t="str">
        <f t="shared" si="4"/>
        <v>Yes</v>
      </c>
      <c r="H67" s="3">
        <f t="shared" si="5"/>
        <v>40</v>
      </c>
      <c r="I67" s="3">
        <f t="shared" si="6"/>
        <v>0</v>
      </c>
      <c r="J67" s="3">
        <f t="shared" si="1"/>
        <v>2601.6666666666665</v>
      </c>
      <c r="K67" s="3">
        <f t="shared" si="7"/>
        <v>780.49999999999989</v>
      </c>
      <c r="L67" s="3">
        <f t="shared" si="2"/>
        <v>264.16666666666669</v>
      </c>
      <c r="M67" s="3">
        <v>50</v>
      </c>
      <c r="N67" s="3">
        <f t="shared" si="8"/>
        <v>780.49999999999989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7" s="337">
        <f>IF(AND(G67="Yes",'Total income package'!$A$14=TRUE,P67-N67&gt;0),P67-N67,0)</f>
        <v>214.50000000000011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100</v>
      </c>
      <c r="F68" s="4">
        <f t="shared" si="3"/>
        <v>2683.3333333333335</v>
      </c>
      <c r="G68" s="181" t="str">
        <f t="shared" si="4"/>
        <v>Yes</v>
      </c>
      <c r="H68" s="3">
        <f t="shared" si="5"/>
        <v>40</v>
      </c>
      <c r="I68" s="3">
        <f t="shared" si="6"/>
        <v>0</v>
      </c>
      <c r="J68" s="3">
        <f t="shared" si="1"/>
        <v>2643.3333333333335</v>
      </c>
      <c r="K68" s="3">
        <f t="shared" si="7"/>
        <v>793</v>
      </c>
      <c r="L68" s="3">
        <f t="shared" si="2"/>
        <v>268.33333333333337</v>
      </c>
      <c r="M68" s="3">
        <v>50</v>
      </c>
      <c r="N68" s="3">
        <f t="shared" si="8"/>
        <v>793</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8" s="337">
        <f>IF(AND(G68="Yes",'Total income package'!$A$14=TRUE,P68-N68&gt;0),P68-N68,0)</f>
        <v>202</v>
      </c>
      <c r="R68" s="29"/>
    </row>
    <row r="69" spans="1:18" x14ac:dyDescent="0.25">
      <c r="A69" s="182">
        <v>31500</v>
      </c>
      <c r="B69" s="4">
        <f t="shared" si="0"/>
        <v>2625</v>
      </c>
      <c r="C69" s="4">
        <f>MAX('TANF-VIEW'!L72,'TANF-VIEW'!T72)</f>
        <v>0</v>
      </c>
      <c r="D69" s="4">
        <f>'Total income package'!$D$80</f>
        <v>0</v>
      </c>
      <c r="E69" s="4">
        <f>'Total income package'!$H$61+'Total income package'!$F$66</f>
        <v>100</v>
      </c>
      <c r="F69" s="4">
        <f t="shared" si="3"/>
        <v>2725</v>
      </c>
      <c r="G69" s="181" t="str">
        <f t="shared" si="4"/>
        <v>Yes</v>
      </c>
      <c r="H69" s="3">
        <f t="shared" si="5"/>
        <v>40</v>
      </c>
      <c r="I69" s="3">
        <f t="shared" si="6"/>
        <v>0</v>
      </c>
      <c r="J69" s="3">
        <f t="shared" si="1"/>
        <v>2685</v>
      </c>
      <c r="K69" s="3">
        <f t="shared" si="7"/>
        <v>805.5</v>
      </c>
      <c r="L69" s="3">
        <f t="shared" si="2"/>
        <v>272.5</v>
      </c>
      <c r="M69" s="3">
        <v>50</v>
      </c>
      <c r="N69" s="3">
        <f t="shared" si="8"/>
        <v>805.5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69" s="337">
        <f>IF(AND(G69="Yes",'Total income package'!$A$14=TRUE,P69-N69&gt;0),P69-N69,0)</f>
        <v>189.5</v>
      </c>
      <c r="R69" s="29"/>
    </row>
    <row r="70" spans="1:18" x14ac:dyDescent="0.25">
      <c r="A70" s="182">
        <v>32000</v>
      </c>
      <c r="B70" s="4">
        <f t="shared" si="0"/>
        <v>2666.6666666666665</v>
      </c>
      <c r="C70" s="4">
        <f>MAX('TANF-VIEW'!L73,'TANF-VIEW'!T73)</f>
        <v>0</v>
      </c>
      <c r="D70" s="4">
        <f>'Total income package'!$D$80</f>
        <v>0</v>
      </c>
      <c r="E70" s="4">
        <f>'Total income package'!$H$61+'Total income package'!$F$66</f>
        <v>100</v>
      </c>
      <c r="F70" s="4">
        <f t="shared" si="3"/>
        <v>2766.6666666666665</v>
      </c>
      <c r="G70" s="181" t="str">
        <f t="shared" si="4"/>
        <v>Yes</v>
      </c>
      <c r="H70" s="3">
        <f t="shared" si="5"/>
        <v>40</v>
      </c>
      <c r="I70" s="3">
        <f t="shared" si="6"/>
        <v>0</v>
      </c>
      <c r="J70" s="3">
        <f t="shared" ref="J70:J133" si="9">IF(F70-H70-I70&lt;0,0,F70-H70-I70)</f>
        <v>2726.6666666666665</v>
      </c>
      <c r="K70" s="3">
        <f t="shared" ref="K70:K133" si="10">J70*0.3</f>
        <v>817.99999999999989</v>
      </c>
      <c r="L70" s="3">
        <f t="shared" ref="L70:L133" si="11">F70*0.1</f>
        <v>276.66666666666669</v>
      </c>
      <c r="M70" s="3">
        <v>50</v>
      </c>
      <c r="N70" s="3">
        <f t="shared" si="8"/>
        <v>817.99999999999989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0" s="337">
        <f>IF(AND(G70="Yes",'Total income package'!$A$14=TRUE,P70-N70&gt;0),P70-N70,0)</f>
        <v>177.00000000000011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100</v>
      </c>
      <c r="F71" s="4">
        <f t="shared" ref="F71:F134" si="13">B71+C71+D71+E71</f>
        <v>2808.3333333333335</v>
      </c>
      <c r="G71" s="181" t="str">
        <f t="shared" ref="G71:G134" si="14">IF(F71&lt;$L$2,"Yes","No")</f>
        <v>Yes</v>
      </c>
      <c r="H71" s="3">
        <f t="shared" ref="H71:H134" si="15">40*($D$2+$I$2)</f>
        <v>40</v>
      </c>
      <c r="I71" s="3">
        <f t="shared" ref="I71:I134" si="16">IF($H$2+$I$2&gt;0,33.33,0)</f>
        <v>0</v>
      </c>
      <c r="J71" s="3">
        <f t="shared" si="9"/>
        <v>2768.3333333333335</v>
      </c>
      <c r="K71" s="3">
        <f t="shared" si="10"/>
        <v>830.5</v>
      </c>
      <c r="L71" s="3">
        <f t="shared" si="11"/>
        <v>280.83333333333337</v>
      </c>
      <c r="M71" s="3">
        <v>50</v>
      </c>
      <c r="N71" s="3">
        <f t="shared" si="8"/>
        <v>830.5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1" s="337">
        <f>IF(AND(G71="Yes",'Total income package'!$A$14=TRUE,P71-N71&gt;0),P71-N71,0)</f>
        <v>164.5</v>
      </c>
      <c r="R71" s="29"/>
    </row>
    <row r="72" spans="1:18" x14ac:dyDescent="0.25">
      <c r="A72" s="182">
        <v>33000</v>
      </c>
      <c r="B72" s="4">
        <f t="shared" si="12"/>
        <v>2750</v>
      </c>
      <c r="C72" s="4">
        <f>MAX('TANF-VIEW'!L75,'TANF-VIEW'!T75)</f>
        <v>0</v>
      </c>
      <c r="D72" s="4">
        <f>'Total income package'!$D$80</f>
        <v>0</v>
      </c>
      <c r="E72" s="4">
        <f>'Total income package'!$H$61+'Total income package'!$F$66</f>
        <v>100</v>
      </c>
      <c r="F72" s="4">
        <f t="shared" si="13"/>
        <v>2850</v>
      </c>
      <c r="G72" s="181" t="str">
        <f t="shared" si="14"/>
        <v>Yes</v>
      </c>
      <c r="H72" s="3">
        <f t="shared" si="15"/>
        <v>40</v>
      </c>
      <c r="I72" s="3">
        <f t="shared" si="16"/>
        <v>0</v>
      </c>
      <c r="J72" s="3">
        <f t="shared" si="9"/>
        <v>2810</v>
      </c>
      <c r="K72" s="3">
        <f t="shared" si="10"/>
        <v>843</v>
      </c>
      <c r="L72" s="3">
        <f t="shared" si="11"/>
        <v>285</v>
      </c>
      <c r="M72" s="3">
        <v>50</v>
      </c>
      <c r="N72" s="3">
        <f t="shared" ref="N72:N106" si="17">MAX(K72:M72)</f>
        <v>843</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2" s="337">
        <f>IF(AND(G72="Yes",'Total income package'!$A$14=TRUE,P72-N72&gt;0),P72-N72,0)</f>
        <v>152</v>
      </c>
      <c r="R72" s="29"/>
    </row>
    <row r="73" spans="1:18" x14ac:dyDescent="0.25">
      <c r="A73" s="182">
        <v>33500</v>
      </c>
      <c r="B73" s="4">
        <f t="shared" si="12"/>
        <v>2791.6666666666665</v>
      </c>
      <c r="C73" s="4">
        <f>MAX('TANF-VIEW'!L76,'TANF-VIEW'!T76)</f>
        <v>0</v>
      </c>
      <c r="D73" s="4">
        <f>'Total income package'!$D$80</f>
        <v>0</v>
      </c>
      <c r="E73" s="4">
        <f>'Total income package'!$H$61+'Total income package'!$F$66</f>
        <v>100</v>
      </c>
      <c r="F73" s="4">
        <f t="shared" si="13"/>
        <v>2891.6666666666665</v>
      </c>
      <c r="G73" s="181" t="str">
        <f t="shared" si="14"/>
        <v>Yes</v>
      </c>
      <c r="H73" s="3">
        <f t="shared" si="15"/>
        <v>40</v>
      </c>
      <c r="I73" s="3">
        <f t="shared" si="16"/>
        <v>0</v>
      </c>
      <c r="J73" s="3">
        <f t="shared" si="9"/>
        <v>2851.6666666666665</v>
      </c>
      <c r="K73" s="3">
        <f t="shared" si="10"/>
        <v>855.49999999999989</v>
      </c>
      <c r="L73" s="3">
        <f t="shared" si="11"/>
        <v>289.16666666666669</v>
      </c>
      <c r="M73" s="3">
        <v>50</v>
      </c>
      <c r="N73" s="3">
        <f t="shared" si="17"/>
        <v>855.49999999999989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3" s="337">
        <f>IF(AND(G73="Yes",'Total income package'!$A$14=TRUE,P73-N73&gt;0),P73-N73,0)</f>
        <v>139.50000000000011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100</v>
      </c>
      <c r="F74" s="4">
        <f t="shared" si="13"/>
        <v>2933.3333333333335</v>
      </c>
      <c r="G74" s="181" t="str">
        <f t="shared" si="14"/>
        <v>Yes</v>
      </c>
      <c r="H74" s="3">
        <f t="shared" si="15"/>
        <v>40</v>
      </c>
      <c r="I74" s="3">
        <f t="shared" si="16"/>
        <v>0</v>
      </c>
      <c r="J74" s="3">
        <f t="shared" si="9"/>
        <v>2893.3333333333335</v>
      </c>
      <c r="K74" s="3">
        <f t="shared" si="10"/>
        <v>868</v>
      </c>
      <c r="L74" s="3">
        <f t="shared" si="11"/>
        <v>293.33333333333337</v>
      </c>
      <c r="M74" s="3">
        <v>50</v>
      </c>
      <c r="N74" s="3">
        <f t="shared" si="17"/>
        <v>868</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4" s="337">
        <f>IF(AND(G74="Yes",'Total income package'!$A$14=TRUE,P74-N74&gt;0),P74-N74,0)</f>
        <v>127</v>
      </c>
      <c r="R74" s="29"/>
    </row>
    <row r="75" spans="1:18" x14ac:dyDescent="0.25">
      <c r="A75" s="182">
        <v>34500</v>
      </c>
      <c r="B75" s="4">
        <f t="shared" si="12"/>
        <v>2875</v>
      </c>
      <c r="C75" s="4">
        <f>MAX('TANF-VIEW'!L78,'TANF-VIEW'!T78)</f>
        <v>0</v>
      </c>
      <c r="D75" s="4">
        <f>'Total income package'!$D$80</f>
        <v>0</v>
      </c>
      <c r="E75" s="4">
        <f>'Total income package'!$H$61+'Total income package'!$F$66</f>
        <v>100</v>
      </c>
      <c r="F75" s="4">
        <f t="shared" si="13"/>
        <v>2975</v>
      </c>
      <c r="G75" s="181" t="str">
        <f t="shared" si="14"/>
        <v>Yes</v>
      </c>
      <c r="H75" s="3">
        <f t="shared" si="15"/>
        <v>40</v>
      </c>
      <c r="I75" s="3">
        <f t="shared" si="16"/>
        <v>0</v>
      </c>
      <c r="J75" s="3">
        <f t="shared" si="9"/>
        <v>2935</v>
      </c>
      <c r="K75" s="3">
        <f t="shared" si="10"/>
        <v>880.5</v>
      </c>
      <c r="L75" s="3">
        <f t="shared" si="11"/>
        <v>297.5</v>
      </c>
      <c r="M75" s="3">
        <v>50</v>
      </c>
      <c r="N75" s="3">
        <f t="shared" si="17"/>
        <v>880.5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5" s="337">
        <f>IF(AND(G75="Yes",'Total income package'!$A$14=TRUE,P75-N75&gt;0),P75-N75,0)</f>
        <v>114.5</v>
      </c>
      <c r="R75" s="29"/>
    </row>
    <row r="76" spans="1:18" x14ac:dyDescent="0.25">
      <c r="A76" s="182">
        <v>35000</v>
      </c>
      <c r="B76" s="4">
        <f t="shared" si="12"/>
        <v>2916.6666666666665</v>
      </c>
      <c r="C76" s="4">
        <f>MAX('TANF-VIEW'!L79,'TANF-VIEW'!T79)</f>
        <v>0</v>
      </c>
      <c r="D76" s="4">
        <f>'Total income package'!$D$80</f>
        <v>0</v>
      </c>
      <c r="E76" s="4">
        <f>'Total income package'!$H$61+'Total income package'!$F$66</f>
        <v>100</v>
      </c>
      <c r="F76" s="4">
        <f t="shared" si="13"/>
        <v>3016.6666666666665</v>
      </c>
      <c r="G76" s="181" t="str">
        <f t="shared" si="14"/>
        <v>Yes</v>
      </c>
      <c r="H76" s="3">
        <f t="shared" si="15"/>
        <v>40</v>
      </c>
      <c r="I76" s="3">
        <f t="shared" si="16"/>
        <v>0</v>
      </c>
      <c r="J76" s="3">
        <f t="shared" si="9"/>
        <v>2976.6666666666665</v>
      </c>
      <c r="K76" s="3">
        <f t="shared" si="10"/>
        <v>892.99999999999989</v>
      </c>
      <c r="L76" s="3">
        <f t="shared" si="11"/>
        <v>301.66666666666669</v>
      </c>
      <c r="M76" s="3">
        <v>50</v>
      </c>
      <c r="N76" s="3">
        <f t="shared" si="17"/>
        <v>892.99999999999989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6" s="337">
        <f>IF(AND(G76="Yes",'Total income package'!$A$14=TRUE,P76-N76&gt;0),P76-N76,0)</f>
        <v>102.00000000000011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100</v>
      </c>
      <c r="F77" s="4">
        <f t="shared" si="13"/>
        <v>3058.3333333333335</v>
      </c>
      <c r="G77" s="181" t="str">
        <f t="shared" si="14"/>
        <v>Yes</v>
      </c>
      <c r="H77" s="3">
        <f t="shared" si="15"/>
        <v>40</v>
      </c>
      <c r="I77" s="3">
        <f t="shared" si="16"/>
        <v>0</v>
      </c>
      <c r="J77" s="3">
        <f t="shared" si="9"/>
        <v>3018.3333333333335</v>
      </c>
      <c r="K77" s="3">
        <f t="shared" si="10"/>
        <v>905.5</v>
      </c>
      <c r="L77" s="3">
        <f t="shared" si="11"/>
        <v>305.83333333333337</v>
      </c>
      <c r="M77" s="3">
        <v>50</v>
      </c>
      <c r="N77" s="3">
        <f t="shared" si="17"/>
        <v>905.5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7" s="337">
        <f>IF(AND(G77="Yes",'Total income package'!$A$14=TRUE,P77-N77&gt;0),P77-N77,0)</f>
        <v>89.5</v>
      </c>
      <c r="R77" s="29"/>
    </row>
    <row r="78" spans="1:18" x14ac:dyDescent="0.25">
      <c r="A78" s="182">
        <v>36000</v>
      </c>
      <c r="B78" s="4">
        <f t="shared" si="12"/>
        <v>3000</v>
      </c>
      <c r="C78" s="4">
        <f>MAX('TANF-VIEW'!L81,'TANF-VIEW'!T81)</f>
        <v>0</v>
      </c>
      <c r="D78" s="4">
        <f>'Total income package'!$D$80</f>
        <v>0</v>
      </c>
      <c r="E78" s="4">
        <f>'Total income package'!$H$61+'Total income package'!$F$66</f>
        <v>100</v>
      </c>
      <c r="F78" s="4">
        <f t="shared" si="13"/>
        <v>3100</v>
      </c>
      <c r="G78" s="181" t="str">
        <f t="shared" si="14"/>
        <v>Yes</v>
      </c>
      <c r="H78" s="3">
        <f t="shared" si="15"/>
        <v>40</v>
      </c>
      <c r="I78" s="3">
        <f t="shared" si="16"/>
        <v>0</v>
      </c>
      <c r="J78" s="3">
        <f t="shared" si="9"/>
        <v>3060</v>
      </c>
      <c r="K78" s="3">
        <f t="shared" si="10"/>
        <v>918</v>
      </c>
      <c r="L78" s="3">
        <f t="shared" si="11"/>
        <v>310</v>
      </c>
      <c r="M78" s="3">
        <v>50</v>
      </c>
      <c r="N78" s="3">
        <f t="shared" si="17"/>
        <v>918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8" s="337">
        <f>IF(AND(G78="Yes",'Total income package'!$A$14=TRUE,P78-N78&gt;0),P78-N78,0)</f>
        <v>77</v>
      </c>
      <c r="R78" s="29"/>
    </row>
    <row r="79" spans="1:18" x14ac:dyDescent="0.25">
      <c r="A79" s="182">
        <v>36500</v>
      </c>
      <c r="B79" s="4">
        <f t="shared" si="12"/>
        <v>3041.6666666666665</v>
      </c>
      <c r="C79" s="4">
        <f>MAX('TANF-VIEW'!L82,'TANF-VIEW'!T82)</f>
        <v>0</v>
      </c>
      <c r="D79" s="4">
        <f>'Total income package'!$D$80</f>
        <v>0</v>
      </c>
      <c r="E79" s="4">
        <f>'Total income package'!$H$61+'Total income package'!$F$66</f>
        <v>100</v>
      </c>
      <c r="F79" s="4">
        <f t="shared" si="13"/>
        <v>3141.6666666666665</v>
      </c>
      <c r="G79" s="181" t="str">
        <f t="shared" si="14"/>
        <v>Yes</v>
      </c>
      <c r="H79" s="3">
        <f t="shared" si="15"/>
        <v>40</v>
      </c>
      <c r="I79" s="3">
        <f t="shared" si="16"/>
        <v>0</v>
      </c>
      <c r="J79" s="3">
        <f t="shared" si="9"/>
        <v>3101.6666666666665</v>
      </c>
      <c r="K79" s="3">
        <f t="shared" si="10"/>
        <v>930.49999999999989</v>
      </c>
      <c r="L79" s="3">
        <f t="shared" si="11"/>
        <v>314.16666666666669</v>
      </c>
      <c r="M79" s="3">
        <v>50</v>
      </c>
      <c r="N79" s="3">
        <f t="shared" si="17"/>
        <v>930.49999999999989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79" s="337">
        <f>IF(AND(G79="Yes",'Total income package'!$A$14=TRUE,P79-N79&gt;0),P79-N79,0)</f>
        <v>64.500000000000114</v>
      </c>
      <c r="R79" s="29"/>
    </row>
    <row r="80" spans="1:18" x14ac:dyDescent="0.25">
      <c r="A80" s="182">
        <v>37000</v>
      </c>
      <c r="B80" s="4">
        <f t="shared" si="12"/>
        <v>3083.3333333333335</v>
      </c>
      <c r="C80" s="4">
        <f>MAX('TANF-VIEW'!L83,'TANF-VIEW'!T83)</f>
        <v>0</v>
      </c>
      <c r="D80" s="4">
        <f>'Total income package'!$D$80</f>
        <v>0</v>
      </c>
      <c r="E80" s="4">
        <f>'Total income package'!$H$61+'Total income package'!$F$66</f>
        <v>100</v>
      </c>
      <c r="F80" s="4">
        <f t="shared" si="13"/>
        <v>3183.3333333333335</v>
      </c>
      <c r="G80" s="181" t="str">
        <f t="shared" si="14"/>
        <v>Yes</v>
      </c>
      <c r="H80" s="3">
        <f t="shared" si="15"/>
        <v>40</v>
      </c>
      <c r="I80" s="3">
        <f t="shared" si="16"/>
        <v>0</v>
      </c>
      <c r="J80" s="3">
        <f t="shared" si="9"/>
        <v>3143.3333333333335</v>
      </c>
      <c r="K80" s="3">
        <f t="shared" si="10"/>
        <v>943</v>
      </c>
      <c r="L80" s="3">
        <f t="shared" si="11"/>
        <v>318.33333333333337</v>
      </c>
      <c r="M80" s="3">
        <v>50</v>
      </c>
      <c r="N80" s="3">
        <f t="shared" si="17"/>
        <v>943</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0" s="337">
        <f>IF(AND(G80="Yes",'Total income package'!$A$14=TRUE,P80-N80&gt;0),P80-N80,0)</f>
        <v>52</v>
      </c>
      <c r="R80" s="29"/>
    </row>
    <row r="81" spans="1:18" x14ac:dyDescent="0.25">
      <c r="A81" s="182">
        <v>37500</v>
      </c>
      <c r="B81" s="4">
        <f t="shared" si="12"/>
        <v>3125</v>
      </c>
      <c r="C81" s="4">
        <f>MAX('TANF-VIEW'!L84,'TANF-VIEW'!T84)</f>
        <v>0</v>
      </c>
      <c r="D81" s="4">
        <f>'Total income package'!$D$80</f>
        <v>0</v>
      </c>
      <c r="E81" s="4">
        <f>'Total income package'!$H$61+'Total income package'!$F$66</f>
        <v>100</v>
      </c>
      <c r="F81" s="4">
        <f t="shared" si="13"/>
        <v>3225</v>
      </c>
      <c r="G81" s="181" t="str">
        <f t="shared" si="14"/>
        <v>Yes</v>
      </c>
      <c r="H81" s="3">
        <f t="shared" si="15"/>
        <v>40</v>
      </c>
      <c r="I81" s="3">
        <f t="shared" si="16"/>
        <v>0</v>
      </c>
      <c r="J81" s="3">
        <f t="shared" si="9"/>
        <v>3185</v>
      </c>
      <c r="K81" s="3">
        <f t="shared" si="10"/>
        <v>955.5</v>
      </c>
      <c r="L81" s="3">
        <f t="shared" si="11"/>
        <v>322.5</v>
      </c>
      <c r="M81" s="3">
        <v>50</v>
      </c>
      <c r="N81" s="3">
        <f t="shared" si="17"/>
        <v>955.5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1" s="337">
        <f>IF(AND(G81="Yes",'Total income package'!$A$14=TRUE,P81-N81&gt;0),P81-N81,0)</f>
        <v>39.5</v>
      </c>
      <c r="R81" s="29"/>
    </row>
    <row r="82" spans="1:18" x14ac:dyDescent="0.25">
      <c r="A82" s="182">
        <v>38000</v>
      </c>
      <c r="B82" s="4">
        <f t="shared" si="12"/>
        <v>3166.6666666666665</v>
      </c>
      <c r="C82" s="4">
        <f>MAX('TANF-VIEW'!L85,'TANF-VIEW'!T85)</f>
        <v>0</v>
      </c>
      <c r="D82" s="4">
        <f>'Total income package'!$D$80</f>
        <v>0</v>
      </c>
      <c r="E82" s="4">
        <f>'Total income package'!$H$61+'Total income package'!$F$66</f>
        <v>100</v>
      </c>
      <c r="F82" s="4">
        <f t="shared" si="13"/>
        <v>3266.6666666666665</v>
      </c>
      <c r="G82" s="181" t="str">
        <f t="shared" si="14"/>
        <v>Yes</v>
      </c>
      <c r="H82" s="3">
        <f t="shared" si="15"/>
        <v>40</v>
      </c>
      <c r="I82" s="3">
        <f t="shared" si="16"/>
        <v>0</v>
      </c>
      <c r="J82" s="3">
        <f t="shared" si="9"/>
        <v>3226.6666666666665</v>
      </c>
      <c r="K82" s="3">
        <f t="shared" si="10"/>
        <v>967.99999999999989</v>
      </c>
      <c r="L82" s="3">
        <f t="shared" si="11"/>
        <v>326.66666666666669</v>
      </c>
      <c r="M82" s="3">
        <v>50</v>
      </c>
      <c r="N82" s="3">
        <f t="shared" si="17"/>
        <v>967.99999999999989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2" s="337">
        <f>IF(AND(G82="Yes",'Total income package'!$A$14=TRUE,P82-N82&gt;0),P82-N82,0)</f>
        <v>27.000000000000114</v>
      </c>
      <c r="R82" s="29"/>
    </row>
    <row r="83" spans="1:18" x14ac:dyDescent="0.25">
      <c r="A83" s="182">
        <v>38500</v>
      </c>
      <c r="B83" s="4">
        <f t="shared" si="12"/>
        <v>3208.3333333333335</v>
      </c>
      <c r="C83" s="4">
        <f>MAX('TANF-VIEW'!L86,'TANF-VIEW'!T86)</f>
        <v>0</v>
      </c>
      <c r="D83" s="4">
        <f>'Total income package'!$D$80</f>
        <v>0</v>
      </c>
      <c r="E83" s="4">
        <f>'Total income package'!$H$61+'Total income package'!$F$66</f>
        <v>100</v>
      </c>
      <c r="F83" s="4">
        <f t="shared" si="13"/>
        <v>3308.3333333333335</v>
      </c>
      <c r="G83" s="181" t="str">
        <f t="shared" si="14"/>
        <v>Yes</v>
      </c>
      <c r="H83" s="3">
        <f t="shared" si="15"/>
        <v>40</v>
      </c>
      <c r="I83" s="3">
        <f t="shared" si="16"/>
        <v>0</v>
      </c>
      <c r="J83" s="3">
        <f t="shared" si="9"/>
        <v>3268.3333333333335</v>
      </c>
      <c r="K83" s="3">
        <f t="shared" si="10"/>
        <v>980.5</v>
      </c>
      <c r="L83" s="3">
        <f t="shared" si="11"/>
        <v>330.83333333333337</v>
      </c>
      <c r="M83" s="3">
        <v>50</v>
      </c>
      <c r="N83" s="3">
        <f t="shared" si="17"/>
        <v>980.5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3" s="337">
        <f>IF(AND(G83="Yes",'Total income package'!$A$14=TRUE,P83-N83&gt;0),P83-N83,0)</f>
        <v>14.5</v>
      </c>
      <c r="R83" s="29"/>
    </row>
    <row r="84" spans="1:18" x14ac:dyDescent="0.25">
      <c r="A84" s="182">
        <v>39000</v>
      </c>
      <c r="B84" s="4">
        <f t="shared" si="12"/>
        <v>3250</v>
      </c>
      <c r="C84" s="4">
        <f>MAX('TANF-VIEW'!L87,'TANF-VIEW'!T87)</f>
        <v>0</v>
      </c>
      <c r="D84" s="4">
        <f>'Total income package'!$D$80</f>
        <v>0</v>
      </c>
      <c r="E84" s="4">
        <f>'Total income package'!$H$61+'Total income package'!$F$66</f>
        <v>100</v>
      </c>
      <c r="F84" s="4">
        <f t="shared" si="13"/>
        <v>3350</v>
      </c>
      <c r="G84" s="181" t="str">
        <f t="shared" si="14"/>
        <v>Yes</v>
      </c>
      <c r="H84" s="3">
        <f t="shared" si="15"/>
        <v>40</v>
      </c>
      <c r="I84" s="3">
        <f t="shared" si="16"/>
        <v>0</v>
      </c>
      <c r="J84" s="3">
        <f t="shared" si="9"/>
        <v>3310</v>
      </c>
      <c r="K84" s="3">
        <f t="shared" si="10"/>
        <v>993</v>
      </c>
      <c r="L84" s="3">
        <f t="shared" si="11"/>
        <v>335</v>
      </c>
      <c r="M84" s="3">
        <v>50</v>
      </c>
      <c r="N84" s="3">
        <f t="shared" si="17"/>
        <v>993</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4" s="337">
        <f>IF(AND(G84="Yes",'Total income package'!$A$14=TRUE,P84-N84&gt;0),P84-N84,0)</f>
        <v>2</v>
      </c>
      <c r="R84" s="29"/>
    </row>
    <row r="85" spans="1:18" x14ac:dyDescent="0.25">
      <c r="A85" s="182">
        <v>39500</v>
      </c>
      <c r="B85" s="4">
        <f t="shared" si="12"/>
        <v>3291.6666666666665</v>
      </c>
      <c r="C85" s="4">
        <f>MAX('TANF-VIEW'!L88,'TANF-VIEW'!T88)</f>
        <v>0</v>
      </c>
      <c r="D85" s="4">
        <f>'Total income package'!$D$80</f>
        <v>0</v>
      </c>
      <c r="E85" s="4">
        <f>'Total income package'!$H$61+'Total income package'!$F$66</f>
        <v>100</v>
      </c>
      <c r="F85" s="4">
        <f t="shared" si="13"/>
        <v>3391.6666666666665</v>
      </c>
      <c r="G85" s="181" t="str">
        <f t="shared" si="14"/>
        <v>Yes</v>
      </c>
      <c r="H85" s="3">
        <f t="shared" si="15"/>
        <v>40</v>
      </c>
      <c r="I85" s="3">
        <f t="shared" si="16"/>
        <v>0</v>
      </c>
      <c r="J85" s="3">
        <f t="shared" si="9"/>
        <v>3351.6666666666665</v>
      </c>
      <c r="K85" s="3">
        <f t="shared" si="10"/>
        <v>1005.4999999999999</v>
      </c>
      <c r="L85" s="3">
        <f t="shared" si="11"/>
        <v>339.16666666666669</v>
      </c>
      <c r="M85" s="3">
        <v>50</v>
      </c>
      <c r="N85" s="3">
        <f t="shared" si="17"/>
        <v>1005.4999999999999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5" s="337">
        <f>IF(AND(G85="Yes",'Total income package'!$A$14=TRUE,P85-N85&gt;0),P85-N85,0)</f>
        <v>0</v>
      </c>
      <c r="R85" s="29"/>
    </row>
    <row r="86" spans="1:18" x14ac:dyDescent="0.25">
      <c r="A86" s="182">
        <v>40000</v>
      </c>
      <c r="B86" s="4">
        <f t="shared" si="12"/>
        <v>3333.3333333333335</v>
      </c>
      <c r="C86" s="4">
        <f>MAX('TANF-VIEW'!L89,'TANF-VIEW'!T89)</f>
        <v>0</v>
      </c>
      <c r="D86" s="4">
        <f>'Total income package'!$D$80</f>
        <v>0</v>
      </c>
      <c r="E86" s="4">
        <f>'Total income package'!$H$61+'Total income package'!$F$66</f>
        <v>100</v>
      </c>
      <c r="F86" s="4">
        <f t="shared" si="13"/>
        <v>3433.3333333333335</v>
      </c>
      <c r="G86" s="181" t="str">
        <f t="shared" si="14"/>
        <v>Yes</v>
      </c>
      <c r="H86" s="3">
        <f t="shared" si="15"/>
        <v>40</v>
      </c>
      <c r="I86" s="3">
        <f t="shared" si="16"/>
        <v>0</v>
      </c>
      <c r="J86" s="3">
        <f t="shared" si="9"/>
        <v>3393.3333333333335</v>
      </c>
      <c r="K86" s="3">
        <f t="shared" si="10"/>
        <v>1018</v>
      </c>
      <c r="L86" s="3">
        <f t="shared" si="11"/>
        <v>343.33333333333337</v>
      </c>
      <c r="M86" s="3">
        <v>50</v>
      </c>
      <c r="N86" s="3">
        <f t="shared" si="17"/>
        <v>1018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6" s="337">
        <f>IF(AND(G86="Yes",'Total income package'!$A$14=TRUE,P86-N86&gt;0),P86-N86,0)</f>
        <v>0</v>
      </c>
      <c r="R86" s="29"/>
    </row>
    <row r="87" spans="1:18" x14ac:dyDescent="0.25">
      <c r="A87" s="182">
        <v>40500</v>
      </c>
      <c r="B87" s="4">
        <f t="shared" si="12"/>
        <v>3375</v>
      </c>
      <c r="C87" s="4">
        <f>MAX('TANF-VIEW'!L90,'TANF-VIEW'!T90)</f>
        <v>0</v>
      </c>
      <c r="D87" s="4">
        <f>'Total income package'!$D$80</f>
        <v>0</v>
      </c>
      <c r="E87" s="4">
        <f>'Total income package'!$H$61+'Total income package'!$F$66</f>
        <v>100</v>
      </c>
      <c r="F87" s="4">
        <f t="shared" si="13"/>
        <v>3475</v>
      </c>
      <c r="G87" s="181" t="str">
        <f t="shared" si="14"/>
        <v>Yes</v>
      </c>
      <c r="H87" s="3">
        <f t="shared" si="15"/>
        <v>40</v>
      </c>
      <c r="I87" s="3">
        <f t="shared" si="16"/>
        <v>0</v>
      </c>
      <c r="J87" s="3">
        <f t="shared" si="9"/>
        <v>3435</v>
      </c>
      <c r="K87" s="3">
        <f t="shared" si="10"/>
        <v>1030.5</v>
      </c>
      <c r="L87" s="3">
        <f t="shared" si="11"/>
        <v>347.5</v>
      </c>
      <c r="M87" s="3">
        <v>50</v>
      </c>
      <c r="N87" s="3">
        <f t="shared" si="17"/>
        <v>1030.5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7" s="337">
        <f>IF(AND(G87="Yes",'Total income package'!$A$14=TRUE,P87-N87&gt;0),P87-N87,0)</f>
        <v>0</v>
      </c>
      <c r="R87" s="29"/>
    </row>
    <row r="88" spans="1:18" x14ac:dyDescent="0.25">
      <c r="A88" s="182">
        <v>41000</v>
      </c>
      <c r="B88" s="4">
        <f t="shared" si="12"/>
        <v>3416.6666666666665</v>
      </c>
      <c r="C88" s="4">
        <f>MAX('TANF-VIEW'!L91,'TANF-VIEW'!T91)</f>
        <v>0</v>
      </c>
      <c r="D88" s="4">
        <f>'Total income package'!$D$80</f>
        <v>0</v>
      </c>
      <c r="E88" s="4">
        <f>'Total income package'!$H$61+'Total income package'!$F$66</f>
        <v>100</v>
      </c>
      <c r="F88" s="4">
        <f t="shared" si="13"/>
        <v>3516.6666666666665</v>
      </c>
      <c r="G88" s="181" t="str">
        <f t="shared" si="14"/>
        <v>Yes</v>
      </c>
      <c r="H88" s="3">
        <f t="shared" si="15"/>
        <v>40</v>
      </c>
      <c r="I88" s="3">
        <f t="shared" si="16"/>
        <v>0</v>
      </c>
      <c r="J88" s="3">
        <f t="shared" si="9"/>
        <v>3476.6666666666665</v>
      </c>
      <c r="K88" s="3">
        <f t="shared" si="10"/>
        <v>1043</v>
      </c>
      <c r="L88" s="3">
        <f t="shared" si="11"/>
        <v>351.66666666666669</v>
      </c>
      <c r="M88" s="3">
        <v>50</v>
      </c>
      <c r="N88" s="3">
        <f t="shared" si="17"/>
        <v>1043</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8" s="337">
        <f>IF(AND(G88="Yes",'Total income package'!$A$14=TRUE,P88-N88&gt;0),P88-N88,0)</f>
        <v>0</v>
      </c>
      <c r="R88" s="29"/>
    </row>
    <row r="89" spans="1:18" x14ac:dyDescent="0.25">
      <c r="A89" s="182">
        <v>41500</v>
      </c>
      <c r="B89" s="4">
        <f t="shared" si="12"/>
        <v>3458.3333333333335</v>
      </c>
      <c r="C89" s="4">
        <f>MAX('TANF-VIEW'!L92,'TANF-VIEW'!T92)</f>
        <v>0</v>
      </c>
      <c r="D89" s="4">
        <f>'Total income package'!$D$80</f>
        <v>0</v>
      </c>
      <c r="E89" s="4">
        <f>'Total income package'!$H$61+'Total income package'!$F$66</f>
        <v>100</v>
      </c>
      <c r="F89" s="4">
        <f t="shared" si="13"/>
        <v>3558.3333333333335</v>
      </c>
      <c r="G89" s="181" t="str">
        <f t="shared" si="14"/>
        <v>Yes</v>
      </c>
      <c r="H89" s="3">
        <f t="shared" si="15"/>
        <v>40</v>
      </c>
      <c r="I89" s="3">
        <f t="shared" si="16"/>
        <v>0</v>
      </c>
      <c r="J89" s="3">
        <f t="shared" si="9"/>
        <v>3518.3333333333335</v>
      </c>
      <c r="K89" s="3">
        <f t="shared" si="10"/>
        <v>1055.5</v>
      </c>
      <c r="L89" s="3">
        <f t="shared" si="11"/>
        <v>355.83333333333337</v>
      </c>
      <c r="M89" s="3">
        <v>50</v>
      </c>
      <c r="N89" s="3">
        <f t="shared" si="17"/>
        <v>1055.5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89" s="337">
        <f>IF(AND(G89="Yes",'Total income package'!$A$14=TRUE,P89-N89&gt;0),P89-N89,0)</f>
        <v>0</v>
      </c>
      <c r="R89" s="29"/>
    </row>
    <row r="90" spans="1:18" x14ac:dyDescent="0.25">
      <c r="A90" s="182">
        <v>42000</v>
      </c>
      <c r="B90" s="4">
        <f t="shared" si="12"/>
        <v>3500</v>
      </c>
      <c r="C90" s="4">
        <f>MAX('TANF-VIEW'!L93,'TANF-VIEW'!T93)</f>
        <v>0</v>
      </c>
      <c r="D90" s="4">
        <f>'Total income package'!$D$80</f>
        <v>0</v>
      </c>
      <c r="E90" s="4">
        <f>'Total income package'!$H$61+'Total income package'!$F$66</f>
        <v>100</v>
      </c>
      <c r="F90" s="4">
        <f t="shared" si="13"/>
        <v>3600</v>
      </c>
      <c r="G90" s="181" t="str">
        <f t="shared" si="14"/>
        <v>Yes</v>
      </c>
      <c r="H90" s="3">
        <f t="shared" si="15"/>
        <v>40</v>
      </c>
      <c r="I90" s="3">
        <f t="shared" si="16"/>
        <v>0</v>
      </c>
      <c r="J90" s="3">
        <f t="shared" si="9"/>
        <v>3560</v>
      </c>
      <c r="K90" s="3">
        <f t="shared" si="10"/>
        <v>1068</v>
      </c>
      <c r="L90" s="3">
        <f t="shared" si="11"/>
        <v>360</v>
      </c>
      <c r="M90" s="3">
        <v>50</v>
      </c>
      <c r="N90" s="3">
        <f t="shared" si="17"/>
        <v>1068</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0" s="337">
        <f>IF(AND(G90="Yes",'Total income package'!$A$14=TRUE,P90-N90&gt;0),P90-N90,0)</f>
        <v>0</v>
      </c>
      <c r="R90" s="29"/>
    </row>
    <row r="91" spans="1:18" x14ac:dyDescent="0.25">
      <c r="A91" s="182">
        <v>42500</v>
      </c>
      <c r="B91" s="4">
        <f t="shared" si="12"/>
        <v>3541.6666666666665</v>
      </c>
      <c r="C91" s="4">
        <f>MAX('TANF-VIEW'!L94,'TANF-VIEW'!T94)</f>
        <v>0</v>
      </c>
      <c r="D91" s="4">
        <f>'Total income package'!$D$80</f>
        <v>0</v>
      </c>
      <c r="E91" s="4">
        <f>'Total income package'!$H$61+'Total income package'!$F$66</f>
        <v>100</v>
      </c>
      <c r="F91" s="4">
        <f t="shared" si="13"/>
        <v>3641.6666666666665</v>
      </c>
      <c r="G91" s="181" t="str">
        <f t="shared" si="14"/>
        <v>Yes</v>
      </c>
      <c r="H91" s="3">
        <f t="shared" si="15"/>
        <v>40</v>
      </c>
      <c r="I91" s="3">
        <f t="shared" si="16"/>
        <v>0</v>
      </c>
      <c r="J91" s="3">
        <f t="shared" si="9"/>
        <v>3601.6666666666665</v>
      </c>
      <c r="K91" s="3">
        <f t="shared" si="10"/>
        <v>1080.5</v>
      </c>
      <c r="L91" s="3">
        <f t="shared" si="11"/>
        <v>364.16666666666669</v>
      </c>
      <c r="M91" s="3">
        <v>50</v>
      </c>
      <c r="N91" s="3">
        <f t="shared" si="17"/>
        <v>1080.5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1" s="337">
        <f>IF(AND(G91="Yes",'Total income package'!$A$14=TRUE,P91-N91&gt;0),P91-N91,0)</f>
        <v>0</v>
      </c>
      <c r="R91" s="29"/>
    </row>
    <row r="92" spans="1:18" x14ac:dyDescent="0.25">
      <c r="A92" s="182">
        <v>43000</v>
      </c>
      <c r="B92" s="4">
        <f t="shared" si="12"/>
        <v>3583.3333333333335</v>
      </c>
      <c r="C92" s="4">
        <f>MAX('TANF-VIEW'!L95,'TANF-VIEW'!T95)</f>
        <v>0</v>
      </c>
      <c r="D92" s="4">
        <f>'Total income package'!$D$80</f>
        <v>0</v>
      </c>
      <c r="E92" s="4">
        <f>'Total income package'!$H$61+'Total income package'!$F$66</f>
        <v>100</v>
      </c>
      <c r="F92" s="4">
        <f t="shared" si="13"/>
        <v>3683.3333333333335</v>
      </c>
      <c r="G92" s="181" t="str">
        <f t="shared" si="14"/>
        <v>Yes</v>
      </c>
      <c r="H92" s="3">
        <f t="shared" si="15"/>
        <v>40</v>
      </c>
      <c r="I92" s="3">
        <f t="shared" si="16"/>
        <v>0</v>
      </c>
      <c r="J92" s="3">
        <f t="shared" si="9"/>
        <v>3643.3333333333335</v>
      </c>
      <c r="K92" s="3">
        <f t="shared" si="10"/>
        <v>1093</v>
      </c>
      <c r="L92" s="3">
        <f t="shared" si="11"/>
        <v>368.33333333333337</v>
      </c>
      <c r="M92" s="3">
        <v>50</v>
      </c>
      <c r="N92" s="3">
        <f t="shared" si="17"/>
        <v>1093</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2" s="337">
        <f>IF(AND(G92="Yes",'Total income package'!$A$14=TRUE,P92-N92&gt;0),P92-N92,0)</f>
        <v>0</v>
      </c>
      <c r="R92" s="29"/>
    </row>
    <row r="93" spans="1:18" x14ac:dyDescent="0.25">
      <c r="A93" s="182">
        <v>43500</v>
      </c>
      <c r="B93" s="4">
        <f t="shared" si="12"/>
        <v>3625</v>
      </c>
      <c r="C93" s="4">
        <f>MAX('TANF-VIEW'!L96,'TANF-VIEW'!T96)</f>
        <v>0</v>
      </c>
      <c r="D93" s="4">
        <f>'Total income package'!$D$80</f>
        <v>0</v>
      </c>
      <c r="E93" s="4">
        <f>'Total income package'!$H$61+'Total income package'!$F$66</f>
        <v>100</v>
      </c>
      <c r="F93" s="4">
        <f t="shared" si="13"/>
        <v>3725</v>
      </c>
      <c r="G93" s="181" t="str">
        <f t="shared" si="14"/>
        <v>Yes</v>
      </c>
      <c r="H93" s="3">
        <f t="shared" si="15"/>
        <v>40</v>
      </c>
      <c r="I93" s="3">
        <f t="shared" si="16"/>
        <v>0</v>
      </c>
      <c r="J93" s="3">
        <f t="shared" si="9"/>
        <v>3685</v>
      </c>
      <c r="K93" s="3">
        <f t="shared" si="10"/>
        <v>1105.5</v>
      </c>
      <c r="L93" s="3">
        <f t="shared" si="11"/>
        <v>372.5</v>
      </c>
      <c r="M93" s="3">
        <v>50</v>
      </c>
      <c r="N93" s="3">
        <f t="shared" si="17"/>
        <v>1105.5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3" s="337">
        <f>IF(AND(G93="Yes",'Total income package'!$A$14=TRUE,P93-N93&gt;0),P93-N93,0)</f>
        <v>0</v>
      </c>
      <c r="R93" s="29"/>
    </row>
    <row r="94" spans="1:18" x14ac:dyDescent="0.25">
      <c r="A94" s="182">
        <v>44000</v>
      </c>
      <c r="B94" s="4">
        <f t="shared" si="12"/>
        <v>3666.6666666666665</v>
      </c>
      <c r="C94" s="4">
        <f>MAX('TANF-VIEW'!L97,'TANF-VIEW'!T97)</f>
        <v>0</v>
      </c>
      <c r="D94" s="4">
        <f>'Total income package'!$D$80</f>
        <v>0</v>
      </c>
      <c r="E94" s="4">
        <f>'Total income package'!$H$61+'Total income package'!$F$66</f>
        <v>100</v>
      </c>
      <c r="F94" s="4">
        <f t="shared" si="13"/>
        <v>3766.6666666666665</v>
      </c>
      <c r="G94" s="181" t="str">
        <f t="shared" si="14"/>
        <v>Yes</v>
      </c>
      <c r="H94" s="3">
        <f t="shared" si="15"/>
        <v>40</v>
      </c>
      <c r="I94" s="3">
        <f t="shared" si="16"/>
        <v>0</v>
      </c>
      <c r="J94" s="3">
        <f t="shared" si="9"/>
        <v>3726.6666666666665</v>
      </c>
      <c r="K94" s="3">
        <f t="shared" si="10"/>
        <v>1118</v>
      </c>
      <c r="L94" s="3">
        <f t="shared" si="11"/>
        <v>376.66666666666669</v>
      </c>
      <c r="M94" s="3">
        <v>50</v>
      </c>
      <c r="N94" s="3">
        <f t="shared" si="17"/>
        <v>1118</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4" s="337">
        <f>IF(AND(G94="Yes",'Total income package'!$A$14=TRUE,P94-N94&gt;0),P94-N94,0)</f>
        <v>0</v>
      </c>
      <c r="R94" s="29"/>
    </row>
    <row r="95" spans="1:18" x14ac:dyDescent="0.25">
      <c r="A95" s="182">
        <v>44500</v>
      </c>
      <c r="B95" s="4">
        <f t="shared" si="12"/>
        <v>3708.3333333333335</v>
      </c>
      <c r="C95" s="4">
        <f>MAX('TANF-VIEW'!L98,'TANF-VIEW'!T98)</f>
        <v>0</v>
      </c>
      <c r="D95" s="4">
        <f>'Total income package'!$D$80</f>
        <v>0</v>
      </c>
      <c r="E95" s="4">
        <f>'Total income package'!$H$61+'Total income package'!$F$66</f>
        <v>100</v>
      </c>
      <c r="F95" s="4">
        <f t="shared" si="13"/>
        <v>3808.3333333333335</v>
      </c>
      <c r="G95" s="181" t="str">
        <f t="shared" si="14"/>
        <v>Yes</v>
      </c>
      <c r="H95" s="3">
        <f t="shared" si="15"/>
        <v>40</v>
      </c>
      <c r="I95" s="3">
        <f t="shared" si="16"/>
        <v>0</v>
      </c>
      <c r="J95" s="3">
        <f t="shared" si="9"/>
        <v>3768.3333333333335</v>
      </c>
      <c r="K95" s="3">
        <f t="shared" si="10"/>
        <v>1130.5</v>
      </c>
      <c r="L95" s="3">
        <f t="shared" si="11"/>
        <v>380.83333333333337</v>
      </c>
      <c r="M95" s="3">
        <v>50</v>
      </c>
      <c r="N95" s="3">
        <f t="shared" si="17"/>
        <v>1130.5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5" s="337">
        <f>IF(AND(G95="Yes",'Total income package'!$A$14=TRUE,P95-N95&gt;0),P95-N95,0)</f>
        <v>0</v>
      </c>
      <c r="R95" s="29"/>
    </row>
    <row r="96" spans="1:18" x14ac:dyDescent="0.25">
      <c r="A96" s="182">
        <v>45000</v>
      </c>
      <c r="B96" s="4">
        <f t="shared" si="12"/>
        <v>3750</v>
      </c>
      <c r="C96" s="4">
        <f>MAX('TANF-VIEW'!L99,'TANF-VIEW'!T99)</f>
        <v>0</v>
      </c>
      <c r="D96" s="4">
        <f>'Total income package'!$D$80</f>
        <v>0</v>
      </c>
      <c r="E96" s="4">
        <f>'Total income package'!$H$61+'Total income package'!$F$66</f>
        <v>100</v>
      </c>
      <c r="F96" s="4">
        <f t="shared" si="13"/>
        <v>3850</v>
      </c>
      <c r="G96" s="181" t="str">
        <f t="shared" si="14"/>
        <v>Yes</v>
      </c>
      <c r="H96" s="3">
        <f t="shared" si="15"/>
        <v>40</v>
      </c>
      <c r="I96" s="3">
        <f t="shared" si="16"/>
        <v>0</v>
      </c>
      <c r="J96" s="3">
        <f t="shared" si="9"/>
        <v>3810</v>
      </c>
      <c r="K96" s="3">
        <f t="shared" si="10"/>
        <v>1143</v>
      </c>
      <c r="L96" s="3">
        <f t="shared" si="11"/>
        <v>385</v>
      </c>
      <c r="M96" s="3">
        <v>50</v>
      </c>
      <c r="N96" s="3">
        <f t="shared" si="17"/>
        <v>1143</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6" s="337">
        <f>IF(AND(G96="Yes",'Total income package'!$A$14=TRUE,P96-N96&gt;0),P96-N96,0)</f>
        <v>0</v>
      </c>
      <c r="R96" s="29"/>
    </row>
    <row r="97" spans="1:18" x14ac:dyDescent="0.25">
      <c r="A97" s="182">
        <v>45500</v>
      </c>
      <c r="B97" s="4">
        <f t="shared" si="12"/>
        <v>3791.6666666666665</v>
      </c>
      <c r="C97" s="4">
        <f>MAX('TANF-VIEW'!L100,'TANF-VIEW'!T100)</f>
        <v>0</v>
      </c>
      <c r="D97" s="4">
        <f>'Total income package'!$D$80</f>
        <v>0</v>
      </c>
      <c r="E97" s="4">
        <f>'Total income package'!$H$61+'Total income package'!$F$66</f>
        <v>100</v>
      </c>
      <c r="F97" s="4">
        <f t="shared" si="13"/>
        <v>3891.6666666666665</v>
      </c>
      <c r="G97" s="181" t="str">
        <f t="shared" si="14"/>
        <v>Yes</v>
      </c>
      <c r="H97" s="3">
        <f t="shared" si="15"/>
        <v>40</v>
      </c>
      <c r="I97" s="3">
        <f t="shared" si="16"/>
        <v>0</v>
      </c>
      <c r="J97" s="3">
        <f t="shared" si="9"/>
        <v>3851.6666666666665</v>
      </c>
      <c r="K97" s="3">
        <f t="shared" si="10"/>
        <v>1155.5</v>
      </c>
      <c r="L97" s="3">
        <f t="shared" si="11"/>
        <v>389.16666666666669</v>
      </c>
      <c r="M97" s="3">
        <v>50</v>
      </c>
      <c r="N97" s="3">
        <f t="shared" si="17"/>
        <v>1155.5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7" s="337">
        <f>IF(AND(G97="Yes",'Total income package'!$A$14=TRUE,P97-N97&gt;0),P97-N97,0)</f>
        <v>0</v>
      </c>
      <c r="R97" s="29"/>
    </row>
    <row r="98" spans="1:18" x14ac:dyDescent="0.25">
      <c r="A98" s="182">
        <v>46000</v>
      </c>
      <c r="B98" s="4">
        <f t="shared" si="12"/>
        <v>3833.3333333333335</v>
      </c>
      <c r="C98" s="4">
        <f>MAX('TANF-VIEW'!L101,'TANF-VIEW'!T101)</f>
        <v>0</v>
      </c>
      <c r="D98" s="4">
        <f>'Total income package'!$D$80</f>
        <v>0</v>
      </c>
      <c r="E98" s="4">
        <f>'Total income package'!$H$61+'Total income package'!$F$66</f>
        <v>100</v>
      </c>
      <c r="F98" s="4">
        <f t="shared" si="13"/>
        <v>3933.3333333333335</v>
      </c>
      <c r="G98" s="181" t="str">
        <f t="shared" si="14"/>
        <v>Yes</v>
      </c>
      <c r="H98" s="3">
        <f t="shared" si="15"/>
        <v>40</v>
      </c>
      <c r="I98" s="3">
        <f t="shared" si="16"/>
        <v>0</v>
      </c>
      <c r="J98" s="3">
        <f t="shared" si="9"/>
        <v>3893.3333333333335</v>
      </c>
      <c r="K98" s="3">
        <f t="shared" si="10"/>
        <v>1168</v>
      </c>
      <c r="L98" s="3">
        <f t="shared" si="11"/>
        <v>393.33333333333337</v>
      </c>
      <c r="M98" s="3">
        <v>50</v>
      </c>
      <c r="N98" s="3">
        <f t="shared" si="17"/>
        <v>1168</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8" s="337">
        <f>IF(AND(G98="Yes",'Total income package'!$A$14=TRUE,P98-N98&gt;0),P98-N98,0)</f>
        <v>0</v>
      </c>
      <c r="R98" s="29"/>
    </row>
    <row r="99" spans="1:18" x14ac:dyDescent="0.25">
      <c r="A99" s="182">
        <v>46500</v>
      </c>
      <c r="B99" s="4">
        <f t="shared" si="12"/>
        <v>3875</v>
      </c>
      <c r="C99" s="4">
        <f>MAX('TANF-VIEW'!L102,'TANF-VIEW'!T102)</f>
        <v>0</v>
      </c>
      <c r="D99" s="4">
        <f>'Total income package'!$D$80</f>
        <v>0</v>
      </c>
      <c r="E99" s="4">
        <f>'Total income package'!$H$61+'Total income package'!$F$66</f>
        <v>100</v>
      </c>
      <c r="F99" s="4">
        <f t="shared" si="13"/>
        <v>3975</v>
      </c>
      <c r="G99" s="181" t="str">
        <f t="shared" si="14"/>
        <v>Yes</v>
      </c>
      <c r="H99" s="3">
        <f t="shared" si="15"/>
        <v>40</v>
      </c>
      <c r="I99" s="3">
        <f t="shared" si="16"/>
        <v>0</v>
      </c>
      <c r="J99" s="3">
        <f t="shared" si="9"/>
        <v>3935</v>
      </c>
      <c r="K99" s="3">
        <f t="shared" si="10"/>
        <v>1180.5</v>
      </c>
      <c r="L99" s="3">
        <f t="shared" si="11"/>
        <v>397.5</v>
      </c>
      <c r="M99" s="3">
        <v>50</v>
      </c>
      <c r="N99" s="3">
        <f t="shared" si="17"/>
        <v>1180.5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99" s="337">
        <f>IF(AND(G99="Yes",'Total income package'!$A$14=TRUE,P99-N99&gt;0),P99-N99,0)</f>
        <v>0</v>
      </c>
      <c r="R99" s="29"/>
    </row>
    <row r="100" spans="1:18" x14ac:dyDescent="0.25">
      <c r="A100" s="182">
        <v>47000</v>
      </c>
      <c r="B100" s="4">
        <f t="shared" si="12"/>
        <v>3916.6666666666665</v>
      </c>
      <c r="C100" s="4">
        <f>MAX('TANF-VIEW'!L103,'TANF-VIEW'!T103)</f>
        <v>0</v>
      </c>
      <c r="D100" s="4">
        <f>'Total income package'!$D$80</f>
        <v>0</v>
      </c>
      <c r="E100" s="4">
        <f>'Total income package'!$H$61+'Total income package'!$F$66</f>
        <v>100</v>
      </c>
      <c r="F100" s="4">
        <f t="shared" si="13"/>
        <v>4016.6666666666665</v>
      </c>
      <c r="G100" s="181" t="str">
        <f t="shared" si="14"/>
        <v>Yes</v>
      </c>
      <c r="H100" s="3">
        <f t="shared" si="15"/>
        <v>40</v>
      </c>
      <c r="I100" s="3">
        <f t="shared" si="16"/>
        <v>0</v>
      </c>
      <c r="J100" s="3">
        <f t="shared" si="9"/>
        <v>3976.6666666666665</v>
      </c>
      <c r="K100" s="3">
        <f t="shared" si="10"/>
        <v>1193</v>
      </c>
      <c r="L100" s="3">
        <f t="shared" si="11"/>
        <v>401.66666666666669</v>
      </c>
      <c r="M100" s="3">
        <v>50</v>
      </c>
      <c r="N100" s="3">
        <f t="shared" si="17"/>
        <v>1193</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0" s="337">
        <f>IF(AND(G100="Yes",'Total income package'!$A$14=TRUE,P100-N100&gt;0),P100-N100,0)</f>
        <v>0</v>
      </c>
      <c r="R100" s="29"/>
    </row>
    <row r="101" spans="1:18" x14ac:dyDescent="0.25">
      <c r="A101" s="182">
        <v>47500</v>
      </c>
      <c r="B101" s="4">
        <f t="shared" si="12"/>
        <v>3958.3333333333335</v>
      </c>
      <c r="C101" s="4">
        <f>MAX('TANF-VIEW'!L104,'TANF-VIEW'!T104)</f>
        <v>0</v>
      </c>
      <c r="D101" s="4">
        <f>'Total income package'!$D$80</f>
        <v>0</v>
      </c>
      <c r="E101" s="4">
        <f>'Total income package'!$H$61+'Total income package'!$F$66</f>
        <v>100</v>
      </c>
      <c r="F101" s="4">
        <f t="shared" si="13"/>
        <v>4058.3333333333335</v>
      </c>
      <c r="G101" s="181" t="str">
        <f t="shared" si="14"/>
        <v>Yes</v>
      </c>
      <c r="H101" s="3">
        <f t="shared" si="15"/>
        <v>40</v>
      </c>
      <c r="I101" s="3">
        <f t="shared" si="16"/>
        <v>0</v>
      </c>
      <c r="J101" s="3">
        <f t="shared" si="9"/>
        <v>4018.3333333333335</v>
      </c>
      <c r="K101" s="3">
        <f t="shared" si="10"/>
        <v>1205.5</v>
      </c>
      <c r="L101" s="3">
        <f t="shared" si="11"/>
        <v>405.83333333333337</v>
      </c>
      <c r="M101" s="3">
        <v>50</v>
      </c>
      <c r="N101" s="3">
        <f t="shared" si="17"/>
        <v>1205.5</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1" s="337">
        <f>IF(AND(G101="Yes",'Total income package'!$A$14=TRUE,P101-N101&gt;0),P101-N101,0)</f>
        <v>0</v>
      </c>
      <c r="R101" s="29"/>
    </row>
    <row r="102" spans="1:18" x14ac:dyDescent="0.25">
      <c r="A102" s="182">
        <v>48000</v>
      </c>
      <c r="B102" s="4">
        <f t="shared" si="12"/>
        <v>4000</v>
      </c>
      <c r="C102" s="4">
        <f>MAX('TANF-VIEW'!L105,'TANF-VIEW'!T105)</f>
        <v>0</v>
      </c>
      <c r="D102" s="4">
        <f>'Total income package'!$D$80</f>
        <v>0</v>
      </c>
      <c r="E102" s="4">
        <f>'Total income package'!$H$61+'Total income package'!$F$66</f>
        <v>100</v>
      </c>
      <c r="F102" s="4">
        <f t="shared" si="13"/>
        <v>4100</v>
      </c>
      <c r="G102" s="181" t="str">
        <f t="shared" si="14"/>
        <v>Yes</v>
      </c>
      <c r="H102" s="3">
        <f t="shared" si="15"/>
        <v>40</v>
      </c>
      <c r="I102" s="3">
        <f t="shared" si="16"/>
        <v>0</v>
      </c>
      <c r="J102" s="3">
        <f t="shared" si="9"/>
        <v>4060</v>
      </c>
      <c r="K102" s="3">
        <f t="shared" si="10"/>
        <v>1218</v>
      </c>
      <c r="L102" s="3">
        <f t="shared" si="11"/>
        <v>410</v>
      </c>
      <c r="M102" s="3">
        <v>50</v>
      </c>
      <c r="N102" s="3">
        <f t="shared" si="17"/>
        <v>1218</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2" s="337">
        <f>IF(AND(G102="Yes",'Total income package'!$A$14=TRUE,P102-N102&gt;0),P102-N102,0)</f>
        <v>0</v>
      </c>
      <c r="R102" s="29"/>
    </row>
    <row r="103" spans="1:18" x14ac:dyDescent="0.25">
      <c r="A103" s="182">
        <v>48500</v>
      </c>
      <c r="B103" s="4">
        <f t="shared" si="12"/>
        <v>4041.6666666666665</v>
      </c>
      <c r="C103" s="4">
        <f>MAX('TANF-VIEW'!L106,'TANF-VIEW'!T106)</f>
        <v>0</v>
      </c>
      <c r="D103" s="4">
        <f>'Total income package'!$D$80</f>
        <v>0</v>
      </c>
      <c r="E103" s="4">
        <f>'Total income package'!$H$61+'Total income package'!$F$66</f>
        <v>100</v>
      </c>
      <c r="F103" s="4">
        <f t="shared" si="13"/>
        <v>4141.6666666666661</v>
      </c>
      <c r="G103" s="181" t="str">
        <f t="shared" si="14"/>
        <v>Yes</v>
      </c>
      <c r="H103" s="3">
        <f t="shared" si="15"/>
        <v>40</v>
      </c>
      <c r="I103" s="3">
        <f t="shared" si="16"/>
        <v>0</v>
      </c>
      <c r="J103" s="3">
        <f t="shared" si="9"/>
        <v>4101.6666666666661</v>
      </c>
      <c r="K103" s="3">
        <f t="shared" si="10"/>
        <v>1230.4999999999998</v>
      </c>
      <c r="L103" s="3">
        <f t="shared" si="11"/>
        <v>414.16666666666663</v>
      </c>
      <c r="M103" s="3">
        <v>50</v>
      </c>
      <c r="N103" s="3">
        <f t="shared" si="17"/>
        <v>1230.4999999999998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3" s="337">
        <f>IF(AND(G103="Yes",'Total income package'!$A$14=TRUE,P103-N103&gt;0),P103-N103,0)</f>
        <v>0</v>
      </c>
      <c r="R103" s="29"/>
    </row>
    <row r="104" spans="1:18" x14ac:dyDescent="0.25">
      <c r="A104" s="182">
        <v>49000</v>
      </c>
      <c r="B104" s="4">
        <f t="shared" si="12"/>
        <v>4083.3333333333335</v>
      </c>
      <c r="C104" s="4">
        <f>MAX('TANF-VIEW'!L107,'TANF-VIEW'!T107)</f>
        <v>0</v>
      </c>
      <c r="D104" s="4">
        <f>'Total income package'!$D$80</f>
        <v>0</v>
      </c>
      <c r="E104" s="4">
        <f>'Total income package'!$H$61+'Total income package'!$F$66</f>
        <v>100</v>
      </c>
      <c r="F104" s="4">
        <f t="shared" si="13"/>
        <v>4183.3333333333339</v>
      </c>
      <c r="G104" s="181" t="str">
        <f t="shared" si="14"/>
        <v>No</v>
      </c>
      <c r="H104" s="3">
        <f t="shared" si="15"/>
        <v>40</v>
      </c>
      <c r="I104" s="3">
        <f t="shared" si="16"/>
        <v>0</v>
      </c>
      <c r="J104" s="3">
        <f t="shared" si="9"/>
        <v>4143.3333333333339</v>
      </c>
      <c r="K104" s="3">
        <f t="shared" si="10"/>
        <v>1243.0000000000002</v>
      </c>
      <c r="L104" s="3">
        <f t="shared" si="11"/>
        <v>418.33333333333343</v>
      </c>
      <c r="M104" s="3">
        <v>50</v>
      </c>
      <c r="N104" s="3">
        <f t="shared" si="17"/>
        <v>1243.0000000000002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4" s="337">
        <f>IF(AND(G104="Yes",'Total income package'!$A$14=TRUE,P104-N104&gt;0),P104-N104,0)</f>
        <v>0</v>
      </c>
      <c r="R104" s="29"/>
    </row>
    <row r="105" spans="1:18" x14ac:dyDescent="0.25">
      <c r="A105" s="182">
        <v>49500</v>
      </c>
      <c r="B105" s="4">
        <f t="shared" si="12"/>
        <v>4125</v>
      </c>
      <c r="C105" s="4">
        <f>MAX('TANF-VIEW'!L108,'TANF-VIEW'!T108)</f>
        <v>0</v>
      </c>
      <c r="D105" s="4">
        <f>'Total income package'!$D$80</f>
        <v>0</v>
      </c>
      <c r="E105" s="4">
        <f>'Total income package'!$H$61+'Total income package'!$F$66</f>
        <v>100</v>
      </c>
      <c r="F105" s="4">
        <f t="shared" si="13"/>
        <v>4225</v>
      </c>
      <c r="G105" s="181" t="str">
        <f t="shared" si="14"/>
        <v>No</v>
      </c>
      <c r="H105" s="3">
        <f t="shared" si="15"/>
        <v>40</v>
      </c>
      <c r="I105" s="3">
        <f t="shared" si="16"/>
        <v>0</v>
      </c>
      <c r="J105" s="3">
        <f t="shared" si="9"/>
        <v>4185</v>
      </c>
      <c r="K105" s="3">
        <f t="shared" si="10"/>
        <v>1255.5</v>
      </c>
      <c r="L105" s="3">
        <f t="shared" si="11"/>
        <v>422.5</v>
      </c>
      <c r="M105" s="3">
        <v>50</v>
      </c>
      <c r="N105" s="3">
        <f t="shared" si="17"/>
        <v>1255.5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5" s="337">
        <f>IF(AND(G105="Yes",'Total income package'!$A$14=TRUE,P105-N105&gt;0),P105-N105,0)</f>
        <v>0</v>
      </c>
      <c r="R105" s="29"/>
    </row>
    <row r="106" spans="1:18" x14ac:dyDescent="0.25">
      <c r="A106" s="182">
        <v>50000</v>
      </c>
      <c r="B106" s="4">
        <f t="shared" si="12"/>
        <v>4166.666666666667</v>
      </c>
      <c r="C106" s="4">
        <f>MAX('TANF-VIEW'!L109,'TANF-VIEW'!T109)</f>
        <v>0</v>
      </c>
      <c r="D106" s="4">
        <f>'Total income package'!$D$80</f>
        <v>0</v>
      </c>
      <c r="E106" s="4">
        <f>'Total income package'!$H$61+'Total income package'!$F$66</f>
        <v>100</v>
      </c>
      <c r="F106" s="4">
        <f t="shared" si="13"/>
        <v>4266.666666666667</v>
      </c>
      <c r="G106" s="181" t="str">
        <f t="shared" si="14"/>
        <v>No</v>
      </c>
      <c r="H106" s="3">
        <f t="shared" si="15"/>
        <v>40</v>
      </c>
      <c r="I106" s="3">
        <f t="shared" si="16"/>
        <v>0</v>
      </c>
      <c r="J106" s="3">
        <f t="shared" si="9"/>
        <v>4226.666666666667</v>
      </c>
      <c r="K106" s="3">
        <f t="shared" si="10"/>
        <v>1268</v>
      </c>
      <c r="L106" s="3">
        <f t="shared" si="11"/>
        <v>426.66666666666674</v>
      </c>
      <c r="M106" s="3">
        <v>50</v>
      </c>
      <c r="N106" s="3">
        <f t="shared" si="17"/>
        <v>1268</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6" s="337">
        <f>IF(AND(G106="Yes",'Total income package'!$A$14=TRUE,P106-N106&gt;0),P106-N106,0)</f>
        <v>0</v>
      </c>
      <c r="R106" s="29"/>
    </row>
    <row r="107" spans="1:18" x14ac:dyDescent="0.25">
      <c r="A107" s="182">
        <v>50500</v>
      </c>
      <c r="B107" s="4">
        <f t="shared" si="12"/>
        <v>4208.333333333333</v>
      </c>
      <c r="C107" s="4">
        <f>MAX('TANF-VIEW'!L110,'TANF-VIEW'!T110)</f>
        <v>0</v>
      </c>
      <c r="D107" s="4">
        <f>'Total income package'!$D$80</f>
        <v>0</v>
      </c>
      <c r="E107" s="4">
        <f>'Total income package'!$H$61+'Total income package'!$F$66</f>
        <v>100</v>
      </c>
      <c r="F107" s="4">
        <f t="shared" si="13"/>
        <v>4308.333333333333</v>
      </c>
      <c r="G107" s="181" t="str">
        <f t="shared" si="14"/>
        <v>No</v>
      </c>
      <c r="H107" s="3">
        <f t="shared" si="15"/>
        <v>40</v>
      </c>
      <c r="I107" s="3">
        <f t="shared" si="16"/>
        <v>0</v>
      </c>
      <c r="J107" s="3">
        <f t="shared" si="9"/>
        <v>4268.333333333333</v>
      </c>
      <c r="K107" s="3">
        <f t="shared" si="10"/>
        <v>1280.4999999999998</v>
      </c>
      <c r="L107" s="3">
        <f t="shared" si="11"/>
        <v>430.83333333333331</v>
      </c>
      <c r="M107" s="3">
        <v>50</v>
      </c>
      <c r="N107" s="3">
        <f t="shared" ref="N107:N170" si="18">MAX(K107:M107)</f>
        <v>1280.4999999999998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7" s="337">
        <f>IF(AND(G107="Yes",'Total income package'!$A$14=TRUE,P107-N107&gt;0),P107-N107,0)</f>
        <v>0</v>
      </c>
    </row>
    <row r="108" spans="1:18" x14ac:dyDescent="0.25">
      <c r="A108" s="182">
        <v>51000</v>
      </c>
      <c r="B108" s="4">
        <f t="shared" si="12"/>
        <v>4250</v>
      </c>
      <c r="C108" s="4">
        <f>MAX('TANF-VIEW'!L111,'TANF-VIEW'!T111)</f>
        <v>0</v>
      </c>
      <c r="D108" s="4">
        <f>'Total income package'!$D$80</f>
        <v>0</v>
      </c>
      <c r="E108" s="4">
        <f>'Total income package'!$H$61+'Total income package'!$F$66</f>
        <v>100</v>
      </c>
      <c r="F108" s="4">
        <f t="shared" si="13"/>
        <v>4350</v>
      </c>
      <c r="G108" s="181" t="str">
        <f t="shared" si="14"/>
        <v>No</v>
      </c>
      <c r="H108" s="3">
        <f t="shared" si="15"/>
        <v>40</v>
      </c>
      <c r="I108" s="3">
        <f t="shared" si="16"/>
        <v>0</v>
      </c>
      <c r="J108" s="3">
        <f t="shared" si="9"/>
        <v>4310</v>
      </c>
      <c r="K108" s="3">
        <f t="shared" si="10"/>
        <v>1293</v>
      </c>
      <c r="L108" s="3">
        <f t="shared" si="11"/>
        <v>435</v>
      </c>
      <c r="M108" s="3">
        <v>50</v>
      </c>
      <c r="N108" s="3">
        <f t="shared" si="18"/>
        <v>1293</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8" s="337">
        <f>IF(AND(G108="Yes",'Total income package'!$A$14=TRUE,P108-N108&gt;0),P108-N108,0)</f>
        <v>0</v>
      </c>
    </row>
    <row r="109" spans="1:18" x14ac:dyDescent="0.25">
      <c r="A109" s="182">
        <v>51500</v>
      </c>
      <c r="B109" s="4">
        <f t="shared" si="12"/>
        <v>4291.666666666667</v>
      </c>
      <c r="C109" s="4">
        <f>MAX('TANF-VIEW'!L112,'TANF-VIEW'!T112)</f>
        <v>0</v>
      </c>
      <c r="D109" s="4">
        <f>'Total income package'!$D$80</f>
        <v>0</v>
      </c>
      <c r="E109" s="4">
        <f>'Total income package'!$H$61+'Total income package'!$F$66</f>
        <v>100</v>
      </c>
      <c r="F109" s="4">
        <f t="shared" si="13"/>
        <v>4391.666666666667</v>
      </c>
      <c r="G109" s="181" t="str">
        <f t="shared" si="14"/>
        <v>No</v>
      </c>
      <c r="H109" s="3">
        <f t="shared" si="15"/>
        <v>40</v>
      </c>
      <c r="I109" s="3">
        <f t="shared" si="16"/>
        <v>0</v>
      </c>
      <c r="J109" s="3">
        <f t="shared" si="9"/>
        <v>4351.666666666667</v>
      </c>
      <c r="K109" s="3">
        <f t="shared" si="10"/>
        <v>1305.5</v>
      </c>
      <c r="L109" s="3">
        <f t="shared" si="11"/>
        <v>439.16666666666674</v>
      </c>
      <c r="M109" s="3">
        <v>50</v>
      </c>
      <c r="N109" s="3">
        <f t="shared" si="18"/>
        <v>1305.5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09" s="337">
        <f>IF(AND(G109="Yes",'Total income package'!$A$14=TRUE,P109-N109&gt;0),P109-N109,0)</f>
        <v>0</v>
      </c>
    </row>
    <row r="110" spans="1:18" x14ac:dyDescent="0.25">
      <c r="A110" s="182">
        <v>52000</v>
      </c>
      <c r="B110" s="4">
        <f t="shared" si="12"/>
        <v>4333.333333333333</v>
      </c>
      <c r="C110" s="4">
        <f>MAX('TANF-VIEW'!L113,'TANF-VIEW'!T113)</f>
        <v>0</v>
      </c>
      <c r="D110" s="4">
        <f>'Total income package'!$D$80</f>
        <v>0</v>
      </c>
      <c r="E110" s="4">
        <f>'Total income package'!$H$61+'Total income package'!$F$66</f>
        <v>100</v>
      </c>
      <c r="F110" s="4">
        <f t="shared" si="13"/>
        <v>4433.333333333333</v>
      </c>
      <c r="G110" s="181" t="str">
        <f t="shared" si="14"/>
        <v>No</v>
      </c>
      <c r="H110" s="3">
        <f t="shared" si="15"/>
        <v>40</v>
      </c>
      <c r="I110" s="3">
        <f t="shared" si="16"/>
        <v>0</v>
      </c>
      <c r="J110" s="3">
        <f t="shared" si="9"/>
        <v>4393.333333333333</v>
      </c>
      <c r="K110" s="3">
        <f t="shared" si="10"/>
        <v>1317.9999999999998</v>
      </c>
      <c r="L110" s="3">
        <f t="shared" si="11"/>
        <v>443.33333333333331</v>
      </c>
      <c r="M110" s="3">
        <v>50</v>
      </c>
      <c r="N110" s="3">
        <f t="shared" si="18"/>
        <v>1317.9999999999998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0" s="337">
        <f>IF(AND(G110="Yes",'Total income package'!$A$14=TRUE,P110-N110&gt;0),P110-N110,0)</f>
        <v>0</v>
      </c>
    </row>
    <row r="111" spans="1:18" x14ac:dyDescent="0.25">
      <c r="A111" s="182">
        <v>52500</v>
      </c>
      <c r="B111" s="4">
        <f t="shared" si="12"/>
        <v>4375</v>
      </c>
      <c r="C111" s="4">
        <f>MAX('TANF-VIEW'!L114,'TANF-VIEW'!T114)</f>
        <v>0</v>
      </c>
      <c r="D111" s="4">
        <f>'Total income package'!$D$80</f>
        <v>0</v>
      </c>
      <c r="E111" s="4">
        <f>'Total income package'!$H$61+'Total income package'!$F$66</f>
        <v>100</v>
      </c>
      <c r="F111" s="4">
        <f t="shared" si="13"/>
        <v>4475</v>
      </c>
      <c r="G111" s="181" t="str">
        <f t="shared" si="14"/>
        <v>No</v>
      </c>
      <c r="H111" s="3">
        <f t="shared" si="15"/>
        <v>40</v>
      </c>
      <c r="I111" s="3">
        <f t="shared" si="16"/>
        <v>0</v>
      </c>
      <c r="J111" s="3">
        <f t="shared" si="9"/>
        <v>4435</v>
      </c>
      <c r="K111" s="3">
        <f t="shared" si="10"/>
        <v>1330.5</v>
      </c>
      <c r="L111" s="3">
        <f t="shared" si="11"/>
        <v>447.5</v>
      </c>
      <c r="M111" s="3">
        <v>50</v>
      </c>
      <c r="N111" s="3">
        <f t="shared" si="18"/>
        <v>1330.5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1" s="337">
        <f>IF(AND(G111="Yes",'Total income package'!$A$14=TRUE,P111-N111&gt;0),P111-N111,0)</f>
        <v>0</v>
      </c>
    </row>
    <row r="112" spans="1:18" x14ac:dyDescent="0.25">
      <c r="A112" s="182">
        <v>53000</v>
      </c>
      <c r="B112" s="4">
        <f t="shared" si="12"/>
        <v>4416.666666666667</v>
      </c>
      <c r="C112" s="4">
        <f>MAX('TANF-VIEW'!L115,'TANF-VIEW'!T115)</f>
        <v>0</v>
      </c>
      <c r="D112" s="4">
        <f>'Total income package'!$D$80</f>
        <v>0</v>
      </c>
      <c r="E112" s="4">
        <f>'Total income package'!$H$61+'Total income package'!$F$66</f>
        <v>100</v>
      </c>
      <c r="F112" s="4">
        <f t="shared" si="13"/>
        <v>4516.666666666667</v>
      </c>
      <c r="G112" s="181" t="str">
        <f t="shared" si="14"/>
        <v>No</v>
      </c>
      <c r="H112" s="3">
        <f t="shared" si="15"/>
        <v>40</v>
      </c>
      <c r="I112" s="3">
        <f t="shared" si="16"/>
        <v>0</v>
      </c>
      <c r="J112" s="3">
        <f t="shared" si="9"/>
        <v>4476.666666666667</v>
      </c>
      <c r="K112" s="3">
        <f t="shared" si="10"/>
        <v>1343</v>
      </c>
      <c r="L112" s="3">
        <f t="shared" si="11"/>
        <v>451.66666666666674</v>
      </c>
      <c r="M112" s="3">
        <v>50</v>
      </c>
      <c r="N112" s="3">
        <f t="shared" si="18"/>
        <v>1343</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100</v>
      </c>
      <c r="F113" s="4">
        <f t="shared" si="13"/>
        <v>4558.333333333333</v>
      </c>
      <c r="G113" s="181" t="str">
        <f t="shared" si="14"/>
        <v>No</v>
      </c>
      <c r="H113" s="3">
        <f t="shared" si="15"/>
        <v>40</v>
      </c>
      <c r="I113" s="3">
        <f t="shared" si="16"/>
        <v>0</v>
      </c>
      <c r="J113" s="3">
        <f t="shared" si="9"/>
        <v>4518.333333333333</v>
      </c>
      <c r="K113" s="3">
        <f t="shared" si="10"/>
        <v>1355.4999999999998</v>
      </c>
      <c r="L113" s="3">
        <f t="shared" si="11"/>
        <v>455.83333333333331</v>
      </c>
      <c r="M113" s="3">
        <v>50</v>
      </c>
      <c r="N113" s="3">
        <f t="shared" si="18"/>
        <v>1355.4999999999998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100</v>
      </c>
      <c r="F114" s="4">
        <f t="shared" si="13"/>
        <v>4600</v>
      </c>
      <c r="G114" s="181" t="str">
        <f t="shared" si="14"/>
        <v>No</v>
      </c>
      <c r="H114" s="3">
        <f t="shared" si="15"/>
        <v>40</v>
      </c>
      <c r="I114" s="3">
        <f t="shared" si="16"/>
        <v>0</v>
      </c>
      <c r="J114" s="3">
        <f t="shared" si="9"/>
        <v>4560</v>
      </c>
      <c r="K114" s="3">
        <f t="shared" si="10"/>
        <v>1368</v>
      </c>
      <c r="L114" s="3">
        <f t="shared" si="11"/>
        <v>460</v>
      </c>
      <c r="M114" s="3">
        <v>50</v>
      </c>
      <c r="N114" s="3">
        <f t="shared" si="18"/>
        <v>1368</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100</v>
      </c>
      <c r="F115" s="4">
        <f t="shared" si="13"/>
        <v>4641.666666666667</v>
      </c>
      <c r="G115" s="181" t="str">
        <f t="shared" si="14"/>
        <v>No</v>
      </c>
      <c r="H115" s="3">
        <f t="shared" si="15"/>
        <v>40</v>
      </c>
      <c r="I115" s="3">
        <f t="shared" si="16"/>
        <v>0</v>
      </c>
      <c r="J115" s="3">
        <f t="shared" si="9"/>
        <v>4601.666666666667</v>
      </c>
      <c r="K115" s="3">
        <f t="shared" si="10"/>
        <v>1380.5</v>
      </c>
      <c r="L115" s="3">
        <f t="shared" si="11"/>
        <v>464.16666666666674</v>
      </c>
      <c r="M115" s="3">
        <v>50</v>
      </c>
      <c r="N115" s="3">
        <f t="shared" si="18"/>
        <v>1380.5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100</v>
      </c>
      <c r="F116" s="4">
        <f t="shared" si="13"/>
        <v>4683.333333333333</v>
      </c>
      <c r="G116" s="181" t="str">
        <f t="shared" si="14"/>
        <v>No</v>
      </c>
      <c r="H116" s="3">
        <f t="shared" si="15"/>
        <v>40</v>
      </c>
      <c r="I116" s="3">
        <f t="shared" si="16"/>
        <v>0</v>
      </c>
      <c r="J116" s="3">
        <f t="shared" si="9"/>
        <v>4643.333333333333</v>
      </c>
      <c r="K116" s="3">
        <f t="shared" si="10"/>
        <v>1392.9999999999998</v>
      </c>
      <c r="L116" s="3">
        <f t="shared" si="11"/>
        <v>468.33333333333331</v>
      </c>
      <c r="M116" s="3">
        <v>50</v>
      </c>
      <c r="N116" s="3">
        <f t="shared" si="18"/>
        <v>1392.9999999999998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100</v>
      </c>
      <c r="F117" s="4">
        <f t="shared" si="13"/>
        <v>4725</v>
      </c>
      <c r="G117" s="181" t="str">
        <f t="shared" si="14"/>
        <v>No</v>
      </c>
      <c r="H117" s="3">
        <f t="shared" si="15"/>
        <v>40</v>
      </c>
      <c r="I117" s="3">
        <f t="shared" si="16"/>
        <v>0</v>
      </c>
      <c r="J117" s="3">
        <f t="shared" si="9"/>
        <v>4685</v>
      </c>
      <c r="K117" s="3">
        <f t="shared" si="10"/>
        <v>1405.5</v>
      </c>
      <c r="L117" s="3">
        <f t="shared" si="11"/>
        <v>472.5</v>
      </c>
      <c r="M117" s="3">
        <v>50</v>
      </c>
      <c r="N117" s="3">
        <f t="shared" si="18"/>
        <v>1405.5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100</v>
      </c>
      <c r="F118" s="4">
        <f t="shared" si="13"/>
        <v>4766.666666666667</v>
      </c>
      <c r="G118" s="181" t="str">
        <f t="shared" si="14"/>
        <v>No</v>
      </c>
      <c r="H118" s="3">
        <f t="shared" si="15"/>
        <v>40</v>
      </c>
      <c r="I118" s="3">
        <f t="shared" si="16"/>
        <v>0</v>
      </c>
      <c r="J118" s="3">
        <f t="shared" si="9"/>
        <v>4726.666666666667</v>
      </c>
      <c r="K118" s="3">
        <f t="shared" si="10"/>
        <v>1418</v>
      </c>
      <c r="L118" s="3">
        <f t="shared" si="11"/>
        <v>476.66666666666674</v>
      </c>
      <c r="M118" s="3">
        <v>50</v>
      </c>
      <c r="N118" s="3">
        <f t="shared" si="18"/>
        <v>1418</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100</v>
      </c>
      <c r="F119" s="4">
        <f t="shared" si="13"/>
        <v>4808.333333333333</v>
      </c>
      <c r="G119" s="181" t="str">
        <f t="shared" si="14"/>
        <v>No</v>
      </c>
      <c r="H119" s="3">
        <f t="shared" si="15"/>
        <v>40</v>
      </c>
      <c r="I119" s="3">
        <f t="shared" si="16"/>
        <v>0</v>
      </c>
      <c r="J119" s="3">
        <f t="shared" si="9"/>
        <v>4768.333333333333</v>
      </c>
      <c r="K119" s="3">
        <f t="shared" si="10"/>
        <v>1430.4999999999998</v>
      </c>
      <c r="L119" s="3">
        <f t="shared" si="11"/>
        <v>480.83333333333331</v>
      </c>
      <c r="M119" s="3">
        <v>50</v>
      </c>
      <c r="N119" s="3">
        <f t="shared" si="18"/>
        <v>1430.4999999999998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100</v>
      </c>
      <c r="F120" s="4">
        <f t="shared" si="13"/>
        <v>4850</v>
      </c>
      <c r="G120" s="181" t="str">
        <f t="shared" si="14"/>
        <v>No</v>
      </c>
      <c r="H120" s="3">
        <f t="shared" si="15"/>
        <v>40</v>
      </c>
      <c r="I120" s="3">
        <f t="shared" si="16"/>
        <v>0</v>
      </c>
      <c r="J120" s="3">
        <f t="shared" si="9"/>
        <v>4810</v>
      </c>
      <c r="K120" s="3">
        <f t="shared" si="10"/>
        <v>1443</v>
      </c>
      <c r="L120" s="3">
        <f t="shared" si="11"/>
        <v>485</v>
      </c>
      <c r="M120" s="3">
        <v>50</v>
      </c>
      <c r="N120" s="3">
        <f t="shared" si="18"/>
        <v>1443</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100</v>
      </c>
      <c r="F121" s="4">
        <f t="shared" si="13"/>
        <v>4891.666666666667</v>
      </c>
      <c r="G121" s="181" t="str">
        <f t="shared" si="14"/>
        <v>No</v>
      </c>
      <c r="H121" s="3">
        <f t="shared" si="15"/>
        <v>40</v>
      </c>
      <c r="I121" s="3">
        <f t="shared" si="16"/>
        <v>0</v>
      </c>
      <c r="J121" s="3">
        <f t="shared" si="9"/>
        <v>4851.666666666667</v>
      </c>
      <c r="K121" s="3">
        <f t="shared" si="10"/>
        <v>1455.5</v>
      </c>
      <c r="L121" s="3">
        <f t="shared" si="11"/>
        <v>489.16666666666674</v>
      </c>
      <c r="M121" s="3">
        <v>50</v>
      </c>
      <c r="N121" s="3">
        <f t="shared" si="18"/>
        <v>1455.5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100</v>
      </c>
      <c r="F122" s="4">
        <f t="shared" si="13"/>
        <v>4933.333333333333</v>
      </c>
      <c r="G122" s="181" t="str">
        <f t="shared" si="14"/>
        <v>No</v>
      </c>
      <c r="H122" s="3">
        <f t="shared" si="15"/>
        <v>40</v>
      </c>
      <c r="I122" s="3">
        <f t="shared" si="16"/>
        <v>0</v>
      </c>
      <c r="J122" s="3">
        <f t="shared" si="9"/>
        <v>4893.333333333333</v>
      </c>
      <c r="K122" s="3">
        <f t="shared" si="10"/>
        <v>1467.9999999999998</v>
      </c>
      <c r="L122" s="3">
        <f t="shared" si="11"/>
        <v>493.33333333333331</v>
      </c>
      <c r="M122" s="3">
        <v>50</v>
      </c>
      <c r="N122" s="3">
        <f t="shared" si="18"/>
        <v>1467.9999999999998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100</v>
      </c>
      <c r="F123" s="4">
        <f t="shared" si="13"/>
        <v>4975</v>
      </c>
      <c r="G123" s="181" t="str">
        <f t="shared" si="14"/>
        <v>No</v>
      </c>
      <c r="H123" s="3">
        <f t="shared" si="15"/>
        <v>40</v>
      </c>
      <c r="I123" s="3">
        <f t="shared" si="16"/>
        <v>0</v>
      </c>
      <c r="J123" s="3">
        <f t="shared" si="9"/>
        <v>4935</v>
      </c>
      <c r="K123" s="3">
        <f t="shared" si="10"/>
        <v>1480.5</v>
      </c>
      <c r="L123" s="3">
        <f t="shared" si="11"/>
        <v>497.5</v>
      </c>
      <c r="M123" s="3">
        <v>50</v>
      </c>
      <c r="N123" s="3">
        <f t="shared" si="18"/>
        <v>1480.5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100</v>
      </c>
      <c r="F124" s="4">
        <f t="shared" si="13"/>
        <v>5016.666666666667</v>
      </c>
      <c r="G124" s="181" t="str">
        <f t="shared" si="14"/>
        <v>No</v>
      </c>
      <c r="H124" s="3">
        <f t="shared" si="15"/>
        <v>40</v>
      </c>
      <c r="I124" s="3">
        <f t="shared" si="16"/>
        <v>0</v>
      </c>
      <c r="J124" s="3">
        <f t="shared" si="9"/>
        <v>4976.666666666667</v>
      </c>
      <c r="K124" s="3">
        <f t="shared" si="10"/>
        <v>1493</v>
      </c>
      <c r="L124" s="3">
        <f t="shared" si="11"/>
        <v>501.66666666666674</v>
      </c>
      <c r="M124" s="3">
        <v>50</v>
      </c>
      <c r="N124" s="3">
        <f t="shared" si="18"/>
        <v>1493</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100</v>
      </c>
      <c r="F125" s="4">
        <f t="shared" si="13"/>
        <v>5058.333333333333</v>
      </c>
      <c r="G125" s="181" t="str">
        <f t="shared" si="14"/>
        <v>No</v>
      </c>
      <c r="H125" s="3">
        <f t="shared" si="15"/>
        <v>40</v>
      </c>
      <c r="I125" s="3">
        <f t="shared" si="16"/>
        <v>0</v>
      </c>
      <c r="J125" s="3">
        <f t="shared" si="9"/>
        <v>5018.333333333333</v>
      </c>
      <c r="K125" s="3">
        <f t="shared" si="10"/>
        <v>1505.4999999999998</v>
      </c>
      <c r="L125" s="3">
        <f t="shared" si="11"/>
        <v>505.83333333333331</v>
      </c>
      <c r="M125" s="3">
        <v>50</v>
      </c>
      <c r="N125" s="3">
        <f t="shared" si="18"/>
        <v>1505.4999999999998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100</v>
      </c>
      <c r="F126" s="4">
        <f t="shared" si="13"/>
        <v>5100</v>
      </c>
      <c r="G126" s="181" t="str">
        <f t="shared" si="14"/>
        <v>No</v>
      </c>
      <c r="H126" s="3">
        <f t="shared" si="15"/>
        <v>40</v>
      </c>
      <c r="I126" s="3">
        <f t="shared" si="16"/>
        <v>0</v>
      </c>
      <c r="J126" s="3">
        <f t="shared" si="9"/>
        <v>5060</v>
      </c>
      <c r="K126" s="3">
        <f t="shared" si="10"/>
        <v>1518</v>
      </c>
      <c r="L126" s="3">
        <f t="shared" si="11"/>
        <v>510</v>
      </c>
      <c r="M126" s="3">
        <v>50</v>
      </c>
      <c r="N126" s="3">
        <f t="shared" si="18"/>
        <v>1518</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100</v>
      </c>
      <c r="F127" s="4">
        <f t="shared" si="13"/>
        <v>5141.666666666667</v>
      </c>
      <c r="G127" s="181" t="str">
        <f t="shared" si="14"/>
        <v>No</v>
      </c>
      <c r="H127" s="3">
        <f t="shared" si="15"/>
        <v>40</v>
      </c>
      <c r="I127" s="3">
        <f t="shared" si="16"/>
        <v>0</v>
      </c>
      <c r="J127" s="3">
        <f t="shared" si="9"/>
        <v>5101.666666666667</v>
      </c>
      <c r="K127" s="3">
        <f t="shared" si="10"/>
        <v>1530.5</v>
      </c>
      <c r="L127" s="3">
        <f t="shared" si="11"/>
        <v>514.16666666666674</v>
      </c>
      <c r="M127" s="3">
        <v>50</v>
      </c>
      <c r="N127" s="3">
        <f t="shared" si="18"/>
        <v>1530.5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100</v>
      </c>
      <c r="F128" s="4">
        <f t="shared" si="13"/>
        <v>5183.333333333333</v>
      </c>
      <c r="G128" s="181" t="str">
        <f t="shared" si="14"/>
        <v>No</v>
      </c>
      <c r="H128" s="3">
        <f t="shared" si="15"/>
        <v>40</v>
      </c>
      <c r="I128" s="3">
        <f t="shared" si="16"/>
        <v>0</v>
      </c>
      <c r="J128" s="3">
        <f t="shared" si="9"/>
        <v>5143.333333333333</v>
      </c>
      <c r="K128" s="3">
        <f t="shared" si="10"/>
        <v>1542.9999999999998</v>
      </c>
      <c r="L128" s="3">
        <f t="shared" si="11"/>
        <v>518.33333333333337</v>
      </c>
      <c r="M128" s="3">
        <v>50</v>
      </c>
      <c r="N128" s="3">
        <f t="shared" si="18"/>
        <v>1542.9999999999998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100</v>
      </c>
      <c r="F129" s="4">
        <f t="shared" si="13"/>
        <v>5225</v>
      </c>
      <c r="G129" s="181" t="str">
        <f t="shared" si="14"/>
        <v>No</v>
      </c>
      <c r="H129" s="3">
        <f t="shared" si="15"/>
        <v>40</v>
      </c>
      <c r="I129" s="3">
        <f t="shared" si="16"/>
        <v>0</v>
      </c>
      <c r="J129" s="3">
        <f t="shared" si="9"/>
        <v>5185</v>
      </c>
      <c r="K129" s="3">
        <f t="shared" si="10"/>
        <v>1555.5</v>
      </c>
      <c r="L129" s="3">
        <f t="shared" si="11"/>
        <v>522.5</v>
      </c>
      <c r="M129" s="3">
        <v>50</v>
      </c>
      <c r="N129" s="3">
        <f t="shared" si="18"/>
        <v>1555.5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100</v>
      </c>
      <c r="F130" s="4">
        <f t="shared" si="13"/>
        <v>5266.666666666667</v>
      </c>
      <c r="G130" s="181" t="str">
        <f t="shared" si="14"/>
        <v>No</v>
      </c>
      <c r="H130" s="3">
        <f t="shared" si="15"/>
        <v>40</v>
      </c>
      <c r="I130" s="3">
        <f t="shared" si="16"/>
        <v>0</v>
      </c>
      <c r="J130" s="3">
        <f t="shared" si="9"/>
        <v>5226.666666666667</v>
      </c>
      <c r="K130" s="3">
        <f t="shared" si="10"/>
        <v>1568</v>
      </c>
      <c r="L130" s="3">
        <f t="shared" si="11"/>
        <v>526.66666666666674</v>
      </c>
      <c r="M130" s="3">
        <v>50</v>
      </c>
      <c r="N130" s="3">
        <f t="shared" si="18"/>
        <v>1568</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100</v>
      </c>
      <c r="F131" s="4">
        <f t="shared" si="13"/>
        <v>5308.333333333333</v>
      </c>
      <c r="G131" s="181" t="str">
        <f t="shared" si="14"/>
        <v>No</v>
      </c>
      <c r="H131" s="3">
        <f t="shared" si="15"/>
        <v>40</v>
      </c>
      <c r="I131" s="3">
        <f t="shared" si="16"/>
        <v>0</v>
      </c>
      <c r="J131" s="3">
        <f t="shared" si="9"/>
        <v>5268.333333333333</v>
      </c>
      <c r="K131" s="3">
        <f t="shared" si="10"/>
        <v>1580.4999999999998</v>
      </c>
      <c r="L131" s="3">
        <f t="shared" si="11"/>
        <v>530.83333333333337</v>
      </c>
      <c r="M131" s="3">
        <v>50</v>
      </c>
      <c r="N131" s="3">
        <f t="shared" si="18"/>
        <v>1580.4999999999998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100</v>
      </c>
      <c r="F132" s="4">
        <f t="shared" si="13"/>
        <v>5350</v>
      </c>
      <c r="G132" s="181" t="str">
        <f t="shared" si="14"/>
        <v>No</v>
      </c>
      <c r="H132" s="3">
        <f t="shared" si="15"/>
        <v>40</v>
      </c>
      <c r="I132" s="3">
        <f t="shared" si="16"/>
        <v>0</v>
      </c>
      <c r="J132" s="3">
        <f t="shared" si="9"/>
        <v>5310</v>
      </c>
      <c r="K132" s="3">
        <f t="shared" si="10"/>
        <v>1593</v>
      </c>
      <c r="L132" s="3">
        <f t="shared" si="11"/>
        <v>535</v>
      </c>
      <c r="M132" s="3">
        <v>50</v>
      </c>
      <c r="N132" s="3">
        <f t="shared" si="18"/>
        <v>1593</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100</v>
      </c>
      <c r="F133" s="4">
        <f t="shared" si="13"/>
        <v>5391.666666666667</v>
      </c>
      <c r="G133" s="181" t="str">
        <f t="shared" si="14"/>
        <v>No</v>
      </c>
      <c r="H133" s="3">
        <f t="shared" si="15"/>
        <v>40</v>
      </c>
      <c r="I133" s="3">
        <f t="shared" si="16"/>
        <v>0</v>
      </c>
      <c r="J133" s="3">
        <f t="shared" si="9"/>
        <v>5351.666666666667</v>
      </c>
      <c r="K133" s="3">
        <f t="shared" si="10"/>
        <v>1605.5</v>
      </c>
      <c r="L133" s="3">
        <f t="shared" si="11"/>
        <v>539.16666666666674</v>
      </c>
      <c r="M133" s="3">
        <v>50</v>
      </c>
      <c r="N133" s="3">
        <f t="shared" si="18"/>
        <v>1605.5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100</v>
      </c>
      <c r="F134" s="4">
        <f t="shared" si="13"/>
        <v>5433.333333333333</v>
      </c>
      <c r="G134" s="181" t="str">
        <f t="shared" si="14"/>
        <v>No</v>
      </c>
      <c r="H134" s="3">
        <f t="shared" si="15"/>
        <v>40</v>
      </c>
      <c r="I134" s="3">
        <f t="shared" si="16"/>
        <v>0</v>
      </c>
      <c r="J134" s="3">
        <f t="shared" ref="J134:J197" si="19">IF(F134-H134-I134&lt;0,0,F134-H134-I134)</f>
        <v>5393.333333333333</v>
      </c>
      <c r="K134" s="3">
        <f t="shared" ref="K134:K197" si="20">J134*0.3</f>
        <v>1617.9999999999998</v>
      </c>
      <c r="L134" s="3">
        <f t="shared" ref="L134:L197" si="21">F134*0.1</f>
        <v>543.33333333333337</v>
      </c>
      <c r="M134" s="3">
        <v>50</v>
      </c>
      <c r="N134" s="3">
        <f t="shared" si="18"/>
        <v>1617.9999999999998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100</v>
      </c>
      <c r="F135" s="4">
        <f t="shared" ref="F135:F198" si="23">B135+C135+D135+E135</f>
        <v>5475</v>
      </c>
      <c r="G135" s="181" t="str">
        <f t="shared" ref="G135:G198" si="24">IF(F135&lt;$L$2,"Yes","No")</f>
        <v>No</v>
      </c>
      <c r="H135" s="3">
        <f t="shared" ref="H135:H198" si="25">40*($D$2+$I$2)</f>
        <v>40</v>
      </c>
      <c r="I135" s="3">
        <f t="shared" ref="I135:I198" si="26">IF($H$2+$I$2&gt;0,33.33,0)</f>
        <v>0</v>
      </c>
      <c r="J135" s="3">
        <f t="shared" si="19"/>
        <v>5435</v>
      </c>
      <c r="K135" s="3">
        <f t="shared" si="20"/>
        <v>1630.5</v>
      </c>
      <c r="L135" s="3">
        <f t="shared" si="21"/>
        <v>547.5</v>
      </c>
      <c r="M135" s="3">
        <v>50</v>
      </c>
      <c r="N135" s="3">
        <f t="shared" si="18"/>
        <v>1630.5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100</v>
      </c>
      <c r="F136" s="4">
        <f t="shared" si="23"/>
        <v>5516.666666666667</v>
      </c>
      <c r="G136" s="181" t="str">
        <f t="shared" si="24"/>
        <v>No</v>
      </c>
      <c r="H136" s="3">
        <f t="shared" si="25"/>
        <v>40</v>
      </c>
      <c r="I136" s="3">
        <f t="shared" si="26"/>
        <v>0</v>
      </c>
      <c r="J136" s="3">
        <f t="shared" si="19"/>
        <v>5476.666666666667</v>
      </c>
      <c r="K136" s="3">
        <f t="shared" si="20"/>
        <v>1643</v>
      </c>
      <c r="L136" s="3">
        <f t="shared" si="21"/>
        <v>551.66666666666674</v>
      </c>
      <c r="M136" s="3">
        <v>50</v>
      </c>
      <c r="N136" s="3">
        <f t="shared" si="18"/>
        <v>1643</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100</v>
      </c>
      <c r="F137" s="4">
        <f t="shared" si="23"/>
        <v>5558.333333333333</v>
      </c>
      <c r="G137" s="181" t="str">
        <f t="shared" si="24"/>
        <v>No</v>
      </c>
      <c r="H137" s="3">
        <f t="shared" si="25"/>
        <v>40</v>
      </c>
      <c r="I137" s="3">
        <f t="shared" si="26"/>
        <v>0</v>
      </c>
      <c r="J137" s="3">
        <f t="shared" si="19"/>
        <v>5518.333333333333</v>
      </c>
      <c r="K137" s="3">
        <f t="shared" si="20"/>
        <v>1655.4999999999998</v>
      </c>
      <c r="L137" s="3">
        <f t="shared" si="21"/>
        <v>555.83333333333337</v>
      </c>
      <c r="M137" s="3">
        <v>50</v>
      </c>
      <c r="N137" s="3">
        <f t="shared" si="18"/>
        <v>1655.4999999999998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100</v>
      </c>
      <c r="F138" s="4">
        <f t="shared" si="23"/>
        <v>5600</v>
      </c>
      <c r="G138" s="181" t="str">
        <f t="shared" si="24"/>
        <v>No</v>
      </c>
      <c r="H138" s="3">
        <f t="shared" si="25"/>
        <v>40</v>
      </c>
      <c r="I138" s="3">
        <f t="shared" si="26"/>
        <v>0</v>
      </c>
      <c r="J138" s="3">
        <f t="shared" si="19"/>
        <v>5560</v>
      </c>
      <c r="K138" s="3">
        <f t="shared" si="20"/>
        <v>1668</v>
      </c>
      <c r="L138" s="3">
        <f t="shared" si="21"/>
        <v>560</v>
      </c>
      <c r="M138" s="3">
        <v>50</v>
      </c>
      <c r="N138" s="3">
        <f t="shared" si="18"/>
        <v>1668</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100</v>
      </c>
      <c r="F139" s="4">
        <f t="shared" si="23"/>
        <v>5641.666666666667</v>
      </c>
      <c r="G139" s="181" t="str">
        <f t="shared" si="24"/>
        <v>No</v>
      </c>
      <c r="H139" s="3">
        <f t="shared" si="25"/>
        <v>40</v>
      </c>
      <c r="I139" s="3">
        <f t="shared" si="26"/>
        <v>0</v>
      </c>
      <c r="J139" s="3">
        <f t="shared" si="19"/>
        <v>5601.666666666667</v>
      </c>
      <c r="K139" s="3">
        <f t="shared" si="20"/>
        <v>1680.5</v>
      </c>
      <c r="L139" s="3">
        <f t="shared" si="21"/>
        <v>564.16666666666674</v>
      </c>
      <c r="M139" s="3">
        <v>50</v>
      </c>
      <c r="N139" s="3">
        <f t="shared" si="18"/>
        <v>1680.5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100</v>
      </c>
      <c r="F140" s="4">
        <f t="shared" si="23"/>
        <v>5683.333333333333</v>
      </c>
      <c r="G140" s="181" t="str">
        <f t="shared" si="24"/>
        <v>No</v>
      </c>
      <c r="H140" s="3">
        <f t="shared" si="25"/>
        <v>40</v>
      </c>
      <c r="I140" s="3">
        <f t="shared" si="26"/>
        <v>0</v>
      </c>
      <c r="J140" s="3">
        <f t="shared" si="19"/>
        <v>5643.333333333333</v>
      </c>
      <c r="K140" s="3">
        <f t="shared" si="20"/>
        <v>1692.9999999999998</v>
      </c>
      <c r="L140" s="3">
        <f t="shared" si="21"/>
        <v>568.33333333333337</v>
      </c>
      <c r="M140" s="3">
        <v>50</v>
      </c>
      <c r="N140" s="3">
        <f t="shared" si="18"/>
        <v>1692.9999999999998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100</v>
      </c>
      <c r="F141" s="4">
        <f t="shared" si="23"/>
        <v>5725</v>
      </c>
      <c r="G141" s="181" t="str">
        <f t="shared" si="24"/>
        <v>No</v>
      </c>
      <c r="H141" s="3">
        <f t="shared" si="25"/>
        <v>40</v>
      </c>
      <c r="I141" s="3">
        <f t="shared" si="26"/>
        <v>0</v>
      </c>
      <c r="J141" s="3">
        <f t="shared" si="19"/>
        <v>5685</v>
      </c>
      <c r="K141" s="3">
        <f t="shared" si="20"/>
        <v>1705.5</v>
      </c>
      <c r="L141" s="3">
        <f t="shared" si="21"/>
        <v>572.5</v>
      </c>
      <c r="M141" s="3">
        <v>50</v>
      </c>
      <c r="N141" s="3">
        <f t="shared" si="18"/>
        <v>1705.5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100</v>
      </c>
      <c r="F142" s="4">
        <f t="shared" si="23"/>
        <v>5766.666666666667</v>
      </c>
      <c r="G142" s="181" t="str">
        <f t="shared" si="24"/>
        <v>No</v>
      </c>
      <c r="H142" s="3">
        <f t="shared" si="25"/>
        <v>40</v>
      </c>
      <c r="I142" s="3">
        <f t="shared" si="26"/>
        <v>0</v>
      </c>
      <c r="J142" s="3">
        <f t="shared" si="19"/>
        <v>5726.666666666667</v>
      </c>
      <c r="K142" s="3">
        <f t="shared" si="20"/>
        <v>1718</v>
      </c>
      <c r="L142" s="3">
        <f t="shared" si="21"/>
        <v>576.66666666666674</v>
      </c>
      <c r="M142" s="3">
        <v>50</v>
      </c>
      <c r="N142" s="3">
        <f t="shared" si="18"/>
        <v>1718</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100</v>
      </c>
      <c r="F143" s="4">
        <f t="shared" si="23"/>
        <v>5808.333333333333</v>
      </c>
      <c r="G143" s="181" t="str">
        <f t="shared" si="24"/>
        <v>No</v>
      </c>
      <c r="H143" s="3">
        <f t="shared" si="25"/>
        <v>40</v>
      </c>
      <c r="I143" s="3">
        <f t="shared" si="26"/>
        <v>0</v>
      </c>
      <c r="J143" s="3">
        <f t="shared" si="19"/>
        <v>5768.333333333333</v>
      </c>
      <c r="K143" s="3">
        <f t="shared" si="20"/>
        <v>1730.4999999999998</v>
      </c>
      <c r="L143" s="3">
        <f t="shared" si="21"/>
        <v>580.83333333333337</v>
      </c>
      <c r="M143" s="3">
        <v>50</v>
      </c>
      <c r="N143" s="3">
        <f t="shared" si="18"/>
        <v>1730.4999999999998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100</v>
      </c>
      <c r="F144" s="4">
        <f t="shared" si="23"/>
        <v>5850</v>
      </c>
      <c r="G144" s="181" t="str">
        <f t="shared" si="24"/>
        <v>No</v>
      </c>
      <c r="H144" s="3">
        <f t="shared" si="25"/>
        <v>40</v>
      </c>
      <c r="I144" s="3">
        <f t="shared" si="26"/>
        <v>0</v>
      </c>
      <c r="J144" s="3">
        <f t="shared" si="19"/>
        <v>5810</v>
      </c>
      <c r="K144" s="3">
        <f t="shared" si="20"/>
        <v>1743</v>
      </c>
      <c r="L144" s="3">
        <f t="shared" si="21"/>
        <v>585</v>
      </c>
      <c r="M144" s="3">
        <v>50</v>
      </c>
      <c r="N144" s="3">
        <f t="shared" si="18"/>
        <v>1743</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100</v>
      </c>
      <c r="F145" s="4">
        <f t="shared" si="23"/>
        <v>5891.666666666667</v>
      </c>
      <c r="G145" s="181" t="str">
        <f t="shared" si="24"/>
        <v>No</v>
      </c>
      <c r="H145" s="3">
        <f t="shared" si="25"/>
        <v>40</v>
      </c>
      <c r="I145" s="3">
        <f t="shared" si="26"/>
        <v>0</v>
      </c>
      <c r="J145" s="3">
        <f t="shared" si="19"/>
        <v>5851.666666666667</v>
      </c>
      <c r="K145" s="3">
        <f t="shared" si="20"/>
        <v>1755.5</v>
      </c>
      <c r="L145" s="3">
        <f t="shared" si="21"/>
        <v>589.16666666666674</v>
      </c>
      <c r="M145" s="3">
        <v>50</v>
      </c>
      <c r="N145" s="3">
        <f t="shared" si="18"/>
        <v>1755.5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100</v>
      </c>
      <c r="F146" s="4">
        <f t="shared" si="23"/>
        <v>5933.333333333333</v>
      </c>
      <c r="G146" s="181" t="str">
        <f t="shared" si="24"/>
        <v>No</v>
      </c>
      <c r="H146" s="3">
        <f t="shared" si="25"/>
        <v>40</v>
      </c>
      <c r="I146" s="3">
        <f t="shared" si="26"/>
        <v>0</v>
      </c>
      <c r="J146" s="3">
        <f t="shared" si="19"/>
        <v>5893.333333333333</v>
      </c>
      <c r="K146" s="3">
        <f t="shared" si="20"/>
        <v>1767.9999999999998</v>
      </c>
      <c r="L146" s="3">
        <f t="shared" si="21"/>
        <v>593.33333333333337</v>
      </c>
      <c r="M146" s="3">
        <v>50</v>
      </c>
      <c r="N146" s="3">
        <f t="shared" si="18"/>
        <v>1767.9999999999998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100</v>
      </c>
      <c r="F147" s="4">
        <f t="shared" si="23"/>
        <v>5975</v>
      </c>
      <c r="G147" s="181" t="str">
        <f t="shared" si="24"/>
        <v>No</v>
      </c>
      <c r="H147" s="3">
        <f t="shared" si="25"/>
        <v>40</v>
      </c>
      <c r="I147" s="3">
        <f t="shared" si="26"/>
        <v>0</v>
      </c>
      <c r="J147" s="3">
        <f t="shared" si="19"/>
        <v>5935</v>
      </c>
      <c r="K147" s="3">
        <f t="shared" si="20"/>
        <v>1780.5</v>
      </c>
      <c r="L147" s="3">
        <f t="shared" si="21"/>
        <v>597.5</v>
      </c>
      <c r="M147" s="3">
        <v>50</v>
      </c>
      <c r="N147" s="3">
        <f t="shared" si="18"/>
        <v>1780.5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100</v>
      </c>
      <c r="F148" s="4">
        <f t="shared" si="23"/>
        <v>6016.666666666667</v>
      </c>
      <c r="G148" s="181" t="str">
        <f t="shared" si="24"/>
        <v>No</v>
      </c>
      <c r="H148" s="3">
        <f t="shared" si="25"/>
        <v>40</v>
      </c>
      <c r="I148" s="3">
        <f t="shared" si="26"/>
        <v>0</v>
      </c>
      <c r="J148" s="3">
        <f t="shared" si="19"/>
        <v>5976.666666666667</v>
      </c>
      <c r="K148" s="3">
        <f t="shared" si="20"/>
        <v>1793</v>
      </c>
      <c r="L148" s="3">
        <f t="shared" si="21"/>
        <v>601.66666666666674</v>
      </c>
      <c r="M148" s="3">
        <v>50</v>
      </c>
      <c r="N148" s="3">
        <f t="shared" si="18"/>
        <v>1793</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100</v>
      </c>
      <c r="F149" s="4">
        <f t="shared" si="23"/>
        <v>6058.333333333333</v>
      </c>
      <c r="G149" s="181" t="str">
        <f t="shared" si="24"/>
        <v>No</v>
      </c>
      <c r="H149" s="3">
        <f t="shared" si="25"/>
        <v>40</v>
      </c>
      <c r="I149" s="3">
        <f t="shared" si="26"/>
        <v>0</v>
      </c>
      <c r="J149" s="3">
        <f t="shared" si="19"/>
        <v>6018.333333333333</v>
      </c>
      <c r="K149" s="3">
        <f t="shared" si="20"/>
        <v>1805.4999999999998</v>
      </c>
      <c r="L149" s="3">
        <f t="shared" si="21"/>
        <v>605.83333333333337</v>
      </c>
      <c r="M149" s="3">
        <v>50</v>
      </c>
      <c r="N149" s="3">
        <f t="shared" si="18"/>
        <v>1805.4999999999998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100</v>
      </c>
      <c r="F150" s="4">
        <f t="shared" si="23"/>
        <v>6100</v>
      </c>
      <c r="G150" s="181" t="str">
        <f t="shared" si="24"/>
        <v>No</v>
      </c>
      <c r="H150" s="3">
        <f t="shared" si="25"/>
        <v>40</v>
      </c>
      <c r="I150" s="3">
        <f t="shared" si="26"/>
        <v>0</v>
      </c>
      <c r="J150" s="3">
        <f t="shared" si="19"/>
        <v>6060</v>
      </c>
      <c r="K150" s="3">
        <f t="shared" si="20"/>
        <v>1818</v>
      </c>
      <c r="L150" s="3">
        <f t="shared" si="21"/>
        <v>610</v>
      </c>
      <c r="M150" s="3">
        <v>50</v>
      </c>
      <c r="N150" s="3">
        <f t="shared" si="18"/>
        <v>1818</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100</v>
      </c>
      <c r="F151" s="4">
        <f t="shared" si="23"/>
        <v>6141.666666666667</v>
      </c>
      <c r="G151" s="181" t="str">
        <f t="shared" si="24"/>
        <v>No</v>
      </c>
      <c r="H151" s="3">
        <f t="shared" si="25"/>
        <v>40</v>
      </c>
      <c r="I151" s="3">
        <f t="shared" si="26"/>
        <v>0</v>
      </c>
      <c r="J151" s="3">
        <f t="shared" si="19"/>
        <v>6101.666666666667</v>
      </c>
      <c r="K151" s="3">
        <f t="shared" si="20"/>
        <v>1830.5</v>
      </c>
      <c r="L151" s="3">
        <f t="shared" si="21"/>
        <v>614.16666666666674</v>
      </c>
      <c r="M151" s="3">
        <v>50</v>
      </c>
      <c r="N151" s="3">
        <f t="shared" si="18"/>
        <v>1830.5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100</v>
      </c>
      <c r="F152" s="4">
        <f t="shared" si="23"/>
        <v>6183.333333333333</v>
      </c>
      <c r="G152" s="181" t="str">
        <f t="shared" si="24"/>
        <v>No</v>
      </c>
      <c r="H152" s="3">
        <f t="shared" si="25"/>
        <v>40</v>
      </c>
      <c r="I152" s="3">
        <f t="shared" si="26"/>
        <v>0</v>
      </c>
      <c r="J152" s="3">
        <f t="shared" si="19"/>
        <v>6143.333333333333</v>
      </c>
      <c r="K152" s="3">
        <f t="shared" si="20"/>
        <v>1842.9999999999998</v>
      </c>
      <c r="L152" s="3">
        <f t="shared" si="21"/>
        <v>618.33333333333337</v>
      </c>
      <c r="M152" s="3">
        <v>50</v>
      </c>
      <c r="N152" s="3">
        <f t="shared" si="18"/>
        <v>1842.9999999999998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100</v>
      </c>
      <c r="F153" s="4">
        <f t="shared" si="23"/>
        <v>6225</v>
      </c>
      <c r="G153" s="181" t="str">
        <f t="shared" si="24"/>
        <v>No</v>
      </c>
      <c r="H153" s="3">
        <f t="shared" si="25"/>
        <v>40</v>
      </c>
      <c r="I153" s="3">
        <f t="shared" si="26"/>
        <v>0</v>
      </c>
      <c r="J153" s="3">
        <f t="shared" si="19"/>
        <v>6185</v>
      </c>
      <c r="K153" s="3">
        <f t="shared" si="20"/>
        <v>1855.5</v>
      </c>
      <c r="L153" s="3">
        <f t="shared" si="21"/>
        <v>622.5</v>
      </c>
      <c r="M153" s="3">
        <v>50</v>
      </c>
      <c r="N153" s="3">
        <f t="shared" si="18"/>
        <v>1855.5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100</v>
      </c>
      <c r="F154" s="4">
        <f t="shared" si="23"/>
        <v>6266.666666666667</v>
      </c>
      <c r="G154" s="181" t="str">
        <f t="shared" si="24"/>
        <v>No</v>
      </c>
      <c r="H154" s="3">
        <f t="shared" si="25"/>
        <v>40</v>
      </c>
      <c r="I154" s="3">
        <f t="shared" si="26"/>
        <v>0</v>
      </c>
      <c r="J154" s="3">
        <f t="shared" si="19"/>
        <v>6226.666666666667</v>
      </c>
      <c r="K154" s="3">
        <f t="shared" si="20"/>
        <v>1868</v>
      </c>
      <c r="L154" s="3">
        <f t="shared" si="21"/>
        <v>626.66666666666674</v>
      </c>
      <c r="M154" s="3">
        <v>50</v>
      </c>
      <c r="N154" s="3">
        <f t="shared" si="18"/>
        <v>1868</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100</v>
      </c>
      <c r="F155" s="4">
        <f t="shared" si="23"/>
        <v>6308.333333333333</v>
      </c>
      <c r="G155" s="181" t="str">
        <f t="shared" si="24"/>
        <v>No</v>
      </c>
      <c r="H155" s="3">
        <f t="shared" si="25"/>
        <v>40</v>
      </c>
      <c r="I155" s="3">
        <f t="shared" si="26"/>
        <v>0</v>
      </c>
      <c r="J155" s="3">
        <f t="shared" si="19"/>
        <v>6268.333333333333</v>
      </c>
      <c r="K155" s="3">
        <f t="shared" si="20"/>
        <v>1880.4999999999998</v>
      </c>
      <c r="L155" s="3">
        <f t="shared" si="21"/>
        <v>630.83333333333337</v>
      </c>
      <c r="M155" s="3">
        <v>50</v>
      </c>
      <c r="N155" s="3">
        <f t="shared" si="18"/>
        <v>1880.4999999999998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100</v>
      </c>
      <c r="F156" s="4">
        <f t="shared" si="23"/>
        <v>6350</v>
      </c>
      <c r="G156" s="181" t="str">
        <f t="shared" si="24"/>
        <v>No</v>
      </c>
      <c r="H156" s="3">
        <f t="shared" si="25"/>
        <v>40</v>
      </c>
      <c r="I156" s="3">
        <f t="shared" si="26"/>
        <v>0</v>
      </c>
      <c r="J156" s="3">
        <f t="shared" si="19"/>
        <v>6310</v>
      </c>
      <c r="K156" s="3">
        <f t="shared" si="20"/>
        <v>1893</v>
      </c>
      <c r="L156" s="3">
        <f t="shared" si="21"/>
        <v>635</v>
      </c>
      <c r="M156" s="3">
        <v>50</v>
      </c>
      <c r="N156" s="3">
        <f t="shared" si="18"/>
        <v>1893</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100</v>
      </c>
      <c r="F157" s="4">
        <f t="shared" si="23"/>
        <v>6391.666666666667</v>
      </c>
      <c r="G157" s="181" t="str">
        <f t="shared" si="24"/>
        <v>No</v>
      </c>
      <c r="H157" s="3">
        <f t="shared" si="25"/>
        <v>40</v>
      </c>
      <c r="I157" s="3">
        <f t="shared" si="26"/>
        <v>0</v>
      </c>
      <c r="J157" s="3">
        <f t="shared" si="19"/>
        <v>6351.666666666667</v>
      </c>
      <c r="K157" s="3">
        <f t="shared" si="20"/>
        <v>1905.5</v>
      </c>
      <c r="L157" s="3">
        <f t="shared" si="21"/>
        <v>639.16666666666674</v>
      </c>
      <c r="M157" s="3">
        <v>50</v>
      </c>
      <c r="N157" s="3">
        <f t="shared" si="18"/>
        <v>1905.5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100</v>
      </c>
      <c r="F158" s="4">
        <f t="shared" si="23"/>
        <v>6433.333333333333</v>
      </c>
      <c r="G158" s="181" t="str">
        <f t="shared" si="24"/>
        <v>No</v>
      </c>
      <c r="H158" s="3">
        <f t="shared" si="25"/>
        <v>40</v>
      </c>
      <c r="I158" s="3">
        <f t="shared" si="26"/>
        <v>0</v>
      </c>
      <c r="J158" s="3">
        <f t="shared" si="19"/>
        <v>6393.333333333333</v>
      </c>
      <c r="K158" s="3">
        <f t="shared" si="20"/>
        <v>1917.9999999999998</v>
      </c>
      <c r="L158" s="3">
        <f t="shared" si="21"/>
        <v>643.33333333333337</v>
      </c>
      <c r="M158" s="3">
        <v>50</v>
      </c>
      <c r="N158" s="3">
        <f t="shared" si="18"/>
        <v>1917.9999999999998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100</v>
      </c>
      <c r="F159" s="4">
        <f t="shared" si="23"/>
        <v>6475</v>
      </c>
      <c r="G159" s="181" t="str">
        <f t="shared" si="24"/>
        <v>No</v>
      </c>
      <c r="H159" s="3">
        <f t="shared" si="25"/>
        <v>40</v>
      </c>
      <c r="I159" s="3">
        <f t="shared" si="26"/>
        <v>0</v>
      </c>
      <c r="J159" s="3">
        <f t="shared" si="19"/>
        <v>6435</v>
      </c>
      <c r="K159" s="3">
        <f t="shared" si="20"/>
        <v>1930.5</v>
      </c>
      <c r="L159" s="3">
        <f t="shared" si="21"/>
        <v>647.5</v>
      </c>
      <c r="M159" s="3">
        <v>50</v>
      </c>
      <c r="N159" s="3">
        <f t="shared" si="18"/>
        <v>1930.5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100</v>
      </c>
      <c r="F160" s="4">
        <f t="shared" si="23"/>
        <v>6516.666666666667</v>
      </c>
      <c r="G160" s="181" t="str">
        <f t="shared" si="24"/>
        <v>No</v>
      </c>
      <c r="H160" s="3">
        <f t="shared" si="25"/>
        <v>40</v>
      </c>
      <c r="I160" s="3">
        <f t="shared" si="26"/>
        <v>0</v>
      </c>
      <c r="J160" s="3">
        <f t="shared" si="19"/>
        <v>6476.666666666667</v>
      </c>
      <c r="K160" s="3">
        <f t="shared" si="20"/>
        <v>1943</v>
      </c>
      <c r="L160" s="3">
        <f t="shared" si="21"/>
        <v>651.66666666666674</v>
      </c>
      <c r="M160" s="3">
        <v>50</v>
      </c>
      <c r="N160" s="3">
        <f t="shared" si="18"/>
        <v>1943</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100</v>
      </c>
      <c r="F161" s="4">
        <f t="shared" si="23"/>
        <v>6558.333333333333</v>
      </c>
      <c r="G161" s="181" t="str">
        <f t="shared" si="24"/>
        <v>No</v>
      </c>
      <c r="H161" s="3">
        <f t="shared" si="25"/>
        <v>40</v>
      </c>
      <c r="I161" s="3">
        <f t="shared" si="26"/>
        <v>0</v>
      </c>
      <c r="J161" s="3">
        <f t="shared" si="19"/>
        <v>6518.333333333333</v>
      </c>
      <c r="K161" s="3">
        <f t="shared" si="20"/>
        <v>1955.4999999999998</v>
      </c>
      <c r="L161" s="3">
        <f t="shared" si="21"/>
        <v>655.83333333333337</v>
      </c>
      <c r="M161" s="3">
        <v>50</v>
      </c>
      <c r="N161" s="3">
        <f t="shared" si="18"/>
        <v>1955.4999999999998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100</v>
      </c>
      <c r="F162" s="4">
        <f t="shared" si="23"/>
        <v>6600</v>
      </c>
      <c r="G162" s="181" t="str">
        <f t="shared" si="24"/>
        <v>No</v>
      </c>
      <c r="H162" s="3">
        <f t="shared" si="25"/>
        <v>40</v>
      </c>
      <c r="I162" s="3">
        <f t="shared" si="26"/>
        <v>0</v>
      </c>
      <c r="J162" s="3">
        <f t="shared" si="19"/>
        <v>6560</v>
      </c>
      <c r="K162" s="3">
        <f t="shared" si="20"/>
        <v>1968</v>
      </c>
      <c r="L162" s="3">
        <f t="shared" si="21"/>
        <v>660</v>
      </c>
      <c r="M162" s="3">
        <v>50</v>
      </c>
      <c r="N162" s="3">
        <f t="shared" si="18"/>
        <v>1968</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100</v>
      </c>
      <c r="F163" s="4">
        <f t="shared" si="23"/>
        <v>6641.666666666667</v>
      </c>
      <c r="G163" s="181" t="str">
        <f t="shared" si="24"/>
        <v>No</v>
      </c>
      <c r="H163" s="3">
        <f t="shared" si="25"/>
        <v>40</v>
      </c>
      <c r="I163" s="3">
        <f t="shared" si="26"/>
        <v>0</v>
      </c>
      <c r="J163" s="3">
        <f t="shared" si="19"/>
        <v>6601.666666666667</v>
      </c>
      <c r="K163" s="3">
        <f t="shared" si="20"/>
        <v>1980.5</v>
      </c>
      <c r="L163" s="3">
        <f t="shared" si="21"/>
        <v>664.16666666666674</v>
      </c>
      <c r="M163" s="3">
        <v>50</v>
      </c>
      <c r="N163" s="3">
        <f t="shared" si="18"/>
        <v>1980.5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100</v>
      </c>
      <c r="F164" s="4">
        <f t="shared" si="23"/>
        <v>6683.333333333333</v>
      </c>
      <c r="G164" s="181" t="str">
        <f t="shared" si="24"/>
        <v>No</v>
      </c>
      <c r="H164" s="3">
        <f t="shared" si="25"/>
        <v>40</v>
      </c>
      <c r="I164" s="3">
        <f t="shared" si="26"/>
        <v>0</v>
      </c>
      <c r="J164" s="3">
        <f t="shared" si="19"/>
        <v>6643.333333333333</v>
      </c>
      <c r="K164" s="3">
        <f t="shared" si="20"/>
        <v>1992.9999999999998</v>
      </c>
      <c r="L164" s="3">
        <f t="shared" si="21"/>
        <v>668.33333333333337</v>
      </c>
      <c r="M164" s="3">
        <v>50</v>
      </c>
      <c r="N164" s="3">
        <f t="shared" si="18"/>
        <v>1992.9999999999998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100</v>
      </c>
      <c r="F165" s="4">
        <f t="shared" si="23"/>
        <v>6725</v>
      </c>
      <c r="G165" s="181" t="str">
        <f t="shared" si="24"/>
        <v>No</v>
      </c>
      <c r="H165" s="3">
        <f t="shared" si="25"/>
        <v>40</v>
      </c>
      <c r="I165" s="3">
        <f t="shared" si="26"/>
        <v>0</v>
      </c>
      <c r="J165" s="3">
        <f t="shared" si="19"/>
        <v>6685</v>
      </c>
      <c r="K165" s="3">
        <f t="shared" si="20"/>
        <v>2005.5</v>
      </c>
      <c r="L165" s="3">
        <f t="shared" si="21"/>
        <v>672.5</v>
      </c>
      <c r="M165" s="3">
        <v>50</v>
      </c>
      <c r="N165" s="3">
        <f t="shared" si="18"/>
        <v>2005.5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100</v>
      </c>
      <c r="F166" s="4">
        <f t="shared" si="23"/>
        <v>6766.666666666667</v>
      </c>
      <c r="G166" s="181" t="str">
        <f t="shared" si="24"/>
        <v>No</v>
      </c>
      <c r="H166" s="3">
        <f t="shared" si="25"/>
        <v>40</v>
      </c>
      <c r="I166" s="3">
        <f t="shared" si="26"/>
        <v>0</v>
      </c>
      <c r="J166" s="3">
        <f t="shared" si="19"/>
        <v>6726.666666666667</v>
      </c>
      <c r="K166" s="3">
        <f t="shared" si="20"/>
        <v>2018</v>
      </c>
      <c r="L166" s="3">
        <f t="shared" si="21"/>
        <v>676.66666666666674</v>
      </c>
      <c r="M166" s="3">
        <v>50</v>
      </c>
      <c r="N166" s="3">
        <f t="shared" si="18"/>
        <v>2018</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100</v>
      </c>
      <c r="F167" s="4">
        <f t="shared" si="23"/>
        <v>6808.333333333333</v>
      </c>
      <c r="G167" s="181" t="str">
        <f t="shared" si="24"/>
        <v>No</v>
      </c>
      <c r="H167" s="3">
        <f t="shared" si="25"/>
        <v>40</v>
      </c>
      <c r="I167" s="3">
        <f t="shared" si="26"/>
        <v>0</v>
      </c>
      <c r="J167" s="3">
        <f t="shared" si="19"/>
        <v>6768.333333333333</v>
      </c>
      <c r="K167" s="3">
        <f t="shared" si="20"/>
        <v>2030.4999999999998</v>
      </c>
      <c r="L167" s="3">
        <f t="shared" si="21"/>
        <v>680.83333333333337</v>
      </c>
      <c r="M167" s="3">
        <v>50</v>
      </c>
      <c r="N167" s="3">
        <f t="shared" si="18"/>
        <v>2030.4999999999998</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100</v>
      </c>
      <c r="F168" s="4">
        <f t="shared" si="23"/>
        <v>6850</v>
      </c>
      <c r="G168" s="181" t="str">
        <f t="shared" si="24"/>
        <v>No</v>
      </c>
      <c r="H168" s="3">
        <f t="shared" si="25"/>
        <v>40</v>
      </c>
      <c r="I168" s="3">
        <f t="shared" si="26"/>
        <v>0</v>
      </c>
      <c r="J168" s="3">
        <f t="shared" si="19"/>
        <v>6810</v>
      </c>
      <c r="K168" s="3">
        <f t="shared" si="20"/>
        <v>2043</v>
      </c>
      <c r="L168" s="3">
        <f t="shared" si="21"/>
        <v>685</v>
      </c>
      <c r="M168" s="3">
        <v>50</v>
      </c>
      <c r="N168" s="3">
        <f t="shared" si="18"/>
        <v>2043</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100</v>
      </c>
      <c r="F169" s="4">
        <f t="shared" si="23"/>
        <v>6891.666666666667</v>
      </c>
      <c r="G169" s="181" t="str">
        <f t="shared" si="24"/>
        <v>No</v>
      </c>
      <c r="H169" s="3">
        <f t="shared" si="25"/>
        <v>40</v>
      </c>
      <c r="I169" s="3">
        <f t="shared" si="26"/>
        <v>0</v>
      </c>
      <c r="J169" s="3">
        <f t="shared" si="19"/>
        <v>6851.666666666667</v>
      </c>
      <c r="K169" s="3">
        <f t="shared" si="20"/>
        <v>2055.5</v>
      </c>
      <c r="L169" s="3">
        <f t="shared" si="21"/>
        <v>689.16666666666674</v>
      </c>
      <c r="M169" s="3">
        <v>50</v>
      </c>
      <c r="N169" s="3">
        <f t="shared" si="18"/>
        <v>2055.5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100</v>
      </c>
      <c r="F170" s="4">
        <f t="shared" si="23"/>
        <v>6933.333333333333</v>
      </c>
      <c r="G170" s="181" t="str">
        <f t="shared" si="24"/>
        <v>No</v>
      </c>
      <c r="H170" s="3">
        <f t="shared" si="25"/>
        <v>40</v>
      </c>
      <c r="I170" s="3">
        <f t="shared" si="26"/>
        <v>0</v>
      </c>
      <c r="J170" s="3">
        <f t="shared" si="19"/>
        <v>6893.333333333333</v>
      </c>
      <c r="K170" s="3">
        <f t="shared" si="20"/>
        <v>2068</v>
      </c>
      <c r="L170" s="3">
        <f t="shared" si="21"/>
        <v>693.33333333333337</v>
      </c>
      <c r="M170" s="3">
        <v>50</v>
      </c>
      <c r="N170" s="3">
        <f t="shared" si="18"/>
        <v>2068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100</v>
      </c>
      <c r="F171" s="4">
        <f t="shared" si="23"/>
        <v>6975</v>
      </c>
      <c r="G171" s="181" t="str">
        <f t="shared" si="24"/>
        <v>No</v>
      </c>
      <c r="H171" s="3">
        <f t="shared" si="25"/>
        <v>40</v>
      </c>
      <c r="I171" s="3">
        <f t="shared" si="26"/>
        <v>0</v>
      </c>
      <c r="J171" s="3">
        <f t="shared" si="19"/>
        <v>6935</v>
      </c>
      <c r="K171" s="3">
        <f t="shared" si="20"/>
        <v>2080.5</v>
      </c>
      <c r="L171" s="3">
        <f t="shared" si="21"/>
        <v>697.5</v>
      </c>
      <c r="M171" s="3">
        <v>50</v>
      </c>
      <c r="N171" s="3">
        <f t="shared" ref="N171:N206" si="27">MAX(K171:M171)</f>
        <v>2080.5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100</v>
      </c>
      <c r="F172" s="4">
        <f t="shared" si="23"/>
        <v>7016.666666666667</v>
      </c>
      <c r="G172" s="181" t="str">
        <f t="shared" si="24"/>
        <v>No</v>
      </c>
      <c r="H172" s="3">
        <f t="shared" si="25"/>
        <v>40</v>
      </c>
      <c r="I172" s="3">
        <f t="shared" si="26"/>
        <v>0</v>
      </c>
      <c r="J172" s="3">
        <f t="shared" si="19"/>
        <v>6976.666666666667</v>
      </c>
      <c r="K172" s="3">
        <f t="shared" si="20"/>
        <v>2093</v>
      </c>
      <c r="L172" s="3">
        <f t="shared" si="21"/>
        <v>701.66666666666674</v>
      </c>
      <c r="M172" s="3">
        <v>50</v>
      </c>
      <c r="N172" s="3">
        <f t="shared" si="27"/>
        <v>2093</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100</v>
      </c>
      <c r="F173" s="4">
        <f t="shared" si="23"/>
        <v>7058.333333333333</v>
      </c>
      <c r="G173" s="181" t="str">
        <f t="shared" si="24"/>
        <v>No</v>
      </c>
      <c r="H173" s="3">
        <f t="shared" si="25"/>
        <v>40</v>
      </c>
      <c r="I173" s="3">
        <f t="shared" si="26"/>
        <v>0</v>
      </c>
      <c r="J173" s="3">
        <f t="shared" si="19"/>
        <v>7018.333333333333</v>
      </c>
      <c r="K173" s="3">
        <f t="shared" si="20"/>
        <v>2105.5</v>
      </c>
      <c r="L173" s="3">
        <f t="shared" si="21"/>
        <v>705.83333333333337</v>
      </c>
      <c r="M173" s="3">
        <v>50</v>
      </c>
      <c r="N173" s="3">
        <f t="shared" si="27"/>
        <v>2105.5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100</v>
      </c>
      <c r="F174" s="4">
        <f t="shared" si="23"/>
        <v>7100</v>
      </c>
      <c r="G174" s="181" t="str">
        <f t="shared" si="24"/>
        <v>No</v>
      </c>
      <c r="H174" s="3">
        <f t="shared" si="25"/>
        <v>40</v>
      </c>
      <c r="I174" s="3">
        <f t="shared" si="26"/>
        <v>0</v>
      </c>
      <c r="J174" s="3">
        <f t="shared" si="19"/>
        <v>7060</v>
      </c>
      <c r="K174" s="3">
        <f t="shared" si="20"/>
        <v>2118</v>
      </c>
      <c r="L174" s="3">
        <f t="shared" si="21"/>
        <v>710</v>
      </c>
      <c r="M174" s="3">
        <v>50</v>
      </c>
      <c r="N174" s="3">
        <f t="shared" si="27"/>
        <v>2118</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100</v>
      </c>
      <c r="F175" s="4">
        <f t="shared" si="23"/>
        <v>7141.666666666667</v>
      </c>
      <c r="G175" s="181" t="str">
        <f t="shared" si="24"/>
        <v>No</v>
      </c>
      <c r="H175" s="3">
        <f t="shared" si="25"/>
        <v>40</v>
      </c>
      <c r="I175" s="3">
        <f t="shared" si="26"/>
        <v>0</v>
      </c>
      <c r="J175" s="3">
        <f t="shared" si="19"/>
        <v>7101.666666666667</v>
      </c>
      <c r="K175" s="3">
        <f t="shared" si="20"/>
        <v>2130.5</v>
      </c>
      <c r="L175" s="3">
        <f t="shared" si="21"/>
        <v>714.16666666666674</v>
      </c>
      <c r="M175" s="3">
        <v>50</v>
      </c>
      <c r="N175" s="3">
        <f t="shared" si="27"/>
        <v>2130.5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100</v>
      </c>
      <c r="F176" s="4">
        <f t="shared" si="23"/>
        <v>7183.333333333333</v>
      </c>
      <c r="G176" s="181" t="str">
        <f t="shared" si="24"/>
        <v>No</v>
      </c>
      <c r="H176" s="3">
        <f t="shared" si="25"/>
        <v>40</v>
      </c>
      <c r="I176" s="3">
        <f t="shared" si="26"/>
        <v>0</v>
      </c>
      <c r="J176" s="3">
        <f t="shared" si="19"/>
        <v>7143.333333333333</v>
      </c>
      <c r="K176" s="3">
        <f t="shared" si="20"/>
        <v>2143</v>
      </c>
      <c r="L176" s="3">
        <f t="shared" si="21"/>
        <v>718.33333333333337</v>
      </c>
      <c r="M176" s="3">
        <v>50</v>
      </c>
      <c r="N176" s="3">
        <f t="shared" si="27"/>
        <v>2143</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100</v>
      </c>
      <c r="F177" s="4">
        <f t="shared" si="23"/>
        <v>7225</v>
      </c>
      <c r="G177" s="181" t="str">
        <f t="shared" si="24"/>
        <v>No</v>
      </c>
      <c r="H177" s="3">
        <f t="shared" si="25"/>
        <v>40</v>
      </c>
      <c r="I177" s="3">
        <f t="shared" si="26"/>
        <v>0</v>
      </c>
      <c r="J177" s="3">
        <f t="shared" si="19"/>
        <v>7185</v>
      </c>
      <c r="K177" s="3">
        <f t="shared" si="20"/>
        <v>2155.5</v>
      </c>
      <c r="L177" s="3">
        <f t="shared" si="21"/>
        <v>722.5</v>
      </c>
      <c r="M177" s="3">
        <v>50</v>
      </c>
      <c r="N177" s="3">
        <f t="shared" si="27"/>
        <v>2155.5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100</v>
      </c>
      <c r="F178" s="4">
        <f t="shared" si="23"/>
        <v>7266.666666666667</v>
      </c>
      <c r="G178" s="181" t="str">
        <f t="shared" si="24"/>
        <v>No</v>
      </c>
      <c r="H178" s="3">
        <f t="shared" si="25"/>
        <v>40</v>
      </c>
      <c r="I178" s="3">
        <f t="shared" si="26"/>
        <v>0</v>
      </c>
      <c r="J178" s="3">
        <f t="shared" si="19"/>
        <v>7226.666666666667</v>
      </c>
      <c r="K178" s="3">
        <f t="shared" si="20"/>
        <v>2168</v>
      </c>
      <c r="L178" s="3">
        <f t="shared" si="21"/>
        <v>726.66666666666674</v>
      </c>
      <c r="M178" s="3">
        <v>50</v>
      </c>
      <c r="N178" s="3">
        <f t="shared" si="27"/>
        <v>2168</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100</v>
      </c>
      <c r="F179" s="4">
        <f t="shared" si="23"/>
        <v>7308.333333333333</v>
      </c>
      <c r="G179" s="181" t="str">
        <f t="shared" si="24"/>
        <v>No</v>
      </c>
      <c r="H179" s="3">
        <f t="shared" si="25"/>
        <v>40</v>
      </c>
      <c r="I179" s="3">
        <f t="shared" si="26"/>
        <v>0</v>
      </c>
      <c r="J179" s="3">
        <f t="shared" si="19"/>
        <v>7268.333333333333</v>
      </c>
      <c r="K179" s="3">
        <f t="shared" si="20"/>
        <v>2180.5</v>
      </c>
      <c r="L179" s="3">
        <f t="shared" si="21"/>
        <v>730.83333333333337</v>
      </c>
      <c r="M179" s="3">
        <v>50</v>
      </c>
      <c r="N179" s="3">
        <f t="shared" si="27"/>
        <v>2180.5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100</v>
      </c>
      <c r="F180" s="4">
        <f t="shared" si="23"/>
        <v>7350</v>
      </c>
      <c r="G180" s="181" t="str">
        <f t="shared" si="24"/>
        <v>No</v>
      </c>
      <c r="H180" s="3">
        <f t="shared" si="25"/>
        <v>40</v>
      </c>
      <c r="I180" s="3">
        <f t="shared" si="26"/>
        <v>0</v>
      </c>
      <c r="J180" s="3">
        <f t="shared" si="19"/>
        <v>7310</v>
      </c>
      <c r="K180" s="3">
        <f t="shared" si="20"/>
        <v>2193</v>
      </c>
      <c r="L180" s="3">
        <f t="shared" si="21"/>
        <v>735</v>
      </c>
      <c r="M180" s="3">
        <v>50</v>
      </c>
      <c r="N180" s="3">
        <f t="shared" si="27"/>
        <v>2193</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100</v>
      </c>
      <c r="F181" s="4">
        <f t="shared" si="23"/>
        <v>7391.666666666667</v>
      </c>
      <c r="G181" s="181" t="str">
        <f t="shared" si="24"/>
        <v>No</v>
      </c>
      <c r="H181" s="3">
        <f t="shared" si="25"/>
        <v>40</v>
      </c>
      <c r="I181" s="3">
        <f t="shared" si="26"/>
        <v>0</v>
      </c>
      <c r="J181" s="3">
        <f t="shared" si="19"/>
        <v>7351.666666666667</v>
      </c>
      <c r="K181" s="3">
        <f t="shared" si="20"/>
        <v>2205.5</v>
      </c>
      <c r="L181" s="3">
        <f t="shared" si="21"/>
        <v>739.16666666666674</v>
      </c>
      <c r="M181" s="3">
        <v>50</v>
      </c>
      <c r="N181" s="3">
        <f t="shared" si="27"/>
        <v>2205.5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100</v>
      </c>
      <c r="F182" s="4">
        <f t="shared" si="23"/>
        <v>7433.333333333333</v>
      </c>
      <c r="G182" s="181" t="str">
        <f t="shared" si="24"/>
        <v>No</v>
      </c>
      <c r="H182" s="3">
        <f t="shared" si="25"/>
        <v>40</v>
      </c>
      <c r="I182" s="3">
        <f t="shared" si="26"/>
        <v>0</v>
      </c>
      <c r="J182" s="3">
        <f t="shared" si="19"/>
        <v>7393.333333333333</v>
      </c>
      <c r="K182" s="3">
        <f t="shared" si="20"/>
        <v>2218</v>
      </c>
      <c r="L182" s="3">
        <f t="shared" si="21"/>
        <v>743.33333333333337</v>
      </c>
      <c r="M182" s="3">
        <v>50</v>
      </c>
      <c r="N182" s="3">
        <f t="shared" si="27"/>
        <v>2218</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100</v>
      </c>
      <c r="F183" s="4">
        <f t="shared" si="23"/>
        <v>7475</v>
      </c>
      <c r="G183" s="181" t="str">
        <f t="shared" si="24"/>
        <v>No</v>
      </c>
      <c r="H183" s="3">
        <f t="shared" si="25"/>
        <v>40</v>
      </c>
      <c r="I183" s="3">
        <f t="shared" si="26"/>
        <v>0</v>
      </c>
      <c r="J183" s="3">
        <f t="shared" si="19"/>
        <v>7435</v>
      </c>
      <c r="K183" s="3">
        <f t="shared" si="20"/>
        <v>2230.5</v>
      </c>
      <c r="L183" s="3">
        <f t="shared" si="21"/>
        <v>747.5</v>
      </c>
      <c r="M183" s="3">
        <v>50</v>
      </c>
      <c r="N183" s="3">
        <f t="shared" si="27"/>
        <v>2230.5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100</v>
      </c>
      <c r="F184" s="4">
        <f t="shared" si="23"/>
        <v>7516.666666666667</v>
      </c>
      <c r="G184" s="181" t="str">
        <f t="shared" si="24"/>
        <v>No</v>
      </c>
      <c r="H184" s="3">
        <f t="shared" si="25"/>
        <v>40</v>
      </c>
      <c r="I184" s="3">
        <f t="shared" si="26"/>
        <v>0</v>
      </c>
      <c r="J184" s="3">
        <f t="shared" si="19"/>
        <v>7476.666666666667</v>
      </c>
      <c r="K184" s="3">
        <f t="shared" si="20"/>
        <v>2243</v>
      </c>
      <c r="L184" s="3">
        <f t="shared" si="21"/>
        <v>751.66666666666674</v>
      </c>
      <c r="M184" s="3">
        <v>50</v>
      </c>
      <c r="N184" s="3">
        <f t="shared" si="27"/>
        <v>2243</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100</v>
      </c>
      <c r="F185" s="4">
        <f t="shared" si="23"/>
        <v>7558.333333333333</v>
      </c>
      <c r="G185" s="181" t="str">
        <f t="shared" si="24"/>
        <v>No</v>
      </c>
      <c r="H185" s="3">
        <f t="shared" si="25"/>
        <v>40</v>
      </c>
      <c r="I185" s="3">
        <f t="shared" si="26"/>
        <v>0</v>
      </c>
      <c r="J185" s="3">
        <f t="shared" si="19"/>
        <v>7518.333333333333</v>
      </c>
      <c r="K185" s="3">
        <f t="shared" si="20"/>
        <v>2255.5</v>
      </c>
      <c r="L185" s="3">
        <f t="shared" si="21"/>
        <v>755.83333333333337</v>
      </c>
      <c r="M185" s="3">
        <v>50</v>
      </c>
      <c r="N185" s="3">
        <f t="shared" si="27"/>
        <v>2255.5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100</v>
      </c>
      <c r="F186" s="4">
        <f t="shared" si="23"/>
        <v>7600</v>
      </c>
      <c r="G186" s="181" t="str">
        <f t="shared" si="24"/>
        <v>No</v>
      </c>
      <c r="H186" s="3">
        <f t="shared" si="25"/>
        <v>40</v>
      </c>
      <c r="I186" s="3">
        <f t="shared" si="26"/>
        <v>0</v>
      </c>
      <c r="J186" s="3">
        <f t="shared" si="19"/>
        <v>7560</v>
      </c>
      <c r="K186" s="3">
        <f t="shared" si="20"/>
        <v>2268</v>
      </c>
      <c r="L186" s="3">
        <f t="shared" si="21"/>
        <v>760</v>
      </c>
      <c r="M186" s="3">
        <v>50</v>
      </c>
      <c r="N186" s="3">
        <f t="shared" si="27"/>
        <v>2268</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100</v>
      </c>
      <c r="F187" s="4">
        <f t="shared" si="23"/>
        <v>7641.666666666667</v>
      </c>
      <c r="G187" s="181" t="str">
        <f t="shared" si="24"/>
        <v>No</v>
      </c>
      <c r="H187" s="3">
        <f t="shared" si="25"/>
        <v>40</v>
      </c>
      <c r="I187" s="3">
        <f t="shared" si="26"/>
        <v>0</v>
      </c>
      <c r="J187" s="3">
        <f t="shared" si="19"/>
        <v>7601.666666666667</v>
      </c>
      <c r="K187" s="3">
        <f t="shared" si="20"/>
        <v>2280.5</v>
      </c>
      <c r="L187" s="3">
        <f t="shared" si="21"/>
        <v>764.16666666666674</v>
      </c>
      <c r="M187" s="3">
        <v>50</v>
      </c>
      <c r="N187" s="3">
        <f t="shared" si="27"/>
        <v>2280.5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100</v>
      </c>
      <c r="F188" s="4">
        <f t="shared" si="23"/>
        <v>7683.333333333333</v>
      </c>
      <c r="G188" s="181" t="str">
        <f t="shared" si="24"/>
        <v>No</v>
      </c>
      <c r="H188" s="3">
        <f t="shared" si="25"/>
        <v>40</v>
      </c>
      <c r="I188" s="3">
        <f t="shared" si="26"/>
        <v>0</v>
      </c>
      <c r="J188" s="3">
        <f t="shared" si="19"/>
        <v>7643.333333333333</v>
      </c>
      <c r="K188" s="3">
        <f t="shared" si="20"/>
        <v>2293</v>
      </c>
      <c r="L188" s="3">
        <f t="shared" si="21"/>
        <v>768.33333333333337</v>
      </c>
      <c r="M188" s="3">
        <v>50</v>
      </c>
      <c r="N188" s="3">
        <f t="shared" si="27"/>
        <v>2293</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100</v>
      </c>
      <c r="F189" s="4">
        <f t="shared" si="23"/>
        <v>7725</v>
      </c>
      <c r="G189" s="181" t="str">
        <f t="shared" si="24"/>
        <v>No</v>
      </c>
      <c r="H189" s="3">
        <f t="shared" si="25"/>
        <v>40</v>
      </c>
      <c r="I189" s="3">
        <f t="shared" si="26"/>
        <v>0</v>
      </c>
      <c r="J189" s="3">
        <f t="shared" si="19"/>
        <v>7685</v>
      </c>
      <c r="K189" s="3">
        <f t="shared" si="20"/>
        <v>2305.5</v>
      </c>
      <c r="L189" s="3">
        <f t="shared" si="21"/>
        <v>772.5</v>
      </c>
      <c r="M189" s="3">
        <v>50</v>
      </c>
      <c r="N189" s="3">
        <f t="shared" si="27"/>
        <v>2305.5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100</v>
      </c>
      <c r="F190" s="4">
        <f t="shared" si="23"/>
        <v>7766.666666666667</v>
      </c>
      <c r="G190" s="181" t="str">
        <f t="shared" si="24"/>
        <v>No</v>
      </c>
      <c r="H190" s="3">
        <f t="shared" si="25"/>
        <v>40</v>
      </c>
      <c r="I190" s="3">
        <f t="shared" si="26"/>
        <v>0</v>
      </c>
      <c r="J190" s="3">
        <f t="shared" si="19"/>
        <v>7726.666666666667</v>
      </c>
      <c r="K190" s="3">
        <f t="shared" si="20"/>
        <v>2318</v>
      </c>
      <c r="L190" s="3">
        <f t="shared" si="21"/>
        <v>776.66666666666674</v>
      </c>
      <c r="M190" s="3">
        <v>50</v>
      </c>
      <c r="N190" s="3">
        <f t="shared" si="27"/>
        <v>2318</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100</v>
      </c>
      <c r="F191" s="4">
        <f t="shared" si="23"/>
        <v>7808.333333333333</v>
      </c>
      <c r="G191" s="181" t="str">
        <f t="shared" si="24"/>
        <v>No</v>
      </c>
      <c r="H191" s="3">
        <f t="shared" si="25"/>
        <v>40</v>
      </c>
      <c r="I191" s="3">
        <f t="shared" si="26"/>
        <v>0</v>
      </c>
      <c r="J191" s="3">
        <f t="shared" si="19"/>
        <v>7768.333333333333</v>
      </c>
      <c r="K191" s="3">
        <f t="shared" si="20"/>
        <v>2330.5</v>
      </c>
      <c r="L191" s="3">
        <f t="shared" si="21"/>
        <v>780.83333333333337</v>
      </c>
      <c r="M191" s="3">
        <v>50</v>
      </c>
      <c r="N191" s="3">
        <f t="shared" si="27"/>
        <v>2330.5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100</v>
      </c>
      <c r="F192" s="4">
        <f t="shared" si="23"/>
        <v>7850</v>
      </c>
      <c r="G192" s="181" t="str">
        <f t="shared" si="24"/>
        <v>No</v>
      </c>
      <c r="H192" s="3">
        <f t="shared" si="25"/>
        <v>40</v>
      </c>
      <c r="I192" s="3">
        <f t="shared" si="26"/>
        <v>0</v>
      </c>
      <c r="J192" s="3">
        <f t="shared" si="19"/>
        <v>7810</v>
      </c>
      <c r="K192" s="3">
        <f t="shared" si="20"/>
        <v>2343</v>
      </c>
      <c r="L192" s="3">
        <f t="shared" si="21"/>
        <v>785</v>
      </c>
      <c r="M192" s="3">
        <v>50</v>
      </c>
      <c r="N192" s="3">
        <f t="shared" si="27"/>
        <v>2343</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100</v>
      </c>
      <c r="F193" s="4">
        <f t="shared" si="23"/>
        <v>7891.666666666667</v>
      </c>
      <c r="G193" s="181" t="str">
        <f t="shared" si="24"/>
        <v>No</v>
      </c>
      <c r="H193" s="3">
        <f t="shared" si="25"/>
        <v>40</v>
      </c>
      <c r="I193" s="3">
        <f t="shared" si="26"/>
        <v>0</v>
      </c>
      <c r="J193" s="3">
        <f t="shared" si="19"/>
        <v>7851.666666666667</v>
      </c>
      <c r="K193" s="3">
        <f t="shared" si="20"/>
        <v>2355.5</v>
      </c>
      <c r="L193" s="3">
        <f t="shared" si="21"/>
        <v>789.16666666666674</v>
      </c>
      <c r="M193" s="3">
        <v>50</v>
      </c>
      <c r="N193" s="3">
        <f t="shared" si="27"/>
        <v>2355.5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100</v>
      </c>
      <c r="F194" s="4">
        <f t="shared" si="23"/>
        <v>7933.333333333333</v>
      </c>
      <c r="G194" s="181" t="str">
        <f t="shared" si="24"/>
        <v>No</v>
      </c>
      <c r="H194" s="3">
        <f t="shared" si="25"/>
        <v>40</v>
      </c>
      <c r="I194" s="3">
        <f t="shared" si="26"/>
        <v>0</v>
      </c>
      <c r="J194" s="3">
        <f t="shared" si="19"/>
        <v>7893.333333333333</v>
      </c>
      <c r="K194" s="3">
        <f t="shared" si="20"/>
        <v>2368</v>
      </c>
      <c r="L194" s="3">
        <f t="shared" si="21"/>
        <v>793.33333333333337</v>
      </c>
      <c r="M194" s="3">
        <v>50</v>
      </c>
      <c r="N194" s="3">
        <f t="shared" si="27"/>
        <v>2368</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100</v>
      </c>
      <c r="F195" s="4">
        <f t="shared" si="23"/>
        <v>7975</v>
      </c>
      <c r="G195" s="181" t="str">
        <f t="shared" si="24"/>
        <v>No</v>
      </c>
      <c r="H195" s="3">
        <f t="shared" si="25"/>
        <v>40</v>
      </c>
      <c r="I195" s="3">
        <f t="shared" si="26"/>
        <v>0</v>
      </c>
      <c r="J195" s="3">
        <f t="shared" si="19"/>
        <v>7935</v>
      </c>
      <c r="K195" s="3">
        <f t="shared" si="20"/>
        <v>2380.5</v>
      </c>
      <c r="L195" s="3">
        <f t="shared" si="21"/>
        <v>797.5</v>
      </c>
      <c r="M195" s="3">
        <v>50</v>
      </c>
      <c r="N195" s="3">
        <f t="shared" si="27"/>
        <v>2380.5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100</v>
      </c>
      <c r="F196" s="4">
        <f t="shared" si="23"/>
        <v>8016.666666666667</v>
      </c>
      <c r="G196" s="181" t="str">
        <f t="shared" si="24"/>
        <v>No</v>
      </c>
      <c r="H196" s="3">
        <f t="shared" si="25"/>
        <v>40</v>
      </c>
      <c r="I196" s="3">
        <f t="shared" si="26"/>
        <v>0</v>
      </c>
      <c r="J196" s="3">
        <f t="shared" si="19"/>
        <v>7976.666666666667</v>
      </c>
      <c r="K196" s="3">
        <f t="shared" si="20"/>
        <v>2393</v>
      </c>
      <c r="L196" s="3">
        <f t="shared" si="21"/>
        <v>801.66666666666674</v>
      </c>
      <c r="M196" s="3">
        <v>50</v>
      </c>
      <c r="N196" s="3">
        <f t="shared" si="27"/>
        <v>2393</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100</v>
      </c>
      <c r="F197" s="4">
        <f t="shared" si="23"/>
        <v>8058.333333333333</v>
      </c>
      <c r="G197" s="181" t="str">
        <f t="shared" si="24"/>
        <v>No</v>
      </c>
      <c r="H197" s="3">
        <f t="shared" si="25"/>
        <v>40</v>
      </c>
      <c r="I197" s="3">
        <f t="shared" si="26"/>
        <v>0</v>
      </c>
      <c r="J197" s="3">
        <f t="shared" si="19"/>
        <v>8018.333333333333</v>
      </c>
      <c r="K197" s="3">
        <f t="shared" si="20"/>
        <v>2405.5</v>
      </c>
      <c r="L197" s="3">
        <f t="shared" si="21"/>
        <v>805.83333333333337</v>
      </c>
      <c r="M197" s="3">
        <v>50</v>
      </c>
      <c r="N197" s="3">
        <f t="shared" si="27"/>
        <v>2405.5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100</v>
      </c>
      <c r="F198" s="4">
        <f t="shared" si="23"/>
        <v>8100</v>
      </c>
      <c r="G198" s="181" t="str">
        <f t="shared" si="24"/>
        <v>No</v>
      </c>
      <c r="H198" s="3">
        <f t="shared" si="25"/>
        <v>40</v>
      </c>
      <c r="I198" s="3">
        <f t="shared" si="26"/>
        <v>0</v>
      </c>
      <c r="J198" s="3">
        <f t="shared" ref="J198:J206" si="28">IF(F198-H198-I198&lt;0,0,F198-H198-I198)</f>
        <v>8060</v>
      </c>
      <c r="K198" s="3">
        <f t="shared" ref="K198:K206" si="29">J198*0.3</f>
        <v>2418</v>
      </c>
      <c r="L198" s="3">
        <f t="shared" ref="L198:L206" si="30">F198*0.1</f>
        <v>810</v>
      </c>
      <c r="M198" s="3">
        <v>50</v>
      </c>
      <c r="N198" s="3">
        <f t="shared" si="27"/>
        <v>2418</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100</v>
      </c>
      <c r="F199" s="4">
        <f t="shared" ref="F199:F206" si="32">B199+C199+D199+E199</f>
        <v>8141.666666666667</v>
      </c>
      <c r="G199" s="181" t="str">
        <f t="shared" ref="G199:G206" si="33">IF(F199&lt;$L$2,"Yes","No")</f>
        <v>No</v>
      </c>
      <c r="H199" s="3">
        <f t="shared" ref="H199:H206" si="34">40*($D$2+$I$2)</f>
        <v>40</v>
      </c>
      <c r="I199" s="3">
        <f t="shared" ref="I199:I211" si="35">IF($H$2+$I$2&gt;0,33.33,0)</f>
        <v>0</v>
      </c>
      <c r="J199" s="3">
        <f t="shared" si="28"/>
        <v>8101.666666666667</v>
      </c>
      <c r="K199" s="3">
        <f t="shared" si="29"/>
        <v>2430.5</v>
      </c>
      <c r="L199" s="3">
        <f t="shared" si="30"/>
        <v>814.16666666666674</v>
      </c>
      <c r="M199" s="3">
        <v>50</v>
      </c>
      <c r="N199" s="3">
        <f t="shared" si="27"/>
        <v>2430.5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100</v>
      </c>
      <c r="F200" s="4">
        <f t="shared" si="32"/>
        <v>8183.333333333333</v>
      </c>
      <c r="G200" s="181" t="str">
        <f t="shared" si="33"/>
        <v>No</v>
      </c>
      <c r="H200" s="3">
        <f t="shared" si="34"/>
        <v>40</v>
      </c>
      <c r="I200" s="3">
        <f t="shared" si="35"/>
        <v>0</v>
      </c>
      <c r="J200" s="3">
        <f t="shared" si="28"/>
        <v>8143.333333333333</v>
      </c>
      <c r="K200" s="3">
        <f t="shared" si="29"/>
        <v>2443</v>
      </c>
      <c r="L200" s="3">
        <f t="shared" si="30"/>
        <v>818.33333333333337</v>
      </c>
      <c r="M200" s="3">
        <v>50</v>
      </c>
      <c r="N200" s="3">
        <f t="shared" si="27"/>
        <v>2443</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100</v>
      </c>
      <c r="F201" s="4">
        <f t="shared" si="32"/>
        <v>8225</v>
      </c>
      <c r="G201" s="181" t="str">
        <f t="shared" si="33"/>
        <v>No</v>
      </c>
      <c r="H201" s="3">
        <f t="shared" si="34"/>
        <v>40</v>
      </c>
      <c r="I201" s="3">
        <f t="shared" si="35"/>
        <v>0</v>
      </c>
      <c r="J201" s="3">
        <f t="shared" si="28"/>
        <v>8185</v>
      </c>
      <c r="K201" s="3">
        <f t="shared" si="29"/>
        <v>2455.5</v>
      </c>
      <c r="L201" s="3">
        <f t="shared" si="30"/>
        <v>822.5</v>
      </c>
      <c r="M201" s="3">
        <v>50</v>
      </c>
      <c r="N201" s="3">
        <f t="shared" si="27"/>
        <v>2455.5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100</v>
      </c>
      <c r="F202" s="4">
        <f t="shared" si="32"/>
        <v>8266.6666666666679</v>
      </c>
      <c r="G202" s="181" t="str">
        <f t="shared" si="33"/>
        <v>No</v>
      </c>
      <c r="H202" s="3">
        <f t="shared" si="34"/>
        <v>40</v>
      </c>
      <c r="I202" s="3">
        <f t="shared" si="35"/>
        <v>0</v>
      </c>
      <c r="J202" s="3">
        <f t="shared" si="28"/>
        <v>8226.6666666666679</v>
      </c>
      <c r="K202" s="3">
        <f t="shared" si="29"/>
        <v>2468.0000000000005</v>
      </c>
      <c r="L202" s="3">
        <f t="shared" si="30"/>
        <v>826.66666666666686</v>
      </c>
      <c r="M202" s="3">
        <v>50</v>
      </c>
      <c r="N202" s="3">
        <f t="shared" si="27"/>
        <v>2468.0000000000005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100</v>
      </c>
      <c r="F203" s="4">
        <f t="shared" si="32"/>
        <v>8308.3333333333339</v>
      </c>
      <c r="G203" s="181" t="str">
        <f t="shared" si="33"/>
        <v>No</v>
      </c>
      <c r="H203" s="3">
        <f t="shared" si="34"/>
        <v>40</v>
      </c>
      <c r="I203" s="3">
        <f t="shared" si="35"/>
        <v>0</v>
      </c>
      <c r="J203" s="3">
        <f t="shared" si="28"/>
        <v>8268.3333333333339</v>
      </c>
      <c r="K203" s="3">
        <f t="shared" si="29"/>
        <v>2480.5</v>
      </c>
      <c r="L203" s="3">
        <f t="shared" si="30"/>
        <v>830.83333333333348</v>
      </c>
      <c r="M203" s="3">
        <v>50</v>
      </c>
      <c r="N203" s="3">
        <f t="shared" si="27"/>
        <v>2480.5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100</v>
      </c>
      <c r="F204" s="4">
        <f t="shared" si="32"/>
        <v>8350</v>
      </c>
      <c r="G204" s="181" t="str">
        <f t="shared" si="33"/>
        <v>No</v>
      </c>
      <c r="H204" s="3">
        <f t="shared" si="34"/>
        <v>40</v>
      </c>
      <c r="I204" s="3">
        <f t="shared" si="35"/>
        <v>0</v>
      </c>
      <c r="J204" s="3">
        <f t="shared" si="28"/>
        <v>8310</v>
      </c>
      <c r="K204" s="3">
        <f t="shared" si="29"/>
        <v>2493</v>
      </c>
      <c r="L204" s="3">
        <f t="shared" si="30"/>
        <v>835</v>
      </c>
      <c r="M204" s="3">
        <v>50</v>
      </c>
      <c r="N204" s="3">
        <f t="shared" si="27"/>
        <v>2493</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100</v>
      </c>
      <c r="F205" s="4">
        <f t="shared" si="32"/>
        <v>8391.6666666666661</v>
      </c>
      <c r="G205" s="181" t="str">
        <f t="shared" si="33"/>
        <v>No</v>
      </c>
      <c r="H205" s="3">
        <f t="shared" si="34"/>
        <v>40</v>
      </c>
      <c r="I205" s="3">
        <f t="shared" si="35"/>
        <v>0</v>
      </c>
      <c r="J205" s="3">
        <f t="shared" si="28"/>
        <v>8351.6666666666661</v>
      </c>
      <c r="K205" s="3">
        <f t="shared" si="29"/>
        <v>2505.4999999999995</v>
      </c>
      <c r="L205" s="3">
        <f t="shared" si="30"/>
        <v>839.16666666666663</v>
      </c>
      <c r="M205" s="3">
        <v>50</v>
      </c>
      <c r="N205" s="3">
        <f t="shared" si="27"/>
        <v>2505.4999999999995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100</v>
      </c>
      <c r="F206" s="4">
        <f t="shared" si="32"/>
        <v>8433.3333333333339</v>
      </c>
      <c r="G206" s="181" t="str">
        <f t="shared" si="33"/>
        <v>No</v>
      </c>
      <c r="H206" s="3">
        <f t="shared" si="34"/>
        <v>40</v>
      </c>
      <c r="I206" s="3">
        <f t="shared" si="35"/>
        <v>0</v>
      </c>
      <c r="J206" s="3">
        <f t="shared" si="28"/>
        <v>8393.3333333333339</v>
      </c>
      <c r="K206" s="3">
        <f t="shared" si="29"/>
        <v>2518</v>
      </c>
      <c r="L206" s="3">
        <f t="shared" si="30"/>
        <v>843.33333333333348</v>
      </c>
      <c r="M206" s="3">
        <v>50</v>
      </c>
      <c r="N206" s="3">
        <f t="shared" si="27"/>
        <v>2518</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1289</v>
      </c>
      <c r="C209" s="4">
        <f>MAX('TANF-VIEW'!L212,'TANF-VIEW'!T212)</f>
        <v>0</v>
      </c>
      <c r="D209" s="4">
        <f>'Total income package'!$D$80</f>
        <v>0</v>
      </c>
      <c r="E209" s="4">
        <f>'Total income package'!$H$61+'Total income package'!$F$66</f>
        <v>100</v>
      </c>
      <c r="F209" s="4">
        <f t="shared" ref="F209:F211" si="36">B209+C209+D209+E209</f>
        <v>1389</v>
      </c>
      <c r="G209" s="181" t="str">
        <f t="shared" ref="G209:G211" si="37">IF(F209&lt;$L$2,"Yes","No")</f>
        <v>Yes</v>
      </c>
      <c r="H209" s="3">
        <f t="shared" ref="H209:H211" si="38">40*($D$2+$I$2)</f>
        <v>40</v>
      </c>
      <c r="I209" s="3">
        <f t="shared" si="35"/>
        <v>0</v>
      </c>
      <c r="J209" s="3">
        <f>IF(F209-H209-I209&lt;0,0,F209-H209-I209)</f>
        <v>1349</v>
      </c>
      <c r="K209" s="3">
        <f>J209*0.3</f>
        <v>404.7</v>
      </c>
      <c r="L209" s="3">
        <f>F209*0.1</f>
        <v>138.9</v>
      </c>
      <c r="M209" s="3">
        <v>50</v>
      </c>
      <c r="N209" s="3">
        <f>MAX(K209:M209)</f>
        <v>404.7</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09" s="337">
        <f>IF(AND(G209="Yes",'Total income package'!$A$14=TRUE,P209-N209&gt;0),P209-N209,0)</f>
        <v>590.29999999999995</v>
      </c>
    </row>
    <row r="210" spans="1:17" x14ac:dyDescent="0.25">
      <c r="A210" s="116" t="s">
        <v>303</v>
      </c>
      <c r="C210" s="4" t="s">
        <v>365</v>
      </c>
      <c r="D210" s="4"/>
      <c r="E210" s="4"/>
      <c r="F210" s="4"/>
      <c r="G210" s="181"/>
      <c r="H210" s="3"/>
      <c r="I210" s="3"/>
      <c r="J210" s="3"/>
    </row>
    <row r="211" spans="1:17" x14ac:dyDescent="0.25">
      <c r="B211" s="7">
        <f>'Total income package'!B91</f>
        <v>1289</v>
      </c>
      <c r="C211" s="4">
        <f>MAX('TANF-VIEW'!L214,'TANF-VIEW'!T214)</f>
        <v>0</v>
      </c>
      <c r="D211" s="4">
        <f>'Total income package'!$D$80</f>
        <v>0</v>
      </c>
      <c r="E211" s="4">
        <f>'Total income package'!$H$61+'Total income package'!$F$66</f>
        <v>100</v>
      </c>
      <c r="F211" s="4">
        <f t="shared" si="36"/>
        <v>1389</v>
      </c>
      <c r="G211" s="181" t="str">
        <f t="shared" si="37"/>
        <v>Yes</v>
      </c>
      <c r="H211" s="3">
        <f t="shared" si="38"/>
        <v>40</v>
      </c>
      <c r="I211" s="3">
        <f t="shared" si="35"/>
        <v>0</v>
      </c>
      <c r="J211" s="3">
        <f>IF(F211-H211-I211&lt;0,0,F211-H211-I211)</f>
        <v>1349</v>
      </c>
      <c r="K211" s="3">
        <f>J211*0.3</f>
        <v>404.7</v>
      </c>
      <c r="L211" s="3">
        <f>F211*0.1</f>
        <v>138.9</v>
      </c>
      <c r="M211" s="3">
        <v>50</v>
      </c>
      <c r="N211" s="3">
        <f>MAX(K211:M211)</f>
        <v>404.7</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851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995</v>
      </c>
      <c r="Q211" s="337">
        <f>IF(AND(G211="Yes",'Total income package'!$A$14=TRUE,P211-N211&gt;0),P211-N211,0)</f>
        <v>590.29999999999995</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2</v>
      </c>
      <c r="C2" s="77">
        <f>'Total income package'!B30</f>
        <v>1</v>
      </c>
      <c r="D2" s="77">
        <f>COUNTIF('Total income package'!B37:B44,"&gt;64")</f>
        <v>0</v>
      </c>
      <c r="E2" s="77">
        <f>'Total income package'!F61</f>
        <v>1</v>
      </c>
      <c r="F2" s="77">
        <f>'Total income package'!B31</f>
        <v>1</v>
      </c>
      <c r="G2" s="77">
        <f>'Total income package'!D66</f>
        <v>0</v>
      </c>
      <c r="H2" s="127">
        <f>VLOOKUP(Medicaid!B2,'Program specific data'!A5:J13,7,FALSE)</f>
        <v>91</v>
      </c>
      <c r="I2" s="155">
        <f>IF(A3=1,VLOOKUP(B2,'Program specific data'!A124:D131,2),IF(A3=2,VLOOKUP(B2,'Program specific data'!A124:D131,3),VLOOKUP(B2,'Program specific data'!A124:D131,4)))</f>
        <v>495</v>
      </c>
      <c r="J2" s="155">
        <f>VLOOKUP(B2,'Program specific data'!A5:N13,6,FALSE)</f>
        <v>2399</v>
      </c>
      <c r="K2" s="151">
        <f>VLOOKUP(B2,'Program specific data'!A5:M13,11,FALSE)</f>
        <v>2579</v>
      </c>
      <c r="L2" s="155">
        <f>VLOOKUP(B2,'Program specific data'!A5:N13,13,FALSE)</f>
        <v>3525</v>
      </c>
      <c r="M2" s="78">
        <f>C2*'Program specific data'!C148</f>
        <v>517.25</v>
      </c>
      <c r="P2" s="127">
        <f>F2*'Program specific data'!C152</f>
        <v>318.5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0</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517.25</v>
      </c>
      <c r="M9" s="179">
        <f>IF(AND('Total income package'!$A$16=TRUE,E9&lt;$L$2),$P$2,0)</f>
        <v>318.5</v>
      </c>
      <c r="N9" s="204">
        <f>L9+M9</f>
        <v>835.75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517.25</v>
      </c>
      <c r="M10" s="179">
        <f>IF(AND('Total income package'!$A$16=TRUE,E10&lt;$L$2),$P$2,0)</f>
        <v>318.5</v>
      </c>
      <c r="N10" s="204">
        <f t="shared" ref="N10:N73" si="8">L10+M10</f>
        <v>835.75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517.25</v>
      </c>
      <c r="M11" s="179">
        <f>IF(AND('Total income package'!$A$16=TRUE,E11&lt;$L$2),$P$2,0)</f>
        <v>318.5</v>
      </c>
      <c r="N11" s="204">
        <f t="shared" si="8"/>
        <v>835.75</v>
      </c>
    </row>
    <row r="12" spans="1:18" x14ac:dyDescent="0.25">
      <c r="A12" s="105">
        <v>1500</v>
      </c>
      <c r="B12" s="4">
        <f t="shared" si="0"/>
        <v>125</v>
      </c>
      <c r="C12" s="4">
        <f>'Total income package'!$D$80</f>
        <v>0</v>
      </c>
      <c r="D12" s="4">
        <f t="shared" si="3"/>
        <v>125</v>
      </c>
      <c r="E12" s="4">
        <f>IF(D12-$H$2&lt;0,0,D12-$H$2)</f>
        <v>34</v>
      </c>
      <c r="F12" t="str">
        <f t="shared" si="5"/>
        <v>Yes</v>
      </c>
      <c r="G12" t="str">
        <f t="shared" si="6"/>
        <v>Yes</v>
      </c>
      <c r="I12" t="str">
        <f t="shared" si="7"/>
        <v>Yes</v>
      </c>
      <c r="J12" t="str">
        <f t="shared" si="1"/>
        <v>Yes</v>
      </c>
      <c r="K12" t="str">
        <f t="shared" si="2"/>
        <v>Yes</v>
      </c>
      <c r="L12" s="203">
        <f>IF(AND('Total income package'!$A$16=TRUE,E12&lt;$J$2),$M$2,0)</f>
        <v>517.25</v>
      </c>
      <c r="M12" s="179">
        <f>IF(AND('Total income package'!$A$16=TRUE,E12&lt;$L$2),$P$2,0)</f>
        <v>318.5</v>
      </c>
      <c r="N12" s="204">
        <f t="shared" si="8"/>
        <v>835.75</v>
      </c>
    </row>
    <row r="13" spans="1:18" x14ac:dyDescent="0.25">
      <c r="A13" s="105">
        <v>2000</v>
      </c>
      <c r="B13" s="4">
        <f t="shared" si="0"/>
        <v>166.66666666666666</v>
      </c>
      <c r="C13" s="4">
        <f>'Total income package'!$D$80</f>
        <v>0</v>
      </c>
      <c r="D13" s="4">
        <f t="shared" si="3"/>
        <v>166.66666666666666</v>
      </c>
      <c r="E13" s="4">
        <f t="shared" si="4"/>
        <v>75.666666666666657</v>
      </c>
      <c r="F13" t="str">
        <f t="shared" si="5"/>
        <v>Yes</v>
      </c>
      <c r="G13" t="str">
        <f t="shared" si="6"/>
        <v>Yes</v>
      </c>
      <c r="I13" t="str">
        <f t="shared" si="7"/>
        <v>Yes</v>
      </c>
      <c r="J13" t="str">
        <f t="shared" si="1"/>
        <v>Yes</v>
      </c>
      <c r="K13" t="str">
        <f t="shared" si="2"/>
        <v>Yes</v>
      </c>
      <c r="L13" s="203">
        <f>IF(AND('Total income package'!$A$16=TRUE,E13&lt;$J$2),$M$2,0)</f>
        <v>517.25</v>
      </c>
      <c r="M13" s="179">
        <f>IF(AND('Total income package'!$A$16=TRUE,E13&lt;$L$2),$P$2,0)</f>
        <v>318.5</v>
      </c>
      <c r="N13" s="204">
        <f t="shared" si="8"/>
        <v>835.75</v>
      </c>
    </row>
    <row r="14" spans="1:18" x14ac:dyDescent="0.25">
      <c r="A14" s="105">
        <v>2500</v>
      </c>
      <c r="B14" s="4">
        <f t="shared" si="0"/>
        <v>208.33333333333334</v>
      </c>
      <c r="C14" s="4">
        <f>'Total income package'!$D$80</f>
        <v>0</v>
      </c>
      <c r="D14" s="4">
        <f t="shared" si="3"/>
        <v>208.33333333333334</v>
      </c>
      <c r="E14" s="4">
        <f t="shared" si="4"/>
        <v>117.33333333333334</v>
      </c>
      <c r="F14" t="str">
        <f t="shared" si="5"/>
        <v>Yes</v>
      </c>
      <c r="G14" t="str">
        <f t="shared" si="6"/>
        <v>Yes</v>
      </c>
      <c r="I14" t="str">
        <f t="shared" si="7"/>
        <v>Yes</v>
      </c>
      <c r="J14" t="str">
        <f t="shared" si="1"/>
        <v>Yes</v>
      </c>
      <c r="K14" t="str">
        <f t="shared" si="2"/>
        <v>Yes</v>
      </c>
      <c r="L14" s="203">
        <f>IF(AND('Total income package'!$A$16=TRUE,E14&lt;$J$2),$M$2,0)</f>
        <v>517.25</v>
      </c>
      <c r="M14" s="179">
        <f>IF(AND('Total income package'!$A$16=TRUE,E14&lt;$L$2),$P$2,0)</f>
        <v>318.5</v>
      </c>
      <c r="N14" s="204">
        <f t="shared" si="8"/>
        <v>835.75</v>
      </c>
    </row>
    <row r="15" spans="1:18" x14ac:dyDescent="0.25">
      <c r="A15" s="105">
        <v>3000</v>
      </c>
      <c r="B15" s="4">
        <f t="shared" si="0"/>
        <v>250</v>
      </c>
      <c r="C15" s="4">
        <f>'Total income package'!$D$80</f>
        <v>0</v>
      </c>
      <c r="D15" s="4">
        <f t="shared" si="3"/>
        <v>250</v>
      </c>
      <c r="E15" s="4">
        <f t="shared" si="4"/>
        <v>159</v>
      </c>
      <c r="F15" t="str">
        <f t="shared" si="5"/>
        <v>Yes</v>
      </c>
      <c r="G15" t="str">
        <f t="shared" si="6"/>
        <v>Yes</v>
      </c>
      <c r="I15" t="str">
        <f t="shared" si="7"/>
        <v>Yes</v>
      </c>
      <c r="J15" t="str">
        <f t="shared" si="1"/>
        <v>Yes</v>
      </c>
      <c r="K15" t="str">
        <f t="shared" si="2"/>
        <v>Yes</v>
      </c>
      <c r="L15" s="203">
        <f>IF(AND('Total income package'!$A$16=TRUE,E15&lt;$J$2),$M$2,0)</f>
        <v>517.25</v>
      </c>
      <c r="M15" s="179">
        <f>IF(AND('Total income package'!$A$16=TRUE,E15&lt;$L$2),$P$2,0)</f>
        <v>318.5</v>
      </c>
      <c r="N15" s="204">
        <f t="shared" si="8"/>
        <v>835.75</v>
      </c>
    </row>
    <row r="16" spans="1:18" x14ac:dyDescent="0.25">
      <c r="A16" s="105">
        <v>3500</v>
      </c>
      <c r="B16" s="4">
        <f t="shared" si="0"/>
        <v>291.66666666666669</v>
      </c>
      <c r="C16" s="4">
        <f>'Total income package'!$D$80</f>
        <v>0</v>
      </c>
      <c r="D16" s="4">
        <f t="shared" si="3"/>
        <v>291.66666666666669</v>
      </c>
      <c r="E16" s="4">
        <f t="shared" si="4"/>
        <v>200.66666666666669</v>
      </c>
      <c r="F16" t="str">
        <f t="shared" si="5"/>
        <v>Yes</v>
      </c>
      <c r="G16" t="str">
        <f t="shared" si="6"/>
        <v>Yes</v>
      </c>
      <c r="I16" t="str">
        <f t="shared" si="7"/>
        <v>Yes</v>
      </c>
      <c r="J16" t="str">
        <f t="shared" si="1"/>
        <v>Yes</v>
      </c>
      <c r="K16" t="str">
        <f t="shared" si="2"/>
        <v>Yes</v>
      </c>
      <c r="L16" s="203">
        <f>IF(AND('Total income package'!$A$16=TRUE,E16&lt;$J$2),$M$2,0)</f>
        <v>517.25</v>
      </c>
      <c r="M16" s="179">
        <f>IF(AND('Total income package'!$A$16=TRUE,E16&lt;$L$2),$P$2,0)</f>
        <v>318.5</v>
      </c>
      <c r="N16" s="204">
        <f t="shared" si="8"/>
        <v>835.75</v>
      </c>
    </row>
    <row r="17" spans="1:14" x14ac:dyDescent="0.25">
      <c r="A17" s="105">
        <v>4000</v>
      </c>
      <c r="B17" s="4">
        <f t="shared" si="0"/>
        <v>333.33333333333331</v>
      </c>
      <c r="C17" s="4">
        <f>'Total income package'!$D$80</f>
        <v>0</v>
      </c>
      <c r="D17" s="4">
        <f t="shared" si="3"/>
        <v>333.33333333333331</v>
      </c>
      <c r="E17" s="4">
        <f t="shared" si="4"/>
        <v>242.33333333333331</v>
      </c>
      <c r="F17" t="str">
        <f t="shared" si="5"/>
        <v>Yes</v>
      </c>
      <c r="G17" t="str">
        <f t="shared" si="6"/>
        <v>Yes</v>
      </c>
      <c r="I17" t="str">
        <f t="shared" si="7"/>
        <v>Yes</v>
      </c>
      <c r="J17" t="str">
        <f t="shared" si="1"/>
        <v>Yes</v>
      </c>
      <c r="K17" t="str">
        <f t="shared" si="2"/>
        <v>Yes</v>
      </c>
      <c r="L17" s="203">
        <f>IF(AND('Total income package'!$A$16=TRUE,E17&lt;$J$2),$M$2,0)</f>
        <v>517.25</v>
      </c>
      <c r="M17" s="179">
        <f>IF(AND('Total income package'!$A$16=TRUE,E17&lt;$L$2),$P$2,0)</f>
        <v>318.5</v>
      </c>
      <c r="N17" s="204">
        <f t="shared" si="8"/>
        <v>835.75</v>
      </c>
    </row>
    <row r="18" spans="1:14" x14ac:dyDescent="0.25">
      <c r="A18" s="105">
        <v>4500</v>
      </c>
      <c r="B18" s="4">
        <f t="shared" si="0"/>
        <v>375</v>
      </c>
      <c r="C18" s="4">
        <f>'Total income package'!$D$80</f>
        <v>0</v>
      </c>
      <c r="D18" s="4">
        <f t="shared" si="3"/>
        <v>375</v>
      </c>
      <c r="E18" s="4">
        <f t="shared" si="4"/>
        <v>284</v>
      </c>
      <c r="F18" t="str">
        <f t="shared" si="5"/>
        <v>Yes</v>
      </c>
      <c r="G18" t="str">
        <f t="shared" si="6"/>
        <v>Yes</v>
      </c>
      <c r="I18" t="str">
        <f t="shared" si="7"/>
        <v>Yes</v>
      </c>
      <c r="J18" t="str">
        <f t="shared" si="1"/>
        <v>Yes</v>
      </c>
      <c r="K18" t="str">
        <f t="shared" si="2"/>
        <v>Yes</v>
      </c>
      <c r="L18" s="203">
        <f>IF(AND('Total income package'!$A$16=TRUE,E18&lt;$J$2),$M$2,0)</f>
        <v>517.25</v>
      </c>
      <c r="M18" s="179">
        <f>IF(AND('Total income package'!$A$16=TRUE,E18&lt;$L$2),$P$2,0)</f>
        <v>318.5</v>
      </c>
      <c r="N18" s="204">
        <f t="shared" si="8"/>
        <v>835.75</v>
      </c>
    </row>
    <row r="19" spans="1:14" x14ac:dyDescent="0.25">
      <c r="A19" s="105">
        <v>5000</v>
      </c>
      <c r="B19" s="4">
        <f t="shared" si="0"/>
        <v>416.66666666666669</v>
      </c>
      <c r="C19" s="4">
        <f>'Total income package'!$D$80</f>
        <v>0</v>
      </c>
      <c r="D19" s="4">
        <f t="shared" si="3"/>
        <v>416.66666666666669</v>
      </c>
      <c r="E19" s="4">
        <f t="shared" si="4"/>
        <v>325.66666666666669</v>
      </c>
      <c r="F19" t="str">
        <f t="shared" si="5"/>
        <v>Yes</v>
      </c>
      <c r="G19" t="str">
        <f t="shared" si="6"/>
        <v>Yes</v>
      </c>
      <c r="I19" t="str">
        <f t="shared" si="7"/>
        <v>Yes</v>
      </c>
      <c r="J19" t="str">
        <f t="shared" si="1"/>
        <v>Yes</v>
      </c>
      <c r="K19" t="str">
        <f t="shared" si="2"/>
        <v>Yes</v>
      </c>
      <c r="L19" s="203">
        <f>IF(AND('Total income package'!$A$16=TRUE,E19&lt;$J$2),$M$2,0)</f>
        <v>517.25</v>
      </c>
      <c r="M19" s="179">
        <f>IF(AND('Total income package'!$A$16=TRUE,E19&lt;$L$2),$P$2,0)</f>
        <v>318.5</v>
      </c>
      <c r="N19" s="204">
        <f t="shared" si="8"/>
        <v>835.75</v>
      </c>
    </row>
    <row r="20" spans="1:14" x14ac:dyDescent="0.25">
      <c r="A20" s="105">
        <v>5500</v>
      </c>
      <c r="B20" s="4">
        <f t="shared" si="0"/>
        <v>458.33333333333331</v>
      </c>
      <c r="C20" s="4">
        <f>'Total income package'!$D$80</f>
        <v>0</v>
      </c>
      <c r="D20" s="4">
        <f t="shared" si="3"/>
        <v>458.33333333333331</v>
      </c>
      <c r="E20" s="4">
        <f t="shared" si="4"/>
        <v>367.33333333333331</v>
      </c>
      <c r="F20" t="str">
        <f t="shared" si="5"/>
        <v>Yes</v>
      </c>
      <c r="G20" t="str">
        <f t="shared" si="6"/>
        <v>Yes</v>
      </c>
      <c r="I20" t="str">
        <f t="shared" si="7"/>
        <v>Yes</v>
      </c>
      <c r="J20" t="str">
        <f t="shared" si="1"/>
        <v>Yes</v>
      </c>
      <c r="K20" t="str">
        <f t="shared" si="2"/>
        <v>Yes</v>
      </c>
      <c r="L20" s="203">
        <f>IF(AND('Total income package'!$A$16=TRUE,E20&lt;$J$2),$M$2,0)</f>
        <v>517.25</v>
      </c>
      <c r="M20" s="179">
        <f>IF(AND('Total income package'!$A$16=TRUE,E20&lt;$L$2),$P$2,0)</f>
        <v>318.5</v>
      </c>
      <c r="N20" s="204">
        <f t="shared" si="8"/>
        <v>835.75</v>
      </c>
    </row>
    <row r="21" spans="1:14" x14ac:dyDescent="0.25">
      <c r="A21" s="105">
        <v>6000</v>
      </c>
      <c r="B21" s="4">
        <f t="shared" si="0"/>
        <v>500</v>
      </c>
      <c r="C21" s="4">
        <f>'Total income package'!$D$80</f>
        <v>0</v>
      </c>
      <c r="D21" s="4">
        <f t="shared" si="3"/>
        <v>500</v>
      </c>
      <c r="E21" s="4">
        <f t="shared" si="4"/>
        <v>409</v>
      </c>
      <c r="F21" t="str">
        <f t="shared" si="5"/>
        <v>Yes</v>
      </c>
      <c r="G21" t="str">
        <f t="shared" si="6"/>
        <v>Yes</v>
      </c>
      <c r="I21" t="str">
        <f t="shared" si="7"/>
        <v>Yes</v>
      </c>
      <c r="J21" t="str">
        <f t="shared" si="1"/>
        <v>Yes</v>
      </c>
      <c r="K21" t="str">
        <f t="shared" si="2"/>
        <v>Yes</v>
      </c>
      <c r="L21" s="203">
        <f>IF(AND('Total income package'!$A$16=TRUE,E21&lt;$J$2),$M$2,0)</f>
        <v>517.25</v>
      </c>
      <c r="M21" s="179">
        <f>IF(AND('Total income package'!$A$16=TRUE,E21&lt;$L$2),$P$2,0)</f>
        <v>318.5</v>
      </c>
      <c r="N21" s="204">
        <f t="shared" si="8"/>
        <v>835.75</v>
      </c>
    </row>
    <row r="22" spans="1:14" x14ac:dyDescent="0.25">
      <c r="A22" s="105">
        <v>6500</v>
      </c>
      <c r="B22" s="4">
        <f t="shared" si="0"/>
        <v>541.66666666666663</v>
      </c>
      <c r="C22" s="4">
        <f>'Total income package'!$D$80</f>
        <v>0</v>
      </c>
      <c r="D22" s="4">
        <f t="shared" si="3"/>
        <v>541.66666666666663</v>
      </c>
      <c r="E22" s="4">
        <f t="shared" si="4"/>
        <v>450.66666666666663</v>
      </c>
      <c r="F22" t="str">
        <f t="shared" si="5"/>
        <v>Yes</v>
      </c>
      <c r="G22" t="str">
        <f t="shared" si="6"/>
        <v>Yes</v>
      </c>
      <c r="I22" t="str">
        <f t="shared" si="7"/>
        <v>Yes</v>
      </c>
      <c r="J22" t="str">
        <f t="shared" si="1"/>
        <v>Yes</v>
      </c>
      <c r="K22" t="str">
        <f t="shared" si="2"/>
        <v>Yes</v>
      </c>
      <c r="L22" s="203">
        <f>IF(AND('Total income package'!$A$16=TRUE,E22&lt;$J$2),$M$2,0)</f>
        <v>517.25</v>
      </c>
      <c r="M22" s="179">
        <f>IF(AND('Total income package'!$A$16=TRUE,E22&lt;$L$2),$P$2,0)</f>
        <v>318.5</v>
      </c>
      <c r="N22" s="204">
        <f t="shared" si="8"/>
        <v>835.75</v>
      </c>
    </row>
    <row r="23" spans="1:14" x14ac:dyDescent="0.25">
      <c r="A23" s="105">
        <v>7000</v>
      </c>
      <c r="B23" s="4">
        <f t="shared" si="0"/>
        <v>583.33333333333337</v>
      </c>
      <c r="C23" s="4">
        <f>'Total income package'!$D$80</f>
        <v>0</v>
      </c>
      <c r="D23" s="4">
        <f t="shared" si="3"/>
        <v>583.33333333333337</v>
      </c>
      <c r="E23" s="4">
        <f t="shared" si="4"/>
        <v>492.33333333333337</v>
      </c>
      <c r="F23" t="str">
        <f t="shared" si="5"/>
        <v>Yes</v>
      </c>
      <c r="G23" t="str">
        <f t="shared" si="6"/>
        <v>Yes</v>
      </c>
      <c r="I23" t="str">
        <f t="shared" si="7"/>
        <v>Yes</v>
      </c>
      <c r="J23" t="str">
        <f t="shared" si="1"/>
        <v>Yes</v>
      </c>
      <c r="K23" t="str">
        <f t="shared" si="2"/>
        <v>Yes</v>
      </c>
      <c r="L23" s="203">
        <f>IF(AND('Total income package'!$A$16=TRUE,E23&lt;$J$2),$M$2,0)</f>
        <v>517.25</v>
      </c>
      <c r="M23" s="179">
        <f>IF(AND('Total income package'!$A$16=TRUE,E23&lt;$L$2),$P$2,0)</f>
        <v>318.5</v>
      </c>
      <c r="N23" s="204">
        <f t="shared" si="8"/>
        <v>835.75</v>
      </c>
    </row>
    <row r="24" spans="1:14" x14ac:dyDescent="0.25">
      <c r="A24" s="105">
        <v>7500</v>
      </c>
      <c r="B24" s="4">
        <f t="shared" si="0"/>
        <v>625</v>
      </c>
      <c r="C24" s="4">
        <f>'Total income package'!$D$80</f>
        <v>0</v>
      </c>
      <c r="D24" s="4">
        <f t="shared" si="3"/>
        <v>625</v>
      </c>
      <c r="E24" s="4">
        <f t="shared" si="4"/>
        <v>534</v>
      </c>
      <c r="F24" t="str">
        <f t="shared" si="5"/>
        <v>No</v>
      </c>
      <c r="G24" t="str">
        <f t="shared" si="6"/>
        <v>Yes</v>
      </c>
      <c r="I24" t="str">
        <f t="shared" si="7"/>
        <v>Yes</v>
      </c>
      <c r="J24" t="str">
        <f t="shared" si="1"/>
        <v>Yes</v>
      </c>
      <c r="K24" t="str">
        <f t="shared" si="2"/>
        <v>Yes</v>
      </c>
      <c r="L24" s="203">
        <f>IF(AND('Total income package'!$A$16=TRUE,E24&lt;$J$2),$M$2,0)</f>
        <v>517.25</v>
      </c>
      <c r="M24" s="179">
        <f>IF(AND('Total income package'!$A$16=TRUE,E24&lt;$L$2),$P$2,0)</f>
        <v>318.5</v>
      </c>
      <c r="N24" s="204">
        <f t="shared" si="8"/>
        <v>835.75</v>
      </c>
    </row>
    <row r="25" spans="1:14" x14ac:dyDescent="0.25">
      <c r="A25" s="105">
        <v>8000</v>
      </c>
      <c r="B25" s="4">
        <f t="shared" si="0"/>
        <v>666.66666666666663</v>
      </c>
      <c r="C25" s="4">
        <f>'Total income package'!$D$80</f>
        <v>0</v>
      </c>
      <c r="D25" s="4">
        <f t="shared" si="3"/>
        <v>666.66666666666663</v>
      </c>
      <c r="E25" s="4">
        <f t="shared" si="4"/>
        <v>575.66666666666663</v>
      </c>
      <c r="F25" t="str">
        <f t="shared" si="5"/>
        <v>No</v>
      </c>
      <c r="G25" t="str">
        <f t="shared" si="6"/>
        <v>Yes</v>
      </c>
      <c r="I25" t="str">
        <f t="shared" si="7"/>
        <v>Yes</v>
      </c>
      <c r="J25" t="str">
        <f t="shared" si="1"/>
        <v>Yes</v>
      </c>
      <c r="K25" t="str">
        <f t="shared" si="2"/>
        <v>Yes</v>
      </c>
      <c r="L25" s="203">
        <f>IF(AND('Total income package'!$A$16=TRUE,E25&lt;$J$2),$M$2,0)</f>
        <v>517.25</v>
      </c>
      <c r="M25" s="179">
        <f>IF(AND('Total income package'!$A$16=TRUE,E25&lt;$L$2),$P$2,0)</f>
        <v>318.5</v>
      </c>
      <c r="N25" s="204">
        <f t="shared" si="8"/>
        <v>835.75</v>
      </c>
    </row>
    <row r="26" spans="1:14" x14ac:dyDescent="0.25">
      <c r="A26" s="105">
        <v>8500</v>
      </c>
      <c r="B26" s="4">
        <f t="shared" si="0"/>
        <v>708.33333333333337</v>
      </c>
      <c r="C26" s="4">
        <f>'Total income package'!$D$80</f>
        <v>0</v>
      </c>
      <c r="D26" s="4">
        <f t="shared" si="3"/>
        <v>708.33333333333337</v>
      </c>
      <c r="E26" s="4">
        <f t="shared" si="4"/>
        <v>617.33333333333337</v>
      </c>
      <c r="F26" t="str">
        <f t="shared" si="5"/>
        <v>No</v>
      </c>
      <c r="G26" t="str">
        <f t="shared" si="6"/>
        <v>Yes</v>
      </c>
      <c r="I26" t="str">
        <f t="shared" si="7"/>
        <v>Yes</v>
      </c>
      <c r="J26" t="str">
        <f t="shared" si="1"/>
        <v>Yes</v>
      </c>
      <c r="K26" t="str">
        <f t="shared" si="2"/>
        <v>Yes</v>
      </c>
      <c r="L26" s="203">
        <f>IF(AND('Total income package'!$A$16=TRUE,E26&lt;$J$2),$M$2,0)</f>
        <v>517.25</v>
      </c>
      <c r="M26" s="179">
        <f>IF(AND('Total income package'!$A$16=TRUE,E26&lt;$L$2),$P$2,0)</f>
        <v>318.5</v>
      </c>
      <c r="N26" s="204">
        <f t="shared" si="8"/>
        <v>835.75</v>
      </c>
    </row>
    <row r="27" spans="1:14" x14ac:dyDescent="0.25">
      <c r="A27" s="105">
        <v>9000</v>
      </c>
      <c r="B27" s="4">
        <f t="shared" si="0"/>
        <v>750</v>
      </c>
      <c r="C27" s="4">
        <f>'Total income package'!$D$80</f>
        <v>0</v>
      </c>
      <c r="D27" s="4">
        <f t="shared" si="3"/>
        <v>750</v>
      </c>
      <c r="E27" s="4">
        <f t="shared" si="4"/>
        <v>659</v>
      </c>
      <c r="F27" t="str">
        <f t="shared" si="5"/>
        <v>No</v>
      </c>
      <c r="G27" t="str">
        <f t="shared" si="6"/>
        <v>Yes</v>
      </c>
      <c r="I27" t="str">
        <f t="shared" si="7"/>
        <v>Yes</v>
      </c>
      <c r="J27" t="str">
        <f t="shared" si="1"/>
        <v>Yes</v>
      </c>
      <c r="K27" t="str">
        <f t="shared" si="2"/>
        <v>Yes</v>
      </c>
      <c r="L27" s="203">
        <f>IF(AND('Total income package'!$A$16=TRUE,E27&lt;$J$2),$M$2,0)</f>
        <v>517.25</v>
      </c>
      <c r="M27" s="179">
        <f>IF(AND('Total income package'!$A$16=TRUE,E27&lt;$L$2),$P$2,0)</f>
        <v>318.5</v>
      </c>
      <c r="N27" s="204">
        <f t="shared" si="8"/>
        <v>835.75</v>
      </c>
    </row>
    <row r="28" spans="1:14" x14ac:dyDescent="0.25">
      <c r="A28" s="105">
        <v>9500</v>
      </c>
      <c r="B28" s="4">
        <f t="shared" si="0"/>
        <v>791.66666666666663</v>
      </c>
      <c r="C28" s="4">
        <f>'Total income package'!$D$80</f>
        <v>0</v>
      </c>
      <c r="D28" s="4">
        <f t="shared" si="3"/>
        <v>791.66666666666663</v>
      </c>
      <c r="E28" s="4">
        <f t="shared" si="4"/>
        <v>700.66666666666663</v>
      </c>
      <c r="F28" t="str">
        <f t="shared" si="5"/>
        <v>No</v>
      </c>
      <c r="G28" t="str">
        <f t="shared" si="6"/>
        <v>Yes</v>
      </c>
      <c r="I28" t="str">
        <f t="shared" si="7"/>
        <v>Yes</v>
      </c>
      <c r="J28" t="str">
        <f t="shared" si="1"/>
        <v>Yes</v>
      </c>
      <c r="K28" t="str">
        <f t="shared" si="2"/>
        <v>Yes</v>
      </c>
      <c r="L28" s="203">
        <f>IF(AND('Total income package'!$A$16=TRUE,E28&lt;$J$2),$M$2,0)</f>
        <v>517.25</v>
      </c>
      <c r="M28" s="179">
        <f>IF(AND('Total income package'!$A$16=TRUE,E28&lt;$L$2),$P$2,0)</f>
        <v>318.5</v>
      </c>
      <c r="N28" s="204">
        <f t="shared" si="8"/>
        <v>835.75</v>
      </c>
    </row>
    <row r="29" spans="1:14" x14ac:dyDescent="0.25">
      <c r="A29" s="105">
        <v>10000</v>
      </c>
      <c r="B29" s="4">
        <f t="shared" si="0"/>
        <v>833.33333333333337</v>
      </c>
      <c r="C29" s="4">
        <f>'Total income package'!$D$80</f>
        <v>0</v>
      </c>
      <c r="D29" s="4">
        <f t="shared" si="3"/>
        <v>833.33333333333337</v>
      </c>
      <c r="E29" s="4">
        <f t="shared" si="4"/>
        <v>742.33333333333337</v>
      </c>
      <c r="F29" t="str">
        <f t="shared" si="5"/>
        <v>No</v>
      </c>
      <c r="G29" t="str">
        <f t="shared" si="6"/>
        <v>Yes</v>
      </c>
      <c r="I29" t="str">
        <f t="shared" si="7"/>
        <v>Yes</v>
      </c>
      <c r="J29" t="str">
        <f t="shared" si="1"/>
        <v>Yes</v>
      </c>
      <c r="K29" t="str">
        <f t="shared" si="2"/>
        <v>Yes</v>
      </c>
      <c r="L29" s="203">
        <f>IF(AND('Total income package'!$A$16=TRUE,E29&lt;$J$2),$M$2,0)</f>
        <v>517.25</v>
      </c>
      <c r="M29" s="179">
        <f>IF(AND('Total income package'!$A$16=TRUE,E29&lt;$L$2),$P$2,0)</f>
        <v>318.5</v>
      </c>
      <c r="N29" s="204">
        <f t="shared" si="8"/>
        <v>835.75</v>
      </c>
    </row>
    <row r="30" spans="1:14" x14ac:dyDescent="0.25">
      <c r="A30" s="105">
        <v>10500</v>
      </c>
      <c r="B30" s="4">
        <f t="shared" si="0"/>
        <v>875</v>
      </c>
      <c r="C30" s="4">
        <f>'Total income package'!$D$80</f>
        <v>0</v>
      </c>
      <c r="D30" s="4">
        <f t="shared" si="3"/>
        <v>875</v>
      </c>
      <c r="E30" s="4">
        <f t="shared" si="4"/>
        <v>784</v>
      </c>
      <c r="F30" t="str">
        <f t="shared" si="5"/>
        <v>No</v>
      </c>
      <c r="G30" t="str">
        <f t="shared" si="6"/>
        <v>Yes</v>
      </c>
      <c r="I30" t="str">
        <f t="shared" si="7"/>
        <v>Yes</v>
      </c>
      <c r="J30" t="str">
        <f t="shared" si="1"/>
        <v>Yes</v>
      </c>
      <c r="K30" t="str">
        <f t="shared" si="2"/>
        <v>Yes</v>
      </c>
      <c r="L30" s="203">
        <f>IF(AND('Total income package'!$A$16=TRUE,E30&lt;$J$2),$M$2,0)</f>
        <v>517.25</v>
      </c>
      <c r="M30" s="179">
        <f>IF(AND('Total income package'!$A$16=TRUE,E30&lt;$L$2),$P$2,0)</f>
        <v>318.5</v>
      </c>
      <c r="N30" s="204">
        <f t="shared" si="8"/>
        <v>835.75</v>
      </c>
    </row>
    <row r="31" spans="1:14" x14ac:dyDescent="0.25">
      <c r="A31" s="105">
        <v>11000</v>
      </c>
      <c r="B31" s="4">
        <f t="shared" si="0"/>
        <v>916.66666666666663</v>
      </c>
      <c r="C31" s="4">
        <f>'Total income package'!$D$80</f>
        <v>0</v>
      </c>
      <c r="D31" s="4">
        <f t="shared" si="3"/>
        <v>916.66666666666663</v>
      </c>
      <c r="E31" s="4">
        <f t="shared" si="4"/>
        <v>825.66666666666663</v>
      </c>
      <c r="F31" t="str">
        <f t="shared" si="5"/>
        <v>No</v>
      </c>
      <c r="G31" t="str">
        <f t="shared" si="6"/>
        <v>Yes</v>
      </c>
      <c r="I31" t="str">
        <f t="shared" si="7"/>
        <v>Yes</v>
      </c>
      <c r="J31" t="str">
        <f t="shared" si="1"/>
        <v>Yes</v>
      </c>
      <c r="K31" t="str">
        <f t="shared" si="2"/>
        <v>Yes</v>
      </c>
      <c r="L31" s="203">
        <f>IF(AND('Total income package'!$A$16=TRUE,E31&lt;$J$2),$M$2,0)</f>
        <v>517.25</v>
      </c>
      <c r="M31" s="179">
        <f>IF(AND('Total income package'!$A$16=TRUE,E31&lt;$L$2),$P$2,0)</f>
        <v>318.5</v>
      </c>
      <c r="N31" s="204">
        <f t="shared" si="8"/>
        <v>835.75</v>
      </c>
    </row>
    <row r="32" spans="1:14" x14ac:dyDescent="0.25">
      <c r="A32" s="105">
        <v>11500</v>
      </c>
      <c r="B32" s="4">
        <f t="shared" si="0"/>
        <v>958.33333333333337</v>
      </c>
      <c r="C32" s="4">
        <f>'Total income package'!$D$80</f>
        <v>0</v>
      </c>
      <c r="D32" s="4">
        <f t="shared" si="3"/>
        <v>958.33333333333337</v>
      </c>
      <c r="E32" s="4">
        <f t="shared" si="4"/>
        <v>867.33333333333337</v>
      </c>
      <c r="F32" t="str">
        <f t="shared" si="5"/>
        <v>No</v>
      </c>
      <c r="G32" t="str">
        <f t="shared" si="6"/>
        <v>Yes</v>
      </c>
      <c r="I32" t="str">
        <f t="shared" si="7"/>
        <v>Yes</v>
      </c>
      <c r="J32" t="str">
        <f t="shared" si="1"/>
        <v>Yes</v>
      </c>
      <c r="K32" t="str">
        <f t="shared" si="2"/>
        <v>Yes</v>
      </c>
      <c r="L32" s="203">
        <f>IF(AND('Total income package'!$A$16=TRUE,E32&lt;$J$2),$M$2,0)</f>
        <v>517.25</v>
      </c>
      <c r="M32" s="179">
        <f>IF(AND('Total income package'!$A$16=TRUE,E32&lt;$L$2),$P$2,0)</f>
        <v>318.5</v>
      </c>
      <c r="N32" s="204">
        <f t="shared" si="8"/>
        <v>835.75</v>
      </c>
    </row>
    <row r="33" spans="1:17" x14ac:dyDescent="0.25">
      <c r="A33" s="105">
        <v>12000</v>
      </c>
      <c r="B33" s="4">
        <f t="shared" si="0"/>
        <v>1000</v>
      </c>
      <c r="C33" s="4">
        <f>'Total income package'!$D$80</f>
        <v>0</v>
      </c>
      <c r="D33" s="4">
        <f t="shared" si="3"/>
        <v>1000</v>
      </c>
      <c r="E33" s="4">
        <f t="shared" si="4"/>
        <v>909</v>
      </c>
      <c r="F33" t="str">
        <f t="shared" si="5"/>
        <v>No</v>
      </c>
      <c r="G33" t="str">
        <f t="shared" si="6"/>
        <v>Yes</v>
      </c>
      <c r="I33" t="str">
        <f t="shared" si="7"/>
        <v>Yes</v>
      </c>
      <c r="J33" t="str">
        <f t="shared" si="1"/>
        <v>Yes</v>
      </c>
      <c r="K33" t="str">
        <f t="shared" si="2"/>
        <v>Yes</v>
      </c>
      <c r="L33" s="203">
        <f>IF(AND('Total income package'!$A$16=TRUE,E33&lt;$J$2),$M$2,0)</f>
        <v>517.25</v>
      </c>
      <c r="M33" s="179">
        <f>IF(AND('Total income package'!$A$16=TRUE,E33&lt;$L$2),$P$2,0)</f>
        <v>318.5</v>
      </c>
      <c r="N33" s="204">
        <f t="shared" si="8"/>
        <v>835.75</v>
      </c>
    </row>
    <row r="34" spans="1:17" x14ac:dyDescent="0.25">
      <c r="A34" s="105">
        <v>12500</v>
      </c>
      <c r="B34" s="4">
        <f t="shared" si="0"/>
        <v>1041.6666666666667</v>
      </c>
      <c r="C34" s="4">
        <f>'Total income package'!$D$80</f>
        <v>0</v>
      </c>
      <c r="D34" s="4">
        <f t="shared" si="3"/>
        <v>1041.6666666666667</v>
      </c>
      <c r="E34" s="4">
        <f t="shared" si="4"/>
        <v>950.66666666666674</v>
      </c>
      <c r="F34" t="str">
        <f t="shared" si="5"/>
        <v>No</v>
      </c>
      <c r="G34" t="str">
        <f t="shared" si="6"/>
        <v>Yes</v>
      </c>
      <c r="I34" t="str">
        <f t="shared" si="7"/>
        <v>Yes</v>
      </c>
      <c r="J34" t="str">
        <f t="shared" si="1"/>
        <v>Yes</v>
      </c>
      <c r="K34" t="str">
        <f t="shared" si="2"/>
        <v>Yes</v>
      </c>
      <c r="L34" s="203">
        <f>IF(AND('Total income package'!$A$16=TRUE,E34&lt;$J$2),$M$2,0)</f>
        <v>517.25</v>
      </c>
      <c r="M34" s="179">
        <f>IF(AND('Total income package'!$A$16=TRUE,E34&lt;$L$2),$P$2,0)</f>
        <v>318.5</v>
      </c>
      <c r="N34" s="204">
        <f t="shared" si="8"/>
        <v>835.75</v>
      </c>
    </row>
    <row r="35" spans="1:17" x14ac:dyDescent="0.25">
      <c r="A35" s="105">
        <v>13000</v>
      </c>
      <c r="B35" s="4">
        <f t="shared" si="0"/>
        <v>1083.3333333333333</v>
      </c>
      <c r="C35" s="4">
        <f>'Total income package'!$D$80</f>
        <v>0</v>
      </c>
      <c r="D35" s="4">
        <f t="shared" si="3"/>
        <v>1083.3333333333333</v>
      </c>
      <c r="E35" s="4">
        <f t="shared" si="4"/>
        <v>992.33333333333326</v>
      </c>
      <c r="F35" t="str">
        <f t="shared" si="5"/>
        <v>No</v>
      </c>
      <c r="G35" t="str">
        <f t="shared" si="6"/>
        <v>Yes</v>
      </c>
      <c r="I35" t="str">
        <f t="shared" si="7"/>
        <v>Yes</v>
      </c>
      <c r="J35" t="str">
        <f t="shared" si="1"/>
        <v>Yes</v>
      </c>
      <c r="K35" t="str">
        <f t="shared" si="2"/>
        <v>Yes</v>
      </c>
      <c r="L35" s="203">
        <f>IF(AND('Total income package'!$A$16=TRUE,E35&lt;$J$2),$M$2,0)</f>
        <v>517.25</v>
      </c>
      <c r="M35" s="179">
        <f>IF(AND('Total income package'!$A$16=TRUE,E35&lt;$L$2),$P$2,0)</f>
        <v>318.5</v>
      </c>
      <c r="N35" s="204">
        <f t="shared" si="8"/>
        <v>835.75</v>
      </c>
    </row>
    <row r="36" spans="1:17" x14ac:dyDescent="0.25">
      <c r="A36" s="105">
        <v>13500</v>
      </c>
      <c r="B36" s="4">
        <f t="shared" si="0"/>
        <v>1125</v>
      </c>
      <c r="C36" s="4">
        <f>'Total income package'!$D$80</f>
        <v>0</v>
      </c>
      <c r="D36" s="4">
        <f t="shared" si="3"/>
        <v>1125</v>
      </c>
      <c r="E36" s="4">
        <f t="shared" si="4"/>
        <v>1034</v>
      </c>
      <c r="F36" t="str">
        <f t="shared" si="5"/>
        <v>No</v>
      </c>
      <c r="G36" t="str">
        <f t="shared" si="6"/>
        <v>Yes</v>
      </c>
      <c r="I36" t="str">
        <f t="shared" si="7"/>
        <v>Yes</v>
      </c>
      <c r="J36" t="str">
        <f t="shared" si="1"/>
        <v>Yes</v>
      </c>
      <c r="K36" t="str">
        <f t="shared" si="2"/>
        <v>Yes</v>
      </c>
      <c r="L36" s="203">
        <f>IF(AND('Total income package'!$A$16=TRUE,E36&lt;$J$2),$M$2,0)</f>
        <v>517.25</v>
      </c>
      <c r="M36" s="179">
        <f>IF(AND('Total income package'!$A$16=TRUE,E36&lt;$L$2),$P$2,0)</f>
        <v>318.5</v>
      </c>
      <c r="N36" s="204">
        <f t="shared" si="8"/>
        <v>835.75</v>
      </c>
    </row>
    <row r="37" spans="1:17" x14ac:dyDescent="0.25">
      <c r="A37" s="105">
        <v>14000</v>
      </c>
      <c r="B37" s="4">
        <f t="shared" si="0"/>
        <v>1166.6666666666667</v>
      </c>
      <c r="C37" s="4">
        <f>'Total income package'!$D$80</f>
        <v>0</v>
      </c>
      <c r="D37" s="4">
        <f t="shared" si="3"/>
        <v>1166.6666666666667</v>
      </c>
      <c r="E37" s="4">
        <f t="shared" si="4"/>
        <v>1075.6666666666667</v>
      </c>
      <c r="F37" t="str">
        <f t="shared" si="5"/>
        <v>No</v>
      </c>
      <c r="G37" t="str">
        <f t="shared" si="6"/>
        <v>Yes</v>
      </c>
      <c r="I37" t="str">
        <f t="shared" si="7"/>
        <v>Yes</v>
      </c>
      <c r="J37" t="str">
        <f t="shared" si="1"/>
        <v>Yes</v>
      </c>
      <c r="K37" t="str">
        <f t="shared" si="2"/>
        <v>Yes</v>
      </c>
      <c r="L37" s="203">
        <f>IF(AND('Total income package'!$A$16=TRUE,E37&lt;$J$2),$M$2,0)</f>
        <v>517.25</v>
      </c>
      <c r="M37" s="179">
        <f>IF(AND('Total income package'!$A$16=TRUE,E37&lt;$L$2),$P$2,0)</f>
        <v>318.5</v>
      </c>
      <c r="N37" s="204">
        <f t="shared" si="8"/>
        <v>835.75</v>
      </c>
    </row>
    <row r="38" spans="1:17" x14ac:dyDescent="0.25">
      <c r="A38" s="105">
        <v>14500</v>
      </c>
      <c r="B38" s="4">
        <f t="shared" si="0"/>
        <v>1208.3333333333333</v>
      </c>
      <c r="C38" s="4">
        <f>'Total income package'!$D$80</f>
        <v>0</v>
      </c>
      <c r="D38" s="4">
        <f t="shared" si="3"/>
        <v>1208.3333333333333</v>
      </c>
      <c r="E38" s="4">
        <f t="shared" si="4"/>
        <v>1117.3333333333333</v>
      </c>
      <c r="F38" t="str">
        <f t="shared" si="5"/>
        <v>No</v>
      </c>
      <c r="G38" t="str">
        <f t="shared" si="6"/>
        <v>Yes</v>
      </c>
      <c r="I38" t="str">
        <f t="shared" si="7"/>
        <v>Yes</v>
      </c>
      <c r="J38" t="str">
        <f t="shared" si="1"/>
        <v>Yes</v>
      </c>
      <c r="K38" t="str">
        <f t="shared" si="2"/>
        <v>Yes</v>
      </c>
      <c r="L38" s="203">
        <f>IF(AND('Total income package'!$A$16=TRUE,E38&lt;$J$2),$M$2,0)</f>
        <v>517.25</v>
      </c>
      <c r="M38" s="179">
        <f>IF(AND('Total income package'!$A$16=TRUE,E38&lt;$L$2),$P$2,0)</f>
        <v>318.5</v>
      </c>
      <c r="N38" s="204">
        <f t="shared" si="8"/>
        <v>835.75</v>
      </c>
    </row>
    <row r="39" spans="1:17" x14ac:dyDescent="0.25">
      <c r="A39" s="105">
        <v>15000</v>
      </c>
      <c r="B39" s="4">
        <f t="shared" si="0"/>
        <v>1250</v>
      </c>
      <c r="C39" s="4">
        <f>'Total income package'!$D$80</f>
        <v>0</v>
      </c>
      <c r="D39" s="4">
        <f t="shared" si="3"/>
        <v>1250</v>
      </c>
      <c r="E39" s="4">
        <f t="shared" si="4"/>
        <v>1159</v>
      </c>
      <c r="F39" t="str">
        <f t="shared" si="5"/>
        <v>No</v>
      </c>
      <c r="G39" t="str">
        <f t="shared" si="6"/>
        <v>Yes</v>
      </c>
      <c r="I39" t="str">
        <f t="shared" si="7"/>
        <v>Yes</v>
      </c>
      <c r="J39" t="str">
        <f t="shared" si="1"/>
        <v>Yes</v>
      </c>
      <c r="K39" t="str">
        <f t="shared" si="2"/>
        <v>Yes</v>
      </c>
      <c r="L39" s="203">
        <f>IF(AND('Total income package'!$A$16=TRUE,E39&lt;$J$2),$M$2,0)</f>
        <v>517.25</v>
      </c>
      <c r="M39" s="179">
        <f>IF(AND('Total income package'!$A$16=TRUE,E39&lt;$L$2),$P$2,0)</f>
        <v>318.5</v>
      </c>
      <c r="N39" s="204">
        <f t="shared" si="8"/>
        <v>835.75</v>
      </c>
    </row>
    <row r="40" spans="1:17" x14ac:dyDescent="0.25">
      <c r="A40" s="105">
        <v>15500</v>
      </c>
      <c r="B40" s="4">
        <f t="shared" si="0"/>
        <v>1291.6666666666667</v>
      </c>
      <c r="C40" s="4">
        <f>'Total income package'!$D$80</f>
        <v>0</v>
      </c>
      <c r="D40" s="4">
        <f t="shared" si="3"/>
        <v>1291.6666666666667</v>
      </c>
      <c r="E40" s="4">
        <f t="shared" si="4"/>
        <v>1200.6666666666667</v>
      </c>
      <c r="F40" t="str">
        <f t="shared" si="5"/>
        <v>No</v>
      </c>
      <c r="G40" t="str">
        <f t="shared" si="6"/>
        <v>Yes</v>
      </c>
      <c r="I40" t="str">
        <f t="shared" si="7"/>
        <v>Yes</v>
      </c>
      <c r="J40" t="str">
        <f t="shared" si="1"/>
        <v>Yes</v>
      </c>
      <c r="K40" t="str">
        <f t="shared" si="2"/>
        <v>Yes</v>
      </c>
      <c r="L40" s="203">
        <f>IF(AND('Total income package'!$A$16=TRUE,E40&lt;$J$2),$M$2,0)</f>
        <v>517.25</v>
      </c>
      <c r="M40" s="179">
        <f>IF(AND('Total income package'!$A$16=TRUE,E40&lt;$L$2),$P$2,0)</f>
        <v>318.5</v>
      </c>
      <c r="N40" s="204">
        <f t="shared" si="8"/>
        <v>835.75</v>
      </c>
    </row>
    <row r="41" spans="1:17" x14ac:dyDescent="0.25">
      <c r="A41" s="105">
        <v>16000</v>
      </c>
      <c r="B41" s="4">
        <f t="shared" si="0"/>
        <v>1333.3333333333333</v>
      </c>
      <c r="C41" s="4">
        <f>'Total income package'!$D$80</f>
        <v>0</v>
      </c>
      <c r="D41" s="4">
        <f t="shared" si="3"/>
        <v>1333.3333333333333</v>
      </c>
      <c r="E41" s="4">
        <f t="shared" si="4"/>
        <v>1242.3333333333333</v>
      </c>
      <c r="F41" t="str">
        <f t="shared" si="5"/>
        <v>No</v>
      </c>
      <c r="G41" t="str">
        <f t="shared" si="6"/>
        <v>Yes</v>
      </c>
      <c r="I41" t="str">
        <f t="shared" si="7"/>
        <v>Yes</v>
      </c>
      <c r="J41" t="str">
        <f t="shared" si="1"/>
        <v>Yes</v>
      </c>
      <c r="K41" t="str">
        <f t="shared" si="2"/>
        <v>Yes</v>
      </c>
      <c r="L41" s="203">
        <f>IF(AND('Total income package'!$A$16=TRUE,E41&lt;$J$2),$M$2,0)</f>
        <v>517.25</v>
      </c>
      <c r="M41" s="179">
        <f>IF(AND('Total income package'!$A$16=TRUE,E41&lt;$L$2),$P$2,0)</f>
        <v>318.5</v>
      </c>
      <c r="N41" s="204">
        <f t="shared" si="8"/>
        <v>835.75</v>
      </c>
    </row>
    <row r="42" spans="1:17" x14ac:dyDescent="0.25">
      <c r="A42" s="105">
        <v>16500</v>
      </c>
      <c r="B42" s="4">
        <f t="shared" si="0"/>
        <v>1375</v>
      </c>
      <c r="C42" s="4">
        <f>'Total income package'!$D$80</f>
        <v>0</v>
      </c>
      <c r="D42" s="4">
        <f t="shared" si="3"/>
        <v>1375</v>
      </c>
      <c r="E42" s="4">
        <f t="shared" si="4"/>
        <v>1284</v>
      </c>
      <c r="F42" t="str">
        <f t="shared" si="5"/>
        <v>No</v>
      </c>
      <c r="G42" t="str">
        <f t="shared" si="6"/>
        <v>Yes</v>
      </c>
      <c r="I42" t="str">
        <f t="shared" si="7"/>
        <v>Yes</v>
      </c>
      <c r="J42" t="str">
        <f t="shared" si="1"/>
        <v>Yes</v>
      </c>
      <c r="K42" t="str">
        <f t="shared" si="2"/>
        <v>Yes</v>
      </c>
      <c r="L42" s="203">
        <f>IF(AND('Total income package'!$A$16=TRUE,E42&lt;$J$2),$M$2,0)</f>
        <v>517.25</v>
      </c>
      <c r="M42" s="179">
        <f>IF(AND('Total income package'!$A$16=TRUE,E42&lt;$L$2),$P$2,0)</f>
        <v>318.5</v>
      </c>
      <c r="N42" s="204">
        <f t="shared" si="8"/>
        <v>835.75</v>
      </c>
    </row>
    <row r="43" spans="1:17" x14ac:dyDescent="0.25">
      <c r="A43" s="105">
        <v>17000</v>
      </c>
      <c r="B43" s="4">
        <f t="shared" si="0"/>
        <v>1416.6666666666667</v>
      </c>
      <c r="C43" s="4">
        <f>'Total income package'!$D$80</f>
        <v>0</v>
      </c>
      <c r="D43" s="4">
        <f t="shared" si="3"/>
        <v>1416.6666666666667</v>
      </c>
      <c r="E43" s="4">
        <f t="shared" si="4"/>
        <v>1325.6666666666667</v>
      </c>
      <c r="F43" t="str">
        <f t="shared" si="5"/>
        <v>No</v>
      </c>
      <c r="G43" t="str">
        <f t="shared" si="6"/>
        <v>Yes</v>
      </c>
      <c r="I43" t="str">
        <f t="shared" si="7"/>
        <v>Yes</v>
      </c>
      <c r="J43" t="str">
        <f t="shared" si="1"/>
        <v>Yes</v>
      </c>
      <c r="K43" t="str">
        <f t="shared" si="2"/>
        <v>Yes</v>
      </c>
      <c r="L43" s="203">
        <f>IF(AND('Total income package'!$A$16=TRUE,E43&lt;$J$2),$M$2,0)</f>
        <v>517.25</v>
      </c>
      <c r="M43" s="179">
        <f>IF(AND('Total income package'!$A$16=TRUE,E43&lt;$L$2),$P$2,0)</f>
        <v>318.5</v>
      </c>
      <c r="N43" s="204">
        <f t="shared" si="8"/>
        <v>835.75</v>
      </c>
    </row>
    <row r="44" spans="1:17" x14ac:dyDescent="0.25">
      <c r="A44" s="105">
        <v>17500</v>
      </c>
      <c r="B44" s="4">
        <f t="shared" si="0"/>
        <v>1458.3333333333333</v>
      </c>
      <c r="C44" s="4">
        <f>'Total income package'!$D$80</f>
        <v>0</v>
      </c>
      <c r="D44" s="4">
        <f t="shared" si="3"/>
        <v>1458.3333333333333</v>
      </c>
      <c r="E44" s="4">
        <f t="shared" si="4"/>
        <v>1367.3333333333333</v>
      </c>
      <c r="F44" t="str">
        <f t="shared" si="5"/>
        <v>No</v>
      </c>
      <c r="G44" t="str">
        <f t="shared" si="6"/>
        <v>Yes</v>
      </c>
      <c r="I44" t="str">
        <f t="shared" si="7"/>
        <v>Yes</v>
      </c>
      <c r="J44" t="str">
        <f t="shared" si="1"/>
        <v>Yes</v>
      </c>
      <c r="K44" t="str">
        <f t="shared" si="2"/>
        <v>Yes</v>
      </c>
      <c r="L44" s="203">
        <f>IF(AND('Total income package'!$A$16=TRUE,E44&lt;$J$2),$M$2,0)</f>
        <v>517.25</v>
      </c>
      <c r="M44" s="179">
        <f>IF(AND('Total income package'!$A$16=TRUE,E44&lt;$L$2),$P$2,0)</f>
        <v>318.5</v>
      </c>
      <c r="N44" s="204">
        <f t="shared" si="8"/>
        <v>835.75</v>
      </c>
    </row>
    <row r="45" spans="1:17" x14ac:dyDescent="0.25">
      <c r="A45" s="105">
        <v>18000</v>
      </c>
      <c r="B45" s="4">
        <f t="shared" si="0"/>
        <v>1500</v>
      </c>
      <c r="C45" s="4">
        <f>'Total income package'!$D$80</f>
        <v>0</v>
      </c>
      <c r="D45" s="4">
        <f t="shared" si="3"/>
        <v>1500</v>
      </c>
      <c r="E45" s="4">
        <f t="shared" si="4"/>
        <v>1409</v>
      </c>
      <c r="F45" t="str">
        <f t="shared" si="5"/>
        <v>No</v>
      </c>
      <c r="G45" t="str">
        <f t="shared" si="6"/>
        <v>Yes</v>
      </c>
      <c r="I45" t="str">
        <f t="shared" si="7"/>
        <v>Yes</v>
      </c>
      <c r="J45" t="str">
        <f t="shared" si="1"/>
        <v>Yes</v>
      </c>
      <c r="K45" t="str">
        <f t="shared" si="2"/>
        <v>Yes</v>
      </c>
      <c r="L45" s="203">
        <f>IF(AND('Total income package'!$A$16=TRUE,E45&lt;$J$2),$M$2,0)</f>
        <v>517.25</v>
      </c>
      <c r="M45" s="179">
        <f>IF(AND('Total income package'!$A$16=TRUE,E45&lt;$L$2),$P$2,0)</f>
        <v>318.5</v>
      </c>
      <c r="N45" s="204">
        <f t="shared" si="8"/>
        <v>835.75</v>
      </c>
      <c r="Q45" s="4"/>
    </row>
    <row r="46" spans="1:17" x14ac:dyDescent="0.25">
      <c r="A46" s="105">
        <v>18500</v>
      </c>
      <c r="B46" s="4">
        <f t="shared" si="0"/>
        <v>1541.6666666666667</v>
      </c>
      <c r="C46" s="4">
        <f>'Total income package'!$D$80</f>
        <v>0</v>
      </c>
      <c r="D46" s="4">
        <f t="shared" si="3"/>
        <v>1541.6666666666667</v>
      </c>
      <c r="E46" s="4">
        <f t="shared" si="4"/>
        <v>1450.6666666666667</v>
      </c>
      <c r="F46" t="str">
        <f t="shared" si="5"/>
        <v>No</v>
      </c>
      <c r="G46" t="str">
        <f t="shared" si="6"/>
        <v>Yes</v>
      </c>
      <c r="I46" t="str">
        <f t="shared" si="7"/>
        <v>Yes</v>
      </c>
      <c r="J46" t="str">
        <f t="shared" si="1"/>
        <v>Yes</v>
      </c>
      <c r="K46" t="str">
        <f t="shared" si="2"/>
        <v>Yes</v>
      </c>
      <c r="L46" s="203">
        <f>IF(AND('Total income package'!$A$16=TRUE,E46&lt;$J$2),$M$2,0)</f>
        <v>517.25</v>
      </c>
      <c r="M46" s="179">
        <f>IF(AND('Total income package'!$A$16=TRUE,E46&lt;$L$2),$P$2,0)</f>
        <v>318.5</v>
      </c>
      <c r="N46" s="204">
        <f t="shared" si="8"/>
        <v>835.75</v>
      </c>
      <c r="Q46" s="4"/>
    </row>
    <row r="47" spans="1:17" x14ac:dyDescent="0.25">
      <c r="A47" s="105">
        <v>19000</v>
      </c>
      <c r="B47" s="4">
        <f t="shared" si="0"/>
        <v>1583.3333333333333</v>
      </c>
      <c r="C47" s="4">
        <f>'Total income package'!$D$80</f>
        <v>0</v>
      </c>
      <c r="D47" s="4">
        <f t="shared" si="3"/>
        <v>1583.3333333333333</v>
      </c>
      <c r="E47" s="4">
        <f t="shared" si="4"/>
        <v>1492.3333333333333</v>
      </c>
      <c r="F47" t="str">
        <f t="shared" si="5"/>
        <v>No</v>
      </c>
      <c r="G47" t="str">
        <f t="shared" si="6"/>
        <v>Yes</v>
      </c>
      <c r="I47" t="str">
        <f t="shared" si="7"/>
        <v>Yes</v>
      </c>
      <c r="J47" t="str">
        <f t="shared" si="1"/>
        <v>Yes</v>
      </c>
      <c r="K47" t="str">
        <f t="shared" si="2"/>
        <v>Yes</v>
      </c>
      <c r="L47" s="203">
        <f>IF(AND('Total income package'!$A$16=TRUE,E47&lt;$J$2),$M$2,0)</f>
        <v>517.25</v>
      </c>
      <c r="M47" s="179">
        <f>IF(AND('Total income package'!$A$16=TRUE,E47&lt;$L$2),$P$2,0)</f>
        <v>318.5</v>
      </c>
      <c r="N47" s="204">
        <f t="shared" si="8"/>
        <v>835.75</v>
      </c>
      <c r="Q47" s="4"/>
    </row>
    <row r="48" spans="1:17" x14ac:dyDescent="0.25">
      <c r="A48" s="105">
        <v>19500</v>
      </c>
      <c r="B48" s="4">
        <f t="shared" si="0"/>
        <v>1625</v>
      </c>
      <c r="C48" s="4">
        <f>'Total income package'!$D$80</f>
        <v>0</v>
      </c>
      <c r="D48" s="4">
        <f t="shared" si="3"/>
        <v>1625</v>
      </c>
      <c r="E48" s="4">
        <f t="shared" si="4"/>
        <v>1534</v>
      </c>
      <c r="F48" t="str">
        <f t="shared" si="5"/>
        <v>No</v>
      </c>
      <c r="G48" t="str">
        <f t="shared" si="6"/>
        <v>Yes</v>
      </c>
      <c r="I48" t="str">
        <f t="shared" si="7"/>
        <v>Yes</v>
      </c>
      <c r="J48" t="str">
        <f t="shared" si="1"/>
        <v>Yes</v>
      </c>
      <c r="K48" t="str">
        <f t="shared" si="2"/>
        <v>Yes</v>
      </c>
      <c r="L48" s="203">
        <f>IF(AND('Total income package'!$A$16=TRUE,E48&lt;$J$2),$M$2,0)</f>
        <v>517.25</v>
      </c>
      <c r="M48" s="179">
        <f>IF(AND('Total income package'!$A$16=TRUE,E48&lt;$L$2),$P$2,0)</f>
        <v>318.5</v>
      </c>
      <c r="N48" s="204">
        <f t="shared" si="8"/>
        <v>835.75</v>
      </c>
    </row>
    <row r="49" spans="1:14" x14ac:dyDescent="0.25">
      <c r="A49" s="105">
        <v>20000</v>
      </c>
      <c r="B49" s="4">
        <f t="shared" si="0"/>
        <v>1666.6666666666667</v>
      </c>
      <c r="C49" s="4">
        <f>'Total income package'!$D$80</f>
        <v>0</v>
      </c>
      <c r="D49" s="4">
        <f t="shared" si="3"/>
        <v>1666.6666666666667</v>
      </c>
      <c r="E49" s="4">
        <f t="shared" si="4"/>
        <v>1575.6666666666667</v>
      </c>
      <c r="F49" t="str">
        <f t="shared" si="5"/>
        <v>No</v>
      </c>
      <c r="G49" t="str">
        <f t="shared" si="6"/>
        <v>Yes</v>
      </c>
      <c r="I49" t="str">
        <f t="shared" si="7"/>
        <v>Yes</v>
      </c>
      <c r="J49" t="str">
        <f t="shared" si="1"/>
        <v>Yes</v>
      </c>
      <c r="K49" t="str">
        <f t="shared" si="2"/>
        <v>Yes</v>
      </c>
      <c r="L49" s="203">
        <f>IF(AND('Total income package'!$A$16=TRUE,E49&lt;$J$2),$M$2,0)</f>
        <v>517.25</v>
      </c>
      <c r="M49" s="179">
        <f>IF(AND('Total income package'!$A$16=TRUE,E49&lt;$L$2),$P$2,0)</f>
        <v>318.5</v>
      </c>
      <c r="N49" s="204">
        <f t="shared" si="8"/>
        <v>835.75</v>
      </c>
    </row>
    <row r="50" spans="1:14" x14ac:dyDescent="0.25">
      <c r="A50" s="105">
        <v>20500</v>
      </c>
      <c r="B50" s="4">
        <f t="shared" si="0"/>
        <v>1708.3333333333333</v>
      </c>
      <c r="C50" s="4">
        <f>'Total income package'!$D$80</f>
        <v>0</v>
      </c>
      <c r="D50" s="4">
        <f t="shared" si="3"/>
        <v>1708.3333333333333</v>
      </c>
      <c r="E50" s="4">
        <f t="shared" si="4"/>
        <v>1617.3333333333333</v>
      </c>
      <c r="F50" t="str">
        <f t="shared" si="5"/>
        <v>No</v>
      </c>
      <c r="G50" t="str">
        <f t="shared" si="6"/>
        <v>Yes</v>
      </c>
      <c r="I50" t="str">
        <f t="shared" si="7"/>
        <v>Yes</v>
      </c>
      <c r="J50" t="str">
        <f t="shared" si="1"/>
        <v>Yes</v>
      </c>
      <c r="K50" t="str">
        <f t="shared" si="2"/>
        <v>Yes</v>
      </c>
      <c r="L50" s="203">
        <f>IF(AND('Total income package'!$A$16=TRUE,E50&lt;$J$2),$M$2,0)</f>
        <v>517.25</v>
      </c>
      <c r="M50" s="179">
        <f>IF(AND('Total income package'!$A$16=TRUE,E50&lt;$L$2),$P$2,0)</f>
        <v>318.5</v>
      </c>
      <c r="N50" s="204">
        <f t="shared" si="8"/>
        <v>835.75</v>
      </c>
    </row>
    <row r="51" spans="1:14" x14ac:dyDescent="0.25">
      <c r="A51" s="105">
        <v>21000</v>
      </c>
      <c r="B51" s="4">
        <f t="shared" si="0"/>
        <v>1750</v>
      </c>
      <c r="C51" s="4">
        <f>'Total income package'!$D$80</f>
        <v>0</v>
      </c>
      <c r="D51" s="4">
        <f t="shared" si="3"/>
        <v>1750</v>
      </c>
      <c r="E51" s="4">
        <f t="shared" si="4"/>
        <v>1659</v>
      </c>
      <c r="F51" t="str">
        <f t="shared" si="5"/>
        <v>No</v>
      </c>
      <c r="G51" t="str">
        <f t="shared" si="6"/>
        <v>Yes</v>
      </c>
      <c r="I51" t="str">
        <f t="shared" si="7"/>
        <v>Yes</v>
      </c>
      <c r="J51" t="str">
        <f t="shared" si="1"/>
        <v>Yes</v>
      </c>
      <c r="K51" t="str">
        <f t="shared" si="2"/>
        <v>Yes</v>
      </c>
      <c r="L51" s="203">
        <f>IF(AND('Total income package'!$A$16=TRUE,E51&lt;$J$2),$M$2,0)</f>
        <v>517.25</v>
      </c>
      <c r="M51" s="179">
        <f>IF(AND('Total income package'!$A$16=TRUE,E51&lt;$L$2),$P$2,0)</f>
        <v>318.5</v>
      </c>
      <c r="N51" s="204">
        <f t="shared" si="8"/>
        <v>835.75</v>
      </c>
    </row>
    <row r="52" spans="1:14" x14ac:dyDescent="0.25">
      <c r="A52" s="105">
        <v>21500</v>
      </c>
      <c r="B52" s="4">
        <f t="shared" si="0"/>
        <v>1791.6666666666667</v>
      </c>
      <c r="C52" s="4">
        <f>'Total income package'!$D$80</f>
        <v>0</v>
      </c>
      <c r="D52" s="4">
        <f t="shared" si="3"/>
        <v>1791.6666666666667</v>
      </c>
      <c r="E52" s="4">
        <f t="shared" si="4"/>
        <v>1700.6666666666667</v>
      </c>
      <c r="F52" t="str">
        <f t="shared" si="5"/>
        <v>No</v>
      </c>
      <c r="G52" t="str">
        <f t="shared" si="6"/>
        <v>Yes</v>
      </c>
      <c r="I52" t="str">
        <f t="shared" si="7"/>
        <v>Yes</v>
      </c>
      <c r="J52" t="str">
        <f t="shared" si="1"/>
        <v>Yes</v>
      </c>
      <c r="K52" t="str">
        <f t="shared" si="2"/>
        <v>Yes</v>
      </c>
      <c r="L52" s="203">
        <f>IF(AND('Total income package'!$A$16=TRUE,E52&lt;$J$2),$M$2,0)</f>
        <v>517.25</v>
      </c>
      <c r="M52" s="179">
        <f>IF(AND('Total income package'!$A$16=TRUE,E52&lt;$L$2),$P$2,0)</f>
        <v>318.5</v>
      </c>
      <c r="N52" s="204">
        <f t="shared" si="8"/>
        <v>835.75</v>
      </c>
    </row>
    <row r="53" spans="1:14" x14ac:dyDescent="0.25">
      <c r="A53" s="105">
        <v>22000</v>
      </c>
      <c r="B53" s="4">
        <f t="shared" si="0"/>
        <v>1833.3333333333333</v>
      </c>
      <c r="C53" s="4">
        <f>'Total income package'!$D$80</f>
        <v>0</v>
      </c>
      <c r="D53" s="4">
        <f t="shared" si="3"/>
        <v>1833.3333333333333</v>
      </c>
      <c r="E53" s="4">
        <f t="shared" si="4"/>
        <v>1742.3333333333333</v>
      </c>
      <c r="F53" t="str">
        <f t="shared" si="5"/>
        <v>No</v>
      </c>
      <c r="G53" t="str">
        <f t="shared" si="6"/>
        <v>Yes</v>
      </c>
      <c r="I53" t="str">
        <f t="shared" si="7"/>
        <v>Yes</v>
      </c>
      <c r="J53" t="str">
        <f t="shared" si="1"/>
        <v>Yes</v>
      </c>
      <c r="K53" t="str">
        <f t="shared" si="2"/>
        <v>Yes</v>
      </c>
      <c r="L53" s="203">
        <f>IF(AND('Total income package'!$A$16=TRUE,E53&lt;$J$2),$M$2,0)</f>
        <v>517.25</v>
      </c>
      <c r="M53" s="179">
        <f>IF(AND('Total income package'!$A$16=TRUE,E53&lt;$L$2),$P$2,0)</f>
        <v>318.5</v>
      </c>
      <c r="N53" s="204">
        <f t="shared" si="8"/>
        <v>835.75</v>
      </c>
    </row>
    <row r="54" spans="1:14" x14ac:dyDescent="0.25">
      <c r="A54" s="105">
        <v>22500</v>
      </c>
      <c r="B54" s="4">
        <f t="shared" si="0"/>
        <v>1875</v>
      </c>
      <c r="C54" s="4">
        <f>'Total income package'!$D$80</f>
        <v>0</v>
      </c>
      <c r="D54" s="4">
        <f t="shared" si="3"/>
        <v>1875</v>
      </c>
      <c r="E54" s="4">
        <f t="shared" si="4"/>
        <v>1784</v>
      </c>
      <c r="F54" t="str">
        <f t="shared" si="5"/>
        <v>No</v>
      </c>
      <c r="G54" t="str">
        <f t="shared" si="6"/>
        <v>Yes</v>
      </c>
      <c r="I54" t="str">
        <f t="shared" si="7"/>
        <v>Yes</v>
      </c>
      <c r="J54" t="str">
        <f t="shared" si="1"/>
        <v>Yes</v>
      </c>
      <c r="K54" t="str">
        <f t="shared" si="2"/>
        <v>Yes</v>
      </c>
      <c r="L54" s="203">
        <f>IF(AND('Total income package'!$A$16=TRUE,E54&lt;$J$2),$M$2,0)</f>
        <v>517.25</v>
      </c>
      <c r="M54" s="179">
        <f>IF(AND('Total income package'!$A$16=TRUE,E54&lt;$L$2),$P$2,0)</f>
        <v>318.5</v>
      </c>
      <c r="N54" s="204">
        <f t="shared" si="8"/>
        <v>835.75</v>
      </c>
    </row>
    <row r="55" spans="1:14" x14ac:dyDescent="0.25">
      <c r="A55" s="105">
        <v>23000</v>
      </c>
      <c r="B55" s="4">
        <f t="shared" si="0"/>
        <v>1916.6666666666667</v>
      </c>
      <c r="C55" s="4">
        <f>'Total income package'!$D$80</f>
        <v>0</v>
      </c>
      <c r="D55" s="4">
        <f t="shared" si="3"/>
        <v>1916.6666666666667</v>
      </c>
      <c r="E55" s="4">
        <f t="shared" si="4"/>
        <v>1825.6666666666667</v>
      </c>
      <c r="F55" t="str">
        <f t="shared" si="5"/>
        <v>No</v>
      </c>
      <c r="G55" t="str">
        <f t="shared" si="6"/>
        <v>Yes</v>
      </c>
      <c r="I55" t="str">
        <f t="shared" si="7"/>
        <v>Yes</v>
      </c>
      <c r="J55" t="str">
        <f t="shared" si="1"/>
        <v>Yes</v>
      </c>
      <c r="K55" t="str">
        <f t="shared" si="2"/>
        <v>Yes</v>
      </c>
      <c r="L55" s="203">
        <f>IF(AND('Total income package'!$A$16=TRUE,E55&lt;$J$2),$M$2,0)</f>
        <v>517.25</v>
      </c>
      <c r="M55" s="179">
        <f>IF(AND('Total income package'!$A$16=TRUE,E55&lt;$L$2),$P$2,0)</f>
        <v>318.5</v>
      </c>
      <c r="N55" s="204">
        <f t="shared" si="8"/>
        <v>835.75</v>
      </c>
    </row>
    <row r="56" spans="1:14" x14ac:dyDescent="0.25">
      <c r="A56" s="105">
        <v>23500</v>
      </c>
      <c r="B56" s="4">
        <f t="shared" si="0"/>
        <v>1958.3333333333333</v>
      </c>
      <c r="C56" s="4">
        <f>'Total income package'!$D$80</f>
        <v>0</v>
      </c>
      <c r="D56" s="4">
        <f t="shared" si="3"/>
        <v>1958.3333333333333</v>
      </c>
      <c r="E56" s="4">
        <f t="shared" si="4"/>
        <v>1867.3333333333333</v>
      </c>
      <c r="F56" t="str">
        <f t="shared" si="5"/>
        <v>No</v>
      </c>
      <c r="G56" t="str">
        <f t="shared" si="6"/>
        <v>Yes</v>
      </c>
      <c r="I56" t="str">
        <f t="shared" si="7"/>
        <v>Yes</v>
      </c>
      <c r="J56" t="str">
        <f t="shared" si="1"/>
        <v>Yes</v>
      </c>
      <c r="K56" t="str">
        <f t="shared" si="2"/>
        <v>Yes</v>
      </c>
      <c r="L56" s="203">
        <f>IF(AND('Total income package'!$A$16=TRUE,E56&lt;$J$2),$M$2,0)</f>
        <v>517.25</v>
      </c>
      <c r="M56" s="179">
        <f>IF(AND('Total income package'!$A$16=TRUE,E56&lt;$L$2),$P$2,0)</f>
        <v>318.5</v>
      </c>
      <c r="N56" s="204">
        <f t="shared" si="8"/>
        <v>835.75</v>
      </c>
    </row>
    <row r="57" spans="1:14" x14ac:dyDescent="0.25">
      <c r="A57" s="105">
        <v>24000</v>
      </c>
      <c r="B57" s="4">
        <f t="shared" si="0"/>
        <v>2000</v>
      </c>
      <c r="C57" s="4">
        <f>'Total income package'!$D$80</f>
        <v>0</v>
      </c>
      <c r="D57" s="4">
        <f t="shared" si="3"/>
        <v>2000</v>
      </c>
      <c r="E57" s="4">
        <f t="shared" si="4"/>
        <v>1909</v>
      </c>
      <c r="F57" t="str">
        <f t="shared" si="5"/>
        <v>No</v>
      </c>
      <c r="G57" t="str">
        <f t="shared" si="6"/>
        <v>Yes</v>
      </c>
      <c r="I57" t="str">
        <f t="shared" si="7"/>
        <v>Yes</v>
      </c>
      <c r="J57" t="str">
        <f t="shared" si="1"/>
        <v>Yes</v>
      </c>
      <c r="K57" t="str">
        <f t="shared" si="2"/>
        <v>Yes</v>
      </c>
      <c r="L57" s="203">
        <f>IF(AND('Total income package'!$A$16=TRUE,E57&lt;$J$2),$M$2,0)</f>
        <v>517.25</v>
      </c>
      <c r="M57" s="179">
        <f>IF(AND('Total income package'!$A$16=TRUE,E57&lt;$L$2),$P$2,0)</f>
        <v>318.5</v>
      </c>
      <c r="N57" s="204">
        <f t="shared" si="8"/>
        <v>835.75</v>
      </c>
    </row>
    <row r="58" spans="1:14" x14ac:dyDescent="0.25">
      <c r="A58" s="105">
        <v>24500</v>
      </c>
      <c r="B58" s="4">
        <f t="shared" si="0"/>
        <v>2041.6666666666667</v>
      </c>
      <c r="C58" s="4">
        <f>'Total income package'!$D$80</f>
        <v>0</v>
      </c>
      <c r="D58" s="4">
        <f t="shared" si="3"/>
        <v>2041.6666666666667</v>
      </c>
      <c r="E58" s="4">
        <f t="shared" si="4"/>
        <v>1950.6666666666667</v>
      </c>
      <c r="F58" t="str">
        <f t="shared" si="5"/>
        <v>No</v>
      </c>
      <c r="G58" t="str">
        <f t="shared" si="6"/>
        <v>Yes</v>
      </c>
      <c r="I58" t="str">
        <f t="shared" si="7"/>
        <v>Yes</v>
      </c>
      <c r="J58" t="str">
        <f t="shared" si="1"/>
        <v>Yes</v>
      </c>
      <c r="K58" t="str">
        <f t="shared" si="2"/>
        <v>Yes</v>
      </c>
      <c r="L58" s="203">
        <f>IF(AND('Total income package'!$A$16=TRUE,E58&lt;$J$2),$M$2,0)</f>
        <v>517.25</v>
      </c>
      <c r="M58" s="179">
        <f>IF(AND('Total income package'!$A$16=TRUE,E58&lt;$L$2),$P$2,0)</f>
        <v>318.5</v>
      </c>
      <c r="N58" s="204">
        <f t="shared" si="8"/>
        <v>835.75</v>
      </c>
    </row>
    <row r="59" spans="1:14" x14ac:dyDescent="0.25">
      <c r="A59" s="105">
        <v>25000</v>
      </c>
      <c r="B59" s="4">
        <f t="shared" si="0"/>
        <v>2083.3333333333335</v>
      </c>
      <c r="C59" s="4">
        <f>'Total income package'!$D$80</f>
        <v>0</v>
      </c>
      <c r="D59" s="4">
        <f t="shared" si="3"/>
        <v>2083.3333333333335</v>
      </c>
      <c r="E59" s="4">
        <f t="shared" si="4"/>
        <v>1992.3333333333335</v>
      </c>
      <c r="F59" t="str">
        <f t="shared" si="5"/>
        <v>No</v>
      </c>
      <c r="G59" t="str">
        <f t="shared" si="6"/>
        <v>Yes</v>
      </c>
      <c r="I59" t="str">
        <f t="shared" si="7"/>
        <v>Yes</v>
      </c>
      <c r="J59" t="str">
        <f t="shared" si="1"/>
        <v>Yes</v>
      </c>
      <c r="K59" t="str">
        <f t="shared" si="2"/>
        <v>Yes</v>
      </c>
      <c r="L59" s="203">
        <f>IF(AND('Total income package'!$A$16=TRUE,E59&lt;$J$2),$M$2,0)</f>
        <v>517.25</v>
      </c>
      <c r="M59" s="179">
        <f>IF(AND('Total income package'!$A$16=TRUE,E59&lt;$L$2),$P$2,0)</f>
        <v>318.5</v>
      </c>
      <c r="N59" s="204">
        <f t="shared" si="8"/>
        <v>835.75</v>
      </c>
    </row>
    <row r="60" spans="1:14" x14ac:dyDescent="0.25">
      <c r="A60" s="105">
        <v>25500</v>
      </c>
      <c r="B60" s="4">
        <f t="shared" si="0"/>
        <v>2125</v>
      </c>
      <c r="C60" s="4">
        <f>'Total income package'!$D$80</f>
        <v>0</v>
      </c>
      <c r="D60" s="4">
        <f t="shared" si="3"/>
        <v>2125</v>
      </c>
      <c r="E60" s="4">
        <f t="shared" si="4"/>
        <v>2034</v>
      </c>
      <c r="F60" t="str">
        <f t="shared" si="5"/>
        <v>No</v>
      </c>
      <c r="G60" t="str">
        <f t="shared" si="6"/>
        <v>Yes</v>
      </c>
      <c r="I60" t="str">
        <f t="shared" si="7"/>
        <v>Yes</v>
      </c>
      <c r="J60" t="str">
        <f t="shared" si="1"/>
        <v>Yes</v>
      </c>
      <c r="K60" t="str">
        <f t="shared" si="2"/>
        <v>Yes</v>
      </c>
      <c r="L60" s="203">
        <f>IF(AND('Total income package'!$A$16=TRUE,E60&lt;$J$2),$M$2,0)</f>
        <v>517.25</v>
      </c>
      <c r="M60" s="179">
        <f>IF(AND('Total income package'!$A$16=TRUE,E60&lt;$L$2),$P$2,0)</f>
        <v>318.5</v>
      </c>
      <c r="N60" s="204">
        <f t="shared" si="8"/>
        <v>835.75</v>
      </c>
    </row>
    <row r="61" spans="1:14" x14ac:dyDescent="0.25">
      <c r="A61" s="105">
        <v>26000</v>
      </c>
      <c r="B61" s="4">
        <f t="shared" si="0"/>
        <v>2166.6666666666665</v>
      </c>
      <c r="C61" s="4">
        <f>'Total income package'!$D$80</f>
        <v>0</v>
      </c>
      <c r="D61" s="4">
        <f t="shared" si="3"/>
        <v>2166.6666666666665</v>
      </c>
      <c r="E61" s="4">
        <f t="shared" si="4"/>
        <v>2075.6666666666665</v>
      </c>
      <c r="F61" t="str">
        <f t="shared" si="5"/>
        <v>No</v>
      </c>
      <c r="G61" t="str">
        <f t="shared" si="6"/>
        <v>Yes</v>
      </c>
      <c r="I61" t="str">
        <f t="shared" si="7"/>
        <v>Yes</v>
      </c>
      <c r="J61" t="str">
        <f t="shared" si="1"/>
        <v>Yes</v>
      </c>
      <c r="K61" t="str">
        <f t="shared" si="2"/>
        <v>Yes</v>
      </c>
      <c r="L61" s="203">
        <f>IF(AND('Total income package'!$A$16=TRUE,E61&lt;$J$2),$M$2,0)</f>
        <v>517.25</v>
      </c>
      <c r="M61" s="179">
        <f>IF(AND('Total income package'!$A$16=TRUE,E61&lt;$L$2),$P$2,0)</f>
        <v>318.5</v>
      </c>
      <c r="N61" s="204">
        <f t="shared" si="8"/>
        <v>835.75</v>
      </c>
    </row>
    <row r="62" spans="1:14" x14ac:dyDescent="0.25">
      <c r="A62" s="105">
        <v>26500</v>
      </c>
      <c r="B62" s="4">
        <f t="shared" si="0"/>
        <v>2208.3333333333335</v>
      </c>
      <c r="C62" s="4">
        <f>'Total income package'!$D$80</f>
        <v>0</v>
      </c>
      <c r="D62" s="4">
        <f t="shared" si="3"/>
        <v>2208.3333333333335</v>
      </c>
      <c r="E62" s="4">
        <f t="shared" si="4"/>
        <v>2117.3333333333335</v>
      </c>
      <c r="F62" t="str">
        <f t="shared" si="5"/>
        <v>No</v>
      </c>
      <c r="G62" t="str">
        <f t="shared" si="6"/>
        <v>Yes</v>
      </c>
      <c r="I62" t="str">
        <f t="shared" si="7"/>
        <v>Yes</v>
      </c>
      <c r="J62" t="str">
        <f t="shared" si="1"/>
        <v>Yes</v>
      </c>
      <c r="K62" t="str">
        <f t="shared" si="2"/>
        <v>Yes</v>
      </c>
      <c r="L62" s="203">
        <f>IF(AND('Total income package'!$A$16=TRUE,E62&lt;$J$2),$M$2,0)</f>
        <v>517.25</v>
      </c>
      <c r="M62" s="179">
        <f>IF(AND('Total income package'!$A$16=TRUE,E62&lt;$L$2),$P$2,0)</f>
        <v>318.5</v>
      </c>
      <c r="N62" s="204">
        <f t="shared" si="8"/>
        <v>835.75</v>
      </c>
    </row>
    <row r="63" spans="1:14" x14ac:dyDescent="0.25">
      <c r="A63" s="105">
        <v>27000</v>
      </c>
      <c r="B63" s="4">
        <f t="shared" si="0"/>
        <v>2250</v>
      </c>
      <c r="C63" s="4">
        <f>'Total income package'!$D$80</f>
        <v>0</v>
      </c>
      <c r="D63" s="4">
        <f t="shared" si="3"/>
        <v>2250</v>
      </c>
      <c r="E63" s="4">
        <f t="shared" si="4"/>
        <v>2159</v>
      </c>
      <c r="F63" t="str">
        <f t="shared" si="5"/>
        <v>No</v>
      </c>
      <c r="G63" t="str">
        <f t="shared" si="6"/>
        <v>Yes</v>
      </c>
      <c r="I63" t="str">
        <f t="shared" si="7"/>
        <v>Yes</v>
      </c>
      <c r="J63" t="str">
        <f t="shared" si="1"/>
        <v>Yes</v>
      </c>
      <c r="K63" t="str">
        <f t="shared" si="2"/>
        <v>Yes</v>
      </c>
      <c r="L63" s="203">
        <f>IF(AND('Total income package'!$A$16=TRUE,E63&lt;$J$2),$M$2,0)</f>
        <v>517.25</v>
      </c>
      <c r="M63" s="179">
        <f>IF(AND('Total income package'!$A$16=TRUE,E63&lt;$L$2),$P$2,0)</f>
        <v>318.5</v>
      </c>
      <c r="N63" s="204">
        <f t="shared" si="8"/>
        <v>835.75</v>
      </c>
    </row>
    <row r="64" spans="1:14" x14ac:dyDescent="0.25">
      <c r="A64" s="105">
        <v>27500</v>
      </c>
      <c r="B64" s="4">
        <f t="shared" si="0"/>
        <v>2291.6666666666665</v>
      </c>
      <c r="C64" s="4">
        <f>'Total income package'!$D$80</f>
        <v>0</v>
      </c>
      <c r="D64" s="4">
        <f t="shared" si="3"/>
        <v>2291.6666666666665</v>
      </c>
      <c r="E64" s="4">
        <f t="shared" si="4"/>
        <v>2200.6666666666665</v>
      </c>
      <c r="F64" t="str">
        <f t="shared" si="5"/>
        <v>No</v>
      </c>
      <c r="G64" t="str">
        <f t="shared" si="6"/>
        <v>Yes</v>
      </c>
      <c r="I64" t="str">
        <f t="shared" si="7"/>
        <v>Yes</v>
      </c>
      <c r="J64" t="str">
        <f t="shared" si="1"/>
        <v>Yes</v>
      </c>
      <c r="K64" t="str">
        <f t="shared" si="2"/>
        <v>Yes</v>
      </c>
      <c r="L64" s="203">
        <f>IF(AND('Total income package'!$A$16=TRUE,E64&lt;$J$2),$M$2,0)</f>
        <v>517.25</v>
      </c>
      <c r="M64" s="179">
        <f>IF(AND('Total income package'!$A$16=TRUE,E64&lt;$L$2),$P$2,0)</f>
        <v>318.5</v>
      </c>
      <c r="N64" s="204">
        <f t="shared" si="8"/>
        <v>835.75</v>
      </c>
    </row>
    <row r="65" spans="1:14" x14ac:dyDescent="0.25">
      <c r="A65" s="105">
        <v>28000</v>
      </c>
      <c r="B65" s="4">
        <f t="shared" si="0"/>
        <v>2333.3333333333335</v>
      </c>
      <c r="C65" s="4">
        <f>'Total income package'!$D$80</f>
        <v>0</v>
      </c>
      <c r="D65" s="4">
        <f t="shared" si="3"/>
        <v>2333.3333333333335</v>
      </c>
      <c r="E65" s="4">
        <f t="shared" si="4"/>
        <v>2242.3333333333335</v>
      </c>
      <c r="F65" t="str">
        <f t="shared" si="5"/>
        <v>No</v>
      </c>
      <c r="G65" t="str">
        <f t="shared" si="6"/>
        <v>Yes</v>
      </c>
      <c r="I65" t="str">
        <f t="shared" si="7"/>
        <v>Yes</v>
      </c>
      <c r="J65" t="str">
        <f t="shared" si="1"/>
        <v>Yes</v>
      </c>
      <c r="K65" t="str">
        <f t="shared" si="2"/>
        <v>Yes</v>
      </c>
      <c r="L65" s="203">
        <f>IF(AND('Total income package'!$A$16=TRUE,E65&lt;$J$2),$M$2,0)</f>
        <v>517.25</v>
      </c>
      <c r="M65" s="179">
        <f>IF(AND('Total income package'!$A$16=TRUE,E65&lt;$L$2),$P$2,0)</f>
        <v>318.5</v>
      </c>
      <c r="N65" s="204">
        <f t="shared" si="8"/>
        <v>835.75</v>
      </c>
    </row>
    <row r="66" spans="1:14" x14ac:dyDescent="0.25">
      <c r="A66" s="105">
        <v>28500</v>
      </c>
      <c r="B66" s="4">
        <f t="shared" si="0"/>
        <v>2375</v>
      </c>
      <c r="C66" s="4">
        <f>'Total income package'!$D$80</f>
        <v>0</v>
      </c>
      <c r="D66" s="4">
        <f t="shared" si="3"/>
        <v>2375</v>
      </c>
      <c r="E66" s="4">
        <f t="shared" si="4"/>
        <v>2284</v>
      </c>
      <c r="F66" t="str">
        <f t="shared" si="5"/>
        <v>No</v>
      </c>
      <c r="G66" t="str">
        <f t="shared" si="6"/>
        <v>Yes</v>
      </c>
      <c r="I66" t="str">
        <f t="shared" si="7"/>
        <v>Yes</v>
      </c>
      <c r="J66" t="str">
        <f t="shared" si="1"/>
        <v>Yes</v>
      </c>
      <c r="K66" t="str">
        <f t="shared" si="2"/>
        <v>Yes</v>
      </c>
      <c r="L66" s="203">
        <f>IF(AND('Total income package'!$A$16=TRUE,E66&lt;$J$2),$M$2,0)</f>
        <v>517.25</v>
      </c>
      <c r="M66" s="179">
        <f>IF(AND('Total income package'!$A$16=TRUE,E66&lt;$L$2),$P$2,0)</f>
        <v>318.5</v>
      </c>
      <c r="N66" s="204">
        <f t="shared" si="8"/>
        <v>835.75</v>
      </c>
    </row>
    <row r="67" spans="1:14" x14ac:dyDescent="0.25">
      <c r="A67" s="105">
        <v>29000</v>
      </c>
      <c r="B67" s="4">
        <f t="shared" si="0"/>
        <v>2416.6666666666665</v>
      </c>
      <c r="C67" s="4">
        <f>'Total income package'!$D$80</f>
        <v>0</v>
      </c>
      <c r="D67" s="4">
        <f t="shared" si="3"/>
        <v>2416.6666666666665</v>
      </c>
      <c r="E67" s="4">
        <f t="shared" si="4"/>
        <v>2325.6666666666665</v>
      </c>
      <c r="F67" t="str">
        <f t="shared" si="5"/>
        <v>No</v>
      </c>
      <c r="G67" t="str">
        <f t="shared" si="6"/>
        <v>Yes</v>
      </c>
      <c r="I67" t="str">
        <f t="shared" si="7"/>
        <v>Yes</v>
      </c>
      <c r="J67" t="str">
        <f t="shared" si="1"/>
        <v>Yes</v>
      </c>
      <c r="K67" t="str">
        <f t="shared" si="2"/>
        <v>Yes</v>
      </c>
      <c r="L67" s="203">
        <f>IF(AND('Total income package'!$A$16=TRUE,E67&lt;$J$2),$M$2,0)</f>
        <v>517.25</v>
      </c>
      <c r="M67" s="179">
        <f>IF(AND('Total income package'!$A$16=TRUE,E67&lt;$L$2),$P$2,0)</f>
        <v>318.5</v>
      </c>
      <c r="N67" s="204">
        <f t="shared" si="8"/>
        <v>835.75</v>
      </c>
    </row>
    <row r="68" spans="1:14" x14ac:dyDescent="0.25">
      <c r="A68" s="105">
        <v>29500</v>
      </c>
      <c r="B68" s="4">
        <f t="shared" si="0"/>
        <v>2458.3333333333335</v>
      </c>
      <c r="C68" s="4">
        <f>'Total income package'!$D$80</f>
        <v>0</v>
      </c>
      <c r="D68" s="4">
        <f t="shared" si="3"/>
        <v>2458.3333333333335</v>
      </c>
      <c r="E68" s="4">
        <f t="shared" si="4"/>
        <v>2367.3333333333335</v>
      </c>
      <c r="F68" t="str">
        <f t="shared" si="5"/>
        <v>No</v>
      </c>
      <c r="G68" t="str">
        <f t="shared" si="6"/>
        <v>Yes</v>
      </c>
      <c r="I68" t="str">
        <f t="shared" si="7"/>
        <v>Yes</v>
      </c>
      <c r="J68" t="str">
        <f t="shared" si="1"/>
        <v>Yes</v>
      </c>
      <c r="K68" t="str">
        <f t="shared" si="2"/>
        <v>Yes</v>
      </c>
      <c r="L68" s="203">
        <f>IF(AND('Total income package'!$A$16=TRUE,E68&lt;$J$2),$M$2,0)</f>
        <v>517.25</v>
      </c>
      <c r="M68" s="179">
        <f>IF(AND('Total income package'!$A$16=TRUE,E68&lt;$L$2),$P$2,0)</f>
        <v>318.5</v>
      </c>
      <c r="N68" s="204">
        <f t="shared" si="8"/>
        <v>835.75</v>
      </c>
    </row>
    <row r="69" spans="1:14" x14ac:dyDescent="0.25">
      <c r="A69" s="105">
        <v>30000</v>
      </c>
      <c r="B69" s="4">
        <f t="shared" si="0"/>
        <v>2500</v>
      </c>
      <c r="C69" s="4">
        <f>'Total income package'!$D$80</f>
        <v>0</v>
      </c>
      <c r="D69" s="4">
        <f t="shared" si="3"/>
        <v>2500</v>
      </c>
      <c r="E69" s="4">
        <f t="shared" si="4"/>
        <v>2409</v>
      </c>
      <c r="F69" t="str">
        <f t="shared" si="5"/>
        <v>No</v>
      </c>
      <c r="G69" t="str">
        <f t="shared" si="6"/>
        <v>No</v>
      </c>
      <c r="I69" t="str">
        <f t="shared" si="7"/>
        <v>Yes</v>
      </c>
      <c r="J69" t="str">
        <f t="shared" si="1"/>
        <v>Yes</v>
      </c>
      <c r="K69" t="str">
        <f t="shared" si="2"/>
        <v>Yes</v>
      </c>
      <c r="L69" s="203">
        <f>IF(AND('Total income package'!$A$16=TRUE,E69&lt;$J$2),$M$2,0)</f>
        <v>0</v>
      </c>
      <c r="M69" s="179">
        <f>IF(AND('Total income package'!$A$16=TRUE,E69&lt;$L$2),$P$2,0)</f>
        <v>318.5</v>
      </c>
      <c r="N69" s="204">
        <f t="shared" si="8"/>
        <v>318.5</v>
      </c>
    </row>
    <row r="70" spans="1:14" x14ac:dyDescent="0.25">
      <c r="A70" s="105">
        <v>30500</v>
      </c>
      <c r="B70" s="4">
        <f t="shared" si="0"/>
        <v>2541.6666666666665</v>
      </c>
      <c r="C70" s="4">
        <f>'Total income package'!$D$80</f>
        <v>0</v>
      </c>
      <c r="D70" s="4">
        <f t="shared" si="3"/>
        <v>2541.6666666666665</v>
      </c>
      <c r="E70" s="4">
        <f t="shared" si="4"/>
        <v>2450.6666666666665</v>
      </c>
      <c r="F70" t="str">
        <f t="shared" si="5"/>
        <v>No</v>
      </c>
      <c r="G70" t="str">
        <f t="shared" si="6"/>
        <v>No</v>
      </c>
      <c r="I70" t="str">
        <f t="shared" si="7"/>
        <v>Yes</v>
      </c>
      <c r="J70" t="str">
        <f t="shared" si="1"/>
        <v>Yes</v>
      </c>
      <c r="K70" t="str">
        <f t="shared" si="2"/>
        <v>Yes</v>
      </c>
      <c r="L70" s="203">
        <f>IF(AND('Total income package'!$A$16=TRUE,E70&lt;$J$2),$M$2,0)</f>
        <v>0</v>
      </c>
      <c r="M70" s="179">
        <f>IF(AND('Total income package'!$A$16=TRUE,E70&lt;$L$2),$P$2,0)</f>
        <v>318.5</v>
      </c>
      <c r="N70" s="204">
        <f t="shared" si="8"/>
        <v>318.5</v>
      </c>
    </row>
    <row r="71" spans="1:14" x14ac:dyDescent="0.25">
      <c r="A71" s="105">
        <v>31000</v>
      </c>
      <c r="B71" s="4">
        <f t="shared" si="0"/>
        <v>2583.3333333333335</v>
      </c>
      <c r="C71" s="4">
        <f>'Total income package'!$D$80</f>
        <v>0</v>
      </c>
      <c r="D71" s="4">
        <f t="shared" si="3"/>
        <v>2583.3333333333335</v>
      </c>
      <c r="E71" s="4">
        <f t="shared" si="4"/>
        <v>2492.3333333333335</v>
      </c>
      <c r="F71" t="str">
        <f t="shared" si="5"/>
        <v>No</v>
      </c>
      <c r="G71" t="str">
        <f t="shared" si="6"/>
        <v>No</v>
      </c>
      <c r="I71" t="str">
        <f t="shared" si="7"/>
        <v>Yes</v>
      </c>
      <c r="J71" t="str">
        <f t="shared" si="1"/>
        <v>Yes</v>
      </c>
      <c r="K71" t="str">
        <f t="shared" si="2"/>
        <v>Yes</v>
      </c>
      <c r="L71" s="203">
        <f>IF(AND('Total income package'!$A$16=TRUE,E71&lt;$J$2),$M$2,0)</f>
        <v>0</v>
      </c>
      <c r="M71" s="179">
        <f>IF(AND('Total income package'!$A$16=TRUE,E71&lt;$L$2),$P$2,0)</f>
        <v>318.5</v>
      </c>
      <c r="N71" s="204">
        <f t="shared" si="8"/>
        <v>318.5</v>
      </c>
    </row>
    <row r="72" spans="1:14" x14ac:dyDescent="0.25">
      <c r="A72" s="105">
        <v>31500</v>
      </c>
      <c r="B72" s="4">
        <f t="shared" si="0"/>
        <v>2625</v>
      </c>
      <c r="C72" s="4">
        <f>'Total income package'!$D$80</f>
        <v>0</v>
      </c>
      <c r="D72" s="4">
        <f t="shared" si="3"/>
        <v>2625</v>
      </c>
      <c r="E72" s="4">
        <f t="shared" si="4"/>
        <v>2534</v>
      </c>
      <c r="F72" t="str">
        <f t="shared" si="5"/>
        <v>No</v>
      </c>
      <c r="G72" t="str">
        <f t="shared" si="6"/>
        <v>No</v>
      </c>
      <c r="I72" t="str">
        <f t="shared" si="7"/>
        <v>Yes</v>
      </c>
      <c r="J72" t="str">
        <f t="shared" si="1"/>
        <v>Yes</v>
      </c>
      <c r="K72" t="str">
        <f t="shared" si="2"/>
        <v>Yes</v>
      </c>
      <c r="L72" s="203">
        <f>IF(AND('Total income package'!$A$16=TRUE,E72&lt;$J$2),$M$2,0)</f>
        <v>0</v>
      </c>
      <c r="M72" s="179">
        <f>IF(AND('Total income package'!$A$16=TRUE,E72&lt;$L$2),$P$2,0)</f>
        <v>318.5</v>
      </c>
      <c r="N72" s="204">
        <f t="shared" si="8"/>
        <v>318.5</v>
      </c>
    </row>
    <row r="73" spans="1:14" x14ac:dyDescent="0.25">
      <c r="A73" s="105">
        <v>32000</v>
      </c>
      <c r="B73" s="4">
        <f t="shared" si="0"/>
        <v>2666.6666666666665</v>
      </c>
      <c r="C73" s="4">
        <f>'Total income package'!$D$80</f>
        <v>0</v>
      </c>
      <c r="D73" s="4">
        <f t="shared" si="3"/>
        <v>2666.6666666666665</v>
      </c>
      <c r="E73" s="4">
        <f t="shared" si="4"/>
        <v>2575.6666666666665</v>
      </c>
      <c r="F73" t="str">
        <f t="shared" si="5"/>
        <v>No</v>
      </c>
      <c r="G73" t="str">
        <f t="shared" si="6"/>
        <v>No</v>
      </c>
      <c r="I73" t="str">
        <f t="shared" si="7"/>
        <v>Yes</v>
      </c>
      <c r="J73" t="str">
        <f t="shared" ref="J73:J136" si="9">IF(E73&lt;$K$2,"Yes","No")</f>
        <v>Yes</v>
      </c>
      <c r="K73" t="str">
        <f t="shared" ref="K73:K136" si="10">IF(E73&lt;$L$2,"Yes","No")</f>
        <v>Yes</v>
      </c>
      <c r="L73" s="203">
        <f>IF(AND('Total income package'!$A$16=TRUE,E73&lt;$J$2),$M$2,0)</f>
        <v>0</v>
      </c>
      <c r="M73" s="179">
        <f>IF(AND('Total income package'!$A$16=TRUE,E73&lt;$L$2),$P$2,0)</f>
        <v>318.5</v>
      </c>
      <c r="N73" s="204">
        <f t="shared" si="8"/>
        <v>318.5</v>
      </c>
    </row>
    <row r="74" spans="1:14" x14ac:dyDescent="0.25">
      <c r="A74" s="105">
        <v>32500</v>
      </c>
      <c r="B74" s="4">
        <f t="shared" si="0"/>
        <v>2708.3333333333335</v>
      </c>
      <c r="C74" s="4">
        <f>'Total income package'!$D$80</f>
        <v>0</v>
      </c>
      <c r="D74" s="4">
        <f t="shared" ref="D74:D137" si="11">B74+C74</f>
        <v>2708.3333333333335</v>
      </c>
      <c r="E74" s="4">
        <f t="shared" ref="E74:E137" si="12">IF(D74-$H$2&lt;0,0,D74-$H$2)</f>
        <v>2617.3333333333335</v>
      </c>
      <c r="F74" t="str">
        <f t="shared" ref="F74:F137" si="13">IF(E74&lt;$I$2,"Yes","No")</f>
        <v>No</v>
      </c>
      <c r="G74" t="str">
        <f t="shared" ref="G74:G137" si="14">IF(E74&lt;$J$2,"Yes","No")</f>
        <v>No</v>
      </c>
      <c r="I74" t="str">
        <f t="shared" ref="I74:I137" si="15">IF($E$2&gt;0,"Yes","No")</f>
        <v>Yes</v>
      </c>
      <c r="J74" t="str">
        <f t="shared" si="9"/>
        <v>No</v>
      </c>
      <c r="K74" t="str">
        <f t="shared" si="10"/>
        <v>Yes</v>
      </c>
      <c r="L74" s="203">
        <f>IF(AND('Total income package'!$A$16=TRUE,E74&lt;$J$2),$M$2,0)</f>
        <v>0</v>
      </c>
      <c r="M74" s="179">
        <f>IF(AND('Total income package'!$A$16=TRUE,E74&lt;$L$2),$P$2,0)</f>
        <v>318.5</v>
      </c>
      <c r="N74" s="204">
        <f t="shared" ref="N74:N137" si="16">L74+M74</f>
        <v>318.5</v>
      </c>
    </row>
    <row r="75" spans="1:14" x14ac:dyDescent="0.25">
      <c r="A75" s="105">
        <v>33000</v>
      </c>
      <c r="B75" s="4">
        <f t="shared" ref="B75:B138" si="17">A75/12</f>
        <v>2750</v>
      </c>
      <c r="C75" s="4">
        <f>'Total income package'!$D$80</f>
        <v>0</v>
      </c>
      <c r="D75" s="4">
        <f t="shared" si="11"/>
        <v>2750</v>
      </c>
      <c r="E75" s="4">
        <f t="shared" si="12"/>
        <v>2659</v>
      </c>
      <c r="F75" t="str">
        <f t="shared" si="13"/>
        <v>No</v>
      </c>
      <c r="G75" t="str">
        <f t="shared" si="14"/>
        <v>No</v>
      </c>
      <c r="I75" t="str">
        <f t="shared" si="15"/>
        <v>Yes</v>
      </c>
      <c r="J75" t="str">
        <f t="shared" si="9"/>
        <v>No</v>
      </c>
      <c r="K75" t="str">
        <f t="shared" si="10"/>
        <v>Yes</v>
      </c>
      <c r="L75" s="203">
        <f>IF(AND('Total income package'!$A$16=TRUE,E75&lt;$J$2),$M$2,0)</f>
        <v>0</v>
      </c>
      <c r="M75" s="179">
        <f>IF(AND('Total income package'!$A$16=TRUE,E75&lt;$L$2),$P$2,0)</f>
        <v>318.5</v>
      </c>
      <c r="N75" s="204">
        <f t="shared" si="16"/>
        <v>318.5</v>
      </c>
    </row>
    <row r="76" spans="1:14" x14ac:dyDescent="0.25">
      <c r="A76" s="105">
        <v>33500</v>
      </c>
      <c r="B76" s="4">
        <f t="shared" si="17"/>
        <v>2791.6666666666665</v>
      </c>
      <c r="C76" s="4">
        <f>'Total income package'!$D$80</f>
        <v>0</v>
      </c>
      <c r="D76" s="4">
        <f t="shared" si="11"/>
        <v>2791.6666666666665</v>
      </c>
      <c r="E76" s="4">
        <f t="shared" si="12"/>
        <v>2700.6666666666665</v>
      </c>
      <c r="F76" t="str">
        <f t="shared" si="13"/>
        <v>No</v>
      </c>
      <c r="G76" t="str">
        <f t="shared" si="14"/>
        <v>No</v>
      </c>
      <c r="I76" t="str">
        <f t="shared" si="15"/>
        <v>Yes</v>
      </c>
      <c r="J76" t="str">
        <f t="shared" si="9"/>
        <v>No</v>
      </c>
      <c r="K76" t="str">
        <f t="shared" si="10"/>
        <v>Yes</v>
      </c>
      <c r="L76" s="203">
        <f>IF(AND('Total income package'!$A$16=TRUE,E76&lt;$J$2),$M$2,0)</f>
        <v>0</v>
      </c>
      <c r="M76" s="179">
        <f>IF(AND('Total income package'!$A$16=TRUE,E76&lt;$L$2),$P$2,0)</f>
        <v>318.5</v>
      </c>
      <c r="N76" s="204">
        <f t="shared" si="16"/>
        <v>318.5</v>
      </c>
    </row>
    <row r="77" spans="1:14" x14ac:dyDescent="0.25">
      <c r="A77" s="105">
        <v>34000</v>
      </c>
      <c r="B77" s="4">
        <f t="shared" si="17"/>
        <v>2833.3333333333335</v>
      </c>
      <c r="C77" s="4">
        <f>'Total income package'!$D$80</f>
        <v>0</v>
      </c>
      <c r="D77" s="4">
        <f t="shared" si="11"/>
        <v>2833.3333333333335</v>
      </c>
      <c r="E77" s="4">
        <f t="shared" si="12"/>
        <v>2742.3333333333335</v>
      </c>
      <c r="F77" t="str">
        <f t="shared" si="13"/>
        <v>No</v>
      </c>
      <c r="G77" t="str">
        <f t="shared" si="14"/>
        <v>No</v>
      </c>
      <c r="I77" t="str">
        <f t="shared" si="15"/>
        <v>Yes</v>
      </c>
      <c r="J77" t="str">
        <f t="shared" si="9"/>
        <v>No</v>
      </c>
      <c r="K77" t="str">
        <f t="shared" si="10"/>
        <v>Yes</v>
      </c>
      <c r="L77" s="203">
        <f>IF(AND('Total income package'!$A$16=TRUE,E77&lt;$J$2),$M$2,0)</f>
        <v>0</v>
      </c>
      <c r="M77" s="179">
        <f>IF(AND('Total income package'!$A$16=TRUE,E77&lt;$L$2),$P$2,0)</f>
        <v>318.5</v>
      </c>
      <c r="N77" s="204">
        <f t="shared" si="16"/>
        <v>318.5</v>
      </c>
    </row>
    <row r="78" spans="1:14" x14ac:dyDescent="0.25">
      <c r="A78" s="105">
        <v>34500</v>
      </c>
      <c r="B78" s="4">
        <f t="shared" si="17"/>
        <v>2875</v>
      </c>
      <c r="C78" s="4">
        <f>'Total income package'!$D$80</f>
        <v>0</v>
      </c>
      <c r="D78" s="4">
        <f t="shared" si="11"/>
        <v>2875</v>
      </c>
      <c r="E78" s="4">
        <f t="shared" si="12"/>
        <v>2784</v>
      </c>
      <c r="F78" t="str">
        <f t="shared" si="13"/>
        <v>No</v>
      </c>
      <c r="G78" t="str">
        <f t="shared" si="14"/>
        <v>No</v>
      </c>
      <c r="I78" t="str">
        <f t="shared" si="15"/>
        <v>Yes</v>
      </c>
      <c r="J78" t="str">
        <f t="shared" si="9"/>
        <v>No</v>
      </c>
      <c r="K78" t="str">
        <f t="shared" si="10"/>
        <v>Yes</v>
      </c>
      <c r="L78" s="203">
        <f>IF(AND('Total income package'!$A$16=TRUE,E78&lt;$J$2),$M$2,0)</f>
        <v>0</v>
      </c>
      <c r="M78" s="179">
        <f>IF(AND('Total income package'!$A$16=TRUE,E78&lt;$L$2),$P$2,0)</f>
        <v>318.5</v>
      </c>
      <c r="N78" s="204">
        <f t="shared" si="16"/>
        <v>318.5</v>
      </c>
    </row>
    <row r="79" spans="1:14" x14ac:dyDescent="0.25">
      <c r="A79" s="105">
        <v>35000</v>
      </c>
      <c r="B79" s="4">
        <f t="shared" si="17"/>
        <v>2916.6666666666665</v>
      </c>
      <c r="C79" s="4">
        <f>'Total income package'!$D$80</f>
        <v>0</v>
      </c>
      <c r="D79" s="4">
        <f t="shared" si="11"/>
        <v>2916.6666666666665</v>
      </c>
      <c r="E79" s="4">
        <f t="shared" si="12"/>
        <v>2825.6666666666665</v>
      </c>
      <c r="F79" t="str">
        <f t="shared" si="13"/>
        <v>No</v>
      </c>
      <c r="G79" t="str">
        <f t="shared" si="14"/>
        <v>No</v>
      </c>
      <c r="I79" t="str">
        <f t="shared" si="15"/>
        <v>Yes</v>
      </c>
      <c r="J79" t="str">
        <f t="shared" si="9"/>
        <v>No</v>
      </c>
      <c r="K79" t="str">
        <f t="shared" si="10"/>
        <v>Yes</v>
      </c>
      <c r="L79" s="203">
        <f>IF(AND('Total income package'!$A$16=TRUE,E79&lt;$J$2),$M$2,0)</f>
        <v>0</v>
      </c>
      <c r="M79" s="179">
        <f>IF(AND('Total income package'!$A$16=TRUE,E79&lt;$L$2),$P$2,0)</f>
        <v>318.5</v>
      </c>
      <c r="N79" s="204">
        <f t="shared" si="16"/>
        <v>318.5</v>
      </c>
    </row>
    <row r="80" spans="1:14" x14ac:dyDescent="0.25">
      <c r="A80" s="105">
        <v>35500</v>
      </c>
      <c r="B80" s="4">
        <f t="shared" si="17"/>
        <v>2958.3333333333335</v>
      </c>
      <c r="C80" s="4">
        <f>'Total income package'!$D$80</f>
        <v>0</v>
      </c>
      <c r="D80" s="4">
        <f t="shared" si="11"/>
        <v>2958.3333333333335</v>
      </c>
      <c r="E80" s="4">
        <f t="shared" si="12"/>
        <v>2867.3333333333335</v>
      </c>
      <c r="F80" t="str">
        <f t="shared" si="13"/>
        <v>No</v>
      </c>
      <c r="G80" t="str">
        <f t="shared" si="14"/>
        <v>No</v>
      </c>
      <c r="I80" t="str">
        <f t="shared" si="15"/>
        <v>Yes</v>
      </c>
      <c r="J80" t="str">
        <f t="shared" si="9"/>
        <v>No</v>
      </c>
      <c r="K80" t="str">
        <f t="shared" si="10"/>
        <v>Yes</v>
      </c>
      <c r="L80" s="203">
        <f>IF(AND('Total income package'!$A$16=TRUE,E80&lt;$J$2),$M$2,0)</f>
        <v>0</v>
      </c>
      <c r="M80" s="179">
        <f>IF(AND('Total income package'!$A$16=TRUE,E80&lt;$L$2),$P$2,0)</f>
        <v>318.5</v>
      </c>
      <c r="N80" s="204">
        <f t="shared" si="16"/>
        <v>318.5</v>
      </c>
    </row>
    <row r="81" spans="1:14" x14ac:dyDescent="0.25">
      <c r="A81" s="105">
        <v>36000</v>
      </c>
      <c r="B81" s="4">
        <f t="shared" si="17"/>
        <v>3000</v>
      </c>
      <c r="C81" s="4">
        <f>'Total income package'!$D$80</f>
        <v>0</v>
      </c>
      <c r="D81" s="4">
        <f t="shared" si="11"/>
        <v>3000</v>
      </c>
      <c r="E81" s="4">
        <f t="shared" si="12"/>
        <v>2909</v>
      </c>
      <c r="F81" t="str">
        <f t="shared" si="13"/>
        <v>No</v>
      </c>
      <c r="G81" t="str">
        <f t="shared" si="14"/>
        <v>No</v>
      </c>
      <c r="I81" t="str">
        <f t="shared" si="15"/>
        <v>Yes</v>
      </c>
      <c r="J81" t="str">
        <f t="shared" si="9"/>
        <v>No</v>
      </c>
      <c r="K81" t="str">
        <f t="shared" si="10"/>
        <v>Yes</v>
      </c>
      <c r="L81" s="203">
        <f>IF(AND('Total income package'!$A$16=TRUE,E81&lt;$J$2),$M$2,0)</f>
        <v>0</v>
      </c>
      <c r="M81" s="179">
        <f>IF(AND('Total income package'!$A$16=TRUE,E81&lt;$L$2),$P$2,0)</f>
        <v>318.5</v>
      </c>
      <c r="N81" s="204">
        <f t="shared" si="16"/>
        <v>318.5</v>
      </c>
    </row>
    <row r="82" spans="1:14" x14ac:dyDescent="0.25">
      <c r="A82" s="105">
        <v>36500</v>
      </c>
      <c r="B82" s="4">
        <f t="shared" si="17"/>
        <v>3041.6666666666665</v>
      </c>
      <c r="C82" s="4">
        <f>'Total income package'!$D$80</f>
        <v>0</v>
      </c>
      <c r="D82" s="4">
        <f t="shared" si="11"/>
        <v>3041.6666666666665</v>
      </c>
      <c r="E82" s="4">
        <f t="shared" si="12"/>
        <v>2950.6666666666665</v>
      </c>
      <c r="F82" t="str">
        <f t="shared" si="13"/>
        <v>No</v>
      </c>
      <c r="G82" t="str">
        <f t="shared" si="14"/>
        <v>No</v>
      </c>
      <c r="I82" t="str">
        <f t="shared" si="15"/>
        <v>Yes</v>
      </c>
      <c r="J82" t="str">
        <f t="shared" si="9"/>
        <v>No</v>
      </c>
      <c r="K82" t="str">
        <f t="shared" si="10"/>
        <v>Yes</v>
      </c>
      <c r="L82" s="203">
        <f>IF(AND('Total income package'!$A$16=TRUE,E82&lt;$J$2),$M$2,0)</f>
        <v>0</v>
      </c>
      <c r="M82" s="179">
        <f>IF(AND('Total income package'!$A$16=TRUE,E82&lt;$L$2),$P$2,0)</f>
        <v>318.5</v>
      </c>
      <c r="N82" s="204">
        <f t="shared" si="16"/>
        <v>318.5</v>
      </c>
    </row>
    <row r="83" spans="1:14" x14ac:dyDescent="0.25">
      <c r="A83" s="105">
        <v>37000</v>
      </c>
      <c r="B83" s="4">
        <f t="shared" si="17"/>
        <v>3083.3333333333335</v>
      </c>
      <c r="C83" s="4">
        <f>'Total income package'!$D$80</f>
        <v>0</v>
      </c>
      <c r="D83" s="4">
        <f t="shared" si="11"/>
        <v>3083.3333333333335</v>
      </c>
      <c r="E83" s="4">
        <f t="shared" si="12"/>
        <v>2992.3333333333335</v>
      </c>
      <c r="F83" t="str">
        <f t="shared" si="13"/>
        <v>No</v>
      </c>
      <c r="G83" t="str">
        <f t="shared" si="14"/>
        <v>No</v>
      </c>
      <c r="I83" t="str">
        <f t="shared" si="15"/>
        <v>Yes</v>
      </c>
      <c r="J83" t="str">
        <f t="shared" si="9"/>
        <v>No</v>
      </c>
      <c r="K83" t="str">
        <f t="shared" si="10"/>
        <v>Yes</v>
      </c>
      <c r="L83" s="203">
        <f>IF(AND('Total income package'!$A$16=TRUE,E83&lt;$J$2),$M$2,0)</f>
        <v>0</v>
      </c>
      <c r="M83" s="179">
        <f>IF(AND('Total income package'!$A$16=TRUE,E83&lt;$L$2),$P$2,0)</f>
        <v>318.5</v>
      </c>
      <c r="N83" s="204">
        <f t="shared" si="16"/>
        <v>318.5</v>
      </c>
    </row>
    <row r="84" spans="1:14" x14ac:dyDescent="0.25">
      <c r="A84" s="105">
        <v>37500</v>
      </c>
      <c r="B84" s="4">
        <f t="shared" si="17"/>
        <v>3125</v>
      </c>
      <c r="C84" s="4">
        <f>'Total income package'!$D$80</f>
        <v>0</v>
      </c>
      <c r="D84" s="4">
        <f t="shared" si="11"/>
        <v>3125</v>
      </c>
      <c r="E84" s="4">
        <f t="shared" si="12"/>
        <v>3034</v>
      </c>
      <c r="F84" t="str">
        <f t="shared" si="13"/>
        <v>No</v>
      </c>
      <c r="G84" t="str">
        <f t="shared" si="14"/>
        <v>No</v>
      </c>
      <c r="I84" t="str">
        <f t="shared" si="15"/>
        <v>Yes</v>
      </c>
      <c r="J84" t="str">
        <f t="shared" si="9"/>
        <v>No</v>
      </c>
      <c r="K84" t="str">
        <f t="shared" si="10"/>
        <v>Yes</v>
      </c>
      <c r="L84" s="203">
        <f>IF(AND('Total income package'!$A$16=TRUE,E84&lt;$J$2),$M$2,0)</f>
        <v>0</v>
      </c>
      <c r="M84" s="179">
        <f>IF(AND('Total income package'!$A$16=TRUE,E84&lt;$L$2),$P$2,0)</f>
        <v>318.5</v>
      </c>
      <c r="N84" s="204">
        <f t="shared" si="16"/>
        <v>318.5</v>
      </c>
    </row>
    <row r="85" spans="1:14" x14ac:dyDescent="0.25">
      <c r="A85" s="105">
        <v>38000</v>
      </c>
      <c r="B85" s="4">
        <f t="shared" si="17"/>
        <v>3166.6666666666665</v>
      </c>
      <c r="C85" s="4">
        <f>'Total income package'!$D$80</f>
        <v>0</v>
      </c>
      <c r="D85" s="4">
        <f t="shared" si="11"/>
        <v>3166.6666666666665</v>
      </c>
      <c r="E85" s="4">
        <f t="shared" si="12"/>
        <v>3075.6666666666665</v>
      </c>
      <c r="F85" t="str">
        <f t="shared" si="13"/>
        <v>No</v>
      </c>
      <c r="G85" t="str">
        <f t="shared" si="14"/>
        <v>No</v>
      </c>
      <c r="I85" t="str">
        <f t="shared" si="15"/>
        <v>Yes</v>
      </c>
      <c r="J85" t="str">
        <f t="shared" si="9"/>
        <v>No</v>
      </c>
      <c r="K85" t="str">
        <f t="shared" si="10"/>
        <v>Yes</v>
      </c>
      <c r="L85" s="203">
        <f>IF(AND('Total income package'!$A$16=TRUE,E85&lt;$J$2),$M$2,0)</f>
        <v>0</v>
      </c>
      <c r="M85" s="179">
        <f>IF(AND('Total income package'!$A$16=TRUE,E85&lt;$L$2),$P$2,0)</f>
        <v>318.5</v>
      </c>
      <c r="N85" s="204">
        <f t="shared" si="16"/>
        <v>318.5</v>
      </c>
    </row>
    <row r="86" spans="1:14" x14ac:dyDescent="0.25">
      <c r="A86" s="105">
        <v>38500</v>
      </c>
      <c r="B86" s="4">
        <f t="shared" si="17"/>
        <v>3208.3333333333335</v>
      </c>
      <c r="C86" s="4">
        <f>'Total income package'!$D$80</f>
        <v>0</v>
      </c>
      <c r="D86" s="4">
        <f t="shared" si="11"/>
        <v>3208.3333333333335</v>
      </c>
      <c r="E86" s="4">
        <f t="shared" si="12"/>
        <v>3117.3333333333335</v>
      </c>
      <c r="F86" t="str">
        <f t="shared" si="13"/>
        <v>No</v>
      </c>
      <c r="G86" t="str">
        <f t="shared" si="14"/>
        <v>No</v>
      </c>
      <c r="I86" t="str">
        <f t="shared" si="15"/>
        <v>Yes</v>
      </c>
      <c r="J86" t="str">
        <f t="shared" si="9"/>
        <v>No</v>
      </c>
      <c r="K86" t="str">
        <f t="shared" si="10"/>
        <v>Yes</v>
      </c>
      <c r="L86" s="203">
        <f>IF(AND('Total income package'!$A$16=TRUE,E86&lt;$J$2),$M$2,0)</f>
        <v>0</v>
      </c>
      <c r="M86" s="179">
        <f>IF(AND('Total income package'!$A$16=TRUE,E86&lt;$L$2),$P$2,0)</f>
        <v>318.5</v>
      </c>
      <c r="N86" s="204">
        <f t="shared" si="16"/>
        <v>318.5</v>
      </c>
    </row>
    <row r="87" spans="1:14" x14ac:dyDescent="0.25">
      <c r="A87" s="105">
        <v>39000</v>
      </c>
      <c r="B87" s="4">
        <f t="shared" si="17"/>
        <v>3250</v>
      </c>
      <c r="C87" s="4">
        <f>'Total income package'!$D$80</f>
        <v>0</v>
      </c>
      <c r="D87" s="4">
        <f t="shared" si="11"/>
        <v>3250</v>
      </c>
      <c r="E87" s="4">
        <f t="shared" si="12"/>
        <v>3159</v>
      </c>
      <c r="F87" t="str">
        <f t="shared" si="13"/>
        <v>No</v>
      </c>
      <c r="G87" t="str">
        <f t="shared" si="14"/>
        <v>No</v>
      </c>
      <c r="I87" t="str">
        <f t="shared" si="15"/>
        <v>Yes</v>
      </c>
      <c r="J87" t="str">
        <f t="shared" si="9"/>
        <v>No</v>
      </c>
      <c r="K87" t="str">
        <f t="shared" si="10"/>
        <v>Yes</v>
      </c>
      <c r="L87" s="203">
        <f>IF(AND('Total income package'!$A$16=TRUE,E87&lt;$J$2),$M$2,0)</f>
        <v>0</v>
      </c>
      <c r="M87" s="179">
        <f>IF(AND('Total income package'!$A$16=TRUE,E87&lt;$L$2),$P$2,0)</f>
        <v>318.5</v>
      </c>
      <c r="N87" s="204">
        <f t="shared" si="16"/>
        <v>318.5</v>
      </c>
    </row>
    <row r="88" spans="1:14" x14ac:dyDescent="0.25">
      <c r="A88" s="105">
        <v>39500</v>
      </c>
      <c r="B88" s="4">
        <f t="shared" si="17"/>
        <v>3291.6666666666665</v>
      </c>
      <c r="C88" s="4">
        <f>'Total income package'!$D$80</f>
        <v>0</v>
      </c>
      <c r="D88" s="4">
        <f t="shared" si="11"/>
        <v>3291.6666666666665</v>
      </c>
      <c r="E88" s="4">
        <f t="shared" si="12"/>
        <v>3200.6666666666665</v>
      </c>
      <c r="F88" t="str">
        <f t="shared" si="13"/>
        <v>No</v>
      </c>
      <c r="G88" t="str">
        <f t="shared" si="14"/>
        <v>No</v>
      </c>
      <c r="I88" t="str">
        <f t="shared" si="15"/>
        <v>Yes</v>
      </c>
      <c r="J88" t="str">
        <f t="shared" si="9"/>
        <v>No</v>
      </c>
      <c r="K88" t="str">
        <f t="shared" si="10"/>
        <v>Yes</v>
      </c>
      <c r="L88" s="203">
        <f>IF(AND('Total income package'!$A$16=TRUE,E88&lt;$J$2),$M$2,0)</f>
        <v>0</v>
      </c>
      <c r="M88" s="179">
        <f>IF(AND('Total income package'!$A$16=TRUE,E88&lt;$L$2),$P$2,0)</f>
        <v>318.5</v>
      </c>
      <c r="N88" s="204">
        <f t="shared" si="16"/>
        <v>318.5</v>
      </c>
    </row>
    <row r="89" spans="1:14" x14ac:dyDescent="0.25">
      <c r="A89" s="105">
        <v>40000</v>
      </c>
      <c r="B89" s="4">
        <f t="shared" si="17"/>
        <v>3333.3333333333335</v>
      </c>
      <c r="C89" s="4">
        <f>'Total income package'!$D$80</f>
        <v>0</v>
      </c>
      <c r="D89" s="4">
        <f t="shared" si="11"/>
        <v>3333.3333333333335</v>
      </c>
      <c r="E89" s="4">
        <f t="shared" si="12"/>
        <v>3242.3333333333335</v>
      </c>
      <c r="F89" t="str">
        <f t="shared" si="13"/>
        <v>No</v>
      </c>
      <c r="G89" t="str">
        <f t="shared" si="14"/>
        <v>No</v>
      </c>
      <c r="I89" t="str">
        <f t="shared" si="15"/>
        <v>Yes</v>
      </c>
      <c r="J89" t="str">
        <f t="shared" si="9"/>
        <v>No</v>
      </c>
      <c r="K89" t="str">
        <f t="shared" si="10"/>
        <v>Yes</v>
      </c>
      <c r="L89" s="203">
        <f>IF(AND('Total income package'!$A$16=TRUE,E89&lt;$J$2),$M$2,0)</f>
        <v>0</v>
      </c>
      <c r="M89" s="179">
        <f>IF(AND('Total income package'!$A$16=TRUE,E89&lt;$L$2),$P$2,0)</f>
        <v>318.5</v>
      </c>
      <c r="N89" s="204">
        <f t="shared" si="16"/>
        <v>318.5</v>
      </c>
    </row>
    <row r="90" spans="1:14" x14ac:dyDescent="0.25">
      <c r="A90" s="105">
        <v>40500</v>
      </c>
      <c r="B90" s="4">
        <f t="shared" si="17"/>
        <v>3375</v>
      </c>
      <c r="C90" s="4">
        <f>'Total income package'!$D$80</f>
        <v>0</v>
      </c>
      <c r="D90" s="4">
        <f t="shared" si="11"/>
        <v>3375</v>
      </c>
      <c r="E90" s="4">
        <f t="shared" si="12"/>
        <v>3284</v>
      </c>
      <c r="F90" t="str">
        <f t="shared" si="13"/>
        <v>No</v>
      </c>
      <c r="G90" t="str">
        <f t="shared" si="14"/>
        <v>No</v>
      </c>
      <c r="I90" t="str">
        <f t="shared" si="15"/>
        <v>Yes</v>
      </c>
      <c r="J90" t="str">
        <f t="shared" si="9"/>
        <v>No</v>
      </c>
      <c r="K90" t="str">
        <f t="shared" si="10"/>
        <v>Yes</v>
      </c>
      <c r="L90" s="203">
        <f>IF(AND('Total income package'!$A$16=TRUE,E90&lt;$J$2),$M$2,0)</f>
        <v>0</v>
      </c>
      <c r="M90" s="179">
        <f>IF(AND('Total income package'!$A$16=TRUE,E90&lt;$L$2),$P$2,0)</f>
        <v>318.5</v>
      </c>
      <c r="N90" s="204">
        <f t="shared" si="16"/>
        <v>318.5</v>
      </c>
    </row>
    <row r="91" spans="1:14" x14ac:dyDescent="0.25">
      <c r="A91" s="105">
        <v>41000</v>
      </c>
      <c r="B91" s="4">
        <f t="shared" si="17"/>
        <v>3416.6666666666665</v>
      </c>
      <c r="C91" s="4">
        <f>'Total income package'!$D$80</f>
        <v>0</v>
      </c>
      <c r="D91" s="4">
        <f t="shared" si="11"/>
        <v>3416.6666666666665</v>
      </c>
      <c r="E91" s="4">
        <f t="shared" si="12"/>
        <v>3325.6666666666665</v>
      </c>
      <c r="F91" t="str">
        <f t="shared" si="13"/>
        <v>No</v>
      </c>
      <c r="G91" t="str">
        <f t="shared" si="14"/>
        <v>No</v>
      </c>
      <c r="I91" t="str">
        <f t="shared" si="15"/>
        <v>Yes</v>
      </c>
      <c r="J91" t="str">
        <f t="shared" si="9"/>
        <v>No</v>
      </c>
      <c r="K91" t="str">
        <f t="shared" si="10"/>
        <v>Yes</v>
      </c>
      <c r="L91" s="203">
        <f>IF(AND('Total income package'!$A$16=TRUE,E91&lt;$J$2),$M$2,0)</f>
        <v>0</v>
      </c>
      <c r="M91" s="179">
        <f>IF(AND('Total income package'!$A$16=TRUE,E91&lt;$L$2),$P$2,0)</f>
        <v>318.5</v>
      </c>
      <c r="N91" s="204">
        <f t="shared" si="16"/>
        <v>318.5</v>
      </c>
    </row>
    <row r="92" spans="1:14" x14ac:dyDescent="0.25">
      <c r="A92" s="105">
        <v>41500</v>
      </c>
      <c r="B92" s="4">
        <f t="shared" si="17"/>
        <v>3458.3333333333335</v>
      </c>
      <c r="C92" s="4">
        <f>'Total income package'!$D$80</f>
        <v>0</v>
      </c>
      <c r="D92" s="4">
        <f t="shared" si="11"/>
        <v>3458.3333333333335</v>
      </c>
      <c r="E92" s="4">
        <f t="shared" si="12"/>
        <v>3367.3333333333335</v>
      </c>
      <c r="F92" t="str">
        <f t="shared" si="13"/>
        <v>No</v>
      </c>
      <c r="G92" t="str">
        <f t="shared" si="14"/>
        <v>No</v>
      </c>
      <c r="I92" t="str">
        <f t="shared" si="15"/>
        <v>Yes</v>
      </c>
      <c r="J92" t="str">
        <f t="shared" si="9"/>
        <v>No</v>
      </c>
      <c r="K92" t="str">
        <f t="shared" si="10"/>
        <v>Yes</v>
      </c>
      <c r="L92" s="203">
        <f>IF(AND('Total income package'!$A$16=TRUE,E92&lt;$J$2),$M$2,0)</f>
        <v>0</v>
      </c>
      <c r="M92" s="179">
        <f>IF(AND('Total income package'!$A$16=TRUE,E92&lt;$L$2),$P$2,0)</f>
        <v>318.5</v>
      </c>
      <c r="N92" s="204">
        <f t="shared" si="16"/>
        <v>318.5</v>
      </c>
    </row>
    <row r="93" spans="1:14" x14ac:dyDescent="0.25">
      <c r="A93" s="105">
        <v>42000</v>
      </c>
      <c r="B93" s="4">
        <f t="shared" si="17"/>
        <v>3500</v>
      </c>
      <c r="C93" s="4">
        <f>'Total income package'!$D$80</f>
        <v>0</v>
      </c>
      <c r="D93" s="4">
        <f t="shared" si="11"/>
        <v>3500</v>
      </c>
      <c r="E93" s="4">
        <f t="shared" si="12"/>
        <v>3409</v>
      </c>
      <c r="F93" t="str">
        <f t="shared" si="13"/>
        <v>No</v>
      </c>
      <c r="G93" t="str">
        <f t="shared" si="14"/>
        <v>No</v>
      </c>
      <c r="I93" t="str">
        <f t="shared" si="15"/>
        <v>Yes</v>
      </c>
      <c r="J93" t="str">
        <f t="shared" si="9"/>
        <v>No</v>
      </c>
      <c r="K93" t="str">
        <f t="shared" si="10"/>
        <v>Yes</v>
      </c>
      <c r="L93" s="203">
        <f>IF(AND('Total income package'!$A$16=TRUE,E93&lt;$J$2),$M$2,0)</f>
        <v>0</v>
      </c>
      <c r="M93" s="179">
        <f>IF(AND('Total income package'!$A$16=TRUE,E93&lt;$L$2),$P$2,0)</f>
        <v>318.5</v>
      </c>
      <c r="N93" s="204">
        <f t="shared" si="16"/>
        <v>318.5</v>
      </c>
    </row>
    <row r="94" spans="1:14" x14ac:dyDescent="0.25">
      <c r="A94" s="105">
        <v>42500</v>
      </c>
      <c r="B94" s="4">
        <f t="shared" si="17"/>
        <v>3541.6666666666665</v>
      </c>
      <c r="C94" s="4">
        <f>'Total income package'!$D$80</f>
        <v>0</v>
      </c>
      <c r="D94" s="4">
        <f t="shared" si="11"/>
        <v>3541.6666666666665</v>
      </c>
      <c r="E94" s="4">
        <f t="shared" si="12"/>
        <v>3450.6666666666665</v>
      </c>
      <c r="F94" t="str">
        <f t="shared" si="13"/>
        <v>No</v>
      </c>
      <c r="G94" t="str">
        <f t="shared" si="14"/>
        <v>No</v>
      </c>
      <c r="I94" t="str">
        <f t="shared" si="15"/>
        <v>Yes</v>
      </c>
      <c r="J94" t="str">
        <f t="shared" si="9"/>
        <v>No</v>
      </c>
      <c r="K94" t="str">
        <f t="shared" si="10"/>
        <v>Yes</v>
      </c>
      <c r="L94" s="203">
        <f>IF(AND('Total income package'!$A$16=TRUE,E94&lt;$J$2),$M$2,0)</f>
        <v>0</v>
      </c>
      <c r="M94" s="179">
        <f>IF(AND('Total income package'!$A$16=TRUE,E94&lt;$L$2),$P$2,0)</f>
        <v>318.5</v>
      </c>
      <c r="N94" s="204">
        <f t="shared" si="16"/>
        <v>318.5</v>
      </c>
    </row>
    <row r="95" spans="1:14" x14ac:dyDescent="0.25">
      <c r="A95" s="105">
        <v>43000</v>
      </c>
      <c r="B95" s="4">
        <f t="shared" si="17"/>
        <v>3583.3333333333335</v>
      </c>
      <c r="C95" s="4">
        <f>'Total income package'!$D$80</f>
        <v>0</v>
      </c>
      <c r="D95" s="4">
        <f t="shared" si="11"/>
        <v>3583.3333333333335</v>
      </c>
      <c r="E95" s="4">
        <f t="shared" si="12"/>
        <v>3492.3333333333335</v>
      </c>
      <c r="F95" t="str">
        <f t="shared" si="13"/>
        <v>No</v>
      </c>
      <c r="G95" t="str">
        <f t="shared" si="14"/>
        <v>No</v>
      </c>
      <c r="I95" t="str">
        <f t="shared" si="15"/>
        <v>Yes</v>
      </c>
      <c r="J95" t="str">
        <f t="shared" si="9"/>
        <v>No</v>
      </c>
      <c r="K95" t="str">
        <f t="shared" si="10"/>
        <v>Yes</v>
      </c>
      <c r="L95" s="203">
        <f>IF(AND('Total income package'!$A$16=TRUE,E95&lt;$J$2),$M$2,0)</f>
        <v>0</v>
      </c>
      <c r="M95" s="179">
        <f>IF(AND('Total income package'!$A$16=TRUE,E95&lt;$L$2),$P$2,0)</f>
        <v>318.5</v>
      </c>
      <c r="N95" s="204">
        <f t="shared" si="16"/>
        <v>318.5</v>
      </c>
    </row>
    <row r="96" spans="1:14" x14ac:dyDescent="0.25">
      <c r="A96" s="105">
        <v>43500</v>
      </c>
      <c r="B96" s="4">
        <f t="shared" si="17"/>
        <v>3625</v>
      </c>
      <c r="C96" s="4">
        <f>'Total income package'!$D$80</f>
        <v>0</v>
      </c>
      <c r="D96" s="4">
        <f t="shared" si="11"/>
        <v>3625</v>
      </c>
      <c r="E96" s="4">
        <f t="shared" si="12"/>
        <v>3534</v>
      </c>
      <c r="F96" t="str">
        <f t="shared" si="13"/>
        <v>No</v>
      </c>
      <c r="G96" t="str">
        <f t="shared" si="14"/>
        <v>No</v>
      </c>
      <c r="I96" t="str">
        <f t="shared" si="15"/>
        <v>Yes</v>
      </c>
      <c r="J96" t="str">
        <f t="shared" si="9"/>
        <v>No</v>
      </c>
      <c r="K96" t="str">
        <f t="shared" si="10"/>
        <v>No</v>
      </c>
      <c r="L96" s="203">
        <f>IF(AND('Total income package'!$A$16=TRUE,E96&lt;$J$2),$M$2,0)</f>
        <v>0</v>
      </c>
      <c r="M96" s="179">
        <f>IF(AND('Total income package'!$A$16=TRUE,E96&lt;$L$2),$P$2,0)</f>
        <v>0</v>
      </c>
      <c r="N96" s="204">
        <f t="shared" si="16"/>
        <v>0</v>
      </c>
    </row>
    <row r="97" spans="1:14" x14ac:dyDescent="0.25">
      <c r="A97" s="105">
        <v>44000</v>
      </c>
      <c r="B97" s="4">
        <f t="shared" si="17"/>
        <v>3666.6666666666665</v>
      </c>
      <c r="C97" s="4">
        <f>'Total income package'!$D$80</f>
        <v>0</v>
      </c>
      <c r="D97" s="4">
        <f t="shared" si="11"/>
        <v>3666.6666666666665</v>
      </c>
      <c r="E97" s="4">
        <f t="shared" si="12"/>
        <v>3575.6666666666665</v>
      </c>
      <c r="F97" t="str">
        <f t="shared" si="13"/>
        <v>No</v>
      </c>
      <c r="G97" t="str">
        <f t="shared" si="14"/>
        <v>No</v>
      </c>
      <c r="I97" t="str">
        <f t="shared" si="15"/>
        <v>Yes</v>
      </c>
      <c r="J97" t="str">
        <f t="shared" si="9"/>
        <v>No</v>
      </c>
      <c r="K97" t="str">
        <f t="shared" si="10"/>
        <v>No</v>
      </c>
      <c r="L97" s="203">
        <f>IF(AND('Total income package'!$A$16=TRUE,E97&lt;$J$2),$M$2,0)</f>
        <v>0</v>
      </c>
      <c r="M97" s="179">
        <f>IF(AND('Total income package'!$A$16=TRUE,E97&lt;$L$2),$P$2,0)</f>
        <v>0</v>
      </c>
      <c r="N97" s="204">
        <f t="shared" si="16"/>
        <v>0</v>
      </c>
    </row>
    <row r="98" spans="1:14" x14ac:dyDescent="0.25">
      <c r="A98" s="105">
        <v>44500</v>
      </c>
      <c r="B98" s="4">
        <f t="shared" si="17"/>
        <v>3708.3333333333335</v>
      </c>
      <c r="C98" s="4">
        <f>'Total income package'!$D$80</f>
        <v>0</v>
      </c>
      <c r="D98" s="4">
        <f t="shared" si="11"/>
        <v>3708.3333333333335</v>
      </c>
      <c r="E98" s="4">
        <f t="shared" si="12"/>
        <v>3617.3333333333335</v>
      </c>
      <c r="F98" t="str">
        <f t="shared" si="13"/>
        <v>No</v>
      </c>
      <c r="G98" t="str">
        <f t="shared" si="14"/>
        <v>No</v>
      </c>
      <c r="I98" t="str">
        <f t="shared" si="15"/>
        <v>Yes</v>
      </c>
      <c r="J98" t="str">
        <f t="shared" si="9"/>
        <v>No</v>
      </c>
      <c r="K98" t="str">
        <f t="shared" si="10"/>
        <v>No</v>
      </c>
      <c r="L98" s="203">
        <f>IF(AND('Total income package'!$A$16=TRUE,E98&lt;$J$2),$M$2,0)</f>
        <v>0</v>
      </c>
      <c r="M98" s="179">
        <f>IF(AND('Total income package'!$A$16=TRUE,E98&lt;$L$2),$P$2,0)</f>
        <v>0</v>
      </c>
      <c r="N98" s="204">
        <f t="shared" si="16"/>
        <v>0</v>
      </c>
    </row>
    <row r="99" spans="1:14" x14ac:dyDescent="0.25">
      <c r="A99" s="105">
        <v>45000</v>
      </c>
      <c r="B99" s="4">
        <f t="shared" si="17"/>
        <v>3750</v>
      </c>
      <c r="C99" s="4">
        <f>'Total income package'!$D$80</f>
        <v>0</v>
      </c>
      <c r="D99" s="4">
        <f t="shared" si="11"/>
        <v>3750</v>
      </c>
      <c r="E99" s="4">
        <f t="shared" si="12"/>
        <v>3659</v>
      </c>
      <c r="F99" t="str">
        <f t="shared" si="13"/>
        <v>No</v>
      </c>
      <c r="G99" t="str">
        <f t="shared" si="14"/>
        <v>No</v>
      </c>
      <c r="I99" t="str">
        <f t="shared" si="15"/>
        <v>Yes</v>
      </c>
      <c r="J99" t="str">
        <f t="shared" si="9"/>
        <v>No</v>
      </c>
      <c r="K99" t="str">
        <f t="shared" si="10"/>
        <v>No</v>
      </c>
      <c r="L99" s="203">
        <f>IF(AND('Total income package'!$A$16=TRUE,E99&lt;$J$2),$M$2,0)</f>
        <v>0</v>
      </c>
      <c r="M99" s="179">
        <f>IF(AND('Total income package'!$A$16=TRUE,E99&lt;$L$2),$P$2,0)</f>
        <v>0</v>
      </c>
      <c r="N99" s="204">
        <f t="shared" si="16"/>
        <v>0</v>
      </c>
    </row>
    <row r="100" spans="1:14" x14ac:dyDescent="0.25">
      <c r="A100" s="105">
        <v>45500</v>
      </c>
      <c r="B100" s="4">
        <f t="shared" si="17"/>
        <v>3791.6666666666665</v>
      </c>
      <c r="C100" s="4">
        <f>'Total income package'!$D$80</f>
        <v>0</v>
      </c>
      <c r="D100" s="4">
        <f t="shared" si="11"/>
        <v>3791.6666666666665</v>
      </c>
      <c r="E100" s="4">
        <f t="shared" si="12"/>
        <v>3700.6666666666665</v>
      </c>
      <c r="F100" t="str">
        <f t="shared" si="13"/>
        <v>No</v>
      </c>
      <c r="G100" t="str">
        <f t="shared" si="14"/>
        <v>No</v>
      </c>
      <c r="I100" t="str">
        <f t="shared" si="15"/>
        <v>Yes</v>
      </c>
      <c r="J100" t="str">
        <f t="shared" si="9"/>
        <v>No</v>
      </c>
      <c r="K100" t="str">
        <f t="shared" si="10"/>
        <v>No</v>
      </c>
      <c r="L100" s="203">
        <f>IF(AND('Total income package'!$A$16=TRUE,E100&lt;$J$2),$M$2,0)</f>
        <v>0</v>
      </c>
      <c r="M100" s="179">
        <f>IF(AND('Total income package'!$A$16=TRUE,E100&lt;$L$2),$P$2,0)</f>
        <v>0</v>
      </c>
      <c r="N100" s="204">
        <f t="shared" si="16"/>
        <v>0</v>
      </c>
    </row>
    <row r="101" spans="1:14" x14ac:dyDescent="0.25">
      <c r="A101" s="105">
        <v>46000</v>
      </c>
      <c r="B101" s="4">
        <f t="shared" si="17"/>
        <v>3833.3333333333335</v>
      </c>
      <c r="C101" s="4">
        <f>'Total income package'!$D$80</f>
        <v>0</v>
      </c>
      <c r="D101" s="4">
        <f t="shared" si="11"/>
        <v>3833.3333333333335</v>
      </c>
      <c r="E101" s="4">
        <f t="shared" si="12"/>
        <v>3742.3333333333335</v>
      </c>
      <c r="F101" t="str">
        <f t="shared" si="13"/>
        <v>No</v>
      </c>
      <c r="G101" t="str">
        <f t="shared" si="14"/>
        <v>No</v>
      </c>
      <c r="I101" t="str">
        <f t="shared" si="15"/>
        <v>Yes</v>
      </c>
      <c r="J101" t="str">
        <f t="shared" si="9"/>
        <v>No</v>
      </c>
      <c r="K101" t="str">
        <f t="shared" si="10"/>
        <v>No</v>
      </c>
      <c r="L101" s="203">
        <f>IF(AND('Total income package'!$A$16=TRUE,E101&lt;$J$2),$M$2,0)</f>
        <v>0</v>
      </c>
      <c r="M101" s="179">
        <f>IF(AND('Total income package'!$A$16=TRUE,E101&lt;$L$2),$P$2,0)</f>
        <v>0</v>
      </c>
      <c r="N101" s="204">
        <f t="shared" si="16"/>
        <v>0</v>
      </c>
    </row>
    <row r="102" spans="1:14" x14ac:dyDescent="0.25">
      <c r="A102" s="105">
        <v>46500</v>
      </c>
      <c r="B102" s="4">
        <f t="shared" si="17"/>
        <v>3875</v>
      </c>
      <c r="C102" s="4">
        <f>'Total income package'!$D$80</f>
        <v>0</v>
      </c>
      <c r="D102" s="4">
        <f t="shared" si="11"/>
        <v>3875</v>
      </c>
      <c r="E102" s="4">
        <f t="shared" si="12"/>
        <v>3784</v>
      </c>
      <c r="F102" t="str">
        <f t="shared" si="13"/>
        <v>No</v>
      </c>
      <c r="G102" t="str">
        <f t="shared" si="14"/>
        <v>No</v>
      </c>
      <c r="I102" t="str">
        <f t="shared" si="15"/>
        <v>Yes</v>
      </c>
      <c r="J102" t="str">
        <f t="shared" si="9"/>
        <v>No</v>
      </c>
      <c r="K102" t="str">
        <f t="shared" si="10"/>
        <v>No</v>
      </c>
      <c r="L102" s="203">
        <f>IF(AND('Total income package'!$A$16=TRUE,E102&lt;$J$2),$M$2,0)</f>
        <v>0</v>
      </c>
      <c r="M102" s="179">
        <f>IF(AND('Total income package'!$A$16=TRUE,E102&lt;$L$2),$P$2,0)</f>
        <v>0</v>
      </c>
      <c r="N102" s="204">
        <f t="shared" si="16"/>
        <v>0</v>
      </c>
    </row>
    <row r="103" spans="1:14" x14ac:dyDescent="0.25">
      <c r="A103" s="105">
        <v>47000</v>
      </c>
      <c r="B103" s="4">
        <f t="shared" si="17"/>
        <v>3916.6666666666665</v>
      </c>
      <c r="C103" s="4">
        <f>'Total income package'!$D$80</f>
        <v>0</v>
      </c>
      <c r="D103" s="4">
        <f t="shared" si="11"/>
        <v>3916.6666666666665</v>
      </c>
      <c r="E103" s="4">
        <f t="shared" si="12"/>
        <v>3825.6666666666665</v>
      </c>
      <c r="F103" t="str">
        <f t="shared" si="13"/>
        <v>No</v>
      </c>
      <c r="G103" t="str">
        <f t="shared" si="14"/>
        <v>No</v>
      </c>
      <c r="I103" t="str">
        <f t="shared" si="15"/>
        <v>Yes</v>
      </c>
      <c r="J103" t="str">
        <f t="shared" si="9"/>
        <v>No</v>
      </c>
      <c r="K103" t="str">
        <f t="shared" si="10"/>
        <v>No</v>
      </c>
      <c r="L103" s="203">
        <f>IF(AND('Total income package'!$A$16=TRUE,E103&lt;$J$2),$M$2,0)</f>
        <v>0</v>
      </c>
      <c r="M103" s="179">
        <f>IF(AND('Total income package'!$A$16=TRUE,E103&lt;$L$2),$P$2,0)</f>
        <v>0</v>
      </c>
      <c r="N103" s="204">
        <f t="shared" si="16"/>
        <v>0</v>
      </c>
    </row>
    <row r="104" spans="1:14" x14ac:dyDescent="0.25">
      <c r="A104" s="105">
        <v>47500</v>
      </c>
      <c r="B104" s="4">
        <f t="shared" si="17"/>
        <v>3958.3333333333335</v>
      </c>
      <c r="C104" s="4">
        <f>'Total income package'!$D$80</f>
        <v>0</v>
      </c>
      <c r="D104" s="4">
        <f t="shared" si="11"/>
        <v>3958.3333333333335</v>
      </c>
      <c r="E104" s="4">
        <f t="shared" si="12"/>
        <v>3867.3333333333335</v>
      </c>
      <c r="F104" t="str">
        <f t="shared" si="13"/>
        <v>No</v>
      </c>
      <c r="G104" t="str">
        <f t="shared" si="14"/>
        <v>No</v>
      </c>
      <c r="I104" t="str">
        <f t="shared" si="15"/>
        <v>Yes</v>
      </c>
      <c r="J104" t="str">
        <f t="shared" si="9"/>
        <v>No</v>
      </c>
      <c r="K104" t="str">
        <f t="shared" si="10"/>
        <v>No</v>
      </c>
      <c r="L104" s="203">
        <f>IF(AND('Total income package'!$A$16=TRUE,E104&lt;$J$2),$M$2,0)</f>
        <v>0</v>
      </c>
      <c r="M104" s="179">
        <f>IF(AND('Total income package'!$A$16=TRUE,E104&lt;$L$2),$P$2,0)</f>
        <v>0</v>
      </c>
      <c r="N104" s="204">
        <f t="shared" si="16"/>
        <v>0</v>
      </c>
    </row>
    <row r="105" spans="1:14" x14ac:dyDescent="0.25">
      <c r="A105" s="105">
        <v>48000</v>
      </c>
      <c r="B105" s="4">
        <f t="shared" si="17"/>
        <v>4000</v>
      </c>
      <c r="C105" s="4">
        <f>'Total income package'!$D$80</f>
        <v>0</v>
      </c>
      <c r="D105" s="4">
        <f t="shared" si="11"/>
        <v>4000</v>
      </c>
      <c r="E105" s="4">
        <f t="shared" si="12"/>
        <v>3909</v>
      </c>
      <c r="F105" t="str">
        <f t="shared" si="13"/>
        <v>No</v>
      </c>
      <c r="G105" t="str">
        <f t="shared" si="14"/>
        <v>No</v>
      </c>
      <c r="I105" t="str">
        <f t="shared" si="15"/>
        <v>Yes</v>
      </c>
      <c r="J105" t="str">
        <f t="shared" si="9"/>
        <v>No</v>
      </c>
      <c r="K105" t="str">
        <f t="shared" si="10"/>
        <v>No</v>
      </c>
      <c r="L105" s="203">
        <f>IF(AND('Total income package'!$A$16=TRUE,E105&lt;$J$2),$M$2,0)</f>
        <v>0</v>
      </c>
      <c r="M105" s="179">
        <f>IF(AND('Total income package'!$A$16=TRUE,E105&lt;$L$2),$P$2,0)</f>
        <v>0</v>
      </c>
      <c r="N105" s="204">
        <f t="shared" si="16"/>
        <v>0</v>
      </c>
    </row>
    <row r="106" spans="1:14" x14ac:dyDescent="0.25">
      <c r="A106" s="105">
        <v>48500</v>
      </c>
      <c r="B106" s="4">
        <f t="shared" si="17"/>
        <v>4041.6666666666665</v>
      </c>
      <c r="C106" s="4">
        <f>'Total income package'!$D$80</f>
        <v>0</v>
      </c>
      <c r="D106" s="4">
        <f t="shared" si="11"/>
        <v>4041.6666666666665</v>
      </c>
      <c r="E106" s="4">
        <f t="shared" si="12"/>
        <v>3950.6666666666665</v>
      </c>
      <c r="F106" t="str">
        <f t="shared" si="13"/>
        <v>No</v>
      </c>
      <c r="G106" t="str">
        <f t="shared" si="14"/>
        <v>No</v>
      </c>
      <c r="I106" t="str">
        <f t="shared" si="15"/>
        <v>Yes</v>
      </c>
      <c r="J106" t="str">
        <f t="shared" si="9"/>
        <v>No</v>
      </c>
      <c r="K106" t="str">
        <f t="shared" si="10"/>
        <v>No</v>
      </c>
      <c r="L106" s="203">
        <f>IF(AND('Total income package'!$A$16=TRUE,E106&lt;$J$2),$M$2,0)</f>
        <v>0</v>
      </c>
      <c r="M106" s="179">
        <f>IF(AND('Total income package'!$A$16=TRUE,E106&lt;$L$2),$P$2,0)</f>
        <v>0</v>
      </c>
      <c r="N106" s="204">
        <f t="shared" si="16"/>
        <v>0</v>
      </c>
    </row>
    <row r="107" spans="1:14" x14ac:dyDescent="0.25">
      <c r="A107" s="105">
        <v>49000</v>
      </c>
      <c r="B107" s="4">
        <f t="shared" si="17"/>
        <v>4083.3333333333335</v>
      </c>
      <c r="C107" s="4">
        <f>'Total income package'!$D$80</f>
        <v>0</v>
      </c>
      <c r="D107" s="4">
        <f t="shared" si="11"/>
        <v>4083.3333333333335</v>
      </c>
      <c r="E107" s="4">
        <f t="shared" si="12"/>
        <v>3992.3333333333335</v>
      </c>
      <c r="F107" t="str">
        <f t="shared" si="13"/>
        <v>No</v>
      </c>
      <c r="G107" t="str">
        <f t="shared" si="14"/>
        <v>No</v>
      </c>
      <c r="I107" t="str">
        <f t="shared" si="15"/>
        <v>Yes</v>
      </c>
      <c r="J107" t="str">
        <f t="shared" si="9"/>
        <v>No</v>
      </c>
      <c r="K107" t="str">
        <f t="shared" si="10"/>
        <v>No</v>
      </c>
      <c r="L107" s="203">
        <f>IF(AND('Total income package'!$A$16=TRUE,E107&lt;$J$2),$M$2,0)</f>
        <v>0</v>
      </c>
      <c r="M107" s="179">
        <f>IF(AND('Total income package'!$A$16=TRUE,E107&lt;$L$2),$P$2,0)</f>
        <v>0</v>
      </c>
      <c r="N107" s="204">
        <f t="shared" si="16"/>
        <v>0</v>
      </c>
    </row>
    <row r="108" spans="1:14" x14ac:dyDescent="0.25">
      <c r="A108" s="105">
        <v>49500</v>
      </c>
      <c r="B108" s="4">
        <f t="shared" si="17"/>
        <v>4125</v>
      </c>
      <c r="C108" s="4">
        <f>'Total income package'!$D$80</f>
        <v>0</v>
      </c>
      <c r="D108" s="4">
        <f t="shared" si="11"/>
        <v>4125</v>
      </c>
      <c r="E108" s="4">
        <f t="shared" si="12"/>
        <v>4034</v>
      </c>
      <c r="F108" t="str">
        <f t="shared" si="13"/>
        <v>No</v>
      </c>
      <c r="G108" t="str">
        <f t="shared" si="14"/>
        <v>No</v>
      </c>
      <c r="I108" t="str">
        <f t="shared" si="15"/>
        <v>Yes</v>
      </c>
      <c r="J108" t="str">
        <f t="shared" si="9"/>
        <v>No</v>
      </c>
      <c r="K108" t="str">
        <f t="shared" si="10"/>
        <v>No</v>
      </c>
      <c r="L108" s="203">
        <f>IF(AND('Total income package'!$A$16=TRUE,E108&lt;$J$2),$M$2,0)</f>
        <v>0</v>
      </c>
      <c r="M108" s="179">
        <f>IF(AND('Total income package'!$A$16=TRUE,E108&lt;$L$2),$P$2,0)</f>
        <v>0</v>
      </c>
      <c r="N108" s="204">
        <f t="shared" si="16"/>
        <v>0</v>
      </c>
    </row>
    <row r="109" spans="1:14" x14ac:dyDescent="0.25">
      <c r="A109" s="105">
        <v>50000</v>
      </c>
      <c r="B109" s="4">
        <f t="shared" si="17"/>
        <v>4166.666666666667</v>
      </c>
      <c r="C109" s="4">
        <f>'Total income package'!$D$80</f>
        <v>0</v>
      </c>
      <c r="D109" s="4">
        <f t="shared" si="11"/>
        <v>4166.666666666667</v>
      </c>
      <c r="E109" s="4">
        <f t="shared" si="12"/>
        <v>4075.666666666667</v>
      </c>
      <c r="F109" t="str">
        <f t="shared" si="13"/>
        <v>No</v>
      </c>
      <c r="G109" t="str">
        <f t="shared" si="14"/>
        <v>No</v>
      </c>
      <c r="I109" t="str">
        <f t="shared" si="15"/>
        <v>Yes</v>
      </c>
      <c r="J109" t="str">
        <f t="shared" si="9"/>
        <v>No</v>
      </c>
      <c r="K109" t="str">
        <f t="shared" si="10"/>
        <v>No</v>
      </c>
      <c r="L109" s="203">
        <f>IF(AND('Total income package'!$A$16=TRUE,E109&lt;$J$2),$M$2,0)</f>
        <v>0</v>
      </c>
      <c r="M109" s="179">
        <f>IF(AND('Total income package'!$A$16=TRUE,E109&lt;$L$2),$P$2,0)</f>
        <v>0</v>
      </c>
      <c r="N109" s="204">
        <f t="shared" si="16"/>
        <v>0</v>
      </c>
    </row>
    <row r="110" spans="1:14" x14ac:dyDescent="0.25">
      <c r="A110" s="105">
        <v>50500</v>
      </c>
      <c r="B110" s="4">
        <f t="shared" si="17"/>
        <v>4208.333333333333</v>
      </c>
      <c r="C110" s="4">
        <f>'Total income package'!$D$80</f>
        <v>0</v>
      </c>
      <c r="D110" s="4">
        <f t="shared" si="11"/>
        <v>4208.333333333333</v>
      </c>
      <c r="E110" s="4">
        <f t="shared" si="12"/>
        <v>4117.333333333333</v>
      </c>
      <c r="F110" t="str">
        <f t="shared" si="13"/>
        <v>No</v>
      </c>
      <c r="G110" t="str">
        <f t="shared" si="14"/>
        <v>No</v>
      </c>
      <c r="I110" t="str">
        <f t="shared" si="15"/>
        <v>Yes</v>
      </c>
      <c r="J110" t="str">
        <f t="shared" si="9"/>
        <v>No</v>
      </c>
      <c r="K110" t="str">
        <f t="shared" si="10"/>
        <v>No</v>
      </c>
      <c r="L110" s="203">
        <f>IF(AND('Total income package'!$A$16=TRUE,E110&lt;$J$2),$M$2,0)</f>
        <v>0</v>
      </c>
      <c r="M110" s="179">
        <f>IF(AND('Total income package'!$A$16=TRUE,E110&lt;$L$2),$P$2,0)</f>
        <v>0</v>
      </c>
      <c r="N110" s="204">
        <f t="shared" si="16"/>
        <v>0</v>
      </c>
    </row>
    <row r="111" spans="1:14" x14ac:dyDescent="0.25">
      <c r="A111" s="105">
        <v>51000</v>
      </c>
      <c r="B111" s="4">
        <f t="shared" si="17"/>
        <v>4250</v>
      </c>
      <c r="C111" s="4">
        <f>'Total income package'!$D$80</f>
        <v>0</v>
      </c>
      <c r="D111" s="4">
        <f t="shared" si="11"/>
        <v>4250</v>
      </c>
      <c r="E111" s="4">
        <f t="shared" si="12"/>
        <v>4159</v>
      </c>
      <c r="F111" t="str">
        <f t="shared" si="13"/>
        <v>No</v>
      </c>
      <c r="G111" t="str">
        <f t="shared" si="14"/>
        <v>No</v>
      </c>
      <c r="I111" t="str">
        <f t="shared" si="15"/>
        <v>Yes</v>
      </c>
      <c r="J111" t="str">
        <f t="shared" si="9"/>
        <v>No</v>
      </c>
      <c r="K111" t="str">
        <f t="shared" si="10"/>
        <v>No</v>
      </c>
      <c r="L111" s="203">
        <f>IF(AND('Total income package'!$A$16=TRUE,E111&lt;$J$2),$M$2,0)</f>
        <v>0</v>
      </c>
      <c r="M111" s="179">
        <f>IF(AND('Total income package'!$A$16=TRUE,E111&lt;$L$2),$P$2,0)</f>
        <v>0</v>
      </c>
      <c r="N111" s="204">
        <f t="shared" si="16"/>
        <v>0</v>
      </c>
    </row>
    <row r="112" spans="1:14" x14ac:dyDescent="0.25">
      <c r="A112" s="105">
        <v>51500</v>
      </c>
      <c r="B112" s="4">
        <f t="shared" si="17"/>
        <v>4291.666666666667</v>
      </c>
      <c r="C112" s="4">
        <f>'Total income package'!$D$80</f>
        <v>0</v>
      </c>
      <c r="D112" s="4">
        <f t="shared" si="11"/>
        <v>4291.666666666667</v>
      </c>
      <c r="E112" s="4">
        <f t="shared" si="12"/>
        <v>4200.666666666667</v>
      </c>
      <c r="F112" t="str">
        <f t="shared" si="13"/>
        <v>No</v>
      </c>
      <c r="G112" t="str">
        <f t="shared" si="14"/>
        <v>No</v>
      </c>
      <c r="I112" t="str">
        <f t="shared" si="15"/>
        <v>Yes</v>
      </c>
      <c r="J112" t="str">
        <f t="shared" si="9"/>
        <v>No</v>
      </c>
      <c r="K112" t="str">
        <f t="shared" si="10"/>
        <v>No</v>
      </c>
      <c r="L112" s="203">
        <f>IF(AND('Total income package'!$A$16=TRUE,E112&lt;$J$2),$M$2,0)</f>
        <v>0</v>
      </c>
      <c r="M112" s="179">
        <f>IF(AND('Total income package'!$A$16=TRUE,E112&lt;$L$2),$P$2,0)</f>
        <v>0</v>
      </c>
      <c r="N112" s="204">
        <f t="shared" si="16"/>
        <v>0</v>
      </c>
    </row>
    <row r="113" spans="1:14" x14ac:dyDescent="0.25">
      <c r="A113" s="105">
        <v>52000</v>
      </c>
      <c r="B113" s="4">
        <f t="shared" si="17"/>
        <v>4333.333333333333</v>
      </c>
      <c r="C113" s="4">
        <f>'Total income package'!$D$80</f>
        <v>0</v>
      </c>
      <c r="D113" s="4">
        <f t="shared" si="11"/>
        <v>4333.333333333333</v>
      </c>
      <c r="E113" s="4">
        <f t="shared" si="12"/>
        <v>4242.333333333333</v>
      </c>
      <c r="F113" t="str">
        <f t="shared" si="13"/>
        <v>No</v>
      </c>
      <c r="G113" t="str">
        <f t="shared" si="14"/>
        <v>No</v>
      </c>
      <c r="I113" t="str">
        <f t="shared" si="15"/>
        <v>Yes</v>
      </c>
      <c r="J113" t="str">
        <f t="shared" si="9"/>
        <v>No</v>
      </c>
      <c r="K113" t="str">
        <f t="shared" si="10"/>
        <v>No</v>
      </c>
      <c r="L113" s="203">
        <f>IF(AND('Total income package'!$A$16=TRUE,E113&lt;$J$2),$M$2,0)</f>
        <v>0</v>
      </c>
      <c r="M113" s="179">
        <f>IF(AND('Total income package'!$A$16=TRUE,E113&lt;$L$2),$P$2,0)</f>
        <v>0</v>
      </c>
      <c r="N113" s="204">
        <f t="shared" si="16"/>
        <v>0</v>
      </c>
    </row>
    <row r="114" spans="1:14" x14ac:dyDescent="0.25">
      <c r="A114" s="105">
        <v>52500</v>
      </c>
      <c r="B114" s="4">
        <f t="shared" si="17"/>
        <v>4375</v>
      </c>
      <c r="C114" s="4">
        <f>'Total income package'!$D$80</f>
        <v>0</v>
      </c>
      <c r="D114" s="4">
        <f t="shared" si="11"/>
        <v>4375</v>
      </c>
      <c r="E114" s="4">
        <f t="shared" si="12"/>
        <v>4284</v>
      </c>
      <c r="F114" t="str">
        <f t="shared" si="13"/>
        <v>No</v>
      </c>
      <c r="G114" t="str">
        <f t="shared" si="14"/>
        <v>No</v>
      </c>
      <c r="I114" t="str">
        <f t="shared" si="15"/>
        <v>Yes</v>
      </c>
      <c r="J114" t="str">
        <f t="shared" si="9"/>
        <v>No</v>
      </c>
      <c r="K114" t="str">
        <f t="shared" si="10"/>
        <v>No</v>
      </c>
      <c r="L114" s="203">
        <f>IF(AND('Total income package'!$A$16=TRUE,E114&lt;$J$2),$M$2,0)</f>
        <v>0</v>
      </c>
      <c r="M114" s="179">
        <f>IF(AND('Total income package'!$A$16=TRUE,E114&lt;$L$2),$P$2,0)</f>
        <v>0</v>
      </c>
      <c r="N114" s="204">
        <f t="shared" si="16"/>
        <v>0</v>
      </c>
    </row>
    <row r="115" spans="1:14" x14ac:dyDescent="0.25">
      <c r="A115" s="105">
        <v>53000</v>
      </c>
      <c r="B115" s="4">
        <f t="shared" si="17"/>
        <v>4416.666666666667</v>
      </c>
      <c r="C115" s="4">
        <f>'Total income package'!$D$80</f>
        <v>0</v>
      </c>
      <c r="D115" s="4">
        <f t="shared" si="11"/>
        <v>4416.666666666667</v>
      </c>
      <c r="E115" s="4">
        <f t="shared" si="12"/>
        <v>4325.666666666667</v>
      </c>
      <c r="F115" t="str">
        <f t="shared" si="13"/>
        <v>No</v>
      </c>
      <c r="G115" t="str">
        <f t="shared" si="14"/>
        <v>No</v>
      </c>
      <c r="I115" t="str">
        <f t="shared" si="15"/>
        <v>Yes</v>
      </c>
      <c r="J115" t="str">
        <f t="shared" si="9"/>
        <v>No</v>
      </c>
      <c r="K115" t="str">
        <f t="shared" si="10"/>
        <v>No</v>
      </c>
      <c r="L115" s="203">
        <f>IF(AND('Total income package'!$A$16=TRUE,E115&lt;$J$2),$M$2,0)</f>
        <v>0</v>
      </c>
      <c r="M115" s="179">
        <f>IF(AND('Total income package'!$A$16=TRUE,E115&lt;$L$2),$P$2,0)</f>
        <v>0</v>
      </c>
      <c r="N115" s="204">
        <f t="shared" si="16"/>
        <v>0</v>
      </c>
    </row>
    <row r="116" spans="1:14" x14ac:dyDescent="0.25">
      <c r="A116" s="105">
        <v>53500</v>
      </c>
      <c r="B116" s="4">
        <f t="shared" si="17"/>
        <v>4458.333333333333</v>
      </c>
      <c r="C116" s="4">
        <f>'Total income package'!$D$80</f>
        <v>0</v>
      </c>
      <c r="D116" s="4">
        <f t="shared" si="11"/>
        <v>4458.333333333333</v>
      </c>
      <c r="E116" s="4">
        <f t="shared" si="12"/>
        <v>4367.333333333333</v>
      </c>
      <c r="F116" t="str">
        <f t="shared" si="13"/>
        <v>No</v>
      </c>
      <c r="G116" t="str">
        <f t="shared" si="14"/>
        <v>No</v>
      </c>
      <c r="I116" t="str">
        <f t="shared" si="15"/>
        <v>Yes</v>
      </c>
      <c r="J116" t="str">
        <f t="shared" si="9"/>
        <v>No</v>
      </c>
      <c r="K116" t="str">
        <f t="shared" si="10"/>
        <v>No</v>
      </c>
      <c r="L116" s="203">
        <f>IF(AND('Total income package'!$A$16=TRUE,E116&lt;$J$2),$M$2,0)</f>
        <v>0</v>
      </c>
      <c r="M116" s="179">
        <f>IF(AND('Total income package'!$A$16=TRUE,E116&lt;$L$2),$P$2,0)</f>
        <v>0</v>
      </c>
      <c r="N116" s="204">
        <f t="shared" si="16"/>
        <v>0</v>
      </c>
    </row>
    <row r="117" spans="1:14" x14ac:dyDescent="0.25">
      <c r="A117" s="105">
        <v>54000</v>
      </c>
      <c r="B117" s="4">
        <f t="shared" si="17"/>
        <v>4500</v>
      </c>
      <c r="C117" s="4">
        <f>'Total income package'!$D$80</f>
        <v>0</v>
      </c>
      <c r="D117" s="4">
        <f t="shared" si="11"/>
        <v>4500</v>
      </c>
      <c r="E117" s="4">
        <f t="shared" si="12"/>
        <v>4409</v>
      </c>
      <c r="F117" t="str">
        <f t="shared" si="13"/>
        <v>No</v>
      </c>
      <c r="G117" t="str">
        <f t="shared" si="14"/>
        <v>No</v>
      </c>
      <c r="I117" t="str">
        <f t="shared" si="15"/>
        <v>Yes</v>
      </c>
      <c r="J117" t="str">
        <f t="shared" si="9"/>
        <v>No</v>
      </c>
      <c r="K117" t="str">
        <f t="shared" si="10"/>
        <v>No</v>
      </c>
      <c r="L117" s="203">
        <f>IF(AND('Total income package'!$A$16=TRUE,E117&lt;$J$2),$M$2,0)</f>
        <v>0</v>
      </c>
      <c r="M117" s="179">
        <f>IF(AND('Total income package'!$A$16=TRUE,E117&lt;$L$2),$P$2,0)</f>
        <v>0</v>
      </c>
      <c r="N117" s="204">
        <f t="shared" si="16"/>
        <v>0</v>
      </c>
    </row>
    <row r="118" spans="1:14" x14ac:dyDescent="0.25">
      <c r="A118" s="105">
        <v>54500</v>
      </c>
      <c r="B118" s="4">
        <f t="shared" si="17"/>
        <v>4541.666666666667</v>
      </c>
      <c r="C118" s="4">
        <f>'Total income package'!$D$80</f>
        <v>0</v>
      </c>
      <c r="D118" s="4">
        <f t="shared" si="11"/>
        <v>4541.666666666667</v>
      </c>
      <c r="E118" s="4">
        <f t="shared" si="12"/>
        <v>4450.666666666667</v>
      </c>
      <c r="F118" t="str">
        <f t="shared" si="13"/>
        <v>No</v>
      </c>
      <c r="G118" t="str">
        <f t="shared" si="14"/>
        <v>No</v>
      </c>
      <c r="I118" t="str">
        <f t="shared" si="15"/>
        <v>Yes</v>
      </c>
      <c r="J118" t="str">
        <f t="shared" si="9"/>
        <v>No</v>
      </c>
      <c r="K118" t="str">
        <f t="shared" si="10"/>
        <v>No</v>
      </c>
      <c r="L118" s="203">
        <f>IF(AND('Total income package'!$A$16=TRUE,E118&lt;$J$2),$M$2,0)</f>
        <v>0</v>
      </c>
      <c r="M118" s="179">
        <f>IF(AND('Total income package'!$A$16=TRUE,E118&lt;$L$2),$P$2,0)</f>
        <v>0</v>
      </c>
      <c r="N118" s="204">
        <f t="shared" si="16"/>
        <v>0</v>
      </c>
    </row>
    <row r="119" spans="1:14" x14ac:dyDescent="0.25">
      <c r="A119" s="105">
        <v>55000</v>
      </c>
      <c r="B119" s="4">
        <f t="shared" si="17"/>
        <v>4583.333333333333</v>
      </c>
      <c r="C119" s="4">
        <f>'Total income package'!$D$80</f>
        <v>0</v>
      </c>
      <c r="D119" s="4">
        <f t="shared" si="11"/>
        <v>4583.333333333333</v>
      </c>
      <c r="E119" s="4">
        <f t="shared" si="12"/>
        <v>4492.333333333333</v>
      </c>
      <c r="F119" t="str">
        <f t="shared" si="13"/>
        <v>No</v>
      </c>
      <c r="G119" t="str">
        <f t="shared" si="14"/>
        <v>No</v>
      </c>
      <c r="I119" t="str">
        <f t="shared" si="15"/>
        <v>Yes</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4534</v>
      </c>
      <c r="F120" t="str">
        <f t="shared" si="13"/>
        <v>No</v>
      </c>
      <c r="G120" t="str">
        <f t="shared" si="14"/>
        <v>No</v>
      </c>
      <c r="I120" t="str">
        <f t="shared" si="15"/>
        <v>Yes</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4575.666666666667</v>
      </c>
      <c r="F121" t="str">
        <f t="shared" si="13"/>
        <v>No</v>
      </c>
      <c r="G121" t="str">
        <f t="shared" si="14"/>
        <v>No</v>
      </c>
      <c r="I121" t="str">
        <f t="shared" si="15"/>
        <v>Yes</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4617.333333333333</v>
      </c>
      <c r="F122" t="str">
        <f t="shared" si="13"/>
        <v>No</v>
      </c>
      <c r="G122" t="str">
        <f t="shared" si="14"/>
        <v>No</v>
      </c>
      <c r="I122" t="str">
        <f t="shared" si="15"/>
        <v>Yes</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4659</v>
      </c>
      <c r="F123" t="str">
        <f t="shared" si="13"/>
        <v>No</v>
      </c>
      <c r="G123" t="str">
        <f t="shared" si="14"/>
        <v>No</v>
      </c>
      <c r="I123" t="str">
        <f t="shared" si="15"/>
        <v>Yes</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4700.666666666667</v>
      </c>
      <c r="F124" t="str">
        <f t="shared" si="13"/>
        <v>No</v>
      </c>
      <c r="G124" t="str">
        <f t="shared" si="14"/>
        <v>No</v>
      </c>
      <c r="I124" t="str">
        <f t="shared" si="15"/>
        <v>Yes</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4742.333333333333</v>
      </c>
      <c r="F125" t="str">
        <f t="shared" si="13"/>
        <v>No</v>
      </c>
      <c r="G125" t="str">
        <f t="shared" si="14"/>
        <v>No</v>
      </c>
      <c r="I125" t="str">
        <f t="shared" si="15"/>
        <v>Yes</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4784</v>
      </c>
      <c r="F126" t="str">
        <f t="shared" si="13"/>
        <v>No</v>
      </c>
      <c r="G126" t="str">
        <f t="shared" si="14"/>
        <v>No</v>
      </c>
      <c r="I126" t="str">
        <f t="shared" si="15"/>
        <v>Yes</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4825.666666666667</v>
      </c>
      <c r="F127" t="str">
        <f t="shared" si="13"/>
        <v>No</v>
      </c>
      <c r="G127" t="str">
        <f t="shared" si="14"/>
        <v>No</v>
      </c>
      <c r="I127" t="str">
        <f t="shared" si="15"/>
        <v>Yes</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4867.333333333333</v>
      </c>
      <c r="F128" t="str">
        <f t="shared" si="13"/>
        <v>No</v>
      </c>
      <c r="G128" t="str">
        <f t="shared" si="14"/>
        <v>No</v>
      </c>
      <c r="I128" t="str">
        <f t="shared" si="15"/>
        <v>Yes</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4909</v>
      </c>
      <c r="F129" t="str">
        <f t="shared" si="13"/>
        <v>No</v>
      </c>
      <c r="G129" t="str">
        <f t="shared" si="14"/>
        <v>No</v>
      </c>
      <c r="I129" t="str">
        <f t="shared" si="15"/>
        <v>Yes</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4950.666666666667</v>
      </c>
      <c r="F130" t="str">
        <f t="shared" si="13"/>
        <v>No</v>
      </c>
      <c r="G130" t="str">
        <f t="shared" si="14"/>
        <v>No</v>
      </c>
      <c r="I130" t="str">
        <f t="shared" si="15"/>
        <v>Yes</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4992.333333333333</v>
      </c>
      <c r="F131" t="str">
        <f t="shared" si="13"/>
        <v>No</v>
      </c>
      <c r="G131" t="str">
        <f t="shared" si="14"/>
        <v>No</v>
      </c>
      <c r="I131" t="str">
        <f t="shared" si="15"/>
        <v>Yes</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5034</v>
      </c>
      <c r="F132" t="str">
        <f t="shared" si="13"/>
        <v>No</v>
      </c>
      <c r="G132" t="str">
        <f t="shared" si="14"/>
        <v>No</v>
      </c>
      <c r="I132" t="str">
        <f t="shared" si="15"/>
        <v>Yes</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5075.666666666667</v>
      </c>
      <c r="F133" t="str">
        <f t="shared" si="13"/>
        <v>No</v>
      </c>
      <c r="G133" t="str">
        <f t="shared" si="14"/>
        <v>No</v>
      </c>
      <c r="I133" t="str">
        <f t="shared" si="15"/>
        <v>Yes</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5117.333333333333</v>
      </c>
      <c r="F134" t="str">
        <f t="shared" si="13"/>
        <v>No</v>
      </c>
      <c r="G134" t="str">
        <f t="shared" si="14"/>
        <v>No</v>
      </c>
      <c r="I134" t="str">
        <f t="shared" si="15"/>
        <v>Yes</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5159</v>
      </c>
      <c r="F135" t="str">
        <f t="shared" si="13"/>
        <v>No</v>
      </c>
      <c r="G135" t="str">
        <f t="shared" si="14"/>
        <v>No</v>
      </c>
      <c r="I135" t="str">
        <f t="shared" si="15"/>
        <v>Yes</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5200.666666666667</v>
      </c>
      <c r="F136" t="str">
        <f t="shared" si="13"/>
        <v>No</v>
      </c>
      <c r="G136" t="str">
        <f t="shared" si="14"/>
        <v>No</v>
      </c>
      <c r="I136" t="str">
        <f t="shared" si="15"/>
        <v>Yes</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5242.333333333333</v>
      </c>
      <c r="F137" t="str">
        <f t="shared" si="13"/>
        <v>No</v>
      </c>
      <c r="G137" t="str">
        <f t="shared" si="14"/>
        <v>No</v>
      </c>
      <c r="I137" t="str">
        <f t="shared" si="15"/>
        <v>Yes</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5284</v>
      </c>
      <c r="F138" t="str">
        <f t="shared" ref="F138:F201" si="22">IF(E138&lt;$I$2,"Yes","No")</f>
        <v>No</v>
      </c>
      <c r="G138" t="str">
        <f t="shared" ref="G138:G201" si="23">IF(E138&lt;$J$2,"Yes","No")</f>
        <v>No</v>
      </c>
      <c r="I138" t="str">
        <f t="shared" ref="I138:I201" si="24">IF($E$2&gt;0,"Yes","No")</f>
        <v>Yes</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5325.666666666667</v>
      </c>
      <c r="F139" t="str">
        <f t="shared" si="22"/>
        <v>No</v>
      </c>
      <c r="G139" t="str">
        <f t="shared" si="23"/>
        <v>No</v>
      </c>
      <c r="I139" t="str">
        <f t="shared" si="24"/>
        <v>Yes</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5367.333333333333</v>
      </c>
      <c r="F140" t="str">
        <f t="shared" si="22"/>
        <v>No</v>
      </c>
      <c r="G140" t="str">
        <f t="shared" si="23"/>
        <v>No</v>
      </c>
      <c r="I140" t="str">
        <f t="shared" si="24"/>
        <v>Yes</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5409</v>
      </c>
      <c r="F141" t="str">
        <f t="shared" si="22"/>
        <v>No</v>
      </c>
      <c r="G141" t="str">
        <f t="shared" si="23"/>
        <v>No</v>
      </c>
      <c r="I141" t="str">
        <f t="shared" si="24"/>
        <v>Yes</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5450.666666666667</v>
      </c>
      <c r="F142" t="str">
        <f t="shared" si="22"/>
        <v>No</v>
      </c>
      <c r="G142" t="str">
        <f t="shared" si="23"/>
        <v>No</v>
      </c>
      <c r="I142" t="str">
        <f t="shared" si="24"/>
        <v>Yes</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5492.333333333333</v>
      </c>
      <c r="F143" t="str">
        <f t="shared" si="22"/>
        <v>No</v>
      </c>
      <c r="G143" t="str">
        <f t="shared" si="23"/>
        <v>No</v>
      </c>
      <c r="I143" t="str">
        <f t="shared" si="24"/>
        <v>Yes</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5534</v>
      </c>
      <c r="F144" t="str">
        <f t="shared" si="22"/>
        <v>No</v>
      </c>
      <c r="G144" t="str">
        <f t="shared" si="23"/>
        <v>No</v>
      </c>
      <c r="I144" t="str">
        <f t="shared" si="24"/>
        <v>Yes</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5575.666666666667</v>
      </c>
      <c r="F145" t="str">
        <f t="shared" si="22"/>
        <v>No</v>
      </c>
      <c r="G145" t="str">
        <f t="shared" si="23"/>
        <v>No</v>
      </c>
      <c r="I145" t="str">
        <f t="shared" si="24"/>
        <v>Yes</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5617.333333333333</v>
      </c>
      <c r="F146" t="str">
        <f t="shared" si="22"/>
        <v>No</v>
      </c>
      <c r="G146" t="str">
        <f t="shared" si="23"/>
        <v>No</v>
      </c>
      <c r="I146" t="str">
        <f t="shared" si="24"/>
        <v>Yes</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5659</v>
      </c>
      <c r="F147" t="str">
        <f t="shared" si="22"/>
        <v>No</v>
      </c>
      <c r="G147" t="str">
        <f t="shared" si="23"/>
        <v>No</v>
      </c>
      <c r="I147" t="str">
        <f t="shared" si="24"/>
        <v>Yes</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5700.666666666667</v>
      </c>
      <c r="F148" t="str">
        <f t="shared" si="22"/>
        <v>No</v>
      </c>
      <c r="G148" t="str">
        <f t="shared" si="23"/>
        <v>No</v>
      </c>
      <c r="I148" t="str">
        <f t="shared" si="24"/>
        <v>Yes</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5742.333333333333</v>
      </c>
      <c r="F149" t="str">
        <f t="shared" si="22"/>
        <v>No</v>
      </c>
      <c r="G149" t="str">
        <f t="shared" si="23"/>
        <v>No</v>
      </c>
      <c r="I149" t="str">
        <f t="shared" si="24"/>
        <v>Yes</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5784</v>
      </c>
      <c r="F150" t="str">
        <f t="shared" si="22"/>
        <v>No</v>
      </c>
      <c r="G150" t="str">
        <f t="shared" si="23"/>
        <v>No</v>
      </c>
      <c r="I150" t="str">
        <f t="shared" si="24"/>
        <v>Yes</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5825.666666666667</v>
      </c>
      <c r="F151" t="str">
        <f t="shared" si="22"/>
        <v>No</v>
      </c>
      <c r="G151" t="str">
        <f t="shared" si="23"/>
        <v>No</v>
      </c>
      <c r="I151" t="str">
        <f t="shared" si="24"/>
        <v>Yes</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5867.333333333333</v>
      </c>
      <c r="F152" t="str">
        <f t="shared" si="22"/>
        <v>No</v>
      </c>
      <c r="G152" t="str">
        <f t="shared" si="23"/>
        <v>No</v>
      </c>
      <c r="I152" t="str">
        <f t="shared" si="24"/>
        <v>Yes</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5909</v>
      </c>
      <c r="F153" t="str">
        <f t="shared" si="22"/>
        <v>No</v>
      </c>
      <c r="G153" t="str">
        <f t="shared" si="23"/>
        <v>No</v>
      </c>
      <c r="I153" t="str">
        <f t="shared" si="24"/>
        <v>Yes</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5950.666666666667</v>
      </c>
      <c r="F154" t="str">
        <f t="shared" si="22"/>
        <v>No</v>
      </c>
      <c r="G154" t="str">
        <f t="shared" si="23"/>
        <v>No</v>
      </c>
      <c r="I154" t="str">
        <f t="shared" si="24"/>
        <v>Yes</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5992.333333333333</v>
      </c>
      <c r="F155" t="str">
        <f t="shared" si="22"/>
        <v>No</v>
      </c>
      <c r="G155" t="str">
        <f t="shared" si="23"/>
        <v>No</v>
      </c>
      <c r="I155" t="str">
        <f t="shared" si="24"/>
        <v>Yes</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6034</v>
      </c>
      <c r="F156" t="str">
        <f t="shared" si="22"/>
        <v>No</v>
      </c>
      <c r="G156" t="str">
        <f t="shared" si="23"/>
        <v>No</v>
      </c>
      <c r="I156" t="str">
        <f t="shared" si="24"/>
        <v>Yes</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6075.666666666667</v>
      </c>
      <c r="F157" t="str">
        <f t="shared" si="22"/>
        <v>No</v>
      </c>
      <c r="G157" t="str">
        <f t="shared" si="23"/>
        <v>No</v>
      </c>
      <c r="I157" t="str">
        <f t="shared" si="24"/>
        <v>Yes</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6117.333333333333</v>
      </c>
      <c r="F158" t="str">
        <f t="shared" si="22"/>
        <v>No</v>
      </c>
      <c r="G158" t="str">
        <f t="shared" si="23"/>
        <v>No</v>
      </c>
      <c r="I158" t="str">
        <f t="shared" si="24"/>
        <v>Yes</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6159</v>
      </c>
      <c r="F159" t="str">
        <f t="shared" si="22"/>
        <v>No</v>
      </c>
      <c r="G159" t="str">
        <f t="shared" si="23"/>
        <v>No</v>
      </c>
      <c r="I159" t="str">
        <f t="shared" si="24"/>
        <v>Yes</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6200.666666666667</v>
      </c>
      <c r="F160" t="str">
        <f t="shared" si="22"/>
        <v>No</v>
      </c>
      <c r="G160" t="str">
        <f t="shared" si="23"/>
        <v>No</v>
      </c>
      <c r="I160" t="str">
        <f t="shared" si="24"/>
        <v>Yes</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6242.333333333333</v>
      </c>
      <c r="F161" t="str">
        <f t="shared" si="22"/>
        <v>No</v>
      </c>
      <c r="G161" t="str">
        <f t="shared" si="23"/>
        <v>No</v>
      </c>
      <c r="I161" t="str">
        <f t="shared" si="24"/>
        <v>Yes</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6284</v>
      </c>
      <c r="F162" t="str">
        <f t="shared" si="22"/>
        <v>No</v>
      </c>
      <c r="G162" t="str">
        <f t="shared" si="23"/>
        <v>No</v>
      </c>
      <c r="I162" t="str">
        <f t="shared" si="24"/>
        <v>Yes</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6325.666666666667</v>
      </c>
      <c r="F163" t="str">
        <f t="shared" si="22"/>
        <v>No</v>
      </c>
      <c r="G163" t="str">
        <f t="shared" si="23"/>
        <v>No</v>
      </c>
      <c r="I163" t="str">
        <f t="shared" si="24"/>
        <v>Yes</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6367.333333333333</v>
      </c>
      <c r="F164" t="str">
        <f t="shared" si="22"/>
        <v>No</v>
      </c>
      <c r="G164" t="str">
        <f t="shared" si="23"/>
        <v>No</v>
      </c>
      <c r="I164" t="str">
        <f t="shared" si="24"/>
        <v>Yes</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6409</v>
      </c>
      <c r="F165" t="str">
        <f t="shared" si="22"/>
        <v>No</v>
      </c>
      <c r="G165" t="str">
        <f t="shared" si="23"/>
        <v>No</v>
      </c>
      <c r="I165" t="str">
        <f t="shared" si="24"/>
        <v>Yes</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6450.666666666667</v>
      </c>
      <c r="F166" t="str">
        <f t="shared" si="22"/>
        <v>No</v>
      </c>
      <c r="G166" t="str">
        <f t="shared" si="23"/>
        <v>No</v>
      </c>
      <c r="I166" t="str">
        <f t="shared" si="24"/>
        <v>Yes</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6492.333333333333</v>
      </c>
      <c r="F167" t="str">
        <f t="shared" si="22"/>
        <v>No</v>
      </c>
      <c r="G167" t="str">
        <f t="shared" si="23"/>
        <v>No</v>
      </c>
      <c r="I167" t="str">
        <f t="shared" si="24"/>
        <v>Yes</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6534</v>
      </c>
      <c r="F168" t="str">
        <f t="shared" si="22"/>
        <v>No</v>
      </c>
      <c r="G168" t="str">
        <f t="shared" si="23"/>
        <v>No</v>
      </c>
      <c r="I168" t="str">
        <f t="shared" si="24"/>
        <v>Yes</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6575.666666666667</v>
      </c>
      <c r="F169" t="str">
        <f t="shared" si="22"/>
        <v>No</v>
      </c>
      <c r="G169" t="str">
        <f t="shared" si="23"/>
        <v>No</v>
      </c>
      <c r="I169" t="str">
        <f t="shared" si="24"/>
        <v>Yes</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6617.333333333333</v>
      </c>
      <c r="F170" t="str">
        <f t="shared" si="22"/>
        <v>No</v>
      </c>
      <c r="G170" t="str">
        <f t="shared" si="23"/>
        <v>No</v>
      </c>
      <c r="I170" t="str">
        <f t="shared" si="24"/>
        <v>Yes</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6659</v>
      </c>
      <c r="F171" t="str">
        <f t="shared" si="22"/>
        <v>No</v>
      </c>
      <c r="G171" t="str">
        <f t="shared" si="23"/>
        <v>No</v>
      </c>
      <c r="I171" t="str">
        <f t="shared" si="24"/>
        <v>Yes</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6700.666666666667</v>
      </c>
      <c r="F172" t="str">
        <f t="shared" si="22"/>
        <v>No</v>
      </c>
      <c r="G172" t="str">
        <f t="shared" si="23"/>
        <v>No</v>
      </c>
      <c r="I172" t="str">
        <f t="shared" si="24"/>
        <v>Yes</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6742.333333333333</v>
      </c>
      <c r="F173" t="str">
        <f t="shared" si="22"/>
        <v>No</v>
      </c>
      <c r="G173" t="str">
        <f t="shared" si="23"/>
        <v>No</v>
      </c>
      <c r="I173" t="str">
        <f t="shared" si="24"/>
        <v>Yes</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6784</v>
      </c>
      <c r="F174" t="str">
        <f t="shared" si="22"/>
        <v>No</v>
      </c>
      <c r="G174" t="str">
        <f t="shared" si="23"/>
        <v>No</v>
      </c>
      <c r="I174" t="str">
        <f t="shared" si="24"/>
        <v>Yes</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6825.666666666667</v>
      </c>
      <c r="F175" t="str">
        <f t="shared" si="22"/>
        <v>No</v>
      </c>
      <c r="G175" t="str">
        <f t="shared" si="23"/>
        <v>No</v>
      </c>
      <c r="I175" t="str">
        <f t="shared" si="24"/>
        <v>Yes</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6867.333333333333</v>
      </c>
      <c r="F176" t="str">
        <f t="shared" si="22"/>
        <v>No</v>
      </c>
      <c r="G176" t="str">
        <f t="shared" si="23"/>
        <v>No</v>
      </c>
      <c r="I176" t="str">
        <f t="shared" si="24"/>
        <v>Yes</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6909</v>
      </c>
      <c r="F177" t="str">
        <f t="shared" si="22"/>
        <v>No</v>
      </c>
      <c r="G177" t="str">
        <f t="shared" si="23"/>
        <v>No</v>
      </c>
      <c r="I177" t="str">
        <f t="shared" si="24"/>
        <v>Yes</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6950.666666666667</v>
      </c>
      <c r="F178" t="str">
        <f t="shared" si="22"/>
        <v>No</v>
      </c>
      <c r="G178" t="str">
        <f t="shared" si="23"/>
        <v>No</v>
      </c>
      <c r="I178" t="str">
        <f t="shared" si="24"/>
        <v>Yes</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6992.333333333333</v>
      </c>
      <c r="F179" t="str">
        <f t="shared" si="22"/>
        <v>No</v>
      </c>
      <c r="G179" t="str">
        <f t="shared" si="23"/>
        <v>No</v>
      </c>
      <c r="I179" t="str">
        <f t="shared" si="24"/>
        <v>Yes</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7034</v>
      </c>
      <c r="F180" t="str">
        <f t="shared" si="22"/>
        <v>No</v>
      </c>
      <c r="G180" t="str">
        <f t="shared" si="23"/>
        <v>No</v>
      </c>
      <c r="I180" t="str">
        <f t="shared" si="24"/>
        <v>Yes</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7075.666666666667</v>
      </c>
      <c r="F181" t="str">
        <f t="shared" si="22"/>
        <v>No</v>
      </c>
      <c r="G181" t="str">
        <f t="shared" si="23"/>
        <v>No</v>
      </c>
      <c r="I181" t="str">
        <f t="shared" si="24"/>
        <v>Yes</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7117.333333333333</v>
      </c>
      <c r="F182" t="str">
        <f t="shared" si="22"/>
        <v>No</v>
      </c>
      <c r="G182" t="str">
        <f t="shared" si="23"/>
        <v>No</v>
      </c>
      <c r="I182" t="str">
        <f t="shared" si="24"/>
        <v>Yes</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7159</v>
      </c>
      <c r="F183" t="str">
        <f t="shared" si="22"/>
        <v>No</v>
      </c>
      <c r="G183" t="str">
        <f t="shared" si="23"/>
        <v>No</v>
      </c>
      <c r="I183" t="str">
        <f t="shared" si="24"/>
        <v>Yes</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7200.666666666667</v>
      </c>
      <c r="F184" t="str">
        <f t="shared" si="22"/>
        <v>No</v>
      </c>
      <c r="G184" t="str">
        <f t="shared" si="23"/>
        <v>No</v>
      </c>
      <c r="I184" t="str">
        <f t="shared" si="24"/>
        <v>Yes</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7242.333333333333</v>
      </c>
      <c r="F185" t="str">
        <f t="shared" si="22"/>
        <v>No</v>
      </c>
      <c r="G185" t="str">
        <f t="shared" si="23"/>
        <v>No</v>
      </c>
      <c r="I185" t="str">
        <f t="shared" si="24"/>
        <v>Yes</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7284</v>
      </c>
      <c r="F186" t="str">
        <f t="shared" si="22"/>
        <v>No</v>
      </c>
      <c r="G186" t="str">
        <f t="shared" si="23"/>
        <v>No</v>
      </c>
      <c r="I186" t="str">
        <f t="shared" si="24"/>
        <v>Yes</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7325.666666666667</v>
      </c>
      <c r="F187" t="str">
        <f t="shared" si="22"/>
        <v>No</v>
      </c>
      <c r="G187" t="str">
        <f t="shared" si="23"/>
        <v>No</v>
      </c>
      <c r="I187" t="str">
        <f t="shared" si="24"/>
        <v>Yes</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7367.333333333333</v>
      </c>
      <c r="F188" t="str">
        <f t="shared" si="22"/>
        <v>No</v>
      </c>
      <c r="G188" t="str">
        <f t="shared" si="23"/>
        <v>No</v>
      </c>
      <c r="I188" t="str">
        <f t="shared" si="24"/>
        <v>Yes</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7409</v>
      </c>
      <c r="F189" t="str">
        <f t="shared" si="22"/>
        <v>No</v>
      </c>
      <c r="G189" t="str">
        <f t="shared" si="23"/>
        <v>No</v>
      </c>
      <c r="I189" t="str">
        <f t="shared" si="24"/>
        <v>Yes</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7450.666666666667</v>
      </c>
      <c r="F190" t="str">
        <f t="shared" si="22"/>
        <v>No</v>
      </c>
      <c r="G190" t="str">
        <f t="shared" si="23"/>
        <v>No</v>
      </c>
      <c r="I190" t="str">
        <f t="shared" si="24"/>
        <v>Yes</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7492.333333333333</v>
      </c>
      <c r="F191" t="str">
        <f t="shared" si="22"/>
        <v>No</v>
      </c>
      <c r="G191" t="str">
        <f t="shared" si="23"/>
        <v>No</v>
      </c>
      <c r="I191" t="str">
        <f t="shared" si="24"/>
        <v>Yes</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7534</v>
      </c>
      <c r="F192" t="str">
        <f t="shared" si="22"/>
        <v>No</v>
      </c>
      <c r="G192" t="str">
        <f t="shared" si="23"/>
        <v>No</v>
      </c>
      <c r="I192" t="str">
        <f t="shared" si="24"/>
        <v>Yes</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7575.666666666667</v>
      </c>
      <c r="F193" t="str">
        <f t="shared" si="22"/>
        <v>No</v>
      </c>
      <c r="G193" t="str">
        <f t="shared" si="23"/>
        <v>No</v>
      </c>
      <c r="I193" t="str">
        <f t="shared" si="24"/>
        <v>Yes</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7617.333333333333</v>
      </c>
      <c r="F194" t="str">
        <f t="shared" si="22"/>
        <v>No</v>
      </c>
      <c r="G194" t="str">
        <f t="shared" si="23"/>
        <v>No</v>
      </c>
      <c r="I194" t="str">
        <f t="shared" si="24"/>
        <v>Yes</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7659</v>
      </c>
      <c r="F195" t="str">
        <f t="shared" si="22"/>
        <v>No</v>
      </c>
      <c r="G195" t="str">
        <f t="shared" si="23"/>
        <v>No</v>
      </c>
      <c r="I195" t="str">
        <f t="shared" si="24"/>
        <v>Yes</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7700.666666666667</v>
      </c>
      <c r="F196" t="str">
        <f t="shared" si="22"/>
        <v>No</v>
      </c>
      <c r="G196" t="str">
        <f t="shared" si="23"/>
        <v>No</v>
      </c>
      <c r="I196" t="str">
        <f t="shared" si="24"/>
        <v>Yes</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7742.333333333333</v>
      </c>
      <c r="F197" t="str">
        <f t="shared" si="22"/>
        <v>No</v>
      </c>
      <c r="G197" t="str">
        <f t="shared" si="23"/>
        <v>No</v>
      </c>
      <c r="I197" t="str">
        <f t="shared" si="24"/>
        <v>Yes</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7784</v>
      </c>
      <c r="F198" t="str">
        <f t="shared" si="22"/>
        <v>No</v>
      </c>
      <c r="G198" t="str">
        <f t="shared" si="23"/>
        <v>No</v>
      </c>
      <c r="I198" t="str">
        <f t="shared" si="24"/>
        <v>Yes</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7825.666666666667</v>
      </c>
      <c r="F199" t="str">
        <f t="shared" si="22"/>
        <v>No</v>
      </c>
      <c r="G199" t="str">
        <f t="shared" si="23"/>
        <v>No</v>
      </c>
      <c r="I199" t="str">
        <f t="shared" si="24"/>
        <v>Yes</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7867.333333333333</v>
      </c>
      <c r="F200" t="str">
        <f t="shared" si="22"/>
        <v>No</v>
      </c>
      <c r="G200" t="str">
        <f t="shared" si="23"/>
        <v>No</v>
      </c>
      <c r="I200" t="str">
        <f t="shared" si="24"/>
        <v>Yes</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7909</v>
      </c>
      <c r="F201" t="str">
        <f t="shared" si="22"/>
        <v>No</v>
      </c>
      <c r="G201" t="str">
        <f t="shared" si="23"/>
        <v>No</v>
      </c>
      <c r="I201" t="str">
        <f t="shared" si="24"/>
        <v>Yes</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7950.666666666667</v>
      </c>
      <c r="F202" t="str">
        <f t="shared" ref="F202:F209" si="31">IF(E202&lt;$I$2,"Yes","No")</f>
        <v>No</v>
      </c>
      <c r="G202" t="str">
        <f t="shared" ref="G202:G209" si="32">IF(E202&lt;$J$2,"Yes","No")</f>
        <v>No</v>
      </c>
      <c r="I202" t="str">
        <f t="shared" ref="I202:I214" si="33">IF($E$2&gt;0,"Yes","No")</f>
        <v>Yes</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7992.333333333333</v>
      </c>
      <c r="F203" t="str">
        <f t="shared" si="31"/>
        <v>No</v>
      </c>
      <c r="G203" t="str">
        <f t="shared" si="32"/>
        <v>No</v>
      </c>
      <c r="I203" t="str">
        <f t="shared" si="33"/>
        <v>Yes</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8034</v>
      </c>
      <c r="F204" t="str">
        <f t="shared" si="31"/>
        <v>No</v>
      </c>
      <c r="G204" t="str">
        <f t="shared" si="32"/>
        <v>No</v>
      </c>
      <c r="I204" t="str">
        <f t="shared" si="33"/>
        <v>Yes</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8075.666666666667</v>
      </c>
      <c r="F205" t="str">
        <f t="shared" si="31"/>
        <v>No</v>
      </c>
      <c r="G205" t="str">
        <f t="shared" si="32"/>
        <v>No</v>
      </c>
      <c r="I205" t="str">
        <f t="shared" si="33"/>
        <v>Yes</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8117.3333333333339</v>
      </c>
      <c r="F206" t="str">
        <f t="shared" si="31"/>
        <v>No</v>
      </c>
      <c r="G206" t="str">
        <f t="shared" si="32"/>
        <v>No</v>
      </c>
      <c r="I206" t="str">
        <f t="shared" si="33"/>
        <v>Yes</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8159</v>
      </c>
      <c r="F207" t="str">
        <f t="shared" si="31"/>
        <v>No</v>
      </c>
      <c r="G207" t="str">
        <f t="shared" si="32"/>
        <v>No</v>
      </c>
      <c r="I207" t="str">
        <f t="shared" si="33"/>
        <v>Yes</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8200.6666666666661</v>
      </c>
      <c r="F208" t="str">
        <f t="shared" si="31"/>
        <v>No</v>
      </c>
      <c r="G208" t="str">
        <f t="shared" si="32"/>
        <v>No</v>
      </c>
      <c r="I208" t="str">
        <f t="shared" si="33"/>
        <v>Yes</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8242.3333333333339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1289</v>
      </c>
      <c r="C212" s="4">
        <f>'Total income package'!$D$80</f>
        <v>0</v>
      </c>
      <c r="D212" s="4">
        <f t="shared" si="29"/>
        <v>1289</v>
      </c>
      <c r="E212" s="4">
        <f>IF(B212-$H$2&lt;0,0,B212-$H$2)</f>
        <v>1198</v>
      </c>
      <c r="F212" t="str">
        <f>IF(E212&lt;$I$2,"Yes","No")</f>
        <v>No</v>
      </c>
      <c r="G212" t="str">
        <f>IF(E212&lt;$J$2,"Yes","No")</f>
        <v>Yes</v>
      </c>
      <c r="I212" t="str">
        <f t="shared" si="33"/>
        <v>Yes</v>
      </c>
      <c r="J212" t="str">
        <f>IF(E212&lt;$K$2,"Yes","No")</f>
        <v>Yes</v>
      </c>
      <c r="K212" t="str">
        <f>IF(E212&lt;$L$2,"Yes","No")</f>
        <v>Yes</v>
      </c>
      <c r="L212" s="203">
        <f>IF(AND('Total income package'!$A$16=TRUE,E212&lt;$J$2),$M$2,0)</f>
        <v>517.25</v>
      </c>
      <c r="M212" s="179">
        <f>IF(AND('Total income package'!$A$16=TRUE,E212&lt;$L$2),$P$2,0)</f>
        <v>318.5</v>
      </c>
      <c r="N212" s="204">
        <f>L212+M212</f>
        <v>835.75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1289</v>
      </c>
      <c r="C214" s="4">
        <f>'Total income package'!$D$80</f>
        <v>0</v>
      </c>
      <c r="D214" s="4">
        <f t="shared" si="29"/>
        <v>1289</v>
      </c>
      <c r="E214" s="4">
        <f>IF(B214-$H$2&lt;0,0,B214-$H$2)</f>
        <v>1198</v>
      </c>
      <c r="F214" t="str">
        <f>IF(E214&lt;$I$2,"Yes","No")</f>
        <v>No</v>
      </c>
      <c r="G214" t="str">
        <f>IF(E214&lt;$J$2,"Yes","No")</f>
        <v>Yes</v>
      </c>
      <c r="I214" t="str">
        <f t="shared" si="33"/>
        <v>Yes</v>
      </c>
      <c r="J214" t="str">
        <f>IF(E214&lt;$K$2,"Yes","No")</f>
        <v>Yes</v>
      </c>
      <c r="K214" t="str">
        <f>IF(E214&lt;$L$2,"Yes","No")</f>
        <v>Yes</v>
      </c>
      <c r="L214" s="203">
        <f>IF(AND('Total income package'!$A$16=TRUE,E214&lt;$J$2),$M$2,0)</f>
        <v>517.25</v>
      </c>
      <c r="M214" s="179">
        <f>IF(AND('Total income package'!$A$16=TRUE,E214&lt;$L$2),$P$2,0)</f>
        <v>318.5</v>
      </c>
      <c r="N214" s="204">
        <f>L214+M214</f>
        <v>835.75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tabSelected="1"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2</v>
      </c>
      <c r="D2" s="77">
        <f>COUNTIF('Total income package'!B37:B44,"&gt;59")</f>
        <v>0</v>
      </c>
      <c r="E2" s="77">
        <f>'Total income package'!F59+'Total income package'!D59+'Total income package'!H59+'Total income package'!D64</f>
        <v>1</v>
      </c>
      <c r="F2" s="78">
        <f>VLOOKUP($C$2,'Program specific data'!$A$85:$D$92,3)</f>
        <v>2291.9</v>
      </c>
      <c r="G2" s="78">
        <f>VLOOKUP($C$2,'Program specific data'!$A$85:$D$92,2)</f>
        <v>3526</v>
      </c>
      <c r="H2" s="78">
        <f>VLOOKUP($C$2,'Program specific data'!$A$72:$B$79,2)</f>
        <v>209</v>
      </c>
      <c r="I2" s="78">
        <f>IF('Total income package'!B70="Standard Utility Allowance (SUA)",VLOOKUP($C$2,'Program specific data'!$A$72:$C$79,3),'Total income package'!D70)</f>
        <v>500</v>
      </c>
      <c r="J2" s="78">
        <f>VLOOKUP($C$2,'Program specific data'!$A$85:$D$92,4)</f>
        <v>1763</v>
      </c>
      <c r="K2" s="78">
        <f>VLOOKUP($C$2,'Program specific data'!A97:B104,2)</f>
        <v>546</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385</v>
      </c>
      <c r="D6" s="20">
        <f>B6/12</f>
        <v>0</v>
      </c>
      <c r="E6" s="20">
        <f>'Total income package'!$D$80</f>
        <v>0</v>
      </c>
      <c r="F6" s="20">
        <f>'Total income package'!$H$61+'Total income package'!$F$66</f>
        <v>100</v>
      </c>
      <c r="G6" s="20">
        <f>D6+C6+E6+F6</f>
        <v>485</v>
      </c>
      <c r="H6" s="20" t="str">
        <f t="shared" ref="H6:H69" si="0">IF(G6&lt;$G$2,"Yes","No")</f>
        <v>Yes</v>
      </c>
      <c r="I6" s="20">
        <f t="shared" ref="I6:I69" si="1">D6*0.2</f>
        <v>0</v>
      </c>
      <c r="J6" s="20">
        <f t="shared" ref="J6:J69" si="2">$H$2</f>
        <v>209</v>
      </c>
      <c r="K6" s="20">
        <f>IF(G6-I6-J6&gt;0,G6-I6-J6,0)</f>
        <v>276</v>
      </c>
      <c r="L6" s="20">
        <f>$I$2</f>
        <v>500</v>
      </c>
      <c r="M6" s="20">
        <f>'Total income package'!$B$69</f>
        <v>500</v>
      </c>
      <c r="N6" s="20">
        <f>L6+M6</f>
        <v>1000</v>
      </c>
      <c r="O6" s="344" t="str">
        <f>IF(AND($D$2+$E$2&gt;0,K6&lt;$J$2),"Yes","No")</f>
        <v>Yes</v>
      </c>
      <c r="P6" s="20">
        <f>K6/2</f>
        <v>138</v>
      </c>
      <c r="Q6" s="346">
        <f>IF(AND(D$2+$E$2=0,N6&lt;$L$2,N6-P6&gt;0),N6-P6,IF(AND(D$2+$E$2=0,N6&gt;$L$2),$L$2,0))</f>
        <v>0</v>
      </c>
      <c r="R6" s="20">
        <f>IF(AND(D$2+$E$2&gt;0,N6-SNAP!P6&gt;0),N6-SNAP!P6,0)</f>
        <v>862</v>
      </c>
      <c r="S6" s="20">
        <f>IF(AND($D$2+$E$2&gt;0,K6-R6&gt;0),K6-R6,IF(AND($D$2+$E$2=0,K6-Q6&gt;0),K6-Q6,0))</f>
        <v>0</v>
      </c>
      <c r="T6" s="20">
        <f t="shared" ref="T6:T69" si="3">S6*0.3</f>
        <v>0</v>
      </c>
      <c r="U6" s="20">
        <f>IF(AND('Total income package'!$A$18=TRUE,OR(H6="Yes",O6="Yes"),G6&lt;$G$2,$K$2-T6&gt;10),ROUNDDOWN($K$2-T6,0),0)</f>
        <v>546</v>
      </c>
      <c r="V6" s="176">
        <f>IF(AND(C2&lt;3,U6&gt;10,U6&lt;24),24,U6)</f>
        <v>546</v>
      </c>
      <c r="W6" s="71"/>
      <c r="X6" s="24"/>
    </row>
    <row r="7" spans="2:25" x14ac:dyDescent="0.25">
      <c r="B7" s="72">
        <v>500</v>
      </c>
      <c r="C7" s="19">
        <f>MAX('TANF-VIEW'!L10,'TANF-VIEW'!T10)</f>
        <v>385</v>
      </c>
      <c r="D7" s="20">
        <f>B7/12</f>
        <v>41.666666666666664</v>
      </c>
      <c r="E7" s="20">
        <f>'Total income package'!$D$80</f>
        <v>0</v>
      </c>
      <c r="F7" s="20">
        <f>'Total income package'!$H$61+'Total income package'!$F$66</f>
        <v>100</v>
      </c>
      <c r="G7" s="20">
        <f t="shared" ref="G7:G70" si="4">D7+C7+E7+F7</f>
        <v>526.66666666666674</v>
      </c>
      <c r="H7" s="20" t="str">
        <f t="shared" si="0"/>
        <v>Yes</v>
      </c>
      <c r="I7" s="20">
        <f t="shared" si="1"/>
        <v>8.3333333333333339</v>
      </c>
      <c r="J7" s="20">
        <f t="shared" si="2"/>
        <v>209</v>
      </c>
      <c r="K7" s="20">
        <f t="shared" ref="K7:K69" si="5">IF(G7-I7-J7&gt;0,G7-I7-J7,0)</f>
        <v>309.33333333333337</v>
      </c>
      <c r="L7" s="20">
        <f t="shared" ref="L7:L70" si="6">$I$2</f>
        <v>500</v>
      </c>
      <c r="M7" s="20">
        <f>'Total income package'!$B$69</f>
        <v>500</v>
      </c>
      <c r="N7" s="20">
        <f t="shared" ref="N7:N70" si="7">L7+M7</f>
        <v>1000</v>
      </c>
      <c r="O7" s="344" t="str">
        <f t="shared" ref="O7:O70" si="8">IF(AND($D$2+$E$2&gt;0,K7&lt;$J$2),"Yes","No")</f>
        <v>Yes</v>
      </c>
      <c r="P7" s="20">
        <f t="shared" ref="P7:P70" si="9">K7/2</f>
        <v>154.66666666666669</v>
      </c>
      <c r="Q7" s="346">
        <f t="shared" ref="Q7:Q69" si="10">IF(AND(D$2+$E$2=0,N7&lt;$L$2,N7-P7&gt;0),N7-P7,IF(AND(D$2+$E$2=0,N7&gt;$L$2),$L$2,0))</f>
        <v>0</v>
      </c>
      <c r="R7" s="20">
        <f>IF(AND(D$2+$E$2&gt;0,N7-SNAP!P7&gt;0),N7-SNAP!P7,0)</f>
        <v>845.33333333333326</v>
      </c>
      <c r="S7" s="20">
        <f t="shared" ref="S7:S70" si="11">IF(AND($D$2+$E$2&gt;0,K7-R7&gt;0),K7-R7,IF(AND($D$2+$E$2=0,K7-Q7&gt;0),K7-Q7,0))</f>
        <v>0</v>
      </c>
      <c r="T7" s="20">
        <f t="shared" si="3"/>
        <v>0</v>
      </c>
      <c r="U7" s="20">
        <f>IF(AND('Total income package'!$A$18=TRUE,OR(H7="Yes",O7="Yes"),G7&lt;$G$2,$K$2-T7&gt;10),ROUNDDOWN($K$2-T7,0),0)</f>
        <v>546</v>
      </c>
      <c r="V7" s="176">
        <f t="shared" ref="V7:V70" si="12">IF(AND(C3&lt;3,U7&gt;10,U7&lt;24),24,U7)</f>
        <v>546</v>
      </c>
      <c r="W7" s="71"/>
      <c r="X7" s="24"/>
    </row>
    <row r="8" spans="2:25" x14ac:dyDescent="0.25">
      <c r="B8" s="72">
        <v>1000</v>
      </c>
      <c r="C8" s="19">
        <f>MAX('TANF-VIEW'!L11,'TANF-VIEW'!T11)</f>
        <v>385</v>
      </c>
      <c r="D8" s="20">
        <f>B8/12</f>
        <v>83.333333333333329</v>
      </c>
      <c r="E8" s="20">
        <f>'Total income package'!$D$80</f>
        <v>0</v>
      </c>
      <c r="F8" s="20">
        <f>'Total income package'!$H$61+'Total income package'!$F$66</f>
        <v>100</v>
      </c>
      <c r="G8" s="20">
        <f t="shared" si="4"/>
        <v>568.33333333333326</v>
      </c>
      <c r="H8" s="20" t="str">
        <f t="shared" si="0"/>
        <v>Yes</v>
      </c>
      <c r="I8" s="20">
        <f t="shared" si="1"/>
        <v>16.666666666666668</v>
      </c>
      <c r="J8" s="20">
        <f t="shared" si="2"/>
        <v>209</v>
      </c>
      <c r="K8" s="20">
        <f t="shared" si="5"/>
        <v>342.66666666666663</v>
      </c>
      <c r="L8" s="20">
        <f t="shared" si="6"/>
        <v>500</v>
      </c>
      <c r="M8" s="20">
        <f>'Total income package'!$B$69</f>
        <v>500</v>
      </c>
      <c r="N8" s="20">
        <f t="shared" si="7"/>
        <v>1000</v>
      </c>
      <c r="O8" s="344" t="str">
        <f t="shared" si="8"/>
        <v>Yes</v>
      </c>
      <c r="P8" s="20">
        <f t="shared" si="9"/>
        <v>171.33333333333331</v>
      </c>
      <c r="Q8" s="346">
        <f t="shared" si="10"/>
        <v>0</v>
      </c>
      <c r="R8" s="20">
        <f>IF(AND(D$2+$E$2&gt;0,N8-SNAP!P8&gt;0),N8-SNAP!P8,0)</f>
        <v>828.66666666666674</v>
      </c>
      <c r="S8" s="20">
        <f t="shared" si="11"/>
        <v>0</v>
      </c>
      <c r="T8" s="20">
        <f t="shared" si="3"/>
        <v>0</v>
      </c>
      <c r="U8" s="20">
        <f>IF(AND('Total income package'!$A$18=TRUE,OR(H8="Yes",O8="Yes"),G8&lt;$G$2,$K$2-T8&gt;10),ROUNDDOWN($K$2-T8,0),0)</f>
        <v>546</v>
      </c>
      <c r="V8" s="176">
        <f t="shared" si="12"/>
        <v>546</v>
      </c>
      <c r="W8" s="5"/>
    </row>
    <row r="9" spans="2:25" x14ac:dyDescent="0.25">
      <c r="B9" s="72">
        <v>1500</v>
      </c>
      <c r="C9" s="19">
        <f>MAX('TANF-VIEW'!L12,'TANF-VIEW'!T12)</f>
        <v>385</v>
      </c>
      <c r="D9" s="20">
        <f t="shared" ref="D9:D72" si="13">B9/12</f>
        <v>125</v>
      </c>
      <c r="E9" s="20">
        <f>'Total income package'!$D$80</f>
        <v>0</v>
      </c>
      <c r="F9" s="20">
        <f>'Total income package'!$H$61+'Total income package'!$F$66</f>
        <v>100</v>
      </c>
      <c r="G9" s="20">
        <f t="shared" si="4"/>
        <v>610</v>
      </c>
      <c r="H9" s="20" t="str">
        <f t="shared" si="0"/>
        <v>Yes</v>
      </c>
      <c r="I9" s="20">
        <f t="shared" si="1"/>
        <v>25</v>
      </c>
      <c r="J9" s="20">
        <f t="shared" si="2"/>
        <v>209</v>
      </c>
      <c r="K9" s="20">
        <f t="shared" si="5"/>
        <v>376</v>
      </c>
      <c r="L9" s="20">
        <f t="shared" si="6"/>
        <v>500</v>
      </c>
      <c r="M9" s="20">
        <f>'Total income package'!$B$69</f>
        <v>500</v>
      </c>
      <c r="N9" s="20">
        <f t="shared" si="7"/>
        <v>1000</v>
      </c>
      <c r="O9" s="344" t="str">
        <f t="shared" si="8"/>
        <v>Yes</v>
      </c>
      <c r="P9" s="20">
        <f t="shared" si="9"/>
        <v>188</v>
      </c>
      <c r="Q9" s="346">
        <f t="shared" si="10"/>
        <v>0</v>
      </c>
      <c r="R9" s="20">
        <f>IF(AND(D$2+$E$2&gt;0,N9-SNAP!P9&gt;0),N9-SNAP!P9,0)</f>
        <v>812</v>
      </c>
      <c r="S9" s="20">
        <f t="shared" si="11"/>
        <v>0</v>
      </c>
      <c r="T9" s="20">
        <f t="shared" si="3"/>
        <v>0</v>
      </c>
      <c r="U9" s="20">
        <f>IF(AND('Total income package'!$A$18=TRUE,OR(H9="Yes",O9="Yes"),G9&lt;$G$2,$K$2-T9&gt;10),ROUNDDOWN($K$2-T9,0),0)</f>
        <v>546</v>
      </c>
      <c r="V9" s="176">
        <f t="shared" si="12"/>
        <v>546</v>
      </c>
      <c r="W9" s="5"/>
    </row>
    <row r="10" spans="2:25" x14ac:dyDescent="0.25">
      <c r="B10" s="72">
        <v>2000</v>
      </c>
      <c r="C10" s="19">
        <f>MAX('TANF-VIEW'!L13,'TANF-VIEW'!T13)</f>
        <v>385</v>
      </c>
      <c r="D10" s="20">
        <f t="shared" si="13"/>
        <v>166.66666666666666</v>
      </c>
      <c r="E10" s="20">
        <f>'Total income package'!$D$80</f>
        <v>0</v>
      </c>
      <c r="F10" s="20">
        <f>'Total income package'!$H$61+'Total income package'!$F$66</f>
        <v>100</v>
      </c>
      <c r="G10" s="20">
        <f t="shared" si="4"/>
        <v>651.66666666666663</v>
      </c>
      <c r="H10" s="20" t="str">
        <f t="shared" si="0"/>
        <v>Yes</v>
      </c>
      <c r="I10" s="20">
        <f t="shared" si="1"/>
        <v>33.333333333333336</v>
      </c>
      <c r="J10" s="20">
        <f t="shared" si="2"/>
        <v>209</v>
      </c>
      <c r="K10" s="20">
        <f t="shared" si="5"/>
        <v>409.33333333333326</v>
      </c>
      <c r="L10" s="20">
        <f t="shared" si="6"/>
        <v>500</v>
      </c>
      <c r="M10" s="20">
        <f>'Total income package'!$B$69</f>
        <v>500</v>
      </c>
      <c r="N10" s="20">
        <f t="shared" si="7"/>
        <v>1000</v>
      </c>
      <c r="O10" s="344" t="str">
        <f t="shared" si="8"/>
        <v>Yes</v>
      </c>
      <c r="P10" s="20">
        <f t="shared" si="9"/>
        <v>204.66666666666663</v>
      </c>
      <c r="Q10" s="346">
        <f t="shared" si="10"/>
        <v>0</v>
      </c>
      <c r="R10" s="20">
        <f>IF(AND(D$2+$E$2&gt;0,N10-SNAP!P10&gt;0),N10-SNAP!P10,0)</f>
        <v>795.33333333333337</v>
      </c>
      <c r="S10" s="20">
        <f t="shared" si="11"/>
        <v>0</v>
      </c>
      <c r="T10" s="20">
        <f t="shared" si="3"/>
        <v>0</v>
      </c>
      <c r="U10" s="20">
        <f>IF(AND('Total income package'!$A$18=TRUE,OR(H10="Yes",O10="Yes"),G10&lt;$G$2,$K$2-T10&gt;10),ROUNDDOWN($K$2-T10,0),0)</f>
        <v>546</v>
      </c>
      <c r="V10" s="176">
        <f t="shared" si="12"/>
        <v>546</v>
      </c>
      <c r="W10" s="5"/>
    </row>
    <row r="11" spans="2:25" x14ac:dyDescent="0.25">
      <c r="B11" s="72">
        <v>2500</v>
      </c>
      <c r="C11" s="19">
        <f>MAX('TANF-VIEW'!L14,'TANF-VIEW'!T14)</f>
        <v>385</v>
      </c>
      <c r="D11" s="20">
        <f t="shared" si="13"/>
        <v>208.33333333333334</v>
      </c>
      <c r="E11" s="20">
        <f>'Total income package'!$D$80</f>
        <v>0</v>
      </c>
      <c r="F11" s="20">
        <f>'Total income package'!$H$61+'Total income package'!$F$66</f>
        <v>100</v>
      </c>
      <c r="G11" s="20">
        <f t="shared" si="4"/>
        <v>693.33333333333337</v>
      </c>
      <c r="H11" s="20" t="str">
        <f t="shared" si="0"/>
        <v>Yes</v>
      </c>
      <c r="I11" s="20">
        <f t="shared" si="1"/>
        <v>41.666666666666671</v>
      </c>
      <c r="J11" s="20">
        <f t="shared" si="2"/>
        <v>209</v>
      </c>
      <c r="K11" s="20">
        <f t="shared" si="5"/>
        <v>442.66666666666674</v>
      </c>
      <c r="L11" s="20">
        <f t="shared" si="6"/>
        <v>500</v>
      </c>
      <c r="M11" s="20">
        <f>'Total income package'!$B$69</f>
        <v>500</v>
      </c>
      <c r="N11" s="20">
        <f t="shared" si="7"/>
        <v>1000</v>
      </c>
      <c r="O11" s="344" t="str">
        <f t="shared" si="8"/>
        <v>Yes</v>
      </c>
      <c r="P11" s="20">
        <f t="shared" si="9"/>
        <v>221.33333333333337</v>
      </c>
      <c r="Q11" s="346">
        <f t="shared" si="10"/>
        <v>0</v>
      </c>
      <c r="R11" s="20">
        <f>IF(AND(D$2+$E$2&gt;0,N11-SNAP!P11&gt;0),N11-SNAP!P11,0)</f>
        <v>778.66666666666663</v>
      </c>
      <c r="S11" s="20">
        <f t="shared" si="11"/>
        <v>0</v>
      </c>
      <c r="T11" s="20">
        <f t="shared" si="3"/>
        <v>0</v>
      </c>
      <c r="U11" s="20">
        <f>IF(AND('Total income package'!$A$18=TRUE,OR(H11="Yes",O11="Yes"),G11&lt;$G$2,$K$2-T11&gt;10),ROUNDDOWN($K$2-T11,0),0)</f>
        <v>546</v>
      </c>
      <c r="V11" s="176">
        <f t="shared" si="12"/>
        <v>546</v>
      </c>
      <c r="W11" s="5"/>
    </row>
    <row r="12" spans="2:25" x14ac:dyDescent="0.25">
      <c r="B12" s="72">
        <v>3000</v>
      </c>
      <c r="C12" s="19">
        <f>MAX('TANF-VIEW'!L15,'TANF-VIEW'!T15)</f>
        <v>352.2</v>
      </c>
      <c r="D12" s="20">
        <f t="shared" si="13"/>
        <v>250</v>
      </c>
      <c r="E12" s="20">
        <f>'Total income package'!$D$80</f>
        <v>0</v>
      </c>
      <c r="F12" s="20">
        <f>'Total income package'!$H$61+'Total income package'!$F$66</f>
        <v>100</v>
      </c>
      <c r="G12" s="20">
        <f t="shared" si="4"/>
        <v>702.2</v>
      </c>
      <c r="H12" s="20" t="str">
        <f t="shared" si="0"/>
        <v>Yes</v>
      </c>
      <c r="I12" s="20">
        <f t="shared" si="1"/>
        <v>50</v>
      </c>
      <c r="J12" s="20">
        <f t="shared" si="2"/>
        <v>209</v>
      </c>
      <c r="K12" s="20">
        <f t="shared" si="5"/>
        <v>443.20000000000005</v>
      </c>
      <c r="L12" s="20">
        <f t="shared" si="6"/>
        <v>500</v>
      </c>
      <c r="M12" s="20">
        <f>'Total income package'!$B$69</f>
        <v>500</v>
      </c>
      <c r="N12" s="20">
        <f t="shared" si="7"/>
        <v>1000</v>
      </c>
      <c r="O12" s="344" t="str">
        <f t="shared" si="8"/>
        <v>Yes</v>
      </c>
      <c r="P12" s="20">
        <f t="shared" si="9"/>
        <v>221.60000000000002</v>
      </c>
      <c r="Q12" s="346">
        <f t="shared" si="10"/>
        <v>0</v>
      </c>
      <c r="R12" s="20">
        <f>IF(AND(D$2+$E$2&gt;0,N12-SNAP!P12&gt;0),N12-SNAP!P12,0)</f>
        <v>778.4</v>
      </c>
      <c r="S12" s="20">
        <f t="shared" si="11"/>
        <v>0</v>
      </c>
      <c r="T12" s="20">
        <f t="shared" si="3"/>
        <v>0</v>
      </c>
      <c r="U12" s="20">
        <f>IF(AND('Total income package'!$A$18=TRUE,OR(H12="Yes",O12="Yes"),G12&lt;$G$2,$K$2-T12&gt;10),ROUNDDOWN($K$2-T12,0),0)</f>
        <v>546</v>
      </c>
      <c r="V12" s="176">
        <f t="shared" si="12"/>
        <v>546</v>
      </c>
      <c r="W12" s="5"/>
    </row>
    <row r="13" spans="2:25" x14ac:dyDescent="0.25">
      <c r="B13" s="72">
        <v>3500</v>
      </c>
      <c r="C13" s="19">
        <f>MAX('TANF-VIEW'!L16,'TANF-VIEW'!T16)</f>
        <v>318.86666666666667</v>
      </c>
      <c r="D13" s="20">
        <f t="shared" si="13"/>
        <v>291.66666666666669</v>
      </c>
      <c r="E13" s="20">
        <f>'Total income package'!$D$80</f>
        <v>0</v>
      </c>
      <c r="F13" s="20">
        <f>'Total income package'!$H$61+'Total income package'!$F$66</f>
        <v>100</v>
      </c>
      <c r="G13" s="20">
        <f t="shared" si="4"/>
        <v>710.5333333333333</v>
      </c>
      <c r="H13" s="20" t="str">
        <f t="shared" si="0"/>
        <v>Yes</v>
      </c>
      <c r="I13" s="20">
        <f t="shared" si="1"/>
        <v>58.333333333333343</v>
      </c>
      <c r="J13" s="20">
        <f t="shared" si="2"/>
        <v>209</v>
      </c>
      <c r="K13" s="20">
        <f t="shared" si="5"/>
        <v>443.19999999999993</v>
      </c>
      <c r="L13" s="20">
        <f t="shared" si="6"/>
        <v>500</v>
      </c>
      <c r="M13" s="20">
        <f>'Total income package'!$B$69</f>
        <v>500</v>
      </c>
      <c r="N13" s="20">
        <f t="shared" si="7"/>
        <v>1000</v>
      </c>
      <c r="O13" s="344" t="str">
        <f t="shared" si="8"/>
        <v>Yes</v>
      </c>
      <c r="P13" s="20">
        <f t="shared" si="9"/>
        <v>221.59999999999997</v>
      </c>
      <c r="Q13" s="346">
        <f t="shared" si="10"/>
        <v>0</v>
      </c>
      <c r="R13" s="20">
        <f>IF(AND(D$2+$E$2&gt;0,N13-SNAP!P13&gt;0),N13-SNAP!P13,0)</f>
        <v>778.40000000000009</v>
      </c>
      <c r="S13" s="20">
        <f t="shared" si="11"/>
        <v>0</v>
      </c>
      <c r="T13" s="20">
        <f t="shared" si="3"/>
        <v>0</v>
      </c>
      <c r="U13" s="20">
        <f>IF(AND('Total income package'!$A$18=TRUE,OR(H13="Yes",O13="Yes"),G13&lt;$G$2,$K$2-T13&gt;10),ROUNDDOWN($K$2-T13,0),0)</f>
        <v>546</v>
      </c>
      <c r="V13" s="176">
        <f t="shared" si="12"/>
        <v>546</v>
      </c>
      <c r="W13" s="5"/>
    </row>
    <row r="14" spans="2:25" x14ac:dyDescent="0.25">
      <c r="B14" s="72">
        <v>4000</v>
      </c>
      <c r="C14" s="19">
        <f>MAX('TANF-VIEW'!L17,'TANF-VIEW'!T17)</f>
        <v>285.53333333333336</v>
      </c>
      <c r="D14" s="20">
        <f t="shared" si="13"/>
        <v>333.33333333333331</v>
      </c>
      <c r="E14" s="20">
        <f>'Total income package'!$D$80</f>
        <v>0</v>
      </c>
      <c r="F14" s="20">
        <f>'Total income package'!$H$61+'Total income package'!$F$66</f>
        <v>100</v>
      </c>
      <c r="G14" s="20">
        <f t="shared" si="4"/>
        <v>718.86666666666667</v>
      </c>
      <c r="H14" s="20" t="str">
        <f t="shared" si="0"/>
        <v>Yes</v>
      </c>
      <c r="I14" s="20">
        <f t="shared" si="1"/>
        <v>66.666666666666671</v>
      </c>
      <c r="J14" s="20">
        <f t="shared" si="2"/>
        <v>209</v>
      </c>
      <c r="K14" s="20">
        <f t="shared" si="5"/>
        <v>443.20000000000005</v>
      </c>
      <c r="L14" s="20">
        <f t="shared" si="6"/>
        <v>500</v>
      </c>
      <c r="M14" s="20">
        <f>'Total income package'!$B$69</f>
        <v>500</v>
      </c>
      <c r="N14" s="20">
        <f t="shared" si="7"/>
        <v>1000</v>
      </c>
      <c r="O14" s="344" t="str">
        <f t="shared" si="8"/>
        <v>Yes</v>
      </c>
      <c r="P14" s="20">
        <f t="shared" si="9"/>
        <v>221.60000000000002</v>
      </c>
      <c r="Q14" s="346">
        <f t="shared" si="10"/>
        <v>0</v>
      </c>
      <c r="R14" s="20">
        <f>IF(AND(D$2+$E$2&gt;0,N14-SNAP!P14&gt;0),N14-SNAP!P14,0)</f>
        <v>778.4</v>
      </c>
      <c r="S14" s="20">
        <f t="shared" si="11"/>
        <v>0</v>
      </c>
      <c r="T14" s="20">
        <f t="shared" si="3"/>
        <v>0</v>
      </c>
      <c r="U14" s="20">
        <f>IF(AND('Total income package'!$A$18=TRUE,OR(H14="Yes",O14="Yes"),G14&lt;$G$2,$K$2-T14&gt;10),ROUNDDOWN($K$2-T14,0),0)</f>
        <v>546</v>
      </c>
      <c r="V14" s="176">
        <f t="shared" si="12"/>
        <v>546</v>
      </c>
      <c r="W14" s="5"/>
    </row>
    <row r="15" spans="2:25" x14ac:dyDescent="0.25">
      <c r="B15" s="72">
        <v>4500</v>
      </c>
      <c r="C15" s="19">
        <f>MAX('TANF-VIEW'!L18,'TANF-VIEW'!T18)</f>
        <v>252.2</v>
      </c>
      <c r="D15" s="20">
        <f t="shared" si="13"/>
        <v>375</v>
      </c>
      <c r="E15" s="20">
        <f>'Total income package'!$D$80</f>
        <v>0</v>
      </c>
      <c r="F15" s="20">
        <f>'Total income package'!$H$61+'Total income package'!$F$66</f>
        <v>100</v>
      </c>
      <c r="G15" s="20">
        <f t="shared" si="4"/>
        <v>727.2</v>
      </c>
      <c r="H15" s="20" t="str">
        <f t="shared" si="0"/>
        <v>Yes</v>
      </c>
      <c r="I15" s="20">
        <f t="shared" si="1"/>
        <v>75</v>
      </c>
      <c r="J15" s="20">
        <f t="shared" si="2"/>
        <v>209</v>
      </c>
      <c r="K15" s="20">
        <f t="shared" si="5"/>
        <v>443.20000000000005</v>
      </c>
      <c r="L15" s="20">
        <f t="shared" si="6"/>
        <v>500</v>
      </c>
      <c r="M15" s="20">
        <f>'Total income package'!$B$69</f>
        <v>500</v>
      </c>
      <c r="N15" s="20">
        <f t="shared" si="7"/>
        <v>1000</v>
      </c>
      <c r="O15" s="344" t="str">
        <f t="shared" si="8"/>
        <v>Yes</v>
      </c>
      <c r="P15" s="20">
        <f t="shared" si="9"/>
        <v>221.60000000000002</v>
      </c>
      <c r="Q15" s="346">
        <f t="shared" si="10"/>
        <v>0</v>
      </c>
      <c r="R15" s="20">
        <f>IF(AND(D$2+$E$2&gt;0,N15-SNAP!P15&gt;0),N15-SNAP!P15,0)</f>
        <v>778.4</v>
      </c>
      <c r="S15" s="20">
        <f t="shared" si="11"/>
        <v>0</v>
      </c>
      <c r="T15" s="20">
        <f t="shared" si="3"/>
        <v>0</v>
      </c>
      <c r="U15" s="20">
        <f>IF(AND('Total income package'!$A$18=TRUE,OR(H15="Yes",O15="Yes"),G15&lt;$G$2,$K$2-T15&gt;10),ROUNDDOWN($K$2-T15,0),0)</f>
        <v>546</v>
      </c>
      <c r="V15" s="176">
        <f t="shared" si="12"/>
        <v>546</v>
      </c>
      <c r="W15" s="5"/>
    </row>
    <row r="16" spans="2:25" x14ac:dyDescent="0.25">
      <c r="B16" s="72">
        <v>5000</v>
      </c>
      <c r="C16" s="19">
        <f>MAX('TANF-VIEW'!L19,'TANF-VIEW'!T19)</f>
        <v>218.86666666666665</v>
      </c>
      <c r="D16" s="20">
        <f t="shared" si="13"/>
        <v>416.66666666666669</v>
      </c>
      <c r="E16" s="20">
        <f>'Total income package'!$D$80</f>
        <v>0</v>
      </c>
      <c r="F16" s="20">
        <f>'Total income package'!$H$61+'Total income package'!$F$66</f>
        <v>100</v>
      </c>
      <c r="G16" s="20">
        <f t="shared" si="4"/>
        <v>735.5333333333333</v>
      </c>
      <c r="H16" s="20" t="str">
        <f t="shared" si="0"/>
        <v>Yes</v>
      </c>
      <c r="I16" s="20">
        <f t="shared" si="1"/>
        <v>83.333333333333343</v>
      </c>
      <c r="J16" s="20">
        <f t="shared" si="2"/>
        <v>209</v>
      </c>
      <c r="K16" s="20">
        <f t="shared" si="5"/>
        <v>443.19999999999993</v>
      </c>
      <c r="L16" s="20">
        <f t="shared" si="6"/>
        <v>500</v>
      </c>
      <c r="M16" s="20">
        <f>'Total income package'!$B$69</f>
        <v>500</v>
      </c>
      <c r="N16" s="20">
        <f t="shared" si="7"/>
        <v>1000</v>
      </c>
      <c r="O16" s="344" t="str">
        <f t="shared" si="8"/>
        <v>Yes</v>
      </c>
      <c r="P16" s="20">
        <f t="shared" si="9"/>
        <v>221.59999999999997</v>
      </c>
      <c r="Q16" s="346">
        <f t="shared" si="10"/>
        <v>0</v>
      </c>
      <c r="R16" s="20">
        <f>IF(AND(D$2+$E$2&gt;0,N16-SNAP!P16&gt;0),N16-SNAP!P16,0)</f>
        <v>778.40000000000009</v>
      </c>
      <c r="S16" s="20">
        <f t="shared" si="11"/>
        <v>0</v>
      </c>
      <c r="T16" s="20">
        <f t="shared" si="3"/>
        <v>0</v>
      </c>
      <c r="U16" s="20">
        <f>IF(AND('Total income package'!$A$18=TRUE,OR(H16="Yes",O16="Yes"),G16&lt;$G$2,$K$2-T16&gt;10),ROUNDDOWN($K$2-T16,0),0)</f>
        <v>546</v>
      </c>
      <c r="V16" s="176">
        <f t="shared" si="12"/>
        <v>546</v>
      </c>
      <c r="W16" s="5"/>
    </row>
    <row r="17" spans="2:23" x14ac:dyDescent="0.25">
      <c r="B17" s="72">
        <v>5500</v>
      </c>
      <c r="C17" s="19">
        <f>MAX('TANF-VIEW'!L20,'TANF-VIEW'!T20)</f>
        <v>185.53333333333336</v>
      </c>
      <c r="D17" s="20">
        <f t="shared" si="13"/>
        <v>458.33333333333331</v>
      </c>
      <c r="E17" s="20">
        <f>'Total income package'!$D$80</f>
        <v>0</v>
      </c>
      <c r="F17" s="20">
        <f>'Total income package'!$H$61+'Total income package'!$F$66</f>
        <v>100</v>
      </c>
      <c r="G17" s="20">
        <f t="shared" si="4"/>
        <v>743.86666666666667</v>
      </c>
      <c r="H17" s="20" t="str">
        <f t="shared" si="0"/>
        <v>Yes</v>
      </c>
      <c r="I17" s="20">
        <f t="shared" si="1"/>
        <v>91.666666666666671</v>
      </c>
      <c r="J17" s="20">
        <f t="shared" si="2"/>
        <v>209</v>
      </c>
      <c r="K17" s="20">
        <f t="shared" si="5"/>
        <v>443.20000000000005</v>
      </c>
      <c r="L17" s="20">
        <f t="shared" si="6"/>
        <v>500</v>
      </c>
      <c r="M17" s="20">
        <f>'Total income package'!$B$69</f>
        <v>500</v>
      </c>
      <c r="N17" s="20">
        <f t="shared" si="7"/>
        <v>1000</v>
      </c>
      <c r="O17" s="344" t="str">
        <f t="shared" si="8"/>
        <v>Yes</v>
      </c>
      <c r="P17" s="20">
        <f t="shared" si="9"/>
        <v>221.60000000000002</v>
      </c>
      <c r="Q17" s="346">
        <f t="shared" si="10"/>
        <v>0</v>
      </c>
      <c r="R17" s="20">
        <f>IF(AND(D$2+$E$2&gt;0,N17-SNAP!P17&gt;0),N17-SNAP!P17,0)</f>
        <v>778.4</v>
      </c>
      <c r="S17" s="20">
        <f t="shared" si="11"/>
        <v>0</v>
      </c>
      <c r="T17" s="20">
        <f t="shared" si="3"/>
        <v>0</v>
      </c>
      <c r="U17" s="20">
        <f>IF(AND('Total income package'!$A$18=TRUE,OR(H17="Yes",O17="Yes"),G17&lt;$G$2,$K$2-T17&gt;10),ROUNDDOWN($K$2-T17,0),0)</f>
        <v>546</v>
      </c>
      <c r="V17" s="176">
        <f t="shared" si="12"/>
        <v>546</v>
      </c>
      <c r="W17" s="5"/>
    </row>
    <row r="18" spans="2:23" x14ac:dyDescent="0.25">
      <c r="B18" s="72">
        <v>6000</v>
      </c>
      <c r="C18" s="19">
        <f>MAX('TANF-VIEW'!L21,'TANF-VIEW'!T21)</f>
        <v>152.19999999999999</v>
      </c>
      <c r="D18" s="20">
        <f t="shared" si="13"/>
        <v>500</v>
      </c>
      <c r="E18" s="20">
        <f>'Total income package'!$D$80</f>
        <v>0</v>
      </c>
      <c r="F18" s="20">
        <f>'Total income package'!$H$61+'Total income package'!$F$66</f>
        <v>100</v>
      </c>
      <c r="G18" s="20">
        <f t="shared" si="4"/>
        <v>752.2</v>
      </c>
      <c r="H18" s="20" t="str">
        <f t="shared" si="0"/>
        <v>Yes</v>
      </c>
      <c r="I18" s="20">
        <f t="shared" si="1"/>
        <v>100</v>
      </c>
      <c r="J18" s="20">
        <f t="shared" si="2"/>
        <v>209</v>
      </c>
      <c r="K18" s="20">
        <f>IF(G18-I18-J18&gt;0,G18-I18-J18,0)</f>
        <v>443.20000000000005</v>
      </c>
      <c r="L18" s="20">
        <f t="shared" si="6"/>
        <v>500</v>
      </c>
      <c r="M18" s="20">
        <f>'Total income package'!$B$69</f>
        <v>500</v>
      </c>
      <c r="N18" s="20">
        <f t="shared" si="7"/>
        <v>1000</v>
      </c>
      <c r="O18" s="344" t="str">
        <f t="shared" si="8"/>
        <v>Yes</v>
      </c>
      <c r="P18" s="20">
        <f t="shared" si="9"/>
        <v>221.60000000000002</v>
      </c>
      <c r="Q18" s="346">
        <f t="shared" si="10"/>
        <v>0</v>
      </c>
      <c r="R18" s="20">
        <f>IF(AND(D$2+$E$2&gt;0,N18-SNAP!P18&gt;0),N18-SNAP!P18,0)</f>
        <v>778.4</v>
      </c>
      <c r="S18" s="20">
        <f t="shared" si="11"/>
        <v>0</v>
      </c>
      <c r="T18" s="20">
        <f t="shared" si="3"/>
        <v>0</v>
      </c>
      <c r="U18" s="20">
        <f>IF(AND('Total income package'!$A$18=TRUE,OR(H18="Yes",O18="Yes"),G18&lt;$G$2,$K$2-T18&gt;10),ROUNDDOWN($K$2-T18,0),0)</f>
        <v>546</v>
      </c>
      <c r="V18" s="176">
        <f t="shared" si="12"/>
        <v>546</v>
      </c>
      <c r="W18" s="5"/>
    </row>
    <row r="19" spans="2:23" x14ac:dyDescent="0.25">
      <c r="B19" s="72">
        <v>6500</v>
      </c>
      <c r="C19" s="19">
        <f>MAX('TANF-VIEW'!L22,'TANF-VIEW'!T22)</f>
        <v>118.86666666666667</v>
      </c>
      <c r="D19" s="20">
        <f t="shared" si="13"/>
        <v>541.66666666666663</v>
      </c>
      <c r="E19" s="20">
        <f>'Total income package'!$D$80</f>
        <v>0</v>
      </c>
      <c r="F19" s="20">
        <f>'Total income package'!$H$61+'Total income package'!$F$66</f>
        <v>100</v>
      </c>
      <c r="G19" s="20">
        <f t="shared" si="4"/>
        <v>760.5333333333333</v>
      </c>
      <c r="H19" s="20" t="str">
        <f t="shared" si="0"/>
        <v>Yes</v>
      </c>
      <c r="I19" s="20">
        <f t="shared" si="1"/>
        <v>108.33333333333333</v>
      </c>
      <c r="J19" s="20">
        <f t="shared" si="2"/>
        <v>209</v>
      </c>
      <c r="K19" s="20">
        <f t="shared" si="5"/>
        <v>443.19999999999993</v>
      </c>
      <c r="L19" s="20">
        <f t="shared" si="6"/>
        <v>500</v>
      </c>
      <c r="M19" s="20">
        <f>'Total income package'!$B$69</f>
        <v>500</v>
      </c>
      <c r="N19" s="20">
        <f t="shared" si="7"/>
        <v>1000</v>
      </c>
      <c r="O19" s="344" t="str">
        <f t="shared" si="8"/>
        <v>Yes</v>
      </c>
      <c r="P19" s="20">
        <f t="shared" si="9"/>
        <v>221.59999999999997</v>
      </c>
      <c r="Q19" s="346">
        <f t="shared" si="10"/>
        <v>0</v>
      </c>
      <c r="R19" s="20">
        <f>IF(AND(D$2+$E$2&gt;0,N19-SNAP!P19&gt;0),N19-SNAP!P19,0)</f>
        <v>778.40000000000009</v>
      </c>
      <c r="S19" s="20">
        <f t="shared" si="11"/>
        <v>0</v>
      </c>
      <c r="T19" s="20">
        <f t="shared" si="3"/>
        <v>0</v>
      </c>
      <c r="U19" s="20">
        <f>IF(AND('Total income package'!$A$18=TRUE,OR(H19="Yes",O19="Yes"),G19&lt;$G$2,$K$2-T19&gt;10),ROUNDDOWN($K$2-T19,0),0)</f>
        <v>546</v>
      </c>
      <c r="V19" s="176">
        <f t="shared" si="12"/>
        <v>546</v>
      </c>
      <c r="W19" s="5"/>
    </row>
    <row r="20" spans="2:23" x14ac:dyDescent="0.25">
      <c r="B20" s="72">
        <v>7000</v>
      </c>
      <c r="C20" s="19">
        <f>MAX('TANF-VIEW'!L23,'TANF-VIEW'!T23)</f>
        <v>85.533333333333303</v>
      </c>
      <c r="D20" s="20">
        <f t="shared" si="13"/>
        <v>583.33333333333337</v>
      </c>
      <c r="E20" s="20">
        <f>'Total income package'!$D$80</f>
        <v>0</v>
      </c>
      <c r="F20" s="20">
        <f>'Total income package'!$H$61+'Total income package'!$F$66</f>
        <v>100</v>
      </c>
      <c r="G20" s="20">
        <f t="shared" si="4"/>
        <v>768.86666666666667</v>
      </c>
      <c r="H20" s="20" t="str">
        <f t="shared" si="0"/>
        <v>Yes</v>
      </c>
      <c r="I20" s="20">
        <f t="shared" si="1"/>
        <v>116.66666666666669</v>
      </c>
      <c r="J20" s="20">
        <f t="shared" si="2"/>
        <v>209</v>
      </c>
      <c r="K20" s="20">
        <f t="shared" si="5"/>
        <v>443.20000000000005</v>
      </c>
      <c r="L20" s="20">
        <f t="shared" si="6"/>
        <v>500</v>
      </c>
      <c r="M20" s="20">
        <f>'Total income package'!$B$69</f>
        <v>500</v>
      </c>
      <c r="N20" s="20">
        <f t="shared" si="7"/>
        <v>1000</v>
      </c>
      <c r="O20" s="344" t="str">
        <f t="shared" si="8"/>
        <v>Yes</v>
      </c>
      <c r="P20" s="20">
        <f t="shared" si="9"/>
        <v>221.60000000000002</v>
      </c>
      <c r="Q20" s="346">
        <f t="shared" si="10"/>
        <v>0</v>
      </c>
      <c r="R20" s="20">
        <f>IF(AND(D$2+$E$2&gt;0,N20-SNAP!P20&gt;0),N20-SNAP!P20,0)</f>
        <v>778.4</v>
      </c>
      <c r="S20" s="20">
        <f t="shared" si="11"/>
        <v>0</v>
      </c>
      <c r="T20" s="20">
        <f t="shared" si="3"/>
        <v>0</v>
      </c>
      <c r="U20" s="20">
        <f>IF(AND('Total income package'!$A$18=TRUE,OR(H20="Yes",O20="Yes"),G20&lt;$G$2,$K$2-T20&gt;10),ROUNDDOWN($K$2-T20,0),0)</f>
        <v>546</v>
      </c>
      <c r="V20" s="176">
        <f t="shared" si="12"/>
        <v>546</v>
      </c>
      <c r="W20" s="5"/>
    </row>
    <row r="21" spans="2:23" x14ac:dyDescent="0.25">
      <c r="B21" s="72">
        <v>7500</v>
      </c>
      <c r="C21" s="19">
        <f>MAX('TANF-VIEW'!L24,'TANF-VIEW'!T24)</f>
        <v>52.199999999999989</v>
      </c>
      <c r="D21" s="20">
        <f t="shared" si="13"/>
        <v>625</v>
      </c>
      <c r="E21" s="20">
        <f>'Total income package'!$D$80</f>
        <v>0</v>
      </c>
      <c r="F21" s="20">
        <f>'Total income package'!$H$61+'Total income package'!$F$66</f>
        <v>100</v>
      </c>
      <c r="G21" s="20">
        <f t="shared" si="4"/>
        <v>777.2</v>
      </c>
      <c r="H21" s="20" t="str">
        <f t="shared" si="0"/>
        <v>Yes</v>
      </c>
      <c r="I21" s="20">
        <f t="shared" si="1"/>
        <v>125</v>
      </c>
      <c r="J21" s="20">
        <f t="shared" si="2"/>
        <v>209</v>
      </c>
      <c r="K21" s="20">
        <f t="shared" si="5"/>
        <v>443.20000000000005</v>
      </c>
      <c r="L21" s="20">
        <f t="shared" si="6"/>
        <v>500</v>
      </c>
      <c r="M21" s="20">
        <f>'Total income package'!$B$69</f>
        <v>500</v>
      </c>
      <c r="N21" s="20">
        <f t="shared" si="7"/>
        <v>1000</v>
      </c>
      <c r="O21" s="344" t="str">
        <f t="shared" si="8"/>
        <v>Yes</v>
      </c>
      <c r="P21" s="20">
        <f t="shared" si="9"/>
        <v>221.60000000000002</v>
      </c>
      <c r="Q21" s="346">
        <f t="shared" si="10"/>
        <v>0</v>
      </c>
      <c r="R21" s="20">
        <f>IF(AND(D$2+$E$2&gt;0,N21-SNAP!P21&gt;0),N21-SNAP!P21,0)</f>
        <v>778.4</v>
      </c>
      <c r="S21" s="20">
        <f t="shared" si="11"/>
        <v>0</v>
      </c>
      <c r="T21" s="20">
        <f t="shared" si="3"/>
        <v>0</v>
      </c>
      <c r="U21" s="20">
        <f>IF(AND('Total income package'!$A$18=TRUE,OR(H21="Yes",O21="Yes"),G21&lt;$G$2,$K$2-T21&gt;10),ROUNDDOWN($K$2-T21,0),0)</f>
        <v>546</v>
      </c>
      <c r="V21" s="176">
        <f t="shared" si="12"/>
        <v>546</v>
      </c>
      <c r="W21" s="5"/>
    </row>
    <row r="22" spans="2:23" x14ac:dyDescent="0.25">
      <c r="B22" s="72">
        <v>8000</v>
      </c>
      <c r="C22" s="19">
        <f>MAX('TANF-VIEW'!L25,'TANF-VIEW'!T25)</f>
        <v>18.866666666666674</v>
      </c>
      <c r="D22" s="20">
        <f t="shared" si="13"/>
        <v>666.66666666666663</v>
      </c>
      <c r="E22" s="20">
        <f>'Total income package'!$D$80</f>
        <v>0</v>
      </c>
      <c r="F22" s="20">
        <f>'Total income package'!$H$61+'Total income package'!$F$66</f>
        <v>100</v>
      </c>
      <c r="G22" s="20">
        <f t="shared" si="4"/>
        <v>785.5333333333333</v>
      </c>
      <c r="H22" s="20" t="str">
        <f t="shared" si="0"/>
        <v>Yes</v>
      </c>
      <c r="I22" s="20">
        <f t="shared" si="1"/>
        <v>133.33333333333334</v>
      </c>
      <c r="J22" s="20">
        <f t="shared" si="2"/>
        <v>209</v>
      </c>
      <c r="K22" s="20">
        <f t="shared" si="5"/>
        <v>443.19999999999993</v>
      </c>
      <c r="L22" s="20">
        <f t="shared" si="6"/>
        <v>500</v>
      </c>
      <c r="M22" s="20">
        <f>'Total income package'!$B$69</f>
        <v>500</v>
      </c>
      <c r="N22" s="20">
        <f t="shared" si="7"/>
        <v>1000</v>
      </c>
      <c r="O22" s="344" t="str">
        <f t="shared" si="8"/>
        <v>Yes</v>
      </c>
      <c r="P22" s="20">
        <f t="shared" si="9"/>
        <v>221.59999999999997</v>
      </c>
      <c r="Q22" s="346">
        <f t="shared" si="10"/>
        <v>0</v>
      </c>
      <c r="R22" s="20">
        <f>IF(AND(D$2+$E$2&gt;0,N22-SNAP!P22&gt;0),N22-SNAP!P22,0)</f>
        <v>778.40000000000009</v>
      </c>
      <c r="S22" s="20">
        <f t="shared" si="11"/>
        <v>0</v>
      </c>
      <c r="T22" s="20">
        <f t="shared" si="3"/>
        <v>0</v>
      </c>
      <c r="U22" s="20">
        <f>IF(AND('Total income package'!$A$18=TRUE,OR(H22="Yes",O22="Yes"),G22&lt;$G$2,$K$2-T22&gt;10),ROUNDDOWN($K$2-T22,0),0)</f>
        <v>546</v>
      </c>
      <c r="V22" s="176">
        <f t="shared" si="12"/>
        <v>546</v>
      </c>
      <c r="W22" s="5"/>
    </row>
    <row r="23" spans="2:23" x14ac:dyDescent="0.25">
      <c r="B23" s="72">
        <v>8500</v>
      </c>
      <c r="C23" s="19">
        <f>MAX('TANF-VIEW'!L26,'TANF-VIEW'!T26)</f>
        <v>0</v>
      </c>
      <c r="D23" s="20">
        <f t="shared" si="13"/>
        <v>708.33333333333337</v>
      </c>
      <c r="E23" s="20">
        <f>'Total income package'!$D$80</f>
        <v>0</v>
      </c>
      <c r="F23" s="20">
        <f>'Total income package'!$H$61+'Total income package'!$F$66</f>
        <v>100</v>
      </c>
      <c r="G23" s="20">
        <f t="shared" si="4"/>
        <v>808.33333333333337</v>
      </c>
      <c r="H23" s="20" t="str">
        <f t="shared" si="0"/>
        <v>Yes</v>
      </c>
      <c r="I23" s="20">
        <f t="shared" si="1"/>
        <v>141.66666666666669</v>
      </c>
      <c r="J23" s="20">
        <f t="shared" si="2"/>
        <v>209</v>
      </c>
      <c r="K23" s="20">
        <f t="shared" si="5"/>
        <v>457.66666666666674</v>
      </c>
      <c r="L23" s="20">
        <f t="shared" si="6"/>
        <v>500</v>
      </c>
      <c r="M23" s="20">
        <f>'Total income package'!$B$69</f>
        <v>500</v>
      </c>
      <c r="N23" s="20">
        <f t="shared" si="7"/>
        <v>1000</v>
      </c>
      <c r="O23" s="344" t="str">
        <f t="shared" si="8"/>
        <v>Yes</v>
      </c>
      <c r="P23" s="20">
        <f t="shared" si="9"/>
        <v>228.83333333333337</v>
      </c>
      <c r="Q23" s="346">
        <f t="shared" si="10"/>
        <v>0</v>
      </c>
      <c r="R23" s="20">
        <f>IF(AND(D$2+$E$2&gt;0,N23-SNAP!P23&gt;0),N23-SNAP!P23,0)</f>
        <v>771.16666666666663</v>
      </c>
      <c r="S23" s="20">
        <f t="shared" si="11"/>
        <v>0</v>
      </c>
      <c r="T23" s="20">
        <f t="shared" si="3"/>
        <v>0</v>
      </c>
      <c r="U23" s="20">
        <f>IF(AND('Total income package'!$A$18=TRUE,OR(H23="Yes",O23="Yes"),G23&lt;$G$2,$K$2-T23&gt;10),ROUNDDOWN($K$2-T23,0),0)</f>
        <v>546</v>
      </c>
      <c r="V23" s="176">
        <f t="shared" si="12"/>
        <v>546</v>
      </c>
      <c r="W23" s="5"/>
    </row>
    <row r="24" spans="2:23" x14ac:dyDescent="0.25">
      <c r="B24" s="72">
        <v>9000</v>
      </c>
      <c r="C24" s="19">
        <f>MAX('TANF-VIEW'!L27,'TANF-VIEW'!T27)</f>
        <v>0</v>
      </c>
      <c r="D24" s="20">
        <f t="shared" si="13"/>
        <v>750</v>
      </c>
      <c r="E24" s="20">
        <f>'Total income package'!$D$80</f>
        <v>0</v>
      </c>
      <c r="F24" s="20">
        <f>'Total income package'!$H$61+'Total income package'!$F$66</f>
        <v>100</v>
      </c>
      <c r="G24" s="20">
        <f t="shared" si="4"/>
        <v>850</v>
      </c>
      <c r="H24" s="20" t="str">
        <f t="shared" si="0"/>
        <v>Yes</v>
      </c>
      <c r="I24" s="20">
        <f t="shared" si="1"/>
        <v>150</v>
      </c>
      <c r="J24" s="20">
        <f t="shared" si="2"/>
        <v>209</v>
      </c>
      <c r="K24" s="20">
        <f t="shared" si="5"/>
        <v>491</v>
      </c>
      <c r="L24" s="20">
        <f t="shared" si="6"/>
        <v>500</v>
      </c>
      <c r="M24" s="20">
        <f>'Total income package'!$B$69</f>
        <v>500</v>
      </c>
      <c r="N24" s="20">
        <f t="shared" si="7"/>
        <v>1000</v>
      </c>
      <c r="O24" s="344" t="str">
        <f t="shared" si="8"/>
        <v>Yes</v>
      </c>
      <c r="P24" s="20">
        <f t="shared" si="9"/>
        <v>245.5</v>
      </c>
      <c r="Q24" s="346">
        <f t="shared" si="10"/>
        <v>0</v>
      </c>
      <c r="R24" s="20">
        <f>IF(AND(D$2+$E$2&gt;0,N24-SNAP!P24&gt;0),N24-SNAP!P24,0)</f>
        <v>754.5</v>
      </c>
      <c r="S24" s="20">
        <f t="shared" si="11"/>
        <v>0</v>
      </c>
      <c r="T24" s="20">
        <f t="shared" si="3"/>
        <v>0</v>
      </c>
      <c r="U24" s="20">
        <f>IF(AND('Total income package'!$A$18=TRUE,OR(H24="Yes",O24="Yes"),G24&lt;$G$2,$K$2-T24&gt;10),ROUNDDOWN($K$2-T24,0),0)</f>
        <v>546</v>
      </c>
      <c r="V24" s="176">
        <f t="shared" si="12"/>
        <v>546</v>
      </c>
      <c r="W24" s="5"/>
    </row>
    <row r="25" spans="2:23" x14ac:dyDescent="0.25">
      <c r="B25" s="72">
        <v>9500</v>
      </c>
      <c r="C25" s="19">
        <f>MAX('TANF-VIEW'!L28,'TANF-VIEW'!T28)</f>
        <v>0</v>
      </c>
      <c r="D25" s="20">
        <f t="shared" si="13"/>
        <v>791.66666666666663</v>
      </c>
      <c r="E25" s="20">
        <f>'Total income package'!$D$80</f>
        <v>0</v>
      </c>
      <c r="F25" s="20">
        <f>'Total income package'!$H$61+'Total income package'!$F$66</f>
        <v>100</v>
      </c>
      <c r="G25" s="20">
        <f t="shared" si="4"/>
        <v>891.66666666666663</v>
      </c>
      <c r="H25" s="20" t="str">
        <f t="shared" si="0"/>
        <v>Yes</v>
      </c>
      <c r="I25" s="20">
        <f t="shared" si="1"/>
        <v>158.33333333333334</v>
      </c>
      <c r="J25" s="20">
        <f t="shared" si="2"/>
        <v>209</v>
      </c>
      <c r="K25" s="20">
        <f t="shared" si="5"/>
        <v>524.33333333333326</v>
      </c>
      <c r="L25" s="20">
        <f t="shared" si="6"/>
        <v>500</v>
      </c>
      <c r="M25" s="20">
        <f>'Total income package'!$B$69</f>
        <v>500</v>
      </c>
      <c r="N25" s="20">
        <f t="shared" si="7"/>
        <v>1000</v>
      </c>
      <c r="O25" s="344" t="str">
        <f t="shared" si="8"/>
        <v>Yes</v>
      </c>
      <c r="P25" s="20">
        <f t="shared" si="9"/>
        <v>262.16666666666663</v>
      </c>
      <c r="Q25" s="346">
        <f t="shared" si="10"/>
        <v>0</v>
      </c>
      <c r="R25" s="20">
        <f>IF(AND(D$2+$E$2&gt;0,N25-SNAP!P25&gt;0),N25-SNAP!P25,0)</f>
        <v>737.83333333333337</v>
      </c>
      <c r="S25" s="20">
        <f t="shared" si="11"/>
        <v>0</v>
      </c>
      <c r="T25" s="20">
        <f t="shared" si="3"/>
        <v>0</v>
      </c>
      <c r="U25" s="20">
        <f>IF(AND('Total income package'!$A$18=TRUE,OR(H25="Yes",O25="Yes"),G25&lt;$G$2,$K$2-T25&gt;10),ROUNDDOWN($K$2-T25,0),0)</f>
        <v>546</v>
      </c>
      <c r="V25" s="176">
        <f t="shared" si="12"/>
        <v>546</v>
      </c>
      <c r="W25" s="5"/>
    </row>
    <row r="26" spans="2:23" x14ac:dyDescent="0.25">
      <c r="B26" s="72">
        <v>10000</v>
      </c>
      <c r="C26" s="19">
        <f>MAX('TANF-VIEW'!L29,'TANF-VIEW'!T29)</f>
        <v>0</v>
      </c>
      <c r="D26" s="20">
        <f t="shared" si="13"/>
        <v>833.33333333333337</v>
      </c>
      <c r="E26" s="20">
        <f>'Total income package'!$D$80</f>
        <v>0</v>
      </c>
      <c r="F26" s="20">
        <f>'Total income package'!$H$61+'Total income package'!$F$66</f>
        <v>100</v>
      </c>
      <c r="G26" s="20">
        <f t="shared" si="4"/>
        <v>933.33333333333337</v>
      </c>
      <c r="H26" s="20" t="str">
        <f t="shared" si="0"/>
        <v>Yes</v>
      </c>
      <c r="I26" s="20">
        <f t="shared" si="1"/>
        <v>166.66666666666669</v>
      </c>
      <c r="J26" s="20">
        <f t="shared" si="2"/>
        <v>209</v>
      </c>
      <c r="K26" s="20">
        <f t="shared" si="5"/>
        <v>557.66666666666674</v>
      </c>
      <c r="L26" s="20">
        <f t="shared" si="6"/>
        <v>500</v>
      </c>
      <c r="M26" s="20">
        <f>'Total income package'!$B$69</f>
        <v>500</v>
      </c>
      <c r="N26" s="20">
        <f t="shared" si="7"/>
        <v>1000</v>
      </c>
      <c r="O26" s="344" t="str">
        <f t="shared" si="8"/>
        <v>Yes</v>
      </c>
      <c r="P26" s="20">
        <f t="shared" si="9"/>
        <v>278.83333333333337</v>
      </c>
      <c r="Q26" s="346">
        <f t="shared" si="10"/>
        <v>0</v>
      </c>
      <c r="R26" s="20">
        <f>IF(AND(D$2+$E$2&gt;0,N26-SNAP!P26&gt;0),N26-SNAP!P26,0)</f>
        <v>721.16666666666663</v>
      </c>
      <c r="S26" s="20">
        <f t="shared" si="11"/>
        <v>0</v>
      </c>
      <c r="T26" s="20">
        <f t="shared" si="3"/>
        <v>0</v>
      </c>
      <c r="U26" s="20">
        <f>IF(AND('Total income package'!$A$18=TRUE,OR(H26="Yes",O26="Yes"),G26&lt;$G$2,$K$2-T26&gt;10),ROUNDDOWN($K$2-T26,0),0)</f>
        <v>546</v>
      </c>
      <c r="V26" s="176">
        <f t="shared" si="12"/>
        <v>546</v>
      </c>
      <c r="W26" s="5"/>
    </row>
    <row r="27" spans="2:23" x14ac:dyDescent="0.25">
      <c r="B27" s="72">
        <v>10500</v>
      </c>
      <c r="C27" s="19">
        <f>MAX('TANF-VIEW'!L30,'TANF-VIEW'!T30)</f>
        <v>0</v>
      </c>
      <c r="D27" s="20">
        <f t="shared" si="13"/>
        <v>875</v>
      </c>
      <c r="E27" s="20">
        <f>'Total income package'!$D$80</f>
        <v>0</v>
      </c>
      <c r="F27" s="20">
        <f>'Total income package'!$H$61+'Total income package'!$F$66</f>
        <v>100</v>
      </c>
      <c r="G27" s="20">
        <f t="shared" si="4"/>
        <v>975</v>
      </c>
      <c r="H27" s="20" t="str">
        <f t="shared" si="0"/>
        <v>Yes</v>
      </c>
      <c r="I27" s="20">
        <f t="shared" si="1"/>
        <v>175</v>
      </c>
      <c r="J27" s="20">
        <f t="shared" si="2"/>
        <v>209</v>
      </c>
      <c r="K27" s="20">
        <f t="shared" si="5"/>
        <v>591</v>
      </c>
      <c r="L27" s="20">
        <f t="shared" si="6"/>
        <v>500</v>
      </c>
      <c r="M27" s="20">
        <f>'Total income package'!$B$69</f>
        <v>500</v>
      </c>
      <c r="N27" s="20">
        <f t="shared" si="7"/>
        <v>1000</v>
      </c>
      <c r="O27" s="344" t="str">
        <f t="shared" si="8"/>
        <v>Yes</v>
      </c>
      <c r="P27" s="20">
        <f t="shared" si="9"/>
        <v>295.5</v>
      </c>
      <c r="Q27" s="346">
        <f t="shared" si="10"/>
        <v>0</v>
      </c>
      <c r="R27" s="20">
        <f>IF(AND(D$2+$E$2&gt;0,N27-SNAP!P27&gt;0),N27-SNAP!P27,0)</f>
        <v>704.5</v>
      </c>
      <c r="S27" s="20">
        <f t="shared" si="11"/>
        <v>0</v>
      </c>
      <c r="T27" s="20">
        <f t="shared" si="3"/>
        <v>0</v>
      </c>
      <c r="U27" s="20">
        <f>IF(AND('Total income package'!$A$18=TRUE,OR(H27="Yes",O27="Yes"),G27&lt;$G$2,$K$2-T27&gt;10),ROUNDDOWN($K$2-T27,0),0)</f>
        <v>546</v>
      </c>
      <c r="V27" s="176">
        <f t="shared" si="12"/>
        <v>546</v>
      </c>
      <c r="W27" s="5"/>
    </row>
    <row r="28" spans="2:23" x14ac:dyDescent="0.25">
      <c r="B28" s="72">
        <v>11000</v>
      </c>
      <c r="C28" s="19">
        <f>MAX('TANF-VIEW'!L31,'TANF-VIEW'!T31)</f>
        <v>0</v>
      </c>
      <c r="D28" s="20">
        <f t="shared" si="13"/>
        <v>916.66666666666663</v>
      </c>
      <c r="E28" s="20">
        <f>'Total income package'!$D$80</f>
        <v>0</v>
      </c>
      <c r="F28" s="20">
        <f>'Total income package'!$H$61+'Total income package'!$F$66</f>
        <v>100</v>
      </c>
      <c r="G28" s="20">
        <f t="shared" si="4"/>
        <v>1016.6666666666666</v>
      </c>
      <c r="H28" s="20" t="str">
        <f t="shared" si="0"/>
        <v>Yes</v>
      </c>
      <c r="I28" s="20">
        <f t="shared" si="1"/>
        <v>183.33333333333334</v>
      </c>
      <c r="J28" s="20">
        <f t="shared" si="2"/>
        <v>209</v>
      </c>
      <c r="K28" s="20">
        <f t="shared" si="5"/>
        <v>624.33333333333326</v>
      </c>
      <c r="L28" s="20">
        <f t="shared" si="6"/>
        <v>500</v>
      </c>
      <c r="M28" s="20">
        <f>'Total income package'!$B$69</f>
        <v>500</v>
      </c>
      <c r="N28" s="20">
        <f t="shared" si="7"/>
        <v>1000</v>
      </c>
      <c r="O28" s="344" t="str">
        <f t="shared" si="8"/>
        <v>Yes</v>
      </c>
      <c r="P28" s="20">
        <f t="shared" si="9"/>
        <v>312.16666666666663</v>
      </c>
      <c r="Q28" s="346">
        <f t="shared" si="10"/>
        <v>0</v>
      </c>
      <c r="R28" s="20">
        <f>IF(AND(D$2+$E$2&gt;0,N28-SNAP!P28&gt;0),N28-SNAP!P28,0)</f>
        <v>687.83333333333337</v>
      </c>
      <c r="S28" s="20">
        <f t="shared" si="11"/>
        <v>0</v>
      </c>
      <c r="T28" s="20">
        <f t="shared" si="3"/>
        <v>0</v>
      </c>
      <c r="U28" s="20">
        <f>IF(AND('Total income package'!$A$18=TRUE,OR(H28="Yes",O28="Yes"),G28&lt;$G$2,$K$2-T28&gt;10),ROUNDDOWN($K$2-T28,0),0)</f>
        <v>546</v>
      </c>
      <c r="V28" s="176">
        <f t="shared" si="12"/>
        <v>546</v>
      </c>
      <c r="W28" s="5"/>
    </row>
    <row r="29" spans="2:23" x14ac:dyDescent="0.25">
      <c r="B29" s="72">
        <v>11500</v>
      </c>
      <c r="C29" s="19">
        <f>MAX('TANF-VIEW'!L32,'TANF-VIEW'!T32)</f>
        <v>0</v>
      </c>
      <c r="D29" s="20">
        <f t="shared" si="13"/>
        <v>958.33333333333337</v>
      </c>
      <c r="E29" s="20">
        <f>'Total income package'!$D$80</f>
        <v>0</v>
      </c>
      <c r="F29" s="20">
        <f>'Total income package'!$H$61+'Total income package'!$F$66</f>
        <v>100</v>
      </c>
      <c r="G29" s="20">
        <f t="shared" si="4"/>
        <v>1058.3333333333335</v>
      </c>
      <c r="H29" s="20" t="str">
        <f t="shared" si="0"/>
        <v>Yes</v>
      </c>
      <c r="I29" s="20">
        <f t="shared" si="1"/>
        <v>191.66666666666669</v>
      </c>
      <c r="J29" s="20">
        <f t="shared" si="2"/>
        <v>209</v>
      </c>
      <c r="K29" s="20">
        <f t="shared" si="5"/>
        <v>657.66666666666674</v>
      </c>
      <c r="L29" s="20">
        <f t="shared" si="6"/>
        <v>500</v>
      </c>
      <c r="M29" s="20">
        <f>'Total income package'!$B$69</f>
        <v>500</v>
      </c>
      <c r="N29" s="20">
        <f t="shared" si="7"/>
        <v>1000</v>
      </c>
      <c r="O29" s="344" t="str">
        <f t="shared" si="8"/>
        <v>Yes</v>
      </c>
      <c r="P29" s="20">
        <f t="shared" si="9"/>
        <v>328.83333333333337</v>
      </c>
      <c r="Q29" s="346">
        <f t="shared" si="10"/>
        <v>0</v>
      </c>
      <c r="R29" s="20">
        <f>IF(AND(D$2+$E$2&gt;0,N29-SNAP!P29&gt;0),N29-SNAP!P29,0)</f>
        <v>671.16666666666663</v>
      </c>
      <c r="S29" s="20">
        <f t="shared" si="11"/>
        <v>0</v>
      </c>
      <c r="T29" s="20">
        <f t="shared" si="3"/>
        <v>0</v>
      </c>
      <c r="U29" s="20">
        <f>IF(AND('Total income package'!$A$18=TRUE,OR(H29="Yes",O29="Yes"),G29&lt;$G$2,$K$2-T29&gt;10),ROUNDDOWN($K$2-T29,0),0)</f>
        <v>546</v>
      </c>
      <c r="V29" s="176">
        <f t="shared" si="12"/>
        <v>546</v>
      </c>
      <c r="W29" s="5"/>
    </row>
    <row r="30" spans="2:23" x14ac:dyDescent="0.25">
      <c r="B30" s="72">
        <v>12000</v>
      </c>
      <c r="C30" s="19">
        <f>MAX('TANF-VIEW'!L33,'TANF-VIEW'!T33)</f>
        <v>0</v>
      </c>
      <c r="D30" s="20">
        <f t="shared" si="13"/>
        <v>1000</v>
      </c>
      <c r="E30" s="20">
        <f>'Total income package'!$D$80</f>
        <v>0</v>
      </c>
      <c r="F30" s="20">
        <f>'Total income package'!$H$61+'Total income package'!$F$66</f>
        <v>100</v>
      </c>
      <c r="G30" s="20">
        <f t="shared" si="4"/>
        <v>1100</v>
      </c>
      <c r="H30" s="20" t="str">
        <f t="shared" si="0"/>
        <v>Yes</v>
      </c>
      <c r="I30" s="20">
        <f t="shared" si="1"/>
        <v>200</v>
      </c>
      <c r="J30" s="20">
        <f t="shared" si="2"/>
        <v>209</v>
      </c>
      <c r="K30" s="20">
        <f t="shared" si="5"/>
        <v>691</v>
      </c>
      <c r="L30" s="20">
        <f t="shared" si="6"/>
        <v>500</v>
      </c>
      <c r="M30" s="20">
        <f>'Total income package'!$B$69</f>
        <v>500</v>
      </c>
      <c r="N30" s="20">
        <f t="shared" si="7"/>
        <v>1000</v>
      </c>
      <c r="O30" s="344" t="str">
        <f t="shared" si="8"/>
        <v>Yes</v>
      </c>
      <c r="P30" s="20">
        <f t="shared" si="9"/>
        <v>345.5</v>
      </c>
      <c r="Q30" s="346">
        <f t="shared" si="10"/>
        <v>0</v>
      </c>
      <c r="R30" s="20">
        <f>IF(AND(D$2+$E$2&gt;0,N30-SNAP!P30&gt;0),N30-SNAP!P30,0)</f>
        <v>654.5</v>
      </c>
      <c r="S30" s="20">
        <f t="shared" si="11"/>
        <v>36.5</v>
      </c>
      <c r="T30" s="20">
        <f t="shared" si="3"/>
        <v>10.95</v>
      </c>
      <c r="U30" s="20">
        <f>IF(AND('Total income package'!$A$18=TRUE,OR(H30="Yes",O30="Yes"),G30&lt;$G$2,$K$2-T30&gt;10),ROUNDDOWN($K$2-T30,0),0)</f>
        <v>535</v>
      </c>
      <c r="V30" s="176">
        <f t="shared" si="12"/>
        <v>535</v>
      </c>
      <c r="W30" s="5"/>
    </row>
    <row r="31" spans="2:23" x14ac:dyDescent="0.25">
      <c r="B31" s="72">
        <v>12500</v>
      </c>
      <c r="C31" s="19">
        <f>MAX('TANF-VIEW'!L34,'TANF-VIEW'!T34)</f>
        <v>0</v>
      </c>
      <c r="D31" s="20">
        <f t="shared" si="13"/>
        <v>1041.6666666666667</v>
      </c>
      <c r="E31" s="20">
        <f>'Total income package'!$D$80</f>
        <v>0</v>
      </c>
      <c r="F31" s="20">
        <f>'Total income package'!$H$61+'Total income package'!$F$66</f>
        <v>100</v>
      </c>
      <c r="G31" s="20">
        <f t="shared" si="4"/>
        <v>1141.6666666666667</v>
      </c>
      <c r="H31" s="20" t="str">
        <f t="shared" si="0"/>
        <v>Yes</v>
      </c>
      <c r="I31" s="20">
        <f t="shared" si="1"/>
        <v>208.33333333333337</v>
      </c>
      <c r="J31" s="20">
        <f t="shared" si="2"/>
        <v>209</v>
      </c>
      <c r="K31" s="20">
        <f t="shared" si="5"/>
        <v>724.33333333333337</v>
      </c>
      <c r="L31" s="20">
        <f t="shared" si="6"/>
        <v>500</v>
      </c>
      <c r="M31" s="20">
        <f>'Total income package'!$B$69</f>
        <v>500</v>
      </c>
      <c r="N31" s="20">
        <f t="shared" si="7"/>
        <v>1000</v>
      </c>
      <c r="O31" s="344" t="str">
        <f t="shared" si="8"/>
        <v>Yes</v>
      </c>
      <c r="P31" s="20">
        <f t="shared" si="9"/>
        <v>362.16666666666669</v>
      </c>
      <c r="Q31" s="346">
        <f t="shared" si="10"/>
        <v>0</v>
      </c>
      <c r="R31" s="20">
        <f>IF(AND(D$2+$E$2&gt;0,N31-SNAP!P31&gt;0),N31-SNAP!P31,0)</f>
        <v>637.83333333333326</v>
      </c>
      <c r="S31" s="20">
        <f t="shared" si="11"/>
        <v>86.500000000000114</v>
      </c>
      <c r="T31" s="20">
        <f t="shared" si="3"/>
        <v>25.950000000000035</v>
      </c>
      <c r="U31" s="20">
        <f>IF(AND('Total income package'!$A$18=TRUE,OR(H31="Yes",O31="Yes"),G31&lt;$G$2,$K$2-T31&gt;10),ROUNDDOWN($K$2-T31,0),0)</f>
        <v>520</v>
      </c>
      <c r="V31" s="176">
        <f t="shared" si="12"/>
        <v>520</v>
      </c>
      <c r="W31" s="5"/>
    </row>
    <row r="32" spans="2:23" x14ac:dyDescent="0.25">
      <c r="B32" s="72">
        <v>13000</v>
      </c>
      <c r="C32" s="19">
        <f>MAX('TANF-VIEW'!L35,'TANF-VIEW'!T35)</f>
        <v>0</v>
      </c>
      <c r="D32" s="20">
        <f t="shared" si="13"/>
        <v>1083.3333333333333</v>
      </c>
      <c r="E32" s="20">
        <f>'Total income package'!$D$80</f>
        <v>0</v>
      </c>
      <c r="F32" s="20">
        <f>'Total income package'!$H$61+'Total income package'!$F$66</f>
        <v>100</v>
      </c>
      <c r="G32" s="20">
        <f t="shared" si="4"/>
        <v>1183.3333333333333</v>
      </c>
      <c r="H32" s="20" t="str">
        <f t="shared" si="0"/>
        <v>Yes</v>
      </c>
      <c r="I32" s="20">
        <f t="shared" si="1"/>
        <v>216.66666666666666</v>
      </c>
      <c r="J32" s="20">
        <f t="shared" si="2"/>
        <v>209</v>
      </c>
      <c r="K32" s="20">
        <f t="shared" si="5"/>
        <v>757.66666666666663</v>
      </c>
      <c r="L32" s="20">
        <f t="shared" si="6"/>
        <v>500</v>
      </c>
      <c r="M32" s="20">
        <f>'Total income package'!$B$69</f>
        <v>500</v>
      </c>
      <c r="N32" s="20">
        <f t="shared" si="7"/>
        <v>1000</v>
      </c>
      <c r="O32" s="344" t="str">
        <f t="shared" si="8"/>
        <v>Yes</v>
      </c>
      <c r="P32" s="20">
        <f t="shared" si="9"/>
        <v>378.83333333333331</v>
      </c>
      <c r="Q32" s="346">
        <f t="shared" si="10"/>
        <v>0</v>
      </c>
      <c r="R32" s="20">
        <f>IF(AND(D$2+$E$2&gt;0,N32-SNAP!P32&gt;0),N32-SNAP!P32,0)</f>
        <v>621.16666666666674</v>
      </c>
      <c r="S32" s="20">
        <f t="shared" si="11"/>
        <v>136.49999999999989</v>
      </c>
      <c r="T32" s="20">
        <f t="shared" si="3"/>
        <v>40.949999999999967</v>
      </c>
      <c r="U32" s="20">
        <f>IF(AND('Total income package'!$A$18=TRUE,OR(H32="Yes",O32="Yes"),G32&lt;$G$2,$K$2-T32&gt;10),ROUNDDOWN($K$2-T32,0),0)</f>
        <v>505</v>
      </c>
      <c r="V32" s="176">
        <f t="shared" si="12"/>
        <v>505</v>
      </c>
      <c r="W32" s="5"/>
    </row>
    <row r="33" spans="2:23" x14ac:dyDescent="0.25">
      <c r="B33" s="72">
        <v>13500</v>
      </c>
      <c r="C33" s="19">
        <f>MAX('TANF-VIEW'!L36,'TANF-VIEW'!T36)</f>
        <v>0</v>
      </c>
      <c r="D33" s="20">
        <f t="shared" si="13"/>
        <v>1125</v>
      </c>
      <c r="E33" s="20">
        <f>'Total income package'!$D$80</f>
        <v>0</v>
      </c>
      <c r="F33" s="20">
        <f>'Total income package'!$H$61+'Total income package'!$F$66</f>
        <v>100</v>
      </c>
      <c r="G33" s="20">
        <f t="shared" si="4"/>
        <v>1225</v>
      </c>
      <c r="H33" s="20" t="str">
        <f t="shared" si="0"/>
        <v>Yes</v>
      </c>
      <c r="I33" s="20">
        <f t="shared" si="1"/>
        <v>225</v>
      </c>
      <c r="J33" s="20">
        <f t="shared" si="2"/>
        <v>209</v>
      </c>
      <c r="K33" s="20">
        <f t="shared" si="5"/>
        <v>791</v>
      </c>
      <c r="L33" s="20">
        <f t="shared" si="6"/>
        <v>500</v>
      </c>
      <c r="M33" s="20">
        <f>'Total income package'!$B$69</f>
        <v>500</v>
      </c>
      <c r="N33" s="20">
        <f t="shared" si="7"/>
        <v>1000</v>
      </c>
      <c r="O33" s="344" t="str">
        <f t="shared" si="8"/>
        <v>Yes</v>
      </c>
      <c r="P33" s="20">
        <f t="shared" si="9"/>
        <v>395.5</v>
      </c>
      <c r="Q33" s="346">
        <f t="shared" si="10"/>
        <v>0</v>
      </c>
      <c r="R33" s="20">
        <f>IF(AND(D$2+$E$2&gt;0,N33-SNAP!P33&gt;0),N33-SNAP!P33,0)</f>
        <v>604.5</v>
      </c>
      <c r="S33" s="20">
        <f t="shared" si="11"/>
        <v>186.5</v>
      </c>
      <c r="T33" s="20">
        <f t="shared" si="3"/>
        <v>55.949999999999996</v>
      </c>
      <c r="U33" s="20">
        <f>IF(AND('Total income package'!$A$18=TRUE,OR(H33="Yes",O33="Yes"),G33&lt;$G$2,$K$2-T33&gt;10),ROUNDDOWN($K$2-T33,0),0)</f>
        <v>490</v>
      </c>
      <c r="V33" s="176">
        <f t="shared" si="12"/>
        <v>490</v>
      </c>
      <c r="W33" s="5"/>
    </row>
    <row r="34" spans="2:23" x14ac:dyDescent="0.25">
      <c r="B34" s="72">
        <v>14000</v>
      </c>
      <c r="C34" s="19">
        <f>MAX('TANF-VIEW'!L37,'TANF-VIEW'!T37)</f>
        <v>0</v>
      </c>
      <c r="D34" s="20">
        <f t="shared" si="13"/>
        <v>1166.6666666666667</v>
      </c>
      <c r="E34" s="20">
        <f>'Total income package'!$D$80</f>
        <v>0</v>
      </c>
      <c r="F34" s="20">
        <f>'Total income package'!$H$61+'Total income package'!$F$66</f>
        <v>100</v>
      </c>
      <c r="G34" s="20">
        <f t="shared" si="4"/>
        <v>1266.6666666666667</v>
      </c>
      <c r="H34" s="20" t="str">
        <f t="shared" si="0"/>
        <v>Yes</v>
      </c>
      <c r="I34" s="20">
        <f t="shared" si="1"/>
        <v>233.33333333333337</v>
      </c>
      <c r="J34" s="20">
        <f t="shared" si="2"/>
        <v>209</v>
      </c>
      <c r="K34" s="20">
        <f t="shared" si="5"/>
        <v>824.33333333333348</v>
      </c>
      <c r="L34" s="20">
        <f t="shared" si="6"/>
        <v>500</v>
      </c>
      <c r="M34" s="20">
        <f>'Total income package'!$B$69</f>
        <v>500</v>
      </c>
      <c r="N34" s="20">
        <f t="shared" si="7"/>
        <v>1000</v>
      </c>
      <c r="O34" s="344" t="str">
        <f t="shared" si="8"/>
        <v>Yes</v>
      </c>
      <c r="P34" s="20">
        <f t="shared" si="9"/>
        <v>412.16666666666674</v>
      </c>
      <c r="Q34" s="346">
        <f t="shared" si="10"/>
        <v>0</v>
      </c>
      <c r="R34" s="20">
        <f>IF(AND(D$2+$E$2&gt;0,N34-SNAP!P34&gt;0),N34-SNAP!P34,0)</f>
        <v>587.83333333333326</v>
      </c>
      <c r="S34" s="20">
        <f t="shared" si="11"/>
        <v>236.50000000000023</v>
      </c>
      <c r="T34" s="20">
        <f t="shared" si="3"/>
        <v>70.95000000000006</v>
      </c>
      <c r="U34" s="20">
        <f>IF(AND('Total income package'!$A$18=TRUE,OR(H34="Yes",O34="Yes"),G34&lt;$G$2,$K$2-T34&gt;10),ROUNDDOWN($K$2-T34,0),0)</f>
        <v>475</v>
      </c>
      <c r="V34" s="176">
        <f t="shared" si="12"/>
        <v>475</v>
      </c>
      <c r="W34" s="5"/>
    </row>
    <row r="35" spans="2:23" x14ac:dyDescent="0.25">
      <c r="B35" s="72">
        <v>14500</v>
      </c>
      <c r="C35" s="19">
        <f>MAX('TANF-VIEW'!L38,'TANF-VIEW'!T38)</f>
        <v>0</v>
      </c>
      <c r="D35" s="20">
        <f t="shared" si="13"/>
        <v>1208.3333333333333</v>
      </c>
      <c r="E35" s="20">
        <f>'Total income package'!$D$80</f>
        <v>0</v>
      </c>
      <c r="F35" s="20">
        <f>'Total income package'!$H$61+'Total income package'!$F$66</f>
        <v>100</v>
      </c>
      <c r="G35" s="20">
        <f t="shared" si="4"/>
        <v>1308.3333333333333</v>
      </c>
      <c r="H35" s="20" t="str">
        <f t="shared" si="0"/>
        <v>Yes</v>
      </c>
      <c r="I35" s="20">
        <f t="shared" si="1"/>
        <v>241.66666666666666</v>
      </c>
      <c r="J35" s="20">
        <f t="shared" si="2"/>
        <v>209</v>
      </c>
      <c r="K35" s="20">
        <f t="shared" si="5"/>
        <v>857.66666666666652</v>
      </c>
      <c r="L35" s="20">
        <f t="shared" si="6"/>
        <v>500</v>
      </c>
      <c r="M35" s="20">
        <f>'Total income package'!$B$69</f>
        <v>500</v>
      </c>
      <c r="N35" s="20">
        <f t="shared" si="7"/>
        <v>1000</v>
      </c>
      <c r="O35" s="344" t="str">
        <f t="shared" si="8"/>
        <v>Yes</v>
      </c>
      <c r="P35" s="20">
        <f t="shared" si="9"/>
        <v>428.83333333333326</v>
      </c>
      <c r="Q35" s="346">
        <f t="shared" si="10"/>
        <v>0</v>
      </c>
      <c r="R35" s="20">
        <f>IF(AND(D$2+$E$2&gt;0,N35-SNAP!P35&gt;0),N35-SNAP!P35,0)</f>
        <v>571.16666666666674</v>
      </c>
      <c r="S35" s="20">
        <f t="shared" si="11"/>
        <v>286.49999999999977</v>
      </c>
      <c r="T35" s="20">
        <f t="shared" si="3"/>
        <v>85.949999999999932</v>
      </c>
      <c r="U35" s="20">
        <f>IF(AND('Total income package'!$A$18=TRUE,OR(H35="Yes",O35="Yes"),G35&lt;$G$2,$K$2-T35&gt;10),ROUNDDOWN($K$2-T35,0),0)</f>
        <v>460</v>
      </c>
      <c r="V35" s="176">
        <f t="shared" si="12"/>
        <v>460</v>
      </c>
      <c r="W35" s="5"/>
    </row>
    <row r="36" spans="2:23" x14ac:dyDescent="0.25">
      <c r="B36" s="72">
        <v>15000</v>
      </c>
      <c r="C36" s="19">
        <f>MAX('TANF-VIEW'!L39,'TANF-VIEW'!T39)</f>
        <v>0</v>
      </c>
      <c r="D36" s="20">
        <f t="shared" si="13"/>
        <v>1250</v>
      </c>
      <c r="E36" s="20">
        <f>'Total income package'!$D$80</f>
        <v>0</v>
      </c>
      <c r="F36" s="20">
        <f>'Total income package'!$H$61+'Total income package'!$F$66</f>
        <v>100</v>
      </c>
      <c r="G36" s="20">
        <f t="shared" si="4"/>
        <v>1350</v>
      </c>
      <c r="H36" s="20" t="str">
        <f t="shared" si="0"/>
        <v>Yes</v>
      </c>
      <c r="I36" s="20">
        <f t="shared" si="1"/>
        <v>250</v>
      </c>
      <c r="J36" s="20">
        <f t="shared" si="2"/>
        <v>209</v>
      </c>
      <c r="K36" s="20">
        <f t="shared" si="5"/>
        <v>891</v>
      </c>
      <c r="L36" s="20">
        <f t="shared" si="6"/>
        <v>500</v>
      </c>
      <c r="M36" s="20">
        <f>'Total income package'!$B$69</f>
        <v>500</v>
      </c>
      <c r="N36" s="20">
        <f t="shared" si="7"/>
        <v>1000</v>
      </c>
      <c r="O36" s="344" t="str">
        <f t="shared" si="8"/>
        <v>Yes</v>
      </c>
      <c r="P36" s="20">
        <f t="shared" si="9"/>
        <v>445.5</v>
      </c>
      <c r="Q36" s="346">
        <f t="shared" si="10"/>
        <v>0</v>
      </c>
      <c r="R36" s="20">
        <f>IF(AND(D$2+$E$2&gt;0,N36-SNAP!P36&gt;0),N36-SNAP!P36,0)</f>
        <v>554.5</v>
      </c>
      <c r="S36" s="20">
        <f t="shared" si="11"/>
        <v>336.5</v>
      </c>
      <c r="T36" s="20">
        <f t="shared" si="3"/>
        <v>100.95</v>
      </c>
      <c r="U36" s="20">
        <f>IF(AND('Total income package'!$A$18=TRUE,OR(H36="Yes",O36="Yes"),G36&lt;$G$2,$K$2-T36&gt;10),ROUNDDOWN($K$2-T36,0),0)</f>
        <v>445</v>
      </c>
      <c r="V36" s="176">
        <f t="shared" si="12"/>
        <v>445</v>
      </c>
      <c r="W36" s="5"/>
    </row>
    <row r="37" spans="2:23" x14ac:dyDescent="0.25">
      <c r="B37" s="72">
        <v>15500</v>
      </c>
      <c r="C37" s="19">
        <f>MAX('TANF-VIEW'!L40,'TANF-VIEW'!T40)</f>
        <v>0</v>
      </c>
      <c r="D37" s="20">
        <f t="shared" si="13"/>
        <v>1291.6666666666667</v>
      </c>
      <c r="E37" s="20">
        <f>'Total income package'!$D$80</f>
        <v>0</v>
      </c>
      <c r="F37" s="20">
        <f>'Total income package'!$H$61+'Total income package'!$F$66</f>
        <v>100</v>
      </c>
      <c r="G37" s="20">
        <f t="shared" si="4"/>
        <v>1391.6666666666667</v>
      </c>
      <c r="H37" s="20" t="str">
        <f t="shared" si="0"/>
        <v>Yes</v>
      </c>
      <c r="I37" s="20">
        <f t="shared" si="1"/>
        <v>258.33333333333337</v>
      </c>
      <c r="J37" s="20">
        <f t="shared" si="2"/>
        <v>209</v>
      </c>
      <c r="K37" s="20">
        <f t="shared" si="5"/>
        <v>924.33333333333348</v>
      </c>
      <c r="L37" s="20">
        <f t="shared" si="6"/>
        <v>500</v>
      </c>
      <c r="M37" s="20">
        <f>'Total income package'!$B$69</f>
        <v>500</v>
      </c>
      <c r="N37" s="20">
        <f t="shared" si="7"/>
        <v>1000</v>
      </c>
      <c r="O37" s="344" t="str">
        <f t="shared" si="8"/>
        <v>Yes</v>
      </c>
      <c r="P37" s="20">
        <f t="shared" si="9"/>
        <v>462.16666666666674</v>
      </c>
      <c r="Q37" s="346">
        <f t="shared" si="10"/>
        <v>0</v>
      </c>
      <c r="R37" s="20">
        <f>IF(AND(D$2+$E$2&gt;0,N37-SNAP!P37&gt;0),N37-SNAP!P37,0)</f>
        <v>537.83333333333326</v>
      </c>
      <c r="S37" s="20">
        <f t="shared" si="11"/>
        <v>386.50000000000023</v>
      </c>
      <c r="T37" s="20">
        <f t="shared" si="3"/>
        <v>115.95000000000006</v>
      </c>
      <c r="U37" s="20">
        <f>IF(AND('Total income package'!$A$18=TRUE,OR(H37="Yes",O37="Yes"),G37&lt;$G$2,$K$2-T37&gt;10),ROUNDDOWN($K$2-T37,0),0)</f>
        <v>430</v>
      </c>
      <c r="V37" s="176">
        <f t="shared" si="12"/>
        <v>430</v>
      </c>
      <c r="W37" s="5"/>
    </row>
    <row r="38" spans="2:23" x14ac:dyDescent="0.25">
      <c r="B38" s="72">
        <v>16000</v>
      </c>
      <c r="C38" s="19">
        <f>MAX('TANF-VIEW'!L41,'TANF-VIEW'!T41)</f>
        <v>0</v>
      </c>
      <c r="D38" s="20">
        <f t="shared" si="13"/>
        <v>1333.3333333333333</v>
      </c>
      <c r="E38" s="20">
        <f>'Total income package'!$D$80</f>
        <v>0</v>
      </c>
      <c r="F38" s="20">
        <f>'Total income package'!$H$61+'Total income package'!$F$66</f>
        <v>100</v>
      </c>
      <c r="G38" s="20">
        <f t="shared" si="4"/>
        <v>1433.3333333333333</v>
      </c>
      <c r="H38" s="20" t="str">
        <f t="shared" si="0"/>
        <v>Yes</v>
      </c>
      <c r="I38" s="20">
        <f t="shared" si="1"/>
        <v>266.66666666666669</v>
      </c>
      <c r="J38" s="20">
        <f t="shared" si="2"/>
        <v>209</v>
      </c>
      <c r="K38" s="20">
        <f t="shared" si="5"/>
        <v>957.66666666666652</v>
      </c>
      <c r="L38" s="20">
        <f t="shared" si="6"/>
        <v>500</v>
      </c>
      <c r="M38" s="20">
        <f>'Total income package'!$B$69</f>
        <v>500</v>
      </c>
      <c r="N38" s="20">
        <f t="shared" si="7"/>
        <v>1000</v>
      </c>
      <c r="O38" s="344" t="str">
        <f t="shared" si="8"/>
        <v>Yes</v>
      </c>
      <c r="P38" s="20">
        <f t="shared" si="9"/>
        <v>478.83333333333326</v>
      </c>
      <c r="Q38" s="346">
        <f t="shared" si="10"/>
        <v>0</v>
      </c>
      <c r="R38" s="20">
        <f>IF(AND(D$2+$E$2&gt;0,N38-SNAP!P38&gt;0),N38-SNAP!P38,0)</f>
        <v>521.16666666666674</v>
      </c>
      <c r="S38" s="20">
        <f t="shared" si="11"/>
        <v>436.49999999999977</v>
      </c>
      <c r="T38" s="20">
        <f t="shared" si="3"/>
        <v>130.94999999999993</v>
      </c>
      <c r="U38" s="20">
        <f>IF(AND('Total income package'!$A$18=TRUE,OR(H38="Yes",O38="Yes"),G38&lt;$G$2,$K$2-T38&gt;10),ROUNDDOWN($K$2-T38,0),0)</f>
        <v>415</v>
      </c>
      <c r="V38" s="176">
        <f t="shared" si="12"/>
        <v>415</v>
      </c>
      <c r="W38" s="5"/>
    </row>
    <row r="39" spans="2:23" x14ac:dyDescent="0.25">
      <c r="B39" s="72">
        <v>16500</v>
      </c>
      <c r="C39" s="19">
        <f>MAX('TANF-VIEW'!L42,'TANF-VIEW'!T42)</f>
        <v>0</v>
      </c>
      <c r="D39" s="20">
        <f t="shared" si="13"/>
        <v>1375</v>
      </c>
      <c r="E39" s="20">
        <f>'Total income package'!$D$80</f>
        <v>0</v>
      </c>
      <c r="F39" s="20">
        <f>'Total income package'!$H$61+'Total income package'!$F$66</f>
        <v>100</v>
      </c>
      <c r="G39" s="20">
        <f t="shared" si="4"/>
        <v>1475</v>
      </c>
      <c r="H39" s="20" t="str">
        <f t="shared" si="0"/>
        <v>Yes</v>
      </c>
      <c r="I39" s="20">
        <f t="shared" si="1"/>
        <v>275</v>
      </c>
      <c r="J39" s="20">
        <f t="shared" si="2"/>
        <v>209</v>
      </c>
      <c r="K39" s="20">
        <f t="shared" si="5"/>
        <v>991</v>
      </c>
      <c r="L39" s="20">
        <f t="shared" si="6"/>
        <v>500</v>
      </c>
      <c r="M39" s="20">
        <f>'Total income package'!$B$69</f>
        <v>500</v>
      </c>
      <c r="N39" s="20">
        <f t="shared" si="7"/>
        <v>1000</v>
      </c>
      <c r="O39" s="344" t="str">
        <f t="shared" si="8"/>
        <v>Yes</v>
      </c>
      <c r="P39" s="20">
        <f t="shared" si="9"/>
        <v>495.5</v>
      </c>
      <c r="Q39" s="346">
        <f t="shared" si="10"/>
        <v>0</v>
      </c>
      <c r="R39" s="20">
        <f>IF(AND(D$2+$E$2&gt;0,N39-SNAP!P39&gt;0),N39-SNAP!P39,0)</f>
        <v>504.5</v>
      </c>
      <c r="S39" s="20">
        <f t="shared" si="11"/>
        <v>486.5</v>
      </c>
      <c r="T39" s="20">
        <f t="shared" si="3"/>
        <v>145.94999999999999</v>
      </c>
      <c r="U39" s="20">
        <f>IF(AND('Total income package'!$A$18=TRUE,OR(H39="Yes",O39="Yes"),G39&lt;$G$2,$K$2-T39&gt;10),ROUNDDOWN($K$2-T39,0),0)</f>
        <v>400</v>
      </c>
      <c r="V39" s="176">
        <f t="shared" si="12"/>
        <v>400</v>
      </c>
      <c r="W39" s="5"/>
    </row>
    <row r="40" spans="2:23" x14ac:dyDescent="0.25">
      <c r="B40" s="72">
        <v>17000</v>
      </c>
      <c r="C40" s="19">
        <f>MAX('TANF-VIEW'!L43,'TANF-VIEW'!T43)</f>
        <v>0</v>
      </c>
      <c r="D40" s="20">
        <f t="shared" si="13"/>
        <v>1416.6666666666667</v>
      </c>
      <c r="E40" s="20">
        <f>'Total income package'!$D$80</f>
        <v>0</v>
      </c>
      <c r="F40" s="20">
        <f>'Total income package'!$H$61+'Total income package'!$F$66</f>
        <v>100</v>
      </c>
      <c r="G40" s="20">
        <f t="shared" si="4"/>
        <v>1516.6666666666667</v>
      </c>
      <c r="H40" s="20" t="str">
        <f t="shared" si="0"/>
        <v>Yes</v>
      </c>
      <c r="I40" s="20">
        <f t="shared" si="1"/>
        <v>283.33333333333337</v>
      </c>
      <c r="J40" s="20">
        <f t="shared" si="2"/>
        <v>209</v>
      </c>
      <c r="K40" s="20">
        <f t="shared" si="5"/>
        <v>1024.3333333333335</v>
      </c>
      <c r="L40" s="20">
        <f t="shared" si="6"/>
        <v>500</v>
      </c>
      <c r="M40" s="20">
        <f>'Total income package'!$B$69</f>
        <v>500</v>
      </c>
      <c r="N40" s="20">
        <f t="shared" si="7"/>
        <v>1000</v>
      </c>
      <c r="O40" s="344" t="str">
        <f t="shared" si="8"/>
        <v>Yes</v>
      </c>
      <c r="P40" s="20">
        <f t="shared" si="9"/>
        <v>512.16666666666674</v>
      </c>
      <c r="Q40" s="346">
        <f t="shared" si="10"/>
        <v>0</v>
      </c>
      <c r="R40" s="20">
        <f>IF(AND(D$2+$E$2&gt;0,N40-SNAP!P40&gt;0),N40-SNAP!P40,0)</f>
        <v>487.83333333333326</v>
      </c>
      <c r="S40" s="20">
        <f t="shared" si="11"/>
        <v>536.50000000000023</v>
      </c>
      <c r="T40" s="20">
        <f t="shared" si="3"/>
        <v>160.95000000000007</v>
      </c>
      <c r="U40" s="20">
        <f>IF(AND('Total income package'!$A$18=TRUE,OR(H40="Yes",O40="Yes"),G40&lt;$G$2,$K$2-T40&gt;10),ROUNDDOWN($K$2-T40,0),0)</f>
        <v>385</v>
      </c>
      <c r="V40" s="176">
        <f t="shared" si="12"/>
        <v>385</v>
      </c>
      <c r="W40" s="5"/>
    </row>
    <row r="41" spans="2:23" x14ac:dyDescent="0.25">
      <c r="B41" s="72">
        <v>17500</v>
      </c>
      <c r="C41" s="19">
        <f>MAX('TANF-VIEW'!L44,'TANF-VIEW'!T44)</f>
        <v>0</v>
      </c>
      <c r="D41" s="20">
        <f t="shared" si="13"/>
        <v>1458.3333333333333</v>
      </c>
      <c r="E41" s="20">
        <f>'Total income package'!$D$80</f>
        <v>0</v>
      </c>
      <c r="F41" s="20">
        <f>'Total income package'!$H$61+'Total income package'!$F$66</f>
        <v>100</v>
      </c>
      <c r="G41" s="20">
        <f t="shared" si="4"/>
        <v>1558.3333333333333</v>
      </c>
      <c r="H41" s="20" t="str">
        <f t="shared" si="0"/>
        <v>Yes</v>
      </c>
      <c r="I41" s="20">
        <f t="shared" si="1"/>
        <v>291.66666666666669</v>
      </c>
      <c r="J41" s="20">
        <f t="shared" si="2"/>
        <v>209</v>
      </c>
      <c r="K41" s="20">
        <f t="shared" si="5"/>
        <v>1057.6666666666665</v>
      </c>
      <c r="L41" s="20">
        <f t="shared" si="6"/>
        <v>500</v>
      </c>
      <c r="M41" s="20">
        <f>'Total income package'!$B$69</f>
        <v>500</v>
      </c>
      <c r="N41" s="20">
        <f t="shared" si="7"/>
        <v>1000</v>
      </c>
      <c r="O41" s="344" t="str">
        <f t="shared" si="8"/>
        <v>Yes</v>
      </c>
      <c r="P41" s="20">
        <f t="shared" si="9"/>
        <v>528.83333333333326</v>
      </c>
      <c r="Q41" s="346">
        <f t="shared" si="10"/>
        <v>0</v>
      </c>
      <c r="R41" s="20">
        <f>IF(AND(D$2+$E$2&gt;0,N41-SNAP!P41&gt;0),N41-SNAP!P41,0)</f>
        <v>471.16666666666674</v>
      </c>
      <c r="S41" s="20">
        <f t="shared" si="11"/>
        <v>586.49999999999977</v>
      </c>
      <c r="T41" s="20">
        <f t="shared" si="3"/>
        <v>175.94999999999993</v>
      </c>
      <c r="U41" s="20">
        <f>IF(AND('Total income package'!$A$18=TRUE,OR(H41="Yes",O41="Yes"),G41&lt;$G$2,$K$2-T41&gt;10),ROUNDDOWN($K$2-T41,0),0)</f>
        <v>370</v>
      </c>
      <c r="V41" s="176">
        <f t="shared" si="12"/>
        <v>370</v>
      </c>
      <c r="W41" s="5"/>
    </row>
    <row r="42" spans="2:23" x14ac:dyDescent="0.25">
      <c r="B42" s="72">
        <v>18000</v>
      </c>
      <c r="C42" s="19">
        <f>MAX('TANF-VIEW'!L45,'TANF-VIEW'!T45)</f>
        <v>0</v>
      </c>
      <c r="D42" s="20">
        <f t="shared" si="13"/>
        <v>1500</v>
      </c>
      <c r="E42" s="20">
        <f>'Total income package'!$D$80</f>
        <v>0</v>
      </c>
      <c r="F42" s="20">
        <f>'Total income package'!$H$61+'Total income package'!$F$66</f>
        <v>100</v>
      </c>
      <c r="G42" s="20">
        <f t="shared" si="4"/>
        <v>1600</v>
      </c>
      <c r="H42" s="20" t="str">
        <f t="shared" si="0"/>
        <v>Yes</v>
      </c>
      <c r="I42" s="20">
        <f t="shared" si="1"/>
        <v>300</v>
      </c>
      <c r="J42" s="20">
        <f t="shared" si="2"/>
        <v>209</v>
      </c>
      <c r="K42" s="20">
        <f t="shared" si="5"/>
        <v>1091</v>
      </c>
      <c r="L42" s="20">
        <f t="shared" si="6"/>
        <v>500</v>
      </c>
      <c r="M42" s="20">
        <f>'Total income package'!$B$69</f>
        <v>500</v>
      </c>
      <c r="N42" s="20">
        <f t="shared" si="7"/>
        <v>1000</v>
      </c>
      <c r="O42" s="344" t="str">
        <f t="shared" si="8"/>
        <v>Yes</v>
      </c>
      <c r="P42" s="20">
        <f t="shared" si="9"/>
        <v>545.5</v>
      </c>
      <c r="Q42" s="346">
        <f t="shared" si="10"/>
        <v>0</v>
      </c>
      <c r="R42" s="20">
        <f>IF(AND(D$2+$E$2&gt;0,N42-SNAP!P42&gt;0),N42-SNAP!P42,0)</f>
        <v>454.5</v>
      </c>
      <c r="S42" s="20">
        <f t="shared" si="11"/>
        <v>636.5</v>
      </c>
      <c r="T42" s="20">
        <f t="shared" si="3"/>
        <v>190.95</v>
      </c>
      <c r="U42" s="20">
        <f>IF(AND('Total income package'!$A$18=TRUE,OR(H42="Yes",O42="Yes"),G42&lt;$G$2,$K$2-T42&gt;10),ROUNDDOWN($K$2-T42,0),0)</f>
        <v>355</v>
      </c>
      <c r="V42" s="176">
        <f t="shared" si="12"/>
        <v>355</v>
      </c>
      <c r="W42" s="5"/>
    </row>
    <row r="43" spans="2:23" x14ac:dyDescent="0.25">
      <c r="B43" s="72">
        <v>18500</v>
      </c>
      <c r="C43" s="19">
        <f>MAX('TANF-VIEW'!L46,'TANF-VIEW'!T46)</f>
        <v>0</v>
      </c>
      <c r="D43" s="20">
        <f t="shared" si="13"/>
        <v>1541.6666666666667</v>
      </c>
      <c r="E43" s="20">
        <f>'Total income package'!$D$80</f>
        <v>0</v>
      </c>
      <c r="F43" s="20">
        <f>'Total income package'!$H$61+'Total income package'!$F$66</f>
        <v>100</v>
      </c>
      <c r="G43" s="20">
        <f t="shared" si="4"/>
        <v>1641.6666666666667</v>
      </c>
      <c r="H43" s="20" t="str">
        <f t="shared" si="0"/>
        <v>Yes</v>
      </c>
      <c r="I43" s="20">
        <f t="shared" si="1"/>
        <v>308.33333333333337</v>
      </c>
      <c r="J43" s="20">
        <f t="shared" si="2"/>
        <v>209</v>
      </c>
      <c r="K43" s="20">
        <f t="shared" si="5"/>
        <v>1124.3333333333335</v>
      </c>
      <c r="L43" s="20">
        <f t="shared" si="6"/>
        <v>500</v>
      </c>
      <c r="M43" s="20">
        <f>'Total income package'!$B$69</f>
        <v>500</v>
      </c>
      <c r="N43" s="20">
        <f t="shared" si="7"/>
        <v>1000</v>
      </c>
      <c r="O43" s="344" t="str">
        <f t="shared" si="8"/>
        <v>Yes</v>
      </c>
      <c r="P43" s="20">
        <f t="shared" si="9"/>
        <v>562.16666666666674</v>
      </c>
      <c r="Q43" s="346">
        <f t="shared" si="10"/>
        <v>0</v>
      </c>
      <c r="R43" s="20">
        <f>IF(AND(D$2+$E$2&gt;0,N43-SNAP!P43&gt;0),N43-SNAP!P43,0)</f>
        <v>437.83333333333326</v>
      </c>
      <c r="S43" s="20">
        <f t="shared" si="11"/>
        <v>686.50000000000023</v>
      </c>
      <c r="T43" s="20">
        <f t="shared" si="3"/>
        <v>205.95000000000007</v>
      </c>
      <c r="U43" s="20">
        <f>IF(AND('Total income package'!$A$18=TRUE,OR(H43="Yes",O43="Yes"),G43&lt;$G$2,$K$2-T43&gt;10),ROUNDDOWN($K$2-T43,0),0)</f>
        <v>340</v>
      </c>
      <c r="V43" s="176">
        <f t="shared" si="12"/>
        <v>340</v>
      </c>
      <c r="W43" s="5"/>
    </row>
    <row r="44" spans="2:23" x14ac:dyDescent="0.25">
      <c r="B44" s="72">
        <v>19000</v>
      </c>
      <c r="C44" s="19">
        <f>MAX('TANF-VIEW'!L47,'TANF-VIEW'!T47)</f>
        <v>0</v>
      </c>
      <c r="D44" s="20">
        <f t="shared" si="13"/>
        <v>1583.3333333333333</v>
      </c>
      <c r="E44" s="20">
        <f>'Total income package'!$D$80</f>
        <v>0</v>
      </c>
      <c r="F44" s="20">
        <f>'Total income package'!$H$61+'Total income package'!$F$66</f>
        <v>100</v>
      </c>
      <c r="G44" s="20">
        <f t="shared" si="4"/>
        <v>1683.3333333333333</v>
      </c>
      <c r="H44" s="20" t="str">
        <f t="shared" si="0"/>
        <v>Yes</v>
      </c>
      <c r="I44" s="20">
        <f t="shared" si="1"/>
        <v>316.66666666666669</v>
      </c>
      <c r="J44" s="20">
        <f t="shared" si="2"/>
        <v>209</v>
      </c>
      <c r="K44" s="20">
        <f t="shared" si="5"/>
        <v>1157.6666666666665</v>
      </c>
      <c r="L44" s="20">
        <f t="shared" si="6"/>
        <v>500</v>
      </c>
      <c r="M44" s="20">
        <f>'Total income package'!$B$69</f>
        <v>500</v>
      </c>
      <c r="N44" s="20">
        <f t="shared" si="7"/>
        <v>1000</v>
      </c>
      <c r="O44" s="344" t="str">
        <f t="shared" si="8"/>
        <v>Yes</v>
      </c>
      <c r="P44" s="20">
        <f t="shared" si="9"/>
        <v>578.83333333333326</v>
      </c>
      <c r="Q44" s="346">
        <f t="shared" si="10"/>
        <v>0</v>
      </c>
      <c r="R44" s="20">
        <f>IF(AND(D$2+$E$2&gt;0,N44-SNAP!P44&gt;0),N44-SNAP!P44,0)</f>
        <v>421.16666666666674</v>
      </c>
      <c r="S44" s="20">
        <f t="shared" si="11"/>
        <v>736.49999999999977</v>
      </c>
      <c r="T44" s="20">
        <f t="shared" si="3"/>
        <v>220.94999999999993</v>
      </c>
      <c r="U44" s="20">
        <f>IF(AND('Total income package'!$A$18=TRUE,OR(H44="Yes",O44="Yes"),G44&lt;$G$2,$K$2-T44&gt;10),ROUNDDOWN($K$2-T44,0),0)</f>
        <v>325</v>
      </c>
      <c r="V44" s="176">
        <f t="shared" si="12"/>
        <v>325</v>
      </c>
      <c r="W44" s="5"/>
    </row>
    <row r="45" spans="2:23" x14ac:dyDescent="0.25">
      <c r="B45" s="72">
        <v>19500</v>
      </c>
      <c r="C45" s="19">
        <f>MAX('TANF-VIEW'!L48,'TANF-VIEW'!T48)</f>
        <v>0</v>
      </c>
      <c r="D45" s="20">
        <f t="shared" si="13"/>
        <v>1625</v>
      </c>
      <c r="E45" s="20">
        <f>'Total income package'!$D$80</f>
        <v>0</v>
      </c>
      <c r="F45" s="20">
        <f>'Total income package'!$H$61+'Total income package'!$F$66</f>
        <v>100</v>
      </c>
      <c r="G45" s="20">
        <f t="shared" si="4"/>
        <v>1725</v>
      </c>
      <c r="H45" s="20" t="str">
        <f t="shared" si="0"/>
        <v>Yes</v>
      </c>
      <c r="I45" s="20">
        <f t="shared" si="1"/>
        <v>325</v>
      </c>
      <c r="J45" s="20">
        <f t="shared" si="2"/>
        <v>209</v>
      </c>
      <c r="K45" s="20">
        <f t="shared" si="5"/>
        <v>1191</v>
      </c>
      <c r="L45" s="20">
        <f t="shared" si="6"/>
        <v>500</v>
      </c>
      <c r="M45" s="20">
        <f>'Total income package'!$B$69</f>
        <v>500</v>
      </c>
      <c r="N45" s="20">
        <f t="shared" si="7"/>
        <v>1000</v>
      </c>
      <c r="O45" s="344" t="str">
        <f t="shared" si="8"/>
        <v>Yes</v>
      </c>
      <c r="P45" s="20">
        <f t="shared" si="9"/>
        <v>595.5</v>
      </c>
      <c r="Q45" s="346">
        <f t="shared" si="10"/>
        <v>0</v>
      </c>
      <c r="R45" s="20">
        <f>IF(AND(D$2+$E$2&gt;0,N45-SNAP!P45&gt;0),N45-SNAP!P45,0)</f>
        <v>404.5</v>
      </c>
      <c r="S45" s="20">
        <f t="shared" si="11"/>
        <v>786.5</v>
      </c>
      <c r="T45" s="20">
        <f t="shared" si="3"/>
        <v>235.95</v>
      </c>
      <c r="U45" s="20">
        <f>IF(AND('Total income package'!$A$18=TRUE,OR(H45="Yes",O45="Yes"),G45&lt;$G$2,$K$2-T45&gt;10),ROUNDDOWN($K$2-T45,0),0)</f>
        <v>310</v>
      </c>
      <c r="V45" s="176">
        <f t="shared" si="12"/>
        <v>310</v>
      </c>
      <c r="W45" s="5"/>
    </row>
    <row r="46" spans="2:23" x14ac:dyDescent="0.25">
      <c r="B46" s="72">
        <v>20000</v>
      </c>
      <c r="C46" s="19">
        <f>MAX('TANF-VIEW'!L49,'TANF-VIEW'!T49)</f>
        <v>0</v>
      </c>
      <c r="D46" s="20">
        <f t="shared" si="13"/>
        <v>1666.6666666666667</v>
      </c>
      <c r="E46" s="20">
        <f>'Total income package'!$D$80</f>
        <v>0</v>
      </c>
      <c r="F46" s="20">
        <f>'Total income package'!$H$61+'Total income package'!$F$66</f>
        <v>100</v>
      </c>
      <c r="G46" s="20">
        <f t="shared" si="4"/>
        <v>1766.6666666666667</v>
      </c>
      <c r="H46" s="20" t="str">
        <f t="shared" si="0"/>
        <v>Yes</v>
      </c>
      <c r="I46" s="20">
        <f t="shared" si="1"/>
        <v>333.33333333333337</v>
      </c>
      <c r="J46" s="20">
        <f t="shared" si="2"/>
        <v>209</v>
      </c>
      <c r="K46" s="20">
        <f t="shared" si="5"/>
        <v>1224.3333333333335</v>
      </c>
      <c r="L46" s="20">
        <f t="shared" si="6"/>
        <v>500</v>
      </c>
      <c r="M46" s="20">
        <f>'Total income package'!$B$69</f>
        <v>500</v>
      </c>
      <c r="N46" s="20">
        <f t="shared" si="7"/>
        <v>1000</v>
      </c>
      <c r="O46" s="344" t="str">
        <f t="shared" si="8"/>
        <v>Yes</v>
      </c>
      <c r="P46" s="20">
        <f t="shared" si="9"/>
        <v>612.16666666666674</v>
      </c>
      <c r="Q46" s="346">
        <f t="shared" si="10"/>
        <v>0</v>
      </c>
      <c r="R46" s="20">
        <f>IF(AND(D$2+$E$2&gt;0,N46-SNAP!P46&gt;0),N46-SNAP!P46,0)</f>
        <v>387.83333333333326</v>
      </c>
      <c r="S46" s="20">
        <f t="shared" si="11"/>
        <v>836.50000000000023</v>
      </c>
      <c r="T46" s="20">
        <f t="shared" si="3"/>
        <v>250.95000000000005</v>
      </c>
      <c r="U46" s="20">
        <f>IF(AND('Total income package'!$A$18=TRUE,OR(H46="Yes",O46="Yes"),G46&lt;$G$2,$K$2-T46&gt;10),ROUNDDOWN($K$2-T46,0),0)</f>
        <v>295</v>
      </c>
      <c r="V46" s="176">
        <f t="shared" si="12"/>
        <v>295</v>
      </c>
      <c r="W46" s="5"/>
    </row>
    <row r="47" spans="2:23" x14ac:dyDescent="0.25">
      <c r="B47" s="72">
        <v>20500</v>
      </c>
      <c r="C47" s="19">
        <f>MAX('TANF-VIEW'!L50,'TANF-VIEW'!T50)</f>
        <v>0</v>
      </c>
      <c r="D47" s="20">
        <f t="shared" si="13"/>
        <v>1708.3333333333333</v>
      </c>
      <c r="E47" s="20">
        <f>'Total income package'!$D$80</f>
        <v>0</v>
      </c>
      <c r="F47" s="20">
        <f>'Total income package'!$H$61+'Total income package'!$F$66</f>
        <v>100</v>
      </c>
      <c r="G47" s="20">
        <f t="shared" si="4"/>
        <v>1808.3333333333333</v>
      </c>
      <c r="H47" s="20" t="str">
        <f t="shared" si="0"/>
        <v>Yes</v>
      </c>
      <c r="I47" s="20">
        <f t="shared" si="1"/>
        <v>341.66666666666669</v>
      </c>
      <c r="J47" s="20">
        <f t="shared" si="2"/>
        <v>209</v>
      </c>
      <c r="K47" s="20">
        <f t="shared" si="5"/>
        <v>1257.6666666666665</v>
      </c>
      <c r="L47" s="20">
        <f t="shared" si="6"/>
        <v>500</v>
      </c>
      <c r="M47" s="20">
        <f>'Total income package'!$B$69</f>
        <v>500</v>
      </c>
      <c r="N47" s="20">
        <f t="shared" si="7"/>
        <v>1000</v>
      </c>
      <c r="O47" s="344" t="str">
        <f t="shared" si="8"/>
        <v>Yes</v>
      </c>
      <c r="P47" s="20">
        <f t="shared" si="9"/>
        <v>628.83333333333326</v>
      </c>
      <c r="Q47" s="346">
        <f t="shared" si="10"/>
        <v>0</v>
      </c>
      <c r="R47" s="20">
        <f>IF(AND(D$2+$E$2&gt;0,N47-SNAP!P47&gt;0),N47-SNAP!P47,0)</f>
        <v>371.16666666666674</v>
      </c>
      <c r="S47" s="20">
        <f t="shared" si="11"/>
        <v>886.49999999999977</v>
      </c>
      <c r="T47" s="20">
        <f t="shared" si="3"/>
        <v>265.94999999999993</v>
      </c>
      <c r="U47" s="20">
        <f>IF(AND('Total income package'!$A$18=TRUE,OR(H47="Yes",O47="Yes"),G47&lt;$G$2,$K$2-T47&gt;10),ROUNDDOWN($K$2-T47,0),0)</f>
        <v>280</v>
      </c>
      <c r="V47" s="176">
        <f t="shared" si="12"/>
        <v>280</v>
      </c>
      <c r="W47" s="5"/>
    </row>
    <row r="48" spans="2:23" x14ac:dyDescent="0.25">
      <c r="B48" s="72">
        <v>21000</v>
      </c>
      <c r="C48" s="19">
        <f>MAX('TANF-VIEW'!L51,'TANF-VIEW'!T51)</f>
        <v>0</v>
      </c>
      <c r="D48" s="20">
        <f t="shared" si="13"/>
        <v>1750</v>
      </c>
      <c r="E48" s="20">
        <f>'Total income package'!$D$80</f>
        <v>0</v>
      </c>
      <c r="F48" s="20">
        <f>'Total income package'!$H$61+'Total income package'!$F$66</f>
        <v>100</v>
      </c>
      <c r="G48" s="20">
        <f t="shared" si="4"/>
        <v>1850</v>
      </c>
      <c r="H48" s="20" t="str">
        <f t="shared" si="0"/>
        <v>Yes</v>
      </c>
      <c r="I48" s="20">
        <f t="shared" si="1"/>
        <v>350</v>
      </c>
      <c r="J48" s="20">
        <f t="shared" si="2"/>
        <v>209</v>
      </c>
      <c r="K48" s="20">
        <f t="shared" si="5"/>
        <v>1291</v>
      </c>
      <c r="L48" s="20">
        <f t="shared" si="6"/>
        <v>500</v>
      </c>
      <c r="M48" s="20">
        <f>'Total income package'!$B$69</f>
        <v>500</v>
      </c>
      <c r="N48" s="20">
        <f t="shared" si="7"/>
        <v>1000</v>
      </c>
      <c r="O48" s="344" t="str">
        <f t="shared" si="8"/>
        <v>Yes</v>
      </c>
      <c r="P48" s="20">
        <f t="shared" si="9"/>
        <v>645.5</v>
      </c>
      <c r="Q48" s="346">
        <f t="shared" si="10"/>
        <v>0</v>
      </c>
      <c r="R48" s="20">
        <f>IF(AND(D$2+$E$2&gt;0,N48-SNAP!P48&gt;0),N48-SNAP!P48,0)</f>
        <v>354.5</v>
      </c>
      <c r="S48" s="20">
        <f t="shared" si="11"/>
        <v>936.5</v>
      </c>
      <c r="T48" s="20">
        <f t="shared" si="3"/>
        <v>280.95</v>
      </c>
      <c r="U48" s="20">
        <f>IF(AND('Total income package'!$A$18=TRUE,OR(H48="Yes",O48="Yes"),G48&lt;$G$2,$K$2-T48&gt;10),ROUNDDOWN($K$2-T48,0),0)</f>
        <v>265</v>
      </c>
      <c r="V48" s="176">
        <f t="shared" si="12"/>
        <v>265</v>
      </c>
      <c r="W48" s="25"/>
    </row>
    <row r="49" spans="2:23" x14ac:dyDescent="0.25">
      <c r="B49" s="72">
        <v>21500</v>
      </c>
      <c r="C49" s="19">
        <f>MAX('TANF-VIEW'!L52,'TANF-VIEW'!T52)</f>
        <v>0</v>
      </c>
      <c r="D49" s="20">
        <f t="shared" si="13"/>
        <v>1791.6666666666667</v>
      </c>
      <c r="E49" s="20">
        <f>'Total income package'!$D$80</f>
        <v>0</v>
      </c>
      <c r="F49" s="20">
        <f>'Total income package'!$H$61+'Total income package'!$F$66</f>
        <v>100</v>
      </c>
      <c r="G49" s="20">
        <f t="shared" si="4"/>
        <v>1891.6666666666667</v>
      </c>
      <c r="H49" s="20" t="str">
        <f t="shared" si="0"/>
        <v>Yes</v>
      </c>
      <c r="I49" s="20">
        <f t="shared" si="1"/>
        <v>358.33333333333337</v>
      </c>
      <c r="J49" s="20">
        <f t="shared" si="2"/>
        <v>209</v>
      </c>
      <c r="K49" s="20">
        <f t="shared" si="5"/>
        <v>1324.3333333333335</v>
      </c>
      <c r="L49" s="20">
        <f t="shared" si="6"/>
        <v>500</v>
      </c>
      <c r="M49" s="20">
        <f>'Total income package'!$B$69</f>
        <v>500</v>
      </c>
      <c r="N49" s="20">
        <f t="shared" si="7"/>
        <v>1000</v>
      </c>
      <c r="O49" s="344" t="str">
        <f t="shared" si="8"/>
        <v>Yes</v>
      </c>
      <c r="P49" s="20">
        <f t="shared" si="9"/>
        <v>662.16666666666674</v>
      </c>
      <c r="Q49" s="346">
        <f t="shared" si="10"/>
        <v>0</v>
      </c>
      <c r="R49" s="20">
        <f>IF(AND(D$2+$E$2&gt;0,N49-SNAP!P49&gt;0),N49-SNAP!P49,0)</f>
        <v>337.83333333333326</v>
      </c>
      <c r="S49" s="20">
        <f t="shared" si="11"/>
        <v>986.50000000000023</v>
      </c>
      <c r="T49" s="20">
        <f t="shared" si="3"/>
        <v>295.95000000000005</v>
      </c>
      <c r="U49" s="20">
        <f>IF(AND('Total income package'!$A$18=TRUE,OR(H49="Yes",O49="Yes"),G49&lt;$G$2,$K$2-T49&gt;10),ROUNDDOWN($K$2-T49,0),0)</f>
        <v>250</v>
      </c>
      <c r="V49" s="176">
        <f t="shared" si="12"/>
        <v>250</v>
      </c>
      <c r="W49" s="5"/>
    </row>
    <row r="50" spans="2:23" x14ac:dyDescent="0.25">
      <c r="B50" s="72">
        <v>22000</v>
      </c>
      <c r="C50" s="19">
        <f>MAX('TANF-VIEW'!L53,'TANF-VIEW'!T53)</f>
        <v>0</v>
      </c>
      <c r="D50" s="20">
        <f t="shared" si="13"/>
        <v>1833.3333333333333</v>
      </c>
      <c r="E50" s="20">
        <f>'Total income package'!$D$80</f>
        <v>0</v>
      </c>
      <c r="F50" s="20">
        <f>'Total income package'!$H$61+'Total income package'!$F$66</f>
        <v>100</v>
      </c>
      <c r="G50" s="20">
        <f t="shared" si="4"/>
        <v>1933.3333333333333</v>
      </c>
      <c r="H50" s="20" t="str">
        <f t="shared" si="0"/>
        <v>Yes</v>
      </c>
      <c r="I50" s="20">
        <f t="shared" si="1"/>
        <v>366.66666666666669</v>
      </c>
      <c r="J50" s="20">
        <f t="shared" si="2"/>
        <v>209</v>
      </c>
      <c r="K50" s="20">
        <f t="shared" si="5"/>
        <v>1357.6666666666665</v>
      </c>
      <c r="L50" s="20">
        <f t="shared" si="6"/>
        <v>500</v>
      </c>
      <c r="M50" s="20">
        <f>'Total income package'!$B$69</f>
        <v>500</v>
      </c>
      <c r="N50" s="20">
        <f t="shared" si="7"/>
        <v>1000</v>
      </c>
      <c r="O50" s="344" t="str">
        <f t="shared" si="8"/>
        <v>Yes</v>
      </c>
      <c r="P50" s="20">
        <f t="shared" si="9"/>
        <v>678.83333333333326</v>
      </c>
      <c r="Q50" s="346">
        <f t="shared" si="10"/>
        <v>0</v>
      </c>
      <c r="R50" s="20">
        <f>IF(AND(D$2+$E$2&gt;0,N50-SNAP!P50&gt;0),N50-SNAP!P50,0)</f>
        <v>321.16666666666674</v>
      </c>
      <c r="S50" s="20">
        <f t="shared" si="11"/>
        <v>1036.4999999999998</v>
      </c>
      <c r="T50" s="20">
        <f t="shared" si="3"/>
        <v>310.94999999999993</v>
      </c>
      <c r="U50" s="20">
        <f>IF(AND('Total income package'!$A$18=TRUE,OR(H50="Yes",O50="Yes"),G50&lt;$G$2,$K$2-T50&gt;10),ROUNDDOWN($K$2-T50,0),0)</f>
        <v>235</v>
      </c>
      <c r="V50" s="176">
        <f t="shared" si="12"/>
        <v>235</v>
      </c>
      <c r="W50" s="5"/>
    </row>
    <row r="51" spans="2:23" x14ac:dyDescent="0.25">
      <c r="B51" s="72">
        <v>22500</v>
      </c>
      <c r="C51" s="19">
        <f>MAX('TANF-VIEW'!L54,'TANF-VIEW'!T54)</f>
        <v>0</v>
      </c>
      <c r="D51" s="20">
        <f t="shared" si="13"/>
        <v>1875</v>
      </c>
      <c r="E51" s="20">
        <f>'Total income package'!$D$80</f>
        <v>0</v>
      </c>
      <c r="F51" s="20">
        <f>'Total income package'!$H$61+'Total income package'!$F$66</f>
        <v>100</v>
      </c>
      <c r="G51" s="20">
        <f t="shared" si="4"/>
        <v>1975</v>
      </c>
      <c r="H51" s="20" t="str">
        <f t="shared" si="0"/>
        <v>Yes</v>
      </c>
      <c r="I51" s="20">
        <f t="shared" si="1"/>
        <v>375</v>
      </c>
      <c r="J51" s="20">
        <f t="shared" si="2"/>
        <v>209</v>
      </c>
      <c r="K51" s="20">
        <f t="shared" si="5"/>
        <v>1391</v>
      </c>
      <c r="L51" s="20">
        <f t="shared" si="6"/>
        <v>500</v>
      </c>
      <c r="M51" s="20">
        <f>'Total income package'!$B$69</f>
        <v>500</v>
      </c>
      <c r="N51" s="20">
        <f t="shared" si="7"/>
        <v>1000</v>
      </c>
      <c r="O51" s="344" t="str">
        <f t="shared" si="8"/>
        <v>Yes</v>
      </c>
      <c r="P51" s="20">
        <f t="shared" si="9"/>
        <v>695.5</v>
      </c>
      <c r="Q51" s="346">
        <f t="shared" si="10"/>
        <v>0</v>
      </c>
      <c r="R51" s="20">
        <f>IF(AND(D$2+$E$2&gt;0,N51-SNAP!P51&gt;0),N51-SNAP!P51,0)</f>
        <v>304.5</v>
      </c>
      <c r="S51" s="20">
        <f t="shared" si="11"/>
        <v>1086.5</v>
      </c>
      <c r="T51" s="20">
        <f t="shared" si="3"/>
        <v>325.95</v>
      </c>
      <c r="U51" s="20">
        <f>IF(AND('Total income package'!$A$18=TRUE,OR(H51="Yes",O51="Yes"),G51&lt;$G$2,$K$2-T51&gt;10),ROUNDDOWN($K$2-T51,0),0)</f>
        <v>220</v>
      </c>
      <c r="V51" s="176">
        <f t="shared" si="12"/>
        <v>220</v>
      </c>
      <c r="W51" s="5"/>
    </row>
    <row r="52" spans="2:23" x14ac:dyDescent="0.25">
      <c r="B52" s="72">
        <v>23000</v>
      </c>
      <c r="C52" s="19">
        <f>MAX('TANF-VIEW'!L55,'TANF-VIEW'!T55)</f>
        <v>0</v>
      </c>
      <c r="D52" s="20">
        <f t="shared" si="13"/>
        <v>1916.6666666666667</v>
      </c>
      <c r="E52" s="20">
        <f>'Total income package'!$D$80</f>
        <v>0</v>
      </c>
      <c r="F52" s="20">
        <f>'Total income package'!$H$61+'Total income package'!$F$66</f>
        <v>100</v>
      </c>
      <c r="G52" s="20">
        <f t="shared" si="4"/>
        <v>2016.6666666666667</v>
      </c>
      <c r="H52" s="20" t="str">
        <f t="shared" si="0"/>
        <v>Yes</v>
      </c>
      <c r="I52" s="20">
        <f t="shared" si="1"/>
        <v>383.33333333333337</v>
      </c>
      <c r="J52" s="20">
        <f t="shared" si="2"/>
        <v>209</v>
      </c>
      <c r="K52" s="20">
        <f t="shared" si="5"/>
        <v>1424.3333333333335</v>
      </c>
      <c r="L52" s="20">
        <f t="shared" si="6"/>
        <v>500</v>
      </c>
      <c r="M52" s="20">
        <f>'Total income package'!$B$69</f>
        <v>500</v>
      </c>
      <c r="N52" s="20">
        <f t="shared" si="7"/>
        <v>1000</v>
      </c>
      <c r="O52" s="344" t="str">
        <f t="shared" si="8"/>
        <v>Yes</v>
      </c>
      <c r="P52" s="20">
        <f t="shared" si="9"/>
        <v>712.16666666666674</v>
      </c>
      <c r="Q52" s="346">
        <f t="shared" si="10"/>
        <v>0</v>
      </c>
      <c r="R52" s="20">
        <f>IF(AND(D$2+$E$2&gt;0,N52-SNAP!P52&gt;0),N52-SNAP!P52,0)</f>
        <v>287.83333333333326</v>
      </c>
      <c r="S52" s="20">
        <f t="shared" si="11"/>
        <v>1136.5000000000002</v>
      </c>
      <c r="T52" s="20">
        <f t="shared" si="3"/>
        <v>340.95000000000005</v>
      </c>
      <c r="U52" s="20">
        <f>IF(AND('Total income package'!$A$18=TRUE,OR(H52="Yes",O52="Yes"),G52&lt;$G$2,$K$2-T52&gt;10),ROUNDDOWN($K$2-T52,0),0)</f>
        <v>205</v>
      </c>
      <c r="V52" s="176">
        <f t="shared" si="12"/>
        <v>205</v>
      </c>
      <c r="W52" s="5"/>
    </row>
    <row r="53" spans="2:23" x14ac:dyDescent="0.25">
      <c r="B53" s="72">
        <v>23500</v>
      </c>
      <c r="C53" s="19">
        <f>MAX('TANF-VIEW'!L56,'TANF-VIEW'!T56)</f>
        <v>0</v>
      </c>
      <c r="D53" s="20">
        <f t="shared" si="13"/>
        <v>1958.3333333333333</v>
      </c>
      <c r="E53" s="20">
        <f>'Total income package'!$D$80</f>
        <v>0</v>
      </c>
      <c r="F53" s="20">
        <f>'Total income package'!$H$61+'Total income package'!$F$66</f>
        <v>100</v>
      </c>
      <c r="G53" s="20">
        <f t="shared" si="4"/>
        <v>2058.333333333333</v>
      </c>
      <c r="H53" s="20" t="str">
        <f t="shared" si="0"/>
        <v>Yes</v>
      </c>
      <c r="I53" s="20">
        <f t="shared" si="1"/>
        <v>391.66666666666669</v>
      </c>
      <c r="J53" s="20">
        <f t="shared" si="2"/>
        <v>209</v>
      </c>
      <c r="K53" s="20">
        <f t="shared" si="5"/>
        <v>1457.6666666666663</v>
      </c>
      <c r="L53" s="20">
        <f t="shared" si="6"/>
        <v>500</v>
      </c>
      <c r="M53" s="20">
        <f>'Total income package'!$B$69</f>
        <v>500</v>
      </c>
      <c r="N53" s="20">
        <f t="shared" si="7"/>
        <v>1000</v>
      </c>
      <c r="O53" s="344" t="str">
        <f t="shared" si="8"/>
        <v>Yes</v>
      </c>
      <c r="P53" s="20">
        <f t="shared" si="9"/>
        <v>728.83333333333314</v>
      </c>
      <c r="Q53" s="346">
        <f t="shared" si="10"/>
        <v>0</v>
      </c>
      <c r="R53" s="20">
        <f>IF(AND(D$2+$E$2&gt;0,N53-SNAP!P53&gt;0),N53-SNAP!P53,0)</f>
        <v>271.16666666666686</v>
      </c>
      <c r="S53" s="20">
        <f t="shared" si="11"/>
        <v>1186.4999999999995</v>
      </c>
      <c r="T53" s="20">
        <f t="shared" si="3"/>
        <v>355.94999999999987</v>
      </c>
      <c r="U53" s="20">
        <f>IF(AND('Total income package'!$A$18=TRUE,OR(H53="Yes",O53="Yes"),G53&lt;$G$2,$K$2-T53&gt;10),ROUNDDOWN($K$2-T53,0),0)</f>
        <v>190</v>
      </c>
      <c r="V53" s="176">
        <f t="shared" si="12"/>
        <v>190</v>
      </c>
      <c r="W53" s="5"/>
    </row>
    <row r="54" spans="2:23" x14ac:dyDescent="0.25">
      <c r="B54" s="72">
        <v>24000</v>
      </c>
      <c r="C54" s="19">
        <f>MAX('TANF-VIEW'!L57,'TANF-VIEW'!T57)</f>
        <v>0</v>
      </c>
      <c r="D54" s="20">
        <f t="shared" si="13"/>
        <v>2000</v>
      </c>
      <c r="E54" s="20">
        <f>'Total income package'!$D$80</f>
        <v>0</v>
      </c>
      <c r="F54" s="20">
        <f>'Total income package'!$H$61+'Total income package'!$F$66</f>
        <v>100</v>
      </c>
      <c r="G54" s="20">
        <f t="shared" si="4"/>
        <v>2100</v>
      </c>
      <c r="H54" s="20" t="str">
        <f t="shared" si="0"/>
        <v>Yes</v>
      </c>
      <c r="I54" s="20">
        <f t="shared" si="1"/>
        <v>400</v>
      </c>
      <c r="J54" s="20">
        <f t="shared" si="2"/>
        <v>209</v>
      </c>
      <c r="K54" s="20">
        <f t="shared" si="5"/>
        <v>1491</v>
      </c>
      <c r="L54" s="20">
        <f t="shared" si="6"/>
        <v>500</v>
      </c>
      <c r="M54" s="20">
        <f>'Total income package'!$B$69</f>
        <v>500</v>
      </c>
      <c r="N54" s="20">
        <f t="shared" si="7"/>
        <v>1000</v>
      </c>
      <c r="O54" s="344" t="str">
        <f t="shared" si="8"/>
        <v>Yes</v>
      </c>
      <c r="P54" s="20">
        <f t="shared" si="9"/>
        <v>745.5</v>
      </c>
      <c r="Q54" s="346">
        <f t="shared" si="10"/>
        <v>0</v>
      </c>
      <c r="R54" s="20">
        <f>IF(AND(D$2+$E$2&gt;0,N54-SNAP!P54&gt;0),N54-SNAP!P54,0)</f>
        <v>254.5</v>
      </c>
      <c r="S54" s="20">
        <f t="shared" si="11"/>
        <v>1236.5</v>
      </c>
      <c r="T54" s="20">
        <f t="shared" si="3"/>
        <v>370.95</v>
      </c>
      <c r="U54" s="20">
        <f>IF(AND('Total income package'!$A$18=TRUE,OR(H54="Yes",O54="Yes"),G54&lt;$G$2,$K$2-T54&gt;10),ROUNDDOWN($K$2-T54,0),0)</f>
        <v>175</v>
      </c>
      <c r="V54" s="176">
        <f t="shared" si="12"/>
        <v>175</v>
      </c>
      <c r="W54" s="5"/>
    </row>
    <row r="55" spans="2:23" x14ac:dyDescent="0.25">
      <c r="B55" s="72">
        <v>24500</v>
      </c>
      <c r="C55" s="19">
        <f>MAX('TANF-VIEW'!L58,'TANF-VIEW'!T58)</f>
        <v>0</v>
      </c>
      <c r="D55" s="20">
        <f t="shared" si="13"/>
        <v>2041.6666666666667</v>
      </c>
      <c r="E55" s="20">
        <f>'Total income package'!$D$80</f>
        <v>0</v>
      </c>
      <c r="F55" s="20">
        <f>'Total income package'!$H$61+'Total income package'!$F$66</f>
        <v>100</v>
      </c>
      <c r="G55" s="20">
        <f t="shared" si="4"/>
        <v>2141.666666666667</v>
      </c>
      <c r="H55" s="20" t="str">
        <f t="shared" si="0"/>
        <v>Yes</v>
      </c>
      <c r="I55" s="20">
        <f t="shared" si="1"/>
        <v>408.33333333333337</v>
      </c>
      <c r="J55" s="20">
        <f t="shared" si="2"/>
        <v>209</v>
      </c>
      <c r="K55" s="20">
        <f t="shared" si="5"/>
        <v>1524.3333333333335</v>
      </c>
      <c r="L55" s="20">
        <f t="shared" si="6"/>
        <v>500</v>
      </c>
      <c r="M55" s="20">
        <f>'Total income package'!$B$69</f>
        <v>500</v>
      </c>
      <c r="N55" s="20">
        <f t="shared" si="7"/>
        <v>1000</v>
      </c>
      <c r="O55" s="344" t="str">
        <f t="shared" si="8"/>
        <v>Yes</v>
      </c>
      <c r="P55" s="20">
        <f t="shared" si="9"/>
        <v>762.16666666666674</v>
      </c>
      <c r="Q55" s="346">
        <f t="shared" si="10"/>
        <v>0</v>
      </c>
      <c r="R55" s="20">
        <f>IF(AND(D$2+$E$2&gt;0,N55-SNAP!P55&gt;0),N55-SNAP!P55,0)</f>
        <v>237.83333333333326</v>
      </c>
      <c r="S55" s="20">
        <f t="shared" si="11"/>
        <v>1286.5000000000002</v>
      </c>
      <c r="T55" s="20">
        <f t="shared" si="3"/>
        <v>385.95000000000005</v>
      </c>
      <c r="U55" s="20">
        <f>IF(AND('Total income package'!$A$18=TRUE,OR(H55="Yes",O55="Yes"),G55&lt;$G$2,$K$2-T55&gt;10),ROUNDDOWN($K$2-T55,0),0)</f>
        <v>160</v>
      </c>
      <c r="V55" s="176">
        <f t="shared" si="12"/>
        <v>160</v>
      </c>
      <c r="W55" s="5"/>
    </row>
    <row r="56" spans="2:23" x14ac:dyDescent="0.25">
      <c r="B56" s="72">
        <v>25000</v>
      </c>
      <c r="C56" s="19">
        <f>MAX('TANF-VIEW'!L59,'TANF-VIEW'!T59)</f>
        <v>0</v>
      </c>
      <c r="D56" s="20">
        <f t="shared" si="13"/>
        <v>2083.3333333333335</v>
      </c>
      <c r="E56" s="20">
        <f>'Total income package'!$D$80</f>
        <v>0</v>
      </c>
      <c r="F56" s="20">
        <f>'Total income package'!$H$61+'Total income package'!$F$66</f>
        <v>100</v>
      </c>
      <c r="G56" s="20">
        <f t="shared" si="4"/>
        <v>2183.3333333333335</v>
      </c>
      <c r="H56" s="20" t="str">
        <f t="shared" si="0"/>
        <v>Yes</v>
      </c>
      <c r="I56" s="20">
        <f t="shared" si="1"/>
        <v>416.66666666666674</v>
      </c>
      <c r="J56" s="20">
        <f t="shared" si="2"/>
        <v>209</v>
      </c>
      <c r="K56" s="20">
        <f t="shared" si="5"/>
        <v>1557.6666666666667</v>
      </c>
      <c r="L56" s="20">
        <f t="shared" si="6"/>
        <v>500</v>
      </c>
      <c r="M56" s="20">
        <f>'Total income package'!$B$69</f>
        <v>500</v>
      </c>
      <c r="N56" s="20">
        <f t="shared" si="7"/>
        <v>1000</v>
      </c>
      <c r="O56" s="344" t="str">
        <f t="shared" si="8"/>
        <v>Yes</v>
      </c>
      <c r="P56" s="20">
        <f t="shared" si="9"/>
        <v>778.83333333333337</v>
      </c>
      <c r="Q56" s="346">
        <f t="shared" si="10"/>
        <v>0</v>
      </c>
      <c r="R56" s="20">
        <f>IF(AND(D$2+$E$2&gt;0,N56-SNAP!P56&gt;0),N56-SNAP!P56,0)</f>
        <v>221.16666666666663</v>
      </c>
      <c r="S56" s="20">
        <f t="shared" si="11"/>
        <v>1336.5</v>
      </c>
      <c r="T56" s="20">
        <f t="shared" si="3"/>
        <v>400.95</v>
      </c>
      <c r="U56" s="20">
        <f>IF(AND('Total income package'!$A$18=TRUE,OR(H56="Yes",O56="Yes"),G56&lt;$G$2,$K$2-T56&gt;10),ROUNDDOWN($K$2-T56,0),0)</f>
        <v>145</v>
      </c>
      <c r="V56" s="176">
        <f t="shared" si="12"/>
        <v>145</v>
      </c>
      <c r="W56" s="5"/>
    </row>
    <row r="57" spans="2:23" x14ac:dyDescent="0.25">
      <c r="B57" s="72">
        <v>25500</v>
      </c>
      <c r="C57" s="19">
        <f>MAX('TANF-VIEW'!L60,'TANF-VIEW'!T60)</f>
        <v>0</v>
      </c>
      <c r="D57" s="20">
        <f t="shared" si="13"/>
        <v>2125</v>
      </c>
      <c r="E57" s="20">
        <f>'Total income package'!$D$80</f>
        <v>0</v>
      </c>
      <c r="F57" s="20">
        <f>'Total income package'!$H$61+'Total income package'!$F$66</f>
        <v>100</v>
      </c>
      <c r="G57" s="20">
        <f t="shared" si="4"/>
        <v>2225</v>
      </c>
      <c r="H57" s="20" t="str">
        <f t="shared" si="0"/>
        <v>Yes</v>
      </c>
      <c r="I57" s="20">
        <f t="shared" si="1"/>
        <v>425</v>
      </c>
      <c r="J57" s="20">
        <f t="shared" si="2"/>
        <v>209</v>
      </c>
      <c r="K57" s="20">
        <f t="shared" si="5"/>
        <v>1591</v>
      </c>
      <c r="L57" s="20">
        <f t="shared" si="6"/>
        <v>500</v>
      </c>
      <c r="M57" s="20">
        <f>'Total income package'!$B$69</f>
        <v>500</v>
      </c>
      <c r="N57" s="20">
        <f t="shared" si="7"/>
        <v>1000</v>
      </c>
      <c r="O57" s="344" t="str">
        <f t="shared" si="8"/>
        <v>Yes</v>
      </c>
      <c r="P57" s="20">
        <f t="shared" si="9"/>
        <v>795.5</v>
      </c>
      <c r="Q57" s="346">
        <f t="shared" si="10"/>
        <v>0</v>
      </c>
      <c r="R57" s="20">
        <f>IF(AND(D$2+$E$2&gt;0,N57-SNAP!P57&gt;0),N57-SNAP!P57,0)</f>
        <v>204.5</v>
      </c>
      <c r="S57" s="20">
        <f t="shared" si="11"/>
        <v>1386.5</v>
      </c>
      <c r="T57" s="20">
        <f t="shared" si="3"/>
        <v>415.95</v>
      </c>
      <c r="U57" s="20">
        <f>IF(AND('Total income package'!$A$18=TRUE,OR(H57="Yes",O57="Yes"),G57&lt;$G$2,$K$2-T57&gt;10),ROUNDDOWN($K$2-T57,0),0)</f>
        <v>130</v>
      </c>
      <c r="V57" s="176">
        <f t="shared" si="12"/>
        <v>130</v>
      </c>
      <c r="W57" s="5"/>
    </row>
    <row r="58" spans="2:23" x14ac:dyDescent="0.25">
      <c r="B58" s="72">
        <v>26000</v>
      </c>
      <c r="C58" s="19">
        <f>MAX('TANF-VIEW'!L61,'TANF-VIEW'!T61)</f>
        <v>0</v>
      </c>
      <c r="D58" s="20">
        <f t="shared" si="13"/>
        <v>2166.6666666666665</v>
      </c>
      <c r="E58" s="20">
        <f>'Total income package'!$D$80</f>
        <v>0</v>
      </c>
      <c r="F58" s="20">
        <f>'Total income package'!$H$61+'Total income package'!$F$66</f>
        <v>100</v>
      </c>
      <c r="G58" s="20">
        <f t="shared" si="4"/>
        <v>2266.6666666666665</v>
      </c>
      <c r="H58" s="20" t="str">
        <f t="shared" si="0"/>
        <v>Yes</v>
      </c>
      <c r="I58" s="20">
        <f t="shared" si="1"/>
        <v>433.33333333333331</v>
      </c>
      <c r="J58" s="20">
        <f t="shared" si="2"/>
        <v>209</v>
      </c>
      <c r="K58" s="20">
        <f t="shared" si="5"/>
        <v>1624.3333333333333</v>
      </c>
      <c r="L58" s="20">
        <f t="shared" si="6"/>
        <v>500</v>
      </c>
      <c r="M58" s="20">
        <f>'Total income package'!$B$69</f>
        <v>500</v>
      </c>
      <c r="N58" s="20">
        <f t="shared" si="7"/>
        <v>1000</v>
      </c>
      <c r="O58" s="344" t="str">
        <f t="shared" si="8"/>
        <v>Yes</v>
      </c>
      <c r="P58" s="20">
        <f t="shared" si="9"/>
        <v>812.16666666666663</v>
      </c>
      <c r="Q58" s="346">
        <f t="shared" si="10"/>
        <v>0</v>
      </c>
      <c r="R58" s="20">
        <f>IF(AND(D$2+$E$2&gt;0,N58-SNAP!P58&gt;0),N58-SNAP!P58,0)</f>
        <v>187.83333333333337</v>
      </c>
      <c r="S58" s="20">
        <f t="shared" si="11"/>
        <v>1436.5</v>
      </c>
      <c r="T58" s="20">
        <f t="shared" si="3"/>
        <v>430.95</v>
      </c>
      <c r="U58" s="20">
        <f>IF(AND('Total income package'!$A$18=TRUE,OR(H58="Yes",O58="Yes"),G58&lt;$G$2,$K$2-T58&gt;10),ROUNDDOWN($K$2-T58,0),0)</f>
        <v>115</v>
      </c>
      <c r="V58" s="176">
        <f t="shared" si="12"/>
        <v>115</v>
      </c>
      <c r="W58" s="5"/>
    </row>
    <row r="59" spans="2:23" x14ac:dyDescent="0.25">
      <c r="B59" s="72">
        <v>26500</v>
      </c>
      <c r="C59" s="19">
        <f>MAX('TANF-VIEW'!L62,'TANF-VIEW'!T62)</f>
        <v>0</v>
      </c>
      <c r="D59" s="20">
        <f t="shared" si="13"/>
        <v>2208.3333333333335</v>
      </c>
      <c r="E59" s="20">
        <f>'Total income package'!$D$80</f>
        <v>0</v>
      </c>
      <c r="F59" s="20">
        <f>'Total income package'!$H$61+'Total income package'!$F$66</f>
        <v>100</v>
      </c>
      <c r="G59" s="20">
        <f t="shared" si="4"/>
        <v>2308.3333333333335</v>
      </c>
      <c r="H59" s="20" t="str">
        <f t="shared" si="0"/>
        <v>Yes</v>
      </c>
      <c r="I59" s="20">
        <f t="shared" si="1"/>
        <v>441.66666666666674</v>
      </c>
      <c r="J59" s="20">
        <f t="shared" si="2"/>
        <v>209</v>
      </c>
      <c r="K59" s="20">
        <f t="shared" si="5"/>
        <v>1657.6666666666667</v>
      </c>
      <c r="L59" s="20">
        <f t="shared" si="6"/>
        <v>500</v>
      </c>
      <c r="M59" s="20">
        <f>'Total income package'!$B$69</f>
        <v>500</v>
      </c>
      <c r="N59" s="20">
        <f t="shared" si="7"/>
        <v>1000</v>
      </c>
      <c r="O59" s="344" t="str">
        <f t="shared" si="8"/>
        <v>Yes</v>
      </c>
      <c r="P59" s="20">
        <f t="shared" si="9"/>
        <v>828.83333333333337</v>
      </c>
      <c r="Q59" s="346">
        <f t="shared" si="10"/>
        <v>0</v>
      </c>
      <c r="R59" s="20">
        <f>IF(AND(D$2+$E$2&gt;0,N59-SNAP!P59&gt;0),N59-SNAP!P59,0)</f>
        <v>171.16666666666663</v>
      </c>
      <c r="S59" s="20">
        <f t="shared" si="11"/>
        <v>1486.5</v>
      </c>
      <c r="T59" s="20">
        <f t="shared" si="3"/>
        <v>445.95</v>
      </c>
      <c r="U59" s="20">
        <f>IF(AND('Total income package'!$A$18=TRUE,OR(H59="Yes",O59="Yes"),G59&lt;$G$2,$K$2-T59&gt;10),ROUNDDOWN($K$2-T59,0),0)</f>
        <v>100</v>
      </c>
      <c r="V59" s="176">
        <f t="shared" si="12"/>
        <v>100</v>
      </c>
      <c r="W59" s="5"/>
    </row>
    <row r="60" spans="2:23" x14ac:dyDescent="0.25">
      <c r="B60" s="72">
        <v>27000</v>
      </c>
      <c r="C60" s="19">
        <f>MAX('TANF-VIEW'!L63,'TANF-VIEW'!T63)</f>
        <v>0</v>
      </c>
      <c r="D60" s="20">
        <f t="shared" si="13"/>
        <v>2250</v>
      </c>
      <c r="E60" s="20">
        <f>'Total income package'!$D$80</f>
        <v>0</v>
      </c>
      <c r="F60" s="20">
        <f>'Total income package'!$H$61+'Total income package'!$F$66</f>
        <v>100</v>
      </c>
      <c r="G60" s="20">
        <f t="shared" si="4"/>
        <v>2350</v>
      </c>
      <c r="H60" s="20" t="str">
        <f t="shared" si="0"/>
        <v>Yes</v>
      </c>
      <c r="I60" s="20">
        <f t="shared" si="1"/>
        <v>450</v>
      </c>
      <c r="J60" s="20">
        <f t="shared" si="2"/>
        <v>209</v>
      </c>
      <c r="K60" s="20">
        <f t="shared" si="5"/>
        <v>1691</v>
      </c>
      <c r="L60" s="20">
        <f t="shared" si="6"/>
        <v>500</v>
      </c>
      <c r="M60" s="20">
        <f>'Total income package'!$B$69</f>
        <v>500</v>
      </c>
      <c r="N60" s="20">
        <f t="shared" si="7"/>
        <v>1000</v>
      </c>
      <c r="O60" s="344" t="str">
        <f t="shared" si="8"/>
        <v>Yes</v>
      </c>
      <c r="P60" s="20">
        <f t="shared" si="9"/>
        <v>845.5</v>
      </c>
      <c r="Q60" s="346">
        <f t="shared" si="10"/>
        <v>0</v>
      </c>
      <c r="R60" s="20">
        <f>IF(AND(D$2+$E$2&gt;0,N60-SNAP!P60&gt;0),N60-SNAP!P60,0)</f>
        <v>154.5</v>
      </c>
      <c r="S60" s="20">
        <f t="shared" si="11"/>
        <v>1536.5</v>
      </c>
      <c r="T60" s="20">
        <f t="shared" si="3"/>
        <v>460.95</v>
      </c>
      <c r="U60" s="20">
        <f>IF(AND('Total income package'!$A$18=TRUE,OR(H60="Yes",O60="Yes"),G60&lt;$G$2,$K$2-T60&gt;10),ROUNDDOWN($K$2-T60,0),0)</f>
        <v>85</v>
      </c>
      <c r="V60" s="176">
        <f t="shared" si="12"/>
        <v>85</v>
      </c>
      <c r="W60" s="5"/>
    </row>
    <row r="61" spans="2:23" x14ac:dyDescent="0.25">
      <c r="B61" s="72">
        <v>27500</v>
      </c>
      <c r="C61" s="19">
        <f>MAX('TANF-VIEW'!L64,'TANF-VIEW'!T64)</f>
        <v>0</v>
      </c>
      <c r="D61" s="20">
        <f t="shared" si="13"/>
        <v>2291.6666666666665</v>
      </c>
      <c r="E61" s="20">
        <f>'Total income package'!$D$80</f>
        <v>0</v>
      </c>
      <c r="F61" s="20">
        <f>'Total income package'!$H$61+'Total income package'!$F$66</f>
        <v>100</v>
      </c>
      <c r="G61" s="20">
        <f t="shared" si="4"/>
        <v>2391.6666666666665</v>
      </c>
      <c r="H61" s="20" t="str">
        <f t="shared" si="0"/>
        <v>Yes</v>
      </c>
      <c r="I61" s="20">
        <f t="shared" si="1"/>
        <v>458.33333333333331</v>
      </c>
      <c r="J61" s="20">
        <f t="shared" si="2"/>
        <v>209</v>
      </c>
      <c r="K61" s="20">
        <f t="shared" si="5"/>
        <v>1724.3333333333333</v>
      </c>
      <c r="L61" s="20">
        <f t="shared" si="6"/>
        <v>500</v>
      </c>
      <c r="M61" s="20">
        <f>'Total income package'!$B$69</f>
        <v>500</v>
      </c>
      <c r="N61" s="20">
        <f t="shared" si="7"/>
        <v>1000</v>
      </c>
      <c r="O61" s="344" t="str">
        <f t="shared" si="8"/>
        <v>Yes</v>
      </c>
      <c r="P61" s="20">
        <f t="shared" si="9"/>
        <v>862.16666666666663</v>
      </c>
      <c r="Q61" s="346">
        <f t="shared" si="10"/>
        <v>0</v>
      </c>
      <c r="R61" s="20">
        <f>IF(AND(D$2+$E$2&gt;0,N61-SNAP!P61&gt;0),N61-SNAP!P61,0)</f>
        <v>137.83333333333337</v>
      </c>
      <c r="S61" s="20">
        <f t="shared" si="11"/>
        <v>1586.5</v>
      </c>
      <c r="T61" s="20">
        <f t="shared" si="3"/>
        <v>475.95</v>
      </c>
      <c r="U61" s="20">
        <f>IF(AND('Total income package'!$A$18=TRUE,OR(H61="Yes",O61="Yes"),G61&lt;$G$2,$K$2-T61&gt;10),ROUNDDOWN($K$2-T61,0),0)</f>
        <v>70</v>
      </c>
      <c r="V61" s="176">
        <f t="shared" si="12"/>
        <v>70</v>
      </c>
      <c r="W61" s="5"/>
    </row>
    <row r="62" spans="2:23" x14ac:dyDescent="0.25">
      <c r="B62" s="72">
        <v>28000</v>
      </c>
      <c r="C62" s="19">
        <f>MAX('TANF-VIEW'!L65,'TANF-VIEW'!T65)</f>
        <v>0</v>
      </c>
      <c r="D62" s="20">
        <f t="shared" si="13"/>
        <v>2333.3333333333335</v>
      </c>
      <c r="E62" s="20">
        <f>'Total income package'!$D$80</f>
        <v>0</v>
      </c>
      <c r="F62" s="20">
        <f>'Total income package'!$H$61+'Total income package'!$F$66</f>
        <v>100</v>
      </c>
      <c r="G62" s="20">
        <f t="shared" si="4"/>
        <v>2433.3333333333335</v>
      </c>
      <c r="H62" s="20" t="str">
        <f t="shared" si="0"/>
        <v>Yes</v>
      </c>
      <c r="I62" s="20">
        <f t="shared" si="1"/>
        <v>466.66666666666674</v>
      </c>
      <c r="J62" s="20">
        <f t="shared" si="2"/>
        <v>209</v>
      </c>
      <c r="K62" s="20">
        <f t="shared" si="5"/>
        <v>1757.6666666666667</v>
      </c>
      <c r="L62" s="20">
        <f t="shared" si="6"/>
        <v>500</v>
      </c>
      <c r="M62" s="20">
        <f>'Total income package'!$B$69</f>
        <v>500</v>
      </c>
      <c r="N62" s="20">
        <f t="shared" si="7"/>
        <v>1000</v>
      </c>
      <c r="O62" s="344" t="str">
        <f t="shared" si="8"/>
        <v>Yes</v>
      </c>
      <c r="P62" s="20">
        <f t="shared" si="9"/>
        <v>878.83333333333337</v>
      </c>
      <c r="Q62" s="346">
        <f t="shared" si="10"/>
        <v>0</v>
      </c>
      <c r="R62" s="20">
        <f>IF(AND(D$2+$E$2&gt;0,N62-SNAP!P62&gt;0),N62-SNAP!P62,0)</f>
        <v>121.16666666666663</v>
      </c>
      <c r="S62" s="20">
        <f t="shared" si="11"/>
        <v>1636.5</v>
      </c>
      <c r="T62" s="20">
        <f t="shared" si="3"/>
        <v>490.95</v>
      </c>
      <c r="U62" s="20">
        <f>IF(AND('Total income package'!$A$18=TRUE,OR(H62="Yes",O62="Yes"),G62&lt;$G$2,$K$2-T62&gt;10),ROUNDDOWN($K$2-T62,0),0)</f>
        <v>55</v>
      </c>
      <c r="V62" s="176">
        <f t="shared" si="12"/>
        <v>55</v>
      </c>
      <c r="W62" s="5"/>
    </row>
    <row r="63" spans="2:23" x14ac:dyDescent="0.25">
      <c r="B63" s="72">
        <v>28500</v>
      </c>
      <c r="C63" s="19">
        <f>MAX('TANF-VIEW'!L66,'TANF-VIEW'!T66)</f>
        <v>0</v>
      </c>
      <c r="D63" s="20">
        <f t="shared" si="13"/>
        <v>2375</v>
      </c>
      <c r="E63" s="20">
        <f>'Total income package'!$D$80</f>
        <v>0</v>
      </c>
      <c r="F63" s="20">
        <f>'Total income package'!$H$61+'Total income package'!$F$66</f>
        <v>100</v>
      </c>
      <c r="G63" s="20">
        <f t="shared" si="4"/>
        <v>2475</v>
      </c>
      <c r="H63" s="20" t="str">
        <f t="shared" si="0"/>
        <v>Yes</v>
      </c>
      <c r="I63" s="20">
        <f t="shared" si="1"/>
        <v>475</v>
      </c>
      <c r="J63" s="20">
        <f t="shared" si="2"/>
        <v>209</v>
      </c>
      <c r="K63" s="20">
        <f t="shared" si="5"/>
        <v>1791</v>
      </c>
      <c r="L63" s="20">
        <f t="shared" si="6"/>
        <v>500</v>
      </c>
      <c r="M63" s="20">
        <f>'Total income package'!$B$69</f>
        <v>500</v>
      </c>
      <c r="N63" s="20">
        <f t="shared" si="7"/>
        <v>1000</v>
      </c>
      <c r="O63" s="344" t="str">
        <f t="shared" si="8"/>
        <v>No</v>
      </c>
      <c r="P63" s="20">
        <f t="shared" si="9"/>
        <v>895.5</v>
      </c>
      <c r="Q63" s="346">
        <f t="shared" si="10"/>
        <v>0</v>
      </c>
      <c r="R63" s="20">
        <f>IF(AND(D$2+$E$2&gt;0,N63-SNAP!P63&gt;0),N63-SNAP!P63,0)</f>
        <v>104.5</v>
      </c>
      <c r="S63" s="20">
        <f t="shared" si="11"/>
        <v>1686.5</v>
      </c>
      <c r="T63" s="20">
        <f t="shared" si="3"/>
        <v>505.95</v>
      </c>
      <c r="U63" s="20">
        <f>IF(AND('Total income package'!$A$18=TRUE,OR(H63="Yes",O63="Yes"),G63&lt;$G$2,$K$2-T63&gt;10),ROUNDDOWN($K$2-T63,0),0)</f>
        <v>40</v>
      </c>
      <c r="V63" s="176">
        <f t="shared" si="12"/>
        <v>40</v>
      </c>
      <c r="W63" s="5"/>
    </row>
    <row r="64" spans="2:23" x14ac:dyDescent="0.25">
      <c r="B64" s="72">
        <v>29000</v>
      </c>
      <c r="C64" s="19">
        <f>MAX('TANF-VIEW'!L67,'TANF-VIEW'!T67)</f>
        <v>0</v>
      </c>
      <c r="D64" s="20">
        <f t="shared" si="13"/>
        <v>2416.6666666666665</v>
      </c>
      <c r="E64" s="20">
        <f>'Total income package'!$D$80</f>
        <v>0</v>
      </c>
      <c r="F64" s="20">
        <f>'Total income package'!$H$61+'Total income package'!$F$66</f>
        <v>100</v>
      </c>
      <c r="G64" s="20">
        <f t="shared" si="4"/>
        <v>2516.6666666666665</v>
      </c>
      <c r="H64" s="20" t="str">
        <f t="shared" si="0"/>
        <v>Yes</v>
      </c>
      <c r="I64" s="20">
        <f t="shared" si="1"/>
        <v>483.33333333333331</v>
      </c>
      <c r="J64" s="20">
        <f t="shared" si="2"/>
        <v>209</v>
      </c>
      <c r="K64" s="20">
        <f t="shared" si="5"/>
        <v>1824.3333333333333</v>
      </c>
      <c r="L64" s="20">
        <f t="shared" si="6"/>
        <v>500</v>
      </c>
      <c r="M64" s="20">
        <f>'Total income package'!$B$69</f>
        <v>500</v>
      </c>
      <c r="N64" s="20">
        <f t="shared" si="7"/>
        <v>1000</v>
      </c>
      <c r="O64" s="344" t="str">
        <f t="shared" si="8"/>
        <v>No</v>
      </c>
      <c r="P64" s="20">
        <f t="shared" si="9"/>
        <v>912.16666666666663</v>
      </c>
      <c r="Q64" s="346">
        <f t="shared" si="10"/>
        <v>0</v>
      </c>
      <c r="R64" s="20">
        <f>IF(AND(D$2+$E$2&gt;0,N64-SNAP!P64&gt;0),N64-SNAP!P64,0)</f>
        <v>87.833333333333371</v>
      </c>
      <c r="S64" s="20">
        <f t="shared" si="11"/>
        <v>1736.5</v>
      </c>
      <c r="T64" s="20">
        <f t="shared" si="3"/>
        <v>520.94999999999993</v>
      </c>
      <c r="U64" s="20">
        <f>IF(AND('Total income package'!$A$18=TRUE,OR(H64="Yes",O64="Yes"),G64&lt;$G$2,$K$2-T64&gt;10),ROUNDDOWN($K$2-T64,0),0)</f>
        <v>25</v>
      </c>
      <c r="V64" s="176">
        <f t="shared" si="12"/>
        <v>25</v>
      </c>
      <c r="W64" s="5"/>
    </row>
    <row r="65" spans="2:23" x14ac:dyDescent="0.25">
      <c r="B65" s="72">
        <v>29500</v>
      </c>
      <c r="C65" s="19">
        <f>MAX('TANF-VIEW'!L68,'TANF-VIEW'!T68)</f>
        <v>0</v>
      </c>
      <c r="D65" s="20">
        <f t="shared" si="13"/>
        <v>2458.3333333333335</v>
      </c>
      <c r="E65" s="20">
        <f>'Total income package'!$D$80</f>
        <v>0</v>
      </c>
      <c r="F65" s="20">
        <f>'Total income package'!$H$61+'Total income package'!$F$66</f>
        <v>100</v>
      </c>
      <c r="G65" s="20">
        <f t="shared" si="4"/>
        <v>2558.3333333333335</v>
      </c>
      <c r="H65" s="20" t="str">
        <f t="shared" si="0"/>
        <v>Yes</v>
      </c>
      <c r="I65" s="20">
        <f t="shared" si="1"/>
        <v>491.66666666666674</v>
      </c>
      <c r="J65" s="20">
        <f t="shared" si="2"/>
        <v>209</v>
      </c>
      <c r="K65" s="20">
        <f t="shared" si="5"/>
        <v>1857.666666666667</v>
      </c>
      <c r="L65" s="20">
        <f t="shared" si="6"/>
        <v>500</v>
      </c>
      <c r="M65" s="20">
        <f>'Total income package'!$B$69</f>
        <v>500</v>
      </c>
      <c r="N65" s="20">
        <f t="shared" si="7"/>
        <v>1000</v>
      </c>
      <c r="O65" s="344" t="str">
        <f t="shared" si="8"/>
        <v>No</v>
      </c>
      <c r="P65" s="20">
        <f t="shared" si="9"/>
        <v>928.83333333333348</v>
      </c>
      <c r="Q65" s="346">
        <f t="shared" si="10"/>
        <v>0</v>
      </c>
      <c r="R65" s="20">
        <f>IF(AND(D$2+$E$2&gt;0,N65-SNAP!P65&gt;0),N65-SNAP!P65,0)</f>
        <v>71.166666666666515</v>
      </c>
      <c r="S65" s="20">
        <f t="shared" si="11"/>
        <v>1786.5000000000005</v>
      </c>
      <c r="T65" s="20">
        <f t="shared" si="3"/>
        <v>535.95000000000016</v>
      </c>
      <c r="U65" s="20">
        <f>IF(AND('Total income package'!$A$18=TRUE,OR(H65="Yes",O65="Yes"),G65&lt;$G$2,$K$2-T65&gt;10),ROUNDDOWN($K$2-T65,0),0)</f>
        <v>10</v>
      </c>
      <c r="V65" s="176">
        <f t="shared" si="12"/>
        <v>10</v>
      </c>
      <c r="W65" s="5"/>
    </row>
    <row r="66" spans="2:23" x14ac:dyDescent="0.25">
      <c r="B66" s="72">
        <v>30000</v>
      </c>
      <c r="C66" s="19">
        <f>MAX('TANF-VIEW'!L69,'TANF-VIEW'!T69)</f>
        <v>0</v>
      </c>
      <c r="D66" s="20">
        <f t="shared" si="13"/>
        <v>2500</v>
      </c>
      <c r="E66" s="20">
        <f>'Total income package'!$D$80</f>
        <v>0</v>
      </c>
      <c r="F66" s="20">
        <f>'Total income package'!$H$61+'Total income package'!$F$66</f>
        <v>100</v>
      </c>
      <c r="G66" s="20">
        <f t="shared" si="4"/>
        <v>2600</v>
      </c>
      <c r="H66" s="20" t="str">
        <f t="shared" si="0"/>
        <v>Yes</v>
      </c>
      <c r="I66" s="20">
        <f t="shared" si="1"/>
        <v>500</v>
      </c>
      <c r="J66" s="20">
        <f t="shared" si="2"/>
        <v>209</v>
      </c>
      <c r="K66" s="20">
        <f t="shared" si="5"/>
        <v>1891</v>
      </c>
      <c r="L66" s="20">
        <f t="shared" si="6"/>
        <v>500</v>
      </c>
      <c r="M66" s="20">
        <f>'Total income package'!$B$69</f>
        <v>500</v>
      </c>
      <c r="N66" s="20">
        <f t="shared" si="7"/>
        <v>1000</v>
      </c>
      <c r="O66" s="344" t="str">
        <f t="shared" si="8"/>
        <v>No</v>
      </c>
      <c r="P66" s="20">
        <f t="shared" si="9"/>
        <v>945.5</v>
      </c>
      <c r="Q66" s="346">
        <f t="shared" si="10"/>
        <v>0</v>
      </c>
      <c r="R66" s="20">
        <f>IF(AND(D$2+$E$2&gt;0,N66-SNAP!P66&gt;0),N66-SNAP!P66,0)</f>
        <v>54.5</v>
      </c>
      <c r="S66" s="20">
        <f t="shared" si="11"/>
        <v>1836.5</v>
      </c>
      <c r="T66" s="20">
        <f t="shared" si="3"/>
        <v>550.94999999999993</v>
      </c>
      <c r="U66" s="20">
        <f>IF(AND('Total income package'!$A$18=TRUE,OR(H66="Yes",O66="Yes"),G66&lt;$G$2,$K$2-T66&gt;10),ROUNDDOWN($K$2-T66,0),0)</f>
        <v>0</v>
      </c>
      <c r="V66" s="176">
        <f>IF(AND(C62&lt;3,U66&gt;10,U66&lt;24),24,U66)</f>
        <v>0</v>
      </c>
      <c r="W66" s="5"/>
    </row>
    <row r="67" spans="2:23" x14ac:dyDescent="0.25">
      <c r="B67" s="72">
        <v>30500</v>
      </c>
      <c r="C67" s="19">
        <f>MAX('TANF-VIEW'!L70,'TANF-VIEW'!T70)</f>
        <v>0</v>
      </c>
      <c r="D67" s="20">
        <f t="shared" si="13"/>
        <v>2541.6666666666665</v>
      </c>
      <c r="E67" s="20">
        <f>'Total income package'!$D$80</f>
        <v>0</v>
      </c>
      <c r="F67" s="20">
        <f>'Total income package'!$H$61+'Total income package'!$F$66</f>
        <v>100</v>
      </c>
      <c r="G67" s="20">
        <f t="shared" si="4"/>
        <v>2641.6666666666665</v>
      </c>
      <c r="H67" s="20" t="str">
        <f t="shared" si="0"/>
        <v>Yes</v>
      </c>
      <c r="I67" s="20">
        <f t="shared" si="1"/>
        <v>508.33333333333331</v>
      </c>
      <c r="J67" s="20">
        <f t="shared" si="2"/>
        <v>209</v>
      </c>
      <c r="K67" s="20">
        <f t="shared" si="5"/>
        <v>1924.333333333333</v>
      </c>
      <c r="L67" s="20">
        <f t="shared" si="6"/>
        <v>500</v>
      </c>
      <c r="M67" s="20">
        <f>'Total income package'!$B$69</f>
        <v>500</v>
      </c>
      <c r="N67" s="20">
        <f t="shared" si="7"/>
        <v>1000</v>
      </c>
      <c r="O67" s="344" t="str">
        <f t="shared" si="8"/>
        <v>No</v>
      </c>
      <c r="P67" s="20">
        <f t="shared" si="9"/>
        <v>962.16666666666652</v>
      </c>
      <c r="Q67" s="346">
        <f t="shared" si="10"/>
        <v>0</v>
      </c>
      <c r="R67" s="20">
        <f>IF(AND(D$2+$E$2&gt;0,N67-SNAP!P67&gt;0),N67-SNAP!P67,0)</f>
        <v>37.833333333333485</v>
      </c>
      <c r="S67" s="20">
        <f t="shared" si="11"/>
        <v>1886.4999999999995</v>
      </c>
      <c r="T67" s="20">
        <f t="shared" si="3"/>
        <v>565.94999999999982</v>
      </c>
      <c r="U67" s="20">
        <f>IF(AND('Total income package'!$A$18=TRUE,OR(H67="Yes",O67="Yes"),G67&lt;$G$2,$K$2-T67&gt;10),ROUNDDOWN($K$2-T67,0),0)</f>
        <v>0</v>
      </c>
      <c r="V67" s="176">
        <f t="shared" si="12"/>
        <v>0</v>
      </c>
      <c r="W67" s="5"/>
    </row>
    <row r="68" spans="2:23" x14ac:dyDescent="0.25">
      <c r="B68" s="72">
        <v>31000</v>
      </c>
      <c r="C68" s="19">
        <f>MAX('TANF-VIEW'!L71,'TANF-VIEW'!T71)</f>
        <v>0</v>
      </c>
      <c r="D68" s="20">
        <f t="shared" si="13"/>
        <v>2583.3333333333335</v>
      </c>
      <c r="E68" s="20">
        <f>'Total income package'!$D$80</f>
        <v>0</v>
      </c>
      <c r="F68" s="20">
        <f>'Total income package'!$H$61+'Total income package'!$F$66</f>
        <v>100</v>
      </c>
      <c r="G68" s="20">
        <f t="shared" si="4"/>
        <v>2683.3333333333335</v>
      </c>
      <c r="H68" s="20" t="str">
        <f t="shared" si="0"/>
        <v>Yes</v>
      </c>
      <c r="I68" s="20">
        <f t="shared" si="1"/>
        <v>516.66666666666674</v>
      </c>
      <c r="J68" s="20">
        <f t="shared" si="2"/>
        <v>209</v>
      </c>
      <c r="K68" s="20">
        <f t="shared" si="5"/>
        <v>1957.666666666667</v>
      </c>
      <c r="L68" s="20">
        <f t="shared" si="6"/>
        <v>500</v>
      </c>
      <c r="M68" s="20">
        <f>'Total income package'!$B$69</f>
        <v>500</v>
      </c>
      <c r="N68" s="20">
        <f t="shared" si="7"/>
        <v>1000</v>
      </c>
      <c r="O68" s="344" t="str">
        <f t="shared" si="8"/>
        <v>No</v>
      </c>
      <c r="P68" s="20">
        <f t="shared" si="9"/>
        <v>978.83333333333348</v>
      </c>
      <c r="Q68" s="346">
        <f t="shared" si="10"/>
        <v>0</v>
      </c>
      <c r="R68" s="20">
        <f>IF(AND(D$2+$E$2&gt;0,N68-SNAP!P68&gt;0),N68-SNAP!P68,0)</f>
        <v>21.166666666666515</v>
      </c>
      <c r="S68" s="20">
        <f t="shared" si="11"/>
        <v>1936.5000000000005</v>
      </c>
      <c r="T68" s="20">
        <f t="shared" si="3"/>
        <v>580.95000000000016</v>
      </c>
      <c r="U68" s="20">
        <f>IF(AND('Total income package'!$A$18=TRUE,OR(H68="Yes",O68="Yes"),G68&lt;$G$2,$K$2-T68&gt;10),ROUNDDOWN($K$2-T68,0),0)</f>
        <v>0</v>
      </c>
      <c r="V68" s="176">
        <f t="shared" si="12"/>
        <v>0</v>
      </c>
      <c r="W68" s="5"/>
    </row>
    <row r="69" spans="2:23" x14ac:dyDescent="0.25">
      <c r="B69" s="72">
        <v>31500</v>
      </c>
      <c r="C69" s="19">
        <f>MAX('TANF-VIEW'!L72,'TANF-VIEW'!T72)</f>
        <v>0</v>
      </c>
      <c r="D69" s="20">
        <f t="shared" si="13"/>
        <v>2625</v>
      </c>
      <c r="E69" s="20">
        <f>'Total income package'!$D$80</f>
        <v>0</v>
      </c>
      <c r="F69" s="20">
        <f>'Total income package'!$H$61+'Total income package'!$F$66</f>
        <v>100</v>
      </c>
      <c r="G69" s="20">
        <f t="shared" si="4"/>
        <v>2725</v>
      </c>
      <c r="H69" s="20" t="str">
        <f t="shared" si="0"/>
        <v>Yes</v>
      </c>
      <c r="I69" s="20">
        <f t="shared" si="1"/>
        <v>525</v>
      </c>
      <c r="J69" s="20">
        <f t="shared" si="2"/>
        <v>209</v>
      </c>
      <c r="K69" s="20">
        <f t="shared" si="5"/>
        <v>1991</v>
      </c>
      <c r="L69" s="20">
        <f t="shared" si="6"/>
        <v>500</v>
      </c>
      <c r="M69" s="20">
        <f>'Total income package'!$B$69</f>
        <v>500</v>
      </c>
      <c r="N69" s="20">
        <f t="shared" si="7"/>
        <v>1000</v>
      </c>
      <c r="O69" s="344" t="str">
        <f t="shared" si="8"/>
        <v>No</v>
      </c>
      <c r="P69" s="20">
        <f t="shared" si="9"/>
        <v>995.5</v>
      </c>
      <c r="Q69" s="346">
        <f t="shared" si="10"/>
        <v>0</v>
      </c>
      <c r="R69" s="20">
        <f>IF(AND(D$2+$E$2&gt;0,N69-SNAP!P69&gt;0),N69-SNAP!P69,0)</f>
        <v>4.5</v>
      </c>
      <c r="S69" s="20">
        <f t="shared" si="11"/>
        <v>1986.5</v>
      </c>
      <c r="T69" s="20">
        <f t="shared" si="3"/>
        <v>595.94999999999993</v>
      </c>
      <c r="U69" s="20">
        <f>IF(AND('Total income package'!$A$18=TRUE,OR(H69="Yes",O69="Yes"),G69&lt;$G$2,$K$2-T69&gt;10),ROUNDDOWN($K$2-T69,0),0)</f>
        <v>0</v>
      </c>
      <c r="V69" s="176">
        <f t="shared" si="12"/>
        <v>0</v>
      </c>
      <c r="W69" s="5"/>
    </row>
    <row r="70" spans="2:23" x14ac:dyDescent="0.25">
      <c r="B70" s="72">
        <v>32000</v>
      </c>
      <c r="C70" s="19">
        <f>MAX('TANF-VIEW'!L73,'TANF-VIEW'!T73)</f>
        <v>0</v>
      </c>
      <c r="D70" s="20">
        <f t="shared" si="13"/>
        <v>2666.6666666666665</v>
      </c>
      <c r="E70" s="20">
        <f>'Total income package'!$D$80</f>
        <v>0</v>
      </c>
      <c r="F70" s="20">
        <f>'Total income package'!$H$61+'Total income package'!$F$66</f>
        <v>100</v>
      </c>
      <c r="G70" s="20">
        <f t="shared" si="4"/>
        <v>2766.6666666666665</v>
      </c>
      <c r="H70" s="20" t="str">
        <f t="shared" ref="H70:H133" si="14">IF(G70&lt;$G$2,"Yes","No")</f>
        <v>Yes</v>
      </c>
      <c r="I70" s="20">
        <f t="shared" ref="I70:I133" si="15">D70*0.2</f>
        <v>533.33333333333337</v>
      </c>
      <c r="J70" s="20">
        <f t="shared" ref="J70:J133" si="16">$H$2</f>
        <v>209</v>
      </c>
      <c r="K70" s="20">
        <f t="shared" ref="K70:K133" si="17">IF(G70-I70-J70&gt;0,G70-I70-J70,0)</f>
        <v>2024.333333333333</v>
      </c>
      <c r="L70" s="20">
        <f t="shared" si="6"/>
        <v>500</v>
      </c>
      <c r="M70" s="20">
        <f>'Total income package'!$B$69</f>
        <v>500</v>
      </c>
      <c r="N70" s="20">
        <f t="shared" si="7"/>
        <v>1000</v>
      </c>
      <c r="O70" s="344" t="str">
        <f t="shared" si="8"/>
        <v>No</v>
      </c>
      <c r="P70" s="20">
        <f t="shared" si="9"/>
        <v>1012.1666666666665</v>
      </c>
      <c r="Q70" s="346">
        <f t="shared" ref="Q70:Q133" si="18">IF(AND(D$2+$E$2=0,N70&lt;$L$2,N70-P70&gt;0),N70-P70,IF(AND(D$2+$E$2=0,N70&gt;$L$2),$L$2,0))</f>
        <v>0</v>
      </c>
      <c r="R70" s="20">
        <f>IF(AND(D$2+$E$2&gt;0,N70-SNAP!P70&gt;0),N70-SNAP!P70,0)</f>
        <v>0</v>
      </c>
      <c r="S70" s="20">
        <f t="shared" si="11"/>
        <v>2024.333333333333</v>
      </c>
      <c r="T70" s="20">
        <f t="shared" ref="T70:T133" si="19">S70*0.3</f>
        <v>607.29999999999984</v>
      </c>
      <c r="U70" s="20">
        <f>IF(AND('Total income package'!$A$18=TRUE,OR(H70="Yes",O70="Yes"),G70&lt;$G$2,$K$2-T70&gt;10),ROUNDDOWN($K$2-T70,0),0)</f>
        <v>0</v>
      </c>
      <c r="V70" s="176">
        <f t="shared" si="12"/>
        <v>0</v>
      </c>
      <c r="W70" s="5"/>
    </row>
    <row r="71" spans="2:23" x14ac:dyDescent="0.25">
      <c r="B71" s="72">
        <v>32500</v>
      </c>
      <c r="C71" s="19">
        <f>MAX('TANF-VIEW'!L74,'TANF-VIEW'!T74)</f>
        <v>0</v>
      </c>
      <c r="D71" s="20">
        <f t="shared" si="13"/>
        <v>2708.3333333333335</v>
      </c>
      <c r="E71" s="20">
        <f>'Total income package'!$D$80</f>
        <v>0</v>
      </c>
      <c r="F71" s="20">
        <f>'Total income package'!$H$61+'Total income package'!$F$66</f>
        <v>100</v>
      </c>
      <c r="G71" s="20">
        <f t="shared" ref="G71:G134" si="20">D71+C71+E71+F71</f>
        <v>2808.3333333333335</v>
      </c>
      <c r="H71" s="20" t="str">
        <f t="shared" si="14"/>
        <v>Yes</v>
      </c>
      <c r="I71" s="20">
        <f t="shared" si="15"/>
        <v>541.66666666666674</v>
      </c>
      <c r="J71" s="20">
        <f t="shared" si="16"/>
        <v>209</v>
      </c>
      <c r="K71" s="20">
        <f t="shared" si="17"/>
        <v>2057.666666666667</v>
      </c>
      <c r="L71" s="20">
        <f t="shared" ref="L71:L134" si="21">$I$2</f>
        <v>500</v>
      </c>
      <c r="M71" s="20">
        <f>'Total income package'!$B$69</f>
        <v>500</v>
      </c>
      <c r="N71" s="20">
        <f t="shared" ref="N71:N134" si="22">L71+M71</f>
        <v>1000</v>
      </c>
      <c r="O71" s="344" t="str">
        <f t="shared" ref="O71:O134" si="23">IF(AND($D$2+$E$2&gt;0,K71&lt;$J$2),"Yes","No")</f>
        <v>No</v>
      </c>
      <c r="P71" s="20">
        <f t="shared" ref="P71:P134" si="24">K71/2</f>
        <v>1028.8333333333335</v>
      </c>
      <c r="Q71" s="346">
        <f t="shared" si="18"/>
        <v>0</v>
      </c>
      <c r="R71" s="20">
        <f>IF(AND(D$2+$E$2&gt;0,N71-SNAP!P71&gt;0),N71-SNAP!P71,0)</f>
        <v>0</v>
      </c>
      <c r="S71" s="20">
        <f t="shared" ref="S71:S134" si="25">IF(AND($D$2+$E$2&gt;0,K71-R71&gt;0),K71-R71,IF(AND($D$2+$E$2=0,K71-Q71&gt;0),K71-Q71,0))</f>
        <v>2057.666666666667</v>
      </c>
      <c r="T71" s="20">
        <f t="shared" si="19"/>
        <v>617.30000000000007</v>
      </c>
      <c r="U71" s="20">
        <f>IF(AND('Total income package'!$A$18=TRUE,OR(H71="Yes",O71="Yes"),G71&lt;$G$2,$K$2-T71&gt;10),ROUNDDOWN($K$2-T71,0),0)</f>
        <v>0</v>
      </c>
      <c r="V71" s="176">
        <f t="shared" ref="V71:V134" si="26">IF(AND(C67&lt;3,U71&gt;10,U71&lt;24),24,U71)</f>
        <v>0</v>
      </c>
      <c r="W71" s="5"/>
    </row>
    <row r="72" spans="2:23" x14ac:dyDescent="0.25">
      <c r="B72" s="72">
        <v>33000</v>
      </c>
      <c r="C72" s="19">
        <f>MAX('TANF-VIEW'!L75,'TANF-VIEW'!T75)</f>
        <v>0</v>
      </c>
      <c r="D72" s="20">
        <f t="shared" si="13"/>
        <v>2750</v>
      </c>
      <c r="E72" s="20">
        <f>'Total income package'!$D$80</f>
        <v>0</v>
      </c>
      <c r="F72" s="20">
        <f>'Total income package'!$H$61+'Total income package'!$F$66</f>
        <v>100</v>
      </c>
      <c r="G72" s="20">
        <f t="shared" si="20"/>
        <v>2850</v>
      </c>
      <c r="H72" s="20" t="str">
        <f t="shared" si="14"/>
        <v>Yes</v>
      </c>
      <c r="I72" s="20">
        <f t="shared" si="15"/>
        <v>550</v>
      </c>
      <c r="J72" s="20">
        <f t="shared" si="16"/>
        <v>209</v>
      </c>
      <c r="K72" s="20">
        <f t="shared" si="17"/>
        <v>2091</v>
      </c>
      <c r="L72" s="20">
        <f t="shared" si="21"/>
        <v>500</v>
      </c>
      <c r="M72" s="20">
        <f>'Total income package'!$B$69</f>
        <v>500</v>
      </c>
      <c r="N72" s="20">
        <f t="shared" si="22"/>
        <v>1000</v>
      </c>
      <c r="O72" s="344" t="str">
        <f t="shared" si="23"/>
        <v>No</v>
      </c>
      <c r="P72" s="20">
        <f t="shared" si="24"/>
        <v>1045.5</v>
      </c>
      <c r="Q72" s="346">
        <f t="shared" si="18"/>
        <v>0</v>
      </c>
      <c r="R72" s="20">
        <f>IF(AND(D$2+$E$2&gt;0,N72-SNAP!P72&gt;0),N72-SNAP!P72,0)</f>
        <v>0</v>
      </c>
      <c r="S72" s="20">
        <f t="shared" si="25"/>
        <v>2091</v>
      </c>
      <c r="T72" s="20">
        <f t="shared" si="19"/>
        <v>627.29999999999995</v>
      </c>
      <c r="U72" s="20">
        <f>IF(AND('Total income package'!$A$18=TRUE,OR(H72="Yes",O72="Yes"),G72&lt;$G$2,$K$2-T72&gt;10),ROUNDDOWN($K$2-T72,0),0)</f>
        <v>0</v>
      </c>
      <c r="V72" s="176">
        <f t="shared" si="26"/>
        <v>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100</v>
      </c>
      <c r="G73" s="20">
        <f t="shared" si="20"/>
        <v>2891.6666666666665</v>
      </c>
      <c r="H73" s="20" t="str">
        <f t="shared" si="14"/>
        <v>Yes</v>
      </c>
      <c r="I73" s="20">
        <f t="shared" si="15"/>
        <v>558.33333333333337</v>
      </c>
      <c r="J73" s="20">
        <f t="shared" si="16"/>
        <v>209</v>
      </c>
      <c r="K73" s="20">
        <f t="shared" si="17"/>
        <v>2124.333333333333</v>
      </c>
      <c r="L73" s="20">
        <f t="shared" si="21"/>
        <v>500</v>
      </c>
      <c r="M73" s="20">
        <f>'Total income package'!$B$69</f>
        <v>500</v>
      </c>
      <c r="N73" s="20">
        <f t="shared" si="22"/>
        <v>1000</v>
      </c>
      <c r="O73" s="344" t="str">
        <f t="shared" si="23"/>
        <v>No</v>
      </c>
      <c r="P73" s="20">
        <f t="shared" si="24"/>
        <v>1062.1666666666665</v>
      </c>
      <c r="Q73" s="346">
        <f t="shared" si="18"/>
        <v>0</v>
      </c>
      <c r="R73" s="20">
        <f>IF(AND(D$2+$E$2&gt;0,N73-SNAP!P73&gt;0),N73-SNAP!P73,0)</f>
        <v>0</v>
      </c>
      <c r="S73" s="20">
        <f t="shared" si="25"/>
        <v>2124.333333333333</v>
      </c>
      <c r="T73" s="20">
        <f t="shared" si="19"/>
        <v>637.29999999999984</v>
      </c>
      <c r="U73" s="20">
        <f>IF(AND('Total income package'!$A$18=TRUE,OR(H73="Yes",O73="Yes"),G73&lt;$G$2,$K$2-T73&gt;10),ROUNDDOWN($K$2-T73,0),0)</f>
        <v>0</v>
      </c>
      <c r="V73" s="176">
        <f t="shared" si="26"/>
        <v>0</v>
      </c>
      <c r="W73" s="5"/>
    </row>
    <row r="74" spans="2:23" x14ac:dyDescent="0.25">
      <c r="B74" s="72">
        <v>34000</v>
      </c>
      <c r="C74" s="19">
        <f>MAX('TANF-VIEW'!L77,'TANF-VIEW'!T77)</f>
        <v>0</v>
      </c>
      <c r="D74" s="20">
        <f t="shared" si="27"/>
        <v>2833.3333333333335</v>
      </c>
      <c r="E74" s="20">
        <f>'Total income package'!$D$80</f>
        <v>0</v>
      </c>
      <c r="F74" s="20">
        <f>'Total income package'!$H$61+'Total income package'!$F$66</f>
        <v>100</v>
      </c>
      <c r="G74" s="20">
        <f t="shared" si="20"/>
        <v>2933.3333333333335</v>
      </c>
      <c r="H74" s="20" t="str">
        <f t="shared" si="14"/>
        <v>Yes</v>
      </c>
      <c r="I74" s="20">
        <f t="shared" si="15"/>
        <v>566.66666666666674</v>
      </c>
      <c r="J74" s="20">
        <f t="shared" si="16"/>
        <v>209</v>
      </c>
      <c r="K74" s="20">
        <f t="shared" si="17"/>
        <v>2157.666666666667</v>
      </c>
      <c r="L74" s="20">
        <f t="shared" si="21"/>
        <v>500</v>
      </c>
      <c r="M74" s="20">
        <f>'Total income package'!$B$69</f>
        <v>500</v>
      </c>
      <c r="N74" s="20">
        <f t="shared" si="22"/>
        <v>1000</v>
      </c>
      <c r="O74" s="344" t="str">
        <f t="shared" si="23"/>
        <v>No</v>
      </c>
      <c r="P74" s="20">
        <f t="shared" si="24"/>
        <v>1078.8333333333335</v>
      </c>
      <c r="Q74" s="346">
        <f t="shared" si="18"/>
        <v>0</v>
      </c>
      <c r="R74" s="20">
        <f>IF(AND(D$2+$E$2&gt;0,N74-SNAP!P74&gt;0),N74-SNAP!P74,0)</f>
        <v>0</v>
      </c>
      <c r="S74" s="20">
        <f t="shared" si="25"/>
        <v>2157.666666666667</v>
      </c>
      <c r="T74" s="20">
        <f t="shared" si="19"/>
        <v>647.30000000000007</v>
      </c>
      <c r="U74" s="20">
        <f>IF(AND('Total income package'!$A$18=TRUE,OR(H74="Yes",O74="Yes"),G74&lt;$G$2,$K$2-T74&gt;10),ROUNDDOWN($K$2-T74,0),0)</f>
        <v>0</v>
      </c>
      <c r="V74" s="176">
        <f t="shared" si="26"/>
        <v>0</v>
      </c>
      <c r="W74" s="5"/>
    </row>
    <row r="75" spans="2:23" x14ac:dyDescent="0.25">
      <c r="B75" s="72">
        <v>34500</v>
      </c>
      <c r="C75" s="19">
        <f>MAX('TANF-VIEW'!L78,'TANF-VIEW'!T78)</f>
        <v>0</v>
      </c>
      <c r="D75" s="20">
        <f t="shared" si="27"/>
        <v>2875</v>
      </c>
      <c r="E75" s="20">
        <f>'Total income package'!$D$80</f>
        <v>0</v>
      </c>
      <c r="F75" s="20">
        <f>'Total income package'!$H$61+'Total income package'!$F$66</f>
        <v>100</v>
      </c>
      <c r="G75" s="20">
        <f t="shared" si="20"/>
        <v>2975</v>
      </c>
      <c r="H75" s="20" t="str">
        <f t="shared" si="14"/>
        <v>Yes</v>
      </c>
      <c r="I75" s="20">
        <f t="shared" si="15"/>
        <v>575</v>
      </c>
      <c r="J75" s="20">
        <f t="shared" si="16"/>
        <v>209</v>
      </c>
      <c r="K75" s="20">
        <f t="shared" si="17"/>
        <v>2191</v>
      </c>
      <c r="L75" s="20">
        <f t="shared" si="21"/>
        <v>500</v>
      </c>
      <c r="M75" s="20">
        <f>'Total income package'!$B$69</f>
        <v>500</v>
      </c>
      <c r="N75" s="20">
        <f t="shared" si="22"/>
        <v>1000</v>
      </c>
      <c r="O75" s="344" t="str">
        <f t="shared" si="23"/>
        <v>No</v>
      </c>
      <c r="P75" s="20">
        <f t="shared" si="24"/>
        <v>1095.5</v>
      </c>
      <c r="Q75" s="346">
        <f t="shared" si="18"/>
        <v>0</v>
      </c>
      <c r="R75" s="20">
        <f>IF(AND(D$2+$E$2&gt;0,N75-SNAP!P75&gt;0),N75-SNAP!P75,0)</f>
        <v>0</v>
      </c>
      <c r="S75" s="20">
        <f t="shared" si="25"/>
        <v>2191</v>
      </c>
      <c r="T75" s="20">
        <f t="shared" si="19"/>
        <v>657.3</v>
      </c>
      <c r="U75" s="20">
        <f>IF(AND('Total income package'!$A$18=TRUE,OR(H75="Yes",O75="Yes"),G75&lt;$G$2,$K$2-T75&gt;10),ROUNDDOWN($K$2-T75,0),0)</f>
        <v>0</v>
      </c>
      <c r="V75" s="176">
        <f t="shared" si="26"/>
        <v>0</v>
      </c>
      <c r="W75" s="5"/>
    </row>
    <row r="76" spans="2:23" x14ac:dyDescent="0.25">
      <c r="B76" s="72">
        <v>35000</v>
      </c>
      <c r="C76" s="19">
        <f>MAX('TANF-VIEW'!L79,'TANF-VIEW'!T79)</f>
        <v>0</v>
      </c>
      <c r="D76" s="20">
        <f t="shared" si="27"/>
        <v>2916.6666666666665</v>
      </c>
      <c r="E76" s="20">
        <f>'Total income package'!$D$80</f>
        <v>0</v>
      </c>
      <c r="F76" s="20">
        <f>'Total income package'!$H$61+'Total income package'!$F$66</f>
        <v>100</v>
      </c>
      <c r="G76" s="20">
        <f t="shared" si="20"/>
        <v>3016.6666666666665</v>
      </c>
      <c r="H76" s="20" t="str">
        <f t="shared" si="14"/>
        <v>Yes</v>
      </c>
      <c r="I76" s="20">
        <f t="shared" si="15"/>
        <v>583.33333333333337</v>
      </c>
      <c r="J76" s="20">
        <f t="shared" si="16"/>
        <v>209</v>
      </c>
      <c r="K76" s="20">
        <f t="shared" si="17"/>
        <v>2224.333333333333</v>
      </c>
      <c r="L76" s="20">
        <f t="shared" si="21"/>
        <v>500</v>
      </c>
      <c r="M76" s="20">
        <f>'Total income package'!$B$69</f>
        <v>500</v>
      </c>
      <c r="N76" s="20">
        <f t="shared" si="22"/>
        <v>1000</v>
      </c>
      <c r="O76" s="344" t="str">
        <f t="shared" si="23"/>
        <v>No</v>
      </c>
      <c r="P76" s="20">
        <f t="shared" si="24"/>
        <v>1112.1666666666665</v>
      </c>
      <c r="Q76" s="346">
        <f t="shared" si="18"/>
        <v>0</v>
      </c>
      <c r="R76" s="20">
        <f>IF(AND(D$2+$E$2&gt;0,N76-SNAP!P76&gt;0),N76-SNAP!P76,0)</f>
        <v>0</v>
      </c>
      <c r="S76" s="20">
        <f t="shared" si="25"/>
        <v>2224.333333333333</v>
      </c>
      <c r="T76" s="20">
        <f t="shared" si="19"/>
        <v>667.29999999999984</v>
      </c>
      <c r="U76" s="20">
        <f>IF(AND('Total income package'!$A$18=TRUE,OR(H76="Yes",O76="Yes"),G76&lt;$G$2,$K$2-T76&gt;10),ROUNDDOWN($K$2-T76,0),0)</f>
        <v>0</v>
      </c>
      <c r="V76" s="176">
        <f t="shared" si="26"/>
        <v>0</v>
      </c>
      <c r="W76" s="5"/>
    </row>
    <row r="77" spans="2:23" x14ac:dyDescent="0.25">
      <c r="B77" s="72">
        <v>35500</v>
      </c>
      <c r="C77" s="19">
        <f>MAX('TANF-VIEW'!L80,'TANF-VIEW'!T80)</f>
        <v>0</v>
      </c>
      <c r="D77" s="20">
        <f t="shared" si="27"/>
        <v>2958.3333333333335</v>
      </c>
      <c r="E77" s="20">
        <f>'Total income package'!$D$80</f>
        <v>0</v>
      </c>
      <c r="F77" s="20">
        <f>'Total income package'!$H$61+'Total income package'!$F$66</f>
        <v>100</v>
      </c>
      <c r="G77" s="20">
        <f t="shared" si="20"/>
        <v>3058.3333333333335</v>
      </c>
      <c r="H77" s="20" t="str">
        <f t="shared" si="14"/>
        <v>Yes</v>
      </c>
      <c r="I77" s="20">
        <f t="shared" si="15"/>
        <v>591.66666666666674</v>
      </c>
      <c r="J77" s="20">
        <f t="shared" si="16"/>
        <v>209</v>
      </c>
      <c r="K77" s="20">
        <f t="shared" si="17"/>
        <v>2257.666666666667</v>
      </c>
      <c r="L77" s="20">
        <f t="shared" si="21"/>
        <v>500</v>
      </c>
      <c r="M77" s="20">
        <f>'Total income package'!$B$69</f>
        <v>500</v>
      </c>
      <c r="N77" s="20">
        <f t="shared" si="22"/>
        <v>1000</v>
      </c>
      <c r="O77" s="344" t="str">
        <f t="shared" si="23"/>
        <v>No</v>
      </c>
      <c r="P77" s="20">
        <f t="shared" si="24"/>
        <v>1128.8333333333335</v>
      </c>
      <c r="Q77" s="346">
        <f t="shared" si="18"/>
        <v>0</v>
      </c>
      <c r="R77" s="20">
        <f>IF(AND(D$2+$E$2&gt;0,N77-SNAP!P77&gt;0),N77-SNAP!P77,0)</f>
        <v>0</v>
      </c>
      <c r="S77" s="20">
        <f t="shared" si="25"/>
        <v>2257.666666666667</v>
      </c>
      <c r="T77" s="20">
        <f t="shared" si="19"/>
        <v>677.30000000000007</v>
      </c>
      <c r="U77" s="20">
        <f>IF(AND('Total income package'!$A$18=TRUE,OR(H77="Yes",O77="Yes"),G77&lt;$G$2,$K$2-T77&gt;10),ROUNDDOWN($K$2-T77,0),0)</f>
        <v>0</v>
      </c>
      <c r="V77" s="176">
        <f t="shared" si="26"/>
        <v>0</v>
      </c>
      <c r="W77" s="5"/>
    </row>
    <row r="78" spans="2:23" x14ac:dyDescent="0.25">
      <c r="B78" s="72">
        <v>36000</v>
      </c>
      <c r="C78" s="19">
        <f>MAX('TANF-VIEW'!L81,'TANF-VIEW'!T81)</f>
        <v>0</v>
      </c>
      <c r="D78" s="20">
        <f t="shared" si="27"/>
        <v>3000</v>
      </c>
      <c r="E78" s="20">
        <f>'Total income package'!$D$80</f>
        <v>0</v>
      </c>
      <c r="F78" s="20">
        <f>'Total income package'!$H$61+'Total income package'!$F$66</f>
        <v>100</v>
      </c>
      <c r="G78" s="20">
        <f t="shared" si="20"/>
        <v>3100</v>
      </c>
      <c r="H78" s="20" t="str">
        <f t="shared" si="14"/>
        <v>Yes</v>
      </c>
      <c r="I78" s="20">
        <f t="shared" si="15"/>
        <v>600</v>
      </c>
      <c r="J78" s="20">
        <f t="shared" si="16"/>
        <v>209</v>
      </c>
      <c r="K78" s="20">
        <f t="shared" si="17"/>
        <v>2291</v>
      </c>
      <c r="L78" s="20">
        <f t="shared" si="21"/>
        <v>500</v>
      </c>
      <c r="M78" s="20">
        <f>'Total income package'!$B$69</f>
        <v>500</v>
      </c>
      <c r="N78" s="20">
        <f t="shared" si="22"/>
        <v>1000</v>
      </c>
      <c r="O78" s="344" t="str">
        <f t="shared" si="23"/>
        <v>No</v>
      </c>
      <c r="P78" s="20">
        <f t="shared" si="24"/>
        <v>1145.5</v>
      </c>
      <c r="Q78" s="346">
        <f t="shared" si="18"/>
        <v>0</v>
      </c>
      <c r="R78" s="20">
        <f>IF(AND(D$2+$E$2&gt;0,N78-SNAP!P78&gt;0),N78-SNAP!P78,0)</f>
        <v>0</v>
      </c>
      <c r="S78" s="20">
        <f t="shared" si="25"/>
        <v>2291</v>
      </c>
      <c r="T78" s="20">
        <f t="shared" si="19"/>
        <v>687.3</v>
      </c>
      <c r="U78" s="20">
        <f>IF(AND('Total income package'!$A$18=TRUE,OR(H78="Yes",O78="Yes"),G78&lt;$G$2,$K$2-T78&gt;10),ROUNDDOWN($K$2-T78,0),0)</f>
        <v>0</v>
      </c>
      <c r="V78" s="176">
        <f t="shared" si="26"/>
        <v>0</v>
      </c>
      <c r="W78" s="5"/>
    </row>
    <row r="79" spans="2:23" x14ac:dyDescent="0.25">
      <c r="B79" s="72">
        <v>36500</v>
      </c>
      <c r="C79" s="19">
        <f>MAX('TANF-VIEW'!L82,'TANF-VIEW'!T82)</f>
        <v>0</v>
      </c>
      <c r="D79" s="20">
        <f t="shared" si="27"/>
        <v>3041.6666666666665</v>
      </c>
      <c r="E79" s="20">
        <f>'Total income package'!$D$80</f>
        <v>0</v>
      </c>
      <c r="F79" s="20">
        <f>'Total income package'!$H$61+'Total income package'!$F$66</f>
        <v>100</v>
      </c>
      <c r="G79" s="20">
        <f t="shared" si="20"/>
        <v>3141.6666666666665</v>
      </c>
      <c r="H79" s="20" t="str">
        <f t="shared" si="14"/>
        <v>Yes</v>
      </c>
      <c r="I79" s="20">
        <f t="shared" si="15"/>
        <v>608.33333333333337</v>
      </c>
      <c r="J79" s="20">
        <f t="shared" si="16"/>
        <v>209</v>
      </c>
      <c r="K79" s="20">
        <f t="shared" si="17"/>
        <v>2324.333333333333</v>
      </c>
      <c r="L79" s="20">
        <f t="shared" si="21"/>
        <v>500</v>
      </c>
      <c r="M79" s="20">
        <f>'Total income package'!$B$69</f>
        <v>500</v>
      </c>
      <c r="N79" s="20">
        <f t="shared" si="22"/>
        <v>1000</v>
      </c>
      <c r="O79" s="344" t="str">
        <f t="shared" si="23"/>
        <v>No</v>
      </c>
      <c r="P79" s="20">
        <f t="shared" si="24"/>
        <v>1162.1666666666665</v>
      </c>
      <c r="Q79" s="346">
        <f t="shared" si="18"/>
        <v>0</v>
      </c>
      <c r="R79" s="20">
        <f>IF(AND(D$2+$E$2&gt;0,N79-SNAP!P79&gt;0),N79-SNAP!P79,0)</f>
        <v>0</v>
      </c>
      <c r="S79" s="20">
        <f t="shared" si="25"/>
        <v>2324.333333333333</v>
      </c>
      <c r="T79" s="20">
        <f t="shared" si="19"/>
        <v>697.29999999999984</v>
      </c>
      <c r="U79" s="20">
        <f>IF(AND('Total income package'!$A$18=TRUE,OR(H79="Yes",O79="Yes"),G79&lt;$G$2,$K$2-T79&gt;10),ROUNDDOWN($K$2-T79,0),0)</f>
        <v>0</v>
      </c>
      <c r="V79" s="176">
        <f t="shared" si="26"/>
        <v>0</v>
      </c>
      <c r="W79" s="5"/>
    </row>
    <row r="80" spans="2:23" x14ac:dyDescent="0.25">
      <c r="B80" s="72">
        <v>37000</v>
      </c>
      <c r="C80" s="19">
        <f>MAX('TANF-VIEW'!L83,'TANF-VIEW'!T83)</f>
        <v>0</v>
      </c>
      <c r="D80" s="20">
        <f t="shared" si="27"/>
        <v>3083.3333333333335</v>
      </c>
      <c r="E80" s="20">
        <f>'Total income package'!$D$80</f>
        <v>0</v>
      </c>
      <c r="F80" s="20">
        <f>'Total income package'!$H$61+'Total income package'!$F$66</f>
        <v>100</v>
      </c>
      <c r="G80" s="20">
        <f t="shared" si="20"/>
        <v>3183.3333333333335</v>
      </c>
      <c r="H80" s="20" t="str">
        <f t="shared" si="14"/>
        <v>Yes</v>
      </c>
      <c r="I80" s="20">
        <f t="shared" si="15"/>
        <v>616.66666666666674</v>
      </c>
      <c r="J80" s="20">
        <f t="shared" si="16"/>
        <v>209</v>
      </c>
      <c r="K80" s="20">
        <f t="shared" si="17"/>
        <v>2357.666666666667</v>
      </c>
      <c r="L80" s="20">
        <f t="shared" si="21"/>
        <v>500</v>
      </c>
      <c r="M80" s="20">
        <f>'Total income package'!$B$69</f>
        <v>500</v>
      </c>
      <c r="N80" s="20">
        <f t="shared" si="22"/>
        <v>1000</v>
      </c>
      <c r="O80" s="344" t="str">
        <f t="shared" si="23"/>
        <v>No</v>
      </c>
      <c r="P80" s="20">
        <f t="shared" si="24"/>
        <v>1178.8333333333335</v>
      </c>
      <c r="Q80" s="346">
        <f t="shared" si="18"/>
        <v>0</v>
      </c>
      <c r="R80" s="20">
        <f>IF(AND(D$2+$E$2&gt;0,N80-SNAP!P80&gt;0),N80-SNAP!P80,0)</f>
        <v>0</v>
      </c>
      <c r="S80" s="20">
        <f t="shared" si="25"/>
        <v>2357.666666666667</v>
      </c>
      <c r="T80" s="20">
        <f t="shared" si="19"/>
        <v>707.30000000000007</v>
      </c>
      <c r="U80" s="20">
        <f>IF(AND('Total income package'!$A$18=TRUE,OR(H80="Yes",O80="Yes"),G80&lt;$G$2,$K$2-T80&gt;10),ROUNDDOWN($K$2-T80,0),0)</f>
        <v>0</v>
      </c>
      <c r="V80" s="176">
        <f t="shared" si="26"/>
        <v>0</v>
      </c>
      <c r="W80" s="5"/>
    </row>
    <row r="81" spans="2:23" x14ac:dyDescent="0.25">
      <c r="B81" s="72">
        <v>37500</v>
      </c>
      <c r="C81" s="19">
        <f>MAX('TANF-VIEW'!L84,'TANF-VIEW'!T84)</f>
        <v>0</v>
      </c>
      <c r="D81" s="20">
        <f t="shared" si="27"/>
        <v>3125</v>
      </c>
      <c r="E81" s="20">
        <f>'Total income package'!$D$80</f>
        <v>0</v>
      </c>
      <c r="F81" s="20">
        <f>'Total income package'!$H$61+'Total income package'!$F$66</f>
        <v>100</v>
      </c>
      <c r="G81" s="20">
        <f t="shared" si="20"/>
        <v>3225</v>
      </c>
      <c r="H81" s="20" t="str">
        <f t="shared" si="14"/>
        <v>Yes</v>
      </c>
      <c r="I81" s="20">
        <f t="shared" si="15"/>
        <v>625</v>
      </c>
      <c r="J81" s="20">
        <f t="shared" si="16"/>
        <v>209</v>
      </c>
      <c r="K81" s="20">
        <f t="shared" si="17"/>
        <v>2391</v>
      </c>
      <c r="L81" s="20">
        <f t="shared" si="21"/>
        <v>500</v>
      </c>
      <c r="M81" s="20">
        <f>'Total income package'!$B$69</f>
        <v>500</v>
      </c>
      <c r="N81" s="20">
        <f t="shared" si="22"/>
        <v>1000</v>
      </c>
      <c r="O81" s="344" t="str">
        <f t="shared" si="23"/>
        <v>No</v>
      </c>
      <c r="P81" s="20">
        <f t="shared" si="24"/>
        <v>1195.5</v>
      </c>
      <c r="Q81" s="346">
        <f t="shared" si="18"/>
        <v>0</v>
      </c>
      <c r="R81" s="20">
        <f>IF(AND(D$2+$E$2&gt;0,N81-SNAP!P81&gt;0),N81-SNAP!P81,0)</f>
        <v>0</v>
      </c>
      <c r="S81" s="20">
        <f t="shared" si="25"/>
        <v>2391</v>
      </c>
      <c r="T81" s="20">
        <f t="shared" si="19"/>
        <v>717.3</v>
      </c>
      <c r="U81" s="20">
        <f>IF(AND('Total income package'!$A$18=TRUE,OR(H81="Yes",O81="Yes"),G81&lt;$G$2,$K$2-T81&gt;10),ROUNDDOWN($K$2-T81,0),0)</f>
        <v>0</v>
      </c>
      <c r="V81" s="176">
        <f t="shared" si="26"/>
        <v>0</v>
      </c>
      <c r="W81" s="5"/>
    </row>
    <row r="82" spans="2:23" x14ac:dyDescent="0.25">
      <c r="B82" s="72">
        <v>38000</v>
      </c>
      <c r="C82" s="19">
        <f>MAX('TANF-VIEW'!L85,'TANF-VIEW'!T85)</f>
        <v>0</v>
      </c>
      <c r="D82" s="20">
        <f t="shared" si="27"/>
        <v>3166.6666666666665</v>
      </c>
      <c r="E82" s="20">
        <f>'Total income package'!$D$80</f>
        <v>0</v>
      </c>
      <c r="F82" s="20">
        <f>'Total income package'!$H$61+'Total income package'!$F$66</f>
        <v>100</v>
      </c>
      <c r="G82" s="20">
        <f t="shared" si="20"/>
        <v>3266.6666666666665</v>
      </c>
      <c r="H82" s="20" t="str">
        <f t="shared" si="14"/>
        <v>Yes</v>
      </c>
      <c r="I82" s="20">
        <f t="shared" si="15"/>
        <v>633.33333333333337</v>
      </c>
      <c r="J82" s="20">
        <f t="shared" si="16"/>
        <v>209</v>
      </c>
      <c r="K82" s="20">
        <f t="shared" si="17"/>
        <v>2424.333333333333</v>
      </c>
      <c r="L82" s="20">
        <f t="shared" si="21"/>
        <v>500</v>
      </c>
      <c r="M82" s="20">
        <f>'Total income package'!$B$69</f>
        <v>500</v>
      </c>
      <c r="N82" s="20">
        <f t="shared" si="22"/>
        <v>1000</v>
      </c>
      <c r="O82" s="344" t="str">
        <f t="shared" si="23"/>
        <v>No</v>
      </c>
      <c r="P82" s="20">
        <f t="shared" si="24"/>
        <v>1212.1666666666665</v>
      </c>
      <c r="Q82" s="346">
        <f t="shared" si="18"/>
        <v>0</v>
      </c>
      <c r="R82" s="20">
        <f>IF(AND(D$2+$E$2&gt;0,N82-SNAP!P82&gt;0),N82-SNAP!P82,0)</f>
        <v>0</v>
      </c>
      <c r="S82" s="20">
        <f t="shared" si="25"/>
        <v>2424.333333333333</v>
      </c>
      <c r="T82" s="20">
        <f t="shared" si="19"/>
        <v>727.29999999999984</v>
      </c>
      <c r="U82" s="20">
        <f>IF(AND('Total income package'!$A$18=TRUE,OR(H82="Yes",O82="Yes"),G82&lt;$G$2,$K$2-T82&gt;10),ROUNDDOWN($K$2-T82,0),0)</f>
        <v>0</v>
      </c>
      <c r="V82" s="176">
        <f t="shared" si="26"/>
        <v>0</v>
      </c>
      <c r="W82" s="5"/>
    </row>
    <row r="83" spans="2:23" x14ac:dyDescent="0.25">
      <c r="B83" s="72">
        <v>38500</v>
      </c>
      <c r="C83" s="19">
        <f>MAX('TANF-VIEW'!L86,'TANF-VIEW'!T86)</f>
        <v>0</v>
      </c>
      <c r="D83" s="20">
        <f t="shared" si="27"/>
        <v>3208.3333333333335</v>
      </c>
      <c r="E83" s="20">
        <f>'Total income package'!$D$80</f>
        <v>0</v>
      </c>
      <c r="F83" s="20">
        <f>'Total income package'!$H$61+'Total income package'!$F$66</f>
        <v>100</v>
      </c>
      <c r="G83" s="20">
        <f t="shared" si="20"/>
        <v>3308.3333333333335</v>
      </c>
      <c r="H83" s="20" t="str">
        <f t="shared" si="14"/>
        <v>Yes</v>
      </c>
      <c r="I83" s="20">
        <f t="shared" si="15"/>
        <v>641.66666666666674</v>
      </c>
      <c r="J83" s="20">
        <f t="shared" si="16"/>
        <v>209</v>
      </c>
      <c r="K83" s="20">
        <f t="shared" si="17"/>
        <v>2457.666666666667</v>
      </c>
      <c r="L83" s="20">
        <f t="shared" si="21"/>
        <v>500</v>
      </c>
      <c r="M83" s="20">
        <f>'Total income package'!$B$69</f>
        <v>500</v>
      </c>
      <c r="N83" s="20">
        <f t="shared" si="22"/>
        <v>1000</v>
      </c>
      <c r="O83" s="344" t="str">
        <f t="shared" si="23"/>
        <v>No</v>
      </c>
      <c r="P83" s="20">
        <f t="shared" si="24"/>
        <v>1228.8333333333335</v>
      </c>
      <c r="Q83" s="346">
        <f t="shared" si="18"/>
        <v>0</v>
      </c>
      <c r="R83" s="20">
        <f>IF(AND(D$2+$E$2&gt;0,N83-SNAP!P83&gt;0),N83-SNAP!P83,0)</f>
        <v>0</v>
      </c>
      <c r="S83" s="20">
        <f t="shared" si="25"/>
        <v>2457.666666666667</v>
      </c>
      <c r="T83" s="20">
        <f t="shared" si="19"/>
        <v>737.30000000000007</v>
      </c>
      <c r="U83" s="20">
        <f>IF(AND('Total income package'!$A$18=TRUE,OR(H83="Yes",O83="Yes"),G83&lt;$G$2,$K$2-T83&gt;10),ROUNDDOWN($K$2-T83,0),0)</f>
        <v>0</v>
      </c>
      <c r="V83" s="176">
        <f t="shared" si="26"/>
        <v>0</v>
      </c>
      <c r="W83" s="5"/>
    </row>
    <row r="84" spans="2:23" x14ac:dyDescent="0.25">
      <c r="B84" s="72">
        <v>39000</v>
      </c>
      <c r="C84" s="19">
        <f>MAX('TANF-VIEW'!L87,'TANF-VIEW'!T87)</f>
        <v>0</v>
      </c>
      <c r="D84" s="20">
        <f t="shared" si="27"/>
        <v>3250</v>
      </c>
      <c r="E84" s="20">
        <f>'Total income package'!$D$80</f>
        <v>0</v>
      </c>
      <c r="F84" s="20">
        <f>'Total income package'!$H$61+'Total income package'!$F$66</f>
        <v>100</v>
      </c>
      <c r="G84" s="20">
        <f t="shared" si="20"/>
        <v>3350</v>
      </c>
      <c r="H84" s="20" t="str">
        <f t="shared" si="14"/>
        <v>Yes</v>
      </c>
      <c r="I84" s="20">
        <f t="shared" si="15"/>
        <v>650</v>
      </c>
      <c r="J84" s="20">
        <f t="shared" si="16"/>
        <v>209</v>
      </c>
      <c r="K84" s="20">
        <f t="shared" si="17"/>
        <v>2491</v>
      </c>
      <c r="L84" s="20">
        <f t="shared" si="21"/>
        <v>500</v>
      </c>
      <c r="M84" s="20">
        <f>'Total income package'!$B$69</f>
        <v>500</v>
      </c>
      <c r="N84" s="20">
        <f t="shared" si="22"/>
        <v>1000</v>
      </c>
      <c r="O84" s="344" t="str">
        <f t="shared" si="23"/>
        <v>No</v>
      </c>
      <c r="P84" s="20">
        <f t="shared" si="24"/>
        <v>1245.5</v>
      </c>
      <c r="Q84" s="346">
        <f t="shared" si="18"/>
        <v>0</v>
      </c>
      <c r="R84" s="20">
        <f>IF(AND(D$2+$E$2&gt;0,N84-SNAP!P84&gt;0),N84-SNAP!P84,0)</f>
        <v>0</v>
      </c>
      <c r="S84" s="20">
        <f t="shared" si="25"/>
        <v>2491</v>
      </c>
      <c r="T84" s="20">
        <f t="shared" si="19"/>
        <v>747.3</v>
      </c>
      <c r="U84" s="20">
        <f>IF(AND('Total income package'!$A$18=TRUE,OR(H84="Yes",O84="Yes"),G84&lt;$G$2,$K$2-T84&gt;10),ROUNDDOWN($K$2-T84,0),0)</f>
        <v>0</v>
      </c>
      <c r="V84" s="176">
        <f t="shared" si="26"/>
        <v>0</v>
      </c>
      <c r="W84" s="5"/>
    </row>
    <row r="85" spans="2:23" x14ac:dyDescent="0.25">
      <c r="B85" s="72">
        <v>39500</v>
      </c>
      <c r="C85" s="19">
        <f>MAX('TANF-VIEW'!L88,'TANF-VIEW'!T88)</f>
        <v>0</v>
      </c>
      <c r="D85" s="20">
        <f t="shared" si="27"/>
        <v>3291.6666666666665</v>
      </c>
      <c r="E85" s="20">
        <f>'Total income package'!$D$80</f>
        <v>0</v>
      </c>
      <c r="F85" s="20">
        <f>'Total income package'!$H$61+'Total income package'!$F$66</f>
        <v>100</v>
      </c>
      <c r="G85" s="20">
        <f t="shared" si="20"/>
        <v>3391.6666666666665</v>
      </c>
      <c r="H85" s="20" t="str">
        <f t="shared" si="14"/>
        <v>Yes</v>
      </c>
      <c r="I85" s="20">
        <f t="shared" si="15"/>
        <v>658.33333333333337</v>
      </c>
      <c r="J85" s="20">
        <f t="shared" si="16"/>
        <v>209</v>
      </c>
      <c r="K85" s="20">
        <f t="shared" si="17"/>
        <v>2524.333333333333</v>
      </c>
      <c r="L85" s="20">
        <f t="shared" si="21"/>
        <v>500</v>
      </c>
      <c r="M85" s="20">
        <f>'Total income package'!$B$69</f>
        <v>500</v>
      </c>
      <c r="N85" s="20">
        <f t="shared" si="22"/>
        <v>1000</v>
      </c>
      <c r="O85" s="344" t="str">
        <f t="shared" si="23"/>
        <v>No</v>
      </c>
      <c r="P85" s="20">
        <f t="shared" si="24"/>
        <v>1262.1666666666665</v>
      </c>
      <c r="Q85" s="346">
        <f t="shared" si="18"/>
        <v>0</v>
      </c>
      <c r="R85" s="20">
        <f>IF(AND(D$2+$E$2&gt;0,N85-SNAP!P85&gt;0),N85-SNAP!P85,0)</f>
        <v>0</v>
      </c>
      <c r="S85" s="20">
        <f t="shared" si="25"/>
        <v>2524.333333333333</v>
      </c>
      <c r="T85" s="20">
        <f t="shared" si="19"/>
        <v>757.29999999999984</v>
      </c>
      <c r="U85" s="20">
        <f>IF(AND('Total income package'!$A$18=TRUE,OR(H85="Yes",O85="Yes"),G85&lt;$G$2,$K$2-T85&gt;10),ROUNDDOWN($K$2-T85,0),0)</f>
        <v>0</v>
      </c>
      <c r="V85" s="176">
        <f t="shared" si="26"/>
        <v>0</v>
      </c>
      <c r="W85" s="5"/>
    </row>
    <row r="86" spans="2:23" x14ac:dyDescent="0.25">
      <c r="B86" s="72">
        <v>40000</v>
      </c>
      <c r="C86" s="19">
        <f>MAX('TANF-VIEW'!L89,'TANF-VIEW'!T89)</f>
        <v>0</v>
      </c>
      <c r="D86" s="20">
        <f t="shared" si="27"/>
        <v>3333.3333333333335</v>
      </c>
      <c r="E86" s="20">
        <f>'Total income package'!$D$80</f>
        <v>0</v>
      </c>
      <c r="F86" s="20">
        <f>'Total income package'!$H$61+'Total income package'!$F$66</f>
        <v>100</v>
      </c>
      <c r="G86" s="20">
        <f t="shared" si="20"/>
        <v>3433.3333333333335</v>
      </c>
      <c r="H86" s="20" t="str">
        <f t="shared" si="14"/>
        <v>Yes</v>
      </c>
      <c r="I86" s="20">
        <f t="shared" si="15"/>
        <v>666.66666666666674</v>
      </c>
      <c r="J86" s="20">
        <f t="shared" si="16"/>
        <v>209</v>
      </c>
      <c r="K86" s="20">
        <f t="shared" si="17"/>
        <v>2557.666666666667</v>
      </c>
      <c r="L86" s="20">
        <f t="shared" si="21"/>
        <v>500</v>
      </c>
      <c r="M86" s="20">
        <f>'Total income package'!$B$69</f>
        <v>500</v>
      </c>
      <c r="N86" s="20">
        <f t="shared" si="22"/>
        <v>1000</v>
      </c>
      <c r="O86" s="344" t="str">
        <f t="shared" si="23"/>
        <v>No</v>
      </c>
      <c r="P86" s="20">
        <f t="shared" si="24"/>
        <v>1278.8333333333335</v>
      </c>
      <c r="Q86" s="346">
        <f t="shared" si="18"/>
        <v>0</v>
      </c>
      <c r="R86" s="20">
        <f>IF(AND(D$2+$E$2&gt;0,N86-SNAP!P86&gt;0),N86-SNAP!P86,0)</f>
        <v>0</v>
      </c>
      <c r="S86" s="20">
        <f t="shared" si="25"/>
        <v>2557.666666666667</v>
      </c>
      <c r="T86" s="20">
        <f t="shared" si="19"/>
        <v>767.30000000000007</v>
      </c>
      <c r="U86" s="20">
        <f>IF(AND('Total income package'!$A$18=TRUE,OR(H86="Yes",O86="Yes"),G86&lt;$G$2,$K$2-T86&gt;10),ROUNDDOWN($K$2-T86,0),0)</f>
        <v>0</v>
      </c>
      <c r="V86" s="176">
        <f t="shared" si="26"/>
        <v>0</v>
      </c>
      <c r="W86" s="5"/>
    </row>
    <row r="87" spans="2:23" x14ac:dyDescent="0.25">
      <c r="B87" s="72">
        <v>40500</v>
      </c>
      <c r="C87" s="19">
        <f>MAX('TANF-VIEW'!L90,'TANF-VIEW'!T90)</f>
        <v>0</v>
      </c>
      <c r="D87" s="20">
        <f t="shared" si="27"/>
        <v>3375</v>
      </c>
      <c r="E87" s="20">
        <f>'Total income package'!$D$80</f>
        <v>0</v>
      </c>
      <c r="F87" s="20">
        <f>'Total income package'!$H$61+'Total income package'!$F$66</f>
        <v>100</v>
      </c>
      <c r="G87" s="20">
        <f t="shared" si="20"/>
        <v>3475</v>
      </c>
      <c r="H87" s="20" t="str">
        <f t="shared" si="14"/>
        <v>Yes</v>
      </c>
      <c r="I87" s="20">
        <f t="shared" si="15"/>
        <v>675</v>
      </c>
      <c r="J87" s="20">
        <f t="shared" si="16"/>
        <v>209</v>
      </c>
      <c r="K87" s="20">
        <f t="shared" si="17"/>
        <v>2591</v>
      </c>
      <c r="L87" s="20">
        <f t="shared" si="21"/>
        <v>500</v>
      </c>
      <c r="M87" s="20">
        <f>'Total income package'!$B$69</f>
        <v>500</v>
      </c>
      <c r="N87" s="20">
        <f t="shared" si="22"/>
        <v>1000</v>
      </c>
      <c r="O87" s="344" t="str">
        <f t="shared" si="23"/>
        <v>No</v>
      </c>
      <c r="P87" s="20">
        <f t="shared" si="24"/>
        <v>1295.5</v>
      </c>
      <c r="Q87" s="346">
        <f t="shared" si="18"/>
        <v>0</v>
      </c>
      <c r="R87" s="20">
        <f>IF(AND(D$2+$E$2&gt;0,N87-SNAP!P87&gt;0),N87-SNAP!P87,0)</f>
        <v>0</v>
      </c>
      <c r="S87" s="20">
        <f t="shared" si="25"/>
        <v>2591</v>
      </c>
      <c r="T87" s="20">
        <f t="shared" si="19"/>
        <v>777.3</v>
      </c>
      <c r="U87" s="20">
        <f>IF(AND('Total income package'!$A$18=TRUE,OR(H87="Yes",O87="Yes"),G87&lt;$G$2,$K$2-T87&gt;10),ROUNDDOWN($K$2-T87,0),0)</f>
        <v>0</v>
      </c>
      <c r="V87" s="176">
        <f t="shared" si="26"/>
        <v>0</v>
      </c>
      <c r="W87" s="5"/>
    </row>
    <row r="88" spans="2:23" x14ac:dyDescent="0.25">
      <c r="B88" s="72">
        <v>41000</v>
      </c>
      <c r="C88" s="19">
        <f>MAX('TANF-VIEW'!L91,'TANF-VIEW'!T91)</f>
        <v>0</v>
      </c>
      <c r="D88" s="20">
        <f t="shared" si="27"/>
        <v>3416.6666666666665</v>
      </c>
      <c r="E88" s="20">
        <f>'Total income package'!$D$80</f>
        <v>0</v>
      </c>
      <c r="F88" s="20">
        <f>'Total income package'!$H$61+'Total income package'!$F$66</f>
        <v>100</v>
      </c>
      <c r="G88" s="20">
        <f t="shared" si="20"/>
        <v>3516.6666666666665</v>
      </c>
      <c r="H88" s="20" t="str">
        <f t="shared" si="14"/>
        <v>Yes</v>
      </c>
      <c r="I88" s="20">
        <f t="shared" si="15"/>
        <v>683.33333333333337</v>
      </c>
      <c r="J88" s="20">
        <f t="shared" si="16"/>
        <v>209</v>
      </c>
      <c r="K88" s="20">
        <f t="shared" si="17"/>
        <v>2624.333333333333</v>
      </c>
      <c r="L88" s="20">
        <f t="shared" si="21"/>
        <v>500</v>
      </c>
      <c r="M88" s="20">
        <f>'Total income package'!$B$69</f>
        <v>500</v>
      </c>
      <c r="N88" s="20">
        <f t="shared" si="22"/>
        <v>1000</v>
      </c>
      <c r="O88" s="344" t="str">
        <f t="shared" si="23"/>
        <v>No</v>
      </c>
      <c r="P88" s="20">
        <f t="shared" si="24"/>
        <v>1312.1666666666665</v>
      </c>
      <c r="Q88" s="346">
        <f t="shared" si="18"/>
        <v>0</v>
      </c>
      <c r="R88" s="20">
        <f>IF(AND(D$2+$E$2&gt;0,N88-SNAP!P88&gt;0),N88-SNAP!P88,0)</f>
        <v>0</v>
      </c>
      <c r="S88" s="20">
        <f t="shared" si="25"/>
        <v>2624.333333333333</v>
      </c>
      <c r="T88" s="20">
        <f t="shared" si="19"/>
        <v>787.29999999999984</v>
      </c>
      <c r="U88" s="20">
        <f>IF(AND('Total income package'!$A$18=TRUE,OR(H88="Yes",O88="Yes"),G88&lt;$G$2,$K$2-T88&gt;10),ROUNDDOWN($K$2-T88,0),0)</f>
        <v>0</v>
      </c>
      <c r="V88" s="176">
        <f t="shared" si="26"/>
        <v>0</v>
      </c>
      <c r="W88" s="5"/>
    </row>
    <row r="89" spans="2:23" x14ac:dyDescent="0.25">
      <c r="B89" s="72">
        <v>41500</v>
      </c>
      <c r="C89" s="19">
        <f>MAX('TANF-VIEW'!L92,'TANF-VIEW'!T92)</f>
        <v>0</v>
      </c>
      <c r="D89" s="20">
        <f t="shared" si="27"/>
        <v>3458.3333333333335</v>
      </c>
      <c r="E89" s="20">
        <f>'Total income package'!$D$80</f>
        <v>0</v>
      </c>
      <c r="F89" s="20">
        <f>'Total income package'!$H$61+'Total income package'!$F$66</f>
        <v>100</v>
      </c>
      <c r="G89" s="20">
        <f t="shared" si="20"/>
        <v>3558.3333333333335</v>
      </c>
      <c r="H89" s="20" t="str">
        <f t="shared" si="14"/>
        <v>No</v>
      </c>
      <c r="I89" s="20">
        <f t="shared" si="15"/>
        <v>691.66666666666674</v>
      </c>
      <c r="J89" s="20">
        <f t="shared" si="16"/>
        <v>209</v>
      </c>
      <c r="K89" s="20">
        <f t="shared" si="17"/>
        <v>2657.666666666667</v>
      </c>
      <c r="L89" s="20">
        <f t="shared" si="21"/>
        <v>500</v>
      </c>
      <c r="M89" s="20">
        <f>'Total income package'!$B$69</f>
        <v>500</v>
      </c>
      <c r="N89" s="20">
        <f t="shared" si="22"/>
        <v>1000</v>
      </c>
      <c r="O89" s="344" t="str">
        <f t="shared" si="23"/>
        <v>No</v>
      </c>
      <c r="P89" s="20">
        <f t="shared" si="24"/>
        <v>1328.8333333333335</v>
      </c>
      <c r="Q89" s="346">
        <f t="shared" si="18"/>
        <v>0</v>
      </c>
      <c r="R89" s="20">
        <f>IF(AND(D$2+$E$2&gt;0,N89-SNAP!P89&gt;0),N89-SNAP!P89,0)</f>
        <v>0</v>
      </c>
      <c r="S89" s="20">
        <f t="shared" si="25"/>
        <v>2657.666666666667</v>
      </c>
      <c r="T89" s="20">
        <f t="shared" si="19"/>
        <v>797.30000000000007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100</v>
      </c>
      <c r="G90" s="20">
        <f t="shared" si="20"/>
        <v>3600</v>
      </c>
      <c r="H90" s="20" t="str">
        <f t="shared" si="14"/>
        <v>No</v>
      </c>
      <c r="I90" s="20">
        <f t="shared" si="15"/>
        <v>700</v>
      </c>
      <c r="J90" s="20">
        <f t="shared" si="16"/>
        <v>209</v>
      </c>
      <c r="K90" s="20">
        <f t="shared" si="17"/>
        <v>2691</v>
      </c>
      <c r="L90" s="20">
        <f t="shared" si="21"/>
        <v>500</v>
      </c>
      <c r="M90" s="20">
        <f>'Total income package'!$B$69</f>
        <v>500</v>
      </c>
      <c r="N90" s="20">
        <f t="shared" si="22"/>
        <v>1000</v>
      </c>
      <c r="O90" s="344" t="str">
        <f t="shared" si="23"/>
        <v>No</v>
      </c>
      <c r="P90" s="20">
        <f t="shared" si="24"/>
        <v>1345.5</v>
      </c>
      <c r="Q90" s="346">
        <f t="shared" si="18"/>
        <v>0</v>
      </c>
      <c r="R90" s="20">
        <f>IF(AND(D$2+$E$2&gt;0,N90-SNAP!P90&gt;0),N90-SNAP!P90,0)</f>
        <v>0</v>
      </c>
      <c r="S90" s="20">
        <f t="shared" si="25"/>
        <v>2691</v>
      </c>
      <c r="T90" s="20">
        <f t="shared" si="19"/>
        <v>807.3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100</v>
      </c>
      <c r="G91" s="20">
        <f t="shared" si="20"/>
        <v>3641.6666666666665</v>
      </c>
      <c r="H91" s="20" t="str">
        <f t="shared" si="14"/>
        <v>No</v>
      </c>
      <c r="I91" s="20">
        <f t="shared" si="15"/>
        <v>708.33333333333337</v>
      </c>
      <c r="J91" s="20">
        <f t="shared" si="16"/>
        <v>209</v>
      </c>
      <c r="K91" s="20">
        <f t="shared" si="17"/>
        <v>2724.333333333333</v>
      </c>
      <c r="L91" s="20">
        <f t="shared" si="21"/>
        <v>500</v>
      </c>
      <c r="M91" s="20">
        <f>'Total income package'!$B$69</f>
        <v>500</v>
      </c>
      <c r="N91" s="20">
        <f t="shared" si="22"/>
        <v>1000</v>
      </c>
      <c r="O91" s="344" t="str">
        <f t="shared" si="23"/>
        <v>No</v>
      </c>
      <c r="P91" s="20">
        <f t="shared" si="24"/>
        <v>1362.1666666666665</v>
      </c>
      <c r="Q91" s="346">
        <f t="shared" si="18"/>
        <v>0</v>
      </c>
      <c r="R91" s="20">
        <f>IF(AND(D$2+$E$2&gt;0,N91-SNAP!P91&gt;0),N91-SNAP!P91,0)</f>
        <v>0</v>
      </c>
      <c r="S91" s="20">
        <f t="shared" si="25"/>
        <v>2724.333333333333</v>
      </c>
      <c r="T91" s="20">
        <f t="shared" si="19"/>
        <v>817.29999999999984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100</v>
      </c>
      <c r="G92" s="20">
        <f t="shared" si="20"/>
        <v>3683.3333333333335</v>
      </c>
      <c r="H92" s="20" t="str">
        <f t="shared" si="14"/>
        <v>No</v>
      </c>
      <c r="I92" s="20">
        <f t="shared" si="15"/>
        <v>716.66666666666674</v>
      </c>
      <c r="J92" s="20">
        <f t="shared" si="16"/>
        <v>209</v>
      </c>
      <c r="K92" s="20">
        <f t="shared" si="17"/>
        <v>2757.666666666667</v>
      </c>
      <c r="L92" s="20">
        <f t="shared" si="21"/>
        <v>500</v>
      </c>
      <c r="M92" s="20">
        <f>'Total income package'!$B$69</f>
        <v>500</v>
      </c>
      <c r="N92" s="20">
        <f t="shared" si="22"/>
        <v>1000</v>
      </c>
      <c r="O92" s="344" t="str">
        <f t="shared" si="23"/>
        <v>No</v>
      </c>
      <c r="P92" s="20">
        <f t="shared" si="24"/>
        <v>1378.8333333333335</v>
      </c>
      <c r="Q92" s="346">
        <f t="shared" si="18"/>
        <v>0</v>
      </c>
      <c r="R92" s="20">
        <f>IF(AND(D$2+$E$2&gt;0,N92-SNAP!P92&gt;0),N92-SNAP!P92,0)</f>
        <v>0</v>
      </c>
      <c r="S92" s="20">
        <f t="shared" si="25"/>
        <v>2757.666666666667</v>
      </c>
      <c r="T92" s="20">
        <f t="shared" si="19"/>
        <v>827.30000000000007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100</v>
      </c>
      <c r="G93" s="20">
        <f t="shared" si="20"/>
        <v>3725</v>
      </c>
      <c r="H93" s="20" t="str">
        <f t="shared" si="14"/>
        <v>No</v>
      </c>
      <c r="I93" s="20">
        <f t="shared" si="15"/>
        <v>725</v>
      </c>
      <c r="J93" s="20">
        <f t="shared" si="16"/>
        <v>209</v>
      </c>
      <c r="K93" s="20">
        <f t="shared" si="17"/>
        <v>2791</v>
      </c>
      <c r="L93" s="20">
        <f t="shared" si="21"/>
        <v>500</v>
      </c>
      <c r="M93" s="20">
        <f>'Total income package'!$B$69</f>
        <v>500</v>
      </c>
      <c r="N93" s="20">
        <f t="shared" si="22"/>
        <v>1000</v>
      </c>
      <c r="O93" s="344" t="str">
        <f t="shared" si="23"/>
        <v>No</v>
      </c>
      <c r="P93" s="20">
        <f t="shared" si="24"/>
        <v>1395.5</v>
      </c>
      <c r="Q93" s="346">
        <f t="shared" si="18"/>
        <v>0</v>
      </c>
      <c r="R93" s="20">
        <f>IF(AND(D$2+$E$2&gt;0,N93-SNAP!P93&gt;0),N93-SNAP!P93,0)</f>
        <v>0</v>
      </c>
      <c r="S93" s="20">
        <f t="shared" si="25"/>
        <v>2791</v>
      </c>
      <c r="T93" s="20">
        <f t="shared" si="19"/>
        <v>837.3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100</v>
      </c>
      <c r="G94" s="20">
        <f t="shared" si="20"/>
        <v>3766.6666666666665</v>
      </c>
      <c r="H94" s="20" t="str">
        <f t="shared" si="14"/>
        <v>No</v>
      </c>
      <c r="I94" s="20">
        <f t="shared" si="15"/>
        <v>733.33333333333337</v>
      </c>
      <c r="J94" s="20">
        <f t="shared" si="16"/>
        <v>209</v>
      </c>
      <c r="K94" s="20">
        <f t="shared" si="17"/>
        <v>2824.333333333333</v>
      </c>
      <c r="L94" s="20">
        <f t="shared" si="21"/>
        <v>500</v>
      </c>
      <c r="M94" s="20">
        <f>'Total income package'!$B$69</f>
        <v>500</v>
      </c>
      <c r="N94" s="20">
        <f t="shared" si="22"/>
        <v>1000</v>
      </c>
      <c r="O94" s="344" t="str">
        <f t="shared" si="23"/>
        <v>No</v>
      </c>
      <c r="P94" s="20">
        <f t="shared" si="24"/>
        <v>1412.1666666666665</v>
      </c>
      <c r="Q94" s="346">
        <f t="shared" si="18"/>
        <v>0</v>
      </c>
      <c r="R94" s="20">
        <f>IF(AND(D$2+$E$2&gt;0,N94-SNAP!P94&gt;0),N94-SNAP!P94,0)</f>
        <v>0</v>
      </c>
      <c r="S94" s="20">
        <f t="shared" si="25"/>
        <v>2824.333333333333</v>
      </c>
      <c r="T94" s="20">
        <f t="shared" si="19"/>
        <v>847.29999999999984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100</v>
      </c>
      <c r="G95" s="20">
        <f t="shared" si="20"/>
        <v>3808.3333333333335</v>
      </c>
      <c r="H95" s="20" t="str">
        <f t="shared" si="14"/>
        <v>No</v>
      </c>
      <c r="I95" s="20">
        <f t="shared" si="15"/>
        <v>741.66666666666674</v>
      </c>
      <c r="J95" s="20">
        <f t="shared" si="16"/>
        <v>209</v>
      </c>
      <c r="K95" s="20">
        <f t="shared" si="17"/>
        <v>2857.666666666667</v>
      </c>
      <c r="L95" s="20">
        <f t="shared" si="21"/>
        <v>500</v>
      </c>
      <c r="M95" s="20">
        <f>'Total income package'!$B$69</f>
        <v>500</v>
      </c>
      <c r="N95" s="20">
        <f t="shared" si="22"/>
        <v>1000</v>
      </c>
      <c r="O95" s="344" t="str">
        <f t="shared" si="23"/>
        <v>No</v>
      </c>
      <c r="P95" s="20">
        <f t="shared" si="24"/>
        <v>1428.8333333333335</v>
      </c>
      <c r="Q95" s="346">
        <f t="shared" si="18"/>
        <v>0</v>
      </c>
      <c r="R95" s="20">
        <f>IF(AND(D$2+$E$2&gt;0,N95-SNAP!P95&gt;0),N95-SNAP!P95,0)</f>
        <v>0</v>
      </c>
      <c r="S95" s="20">
        <f t="shared" si="25"/>
        <v>2857.666666666667</v>
      </c>
      <c r="T95" s="20">
        <f t="shared" si="19"/>
        <v>857.30000000000007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100</v>
      </c>
      <c r="G96" s="20">
        <f t="shared" si="20"/>
        <v>3850</v>
      </c>
      <c r="H96" s="20" t="str">
        <f t="shared" si="14"/>
        <v>No</v>
      </c>
      <c r="I96" s="20">
        <f t="shared" si="15"/>
        <v>750</v>
      </c>
      <c r="J96" s="20">
        <f t="shared" si="16"/>
        <v>209</v>
      </c>
      <c r="K96" s="20">
        <f t="shared" si="17"/>
        <v>2891</v>
      </c>
      <c r="L96" s="20">
        <f t="shared" si="21"/>
        <v>500</v>
      </c>
      <c r="M96" s="20">
        <f>'Total income package'!$B$69</f>
        <v>500</v>
      </c>
      <c r="N96" s="20">
        <f t="shared" si="22"/>
        <v>1000</v>
      </c>
      <c r="O96" s="344" t="str">
        <f t="shared" si="23"/>
        <v>No</v>
      </c>
      <c r="P96" s="20">
        <f t="shared" si="24"/>
        <v>1445.5</v>
      </c>
      <c r="Q96" s="346">
        <f t="shared" si="18"/>
        <v>0</v>
      </c>
      <c r="R96" s="20">
        <f>IF(AND(D$2+$E$2&gt;0,N96-SNAP!P96&gt;0),N96-SNAP!P96,0)</f>
        <v>0</v>
      </c>
      <c r="S96" s="20">
        <f t="shared" si="25"/>
        <v>2891</v>
      </c>
      <c r="T96" s="20">
        <f t="shared" si="19"/>
        <v>867.3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100</v>
      </c>
      <c r="G97" s="20">
        <f t="shared" si="20"/>
        <v>3891.6666666666665</v>
      </c>
      <c r="H97" s="20" t="str">
        <f t="shared" si="14"/>
        <v>No</v>
      </c>
      <c r="I97" s="20">
        <f t="shared" si="15"/>
        <v>758.33333333333337</v>
      </c>
      <c r="J97" s="20">
        <f t="shared" si="16"/>
        <v>209</v>
      </c>
      <c r="K97" s="20">
        <f t="shared" si="17"/>
        <v>2924.333333333333</v>
      </c>
      <c r="L97" s="20">
        <f t="shared" si="21"/>
        <v>500</v>
      </c>
      <c r="M97" s="20">
        <f>'Total income package'!$B$69</f>
        <v>500</v>
      </c>
      <c r="N97" s="20">
        <f t="shared" si="22"/>
        <v>1000</v>
      </c>
      <c r="O97" s="344" t="str">
        <f t="shared" si="23"/>
        <v>No</v>
      </c>
      <c r="P97" s="20">
        <f t="shared" si="24"/>
        <v>1462.1666666666665</v>
      </c>
      <c r="Q97" s="346">
        <f t="shared" si="18"/>
        <v>0</v>
      </c>
      <c r="R97" s="20">
        <f>IF(AND(D$2+$E$2&gt;0,N97-SNAP!P97&gt;0),N97-SNAP!P97,0)</f>
        <v>0</v>
      </c>
      <c r="S97" s="20">
        <f t="shared" si="25"/>
        <v>2924.333333333333</v>
      </c>
      <c r="T97" s="20">
        <f t="shared" si="19"/>
        <v>877.29999999999984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100</v>
      </c>
      <c r="G98" s="20">
        <f t="shared" si="20"/>
        <v>3933.3333333333335</v>
      </c>
      <c r="H98" s="20" t="str">
        <f t="shared" si="14"/>
        <v>No</v>
      </c>
      <c r="I98" s="20">
        <f t="shared" si="15"/>
        <v>766.66666666666674</v>
      </c>
      <c r="J98" s="20">
        <f t="shared" si="16"/>
        <v>209</v>
      </c>
      <c r="K98" s="20">
        <f t="shared" si="17"/>
        <v>2957.666666666667</v>
      </c>
      <c r="L98" s="20">
        <f t="shared" si="21"/>
        <v>500</v>
      </c>
      <c r="M98" s="20">
        <f>'Total income package'!$B$69</f>
        <v>500</v>
      </c>
      <c r="N98" s="20">
        <f t="shared" si="22"/>
        <v>1000</v>
      </c>
      <c r="O98" s="344" t="str">
        <f t="shared" si="23"/>
        <v>No</v>
      </c>
      <c r="P98" s="20">
        <f t="shared" si="24"/>
        <v>1478.8333333333335</v>
      </c>
      <c r="Q98" s="346">
        <f t="shared" si="18"/>
        <v>0</v>
      </c>
      <c r="R98" s="20">
        <f>IF(AND(D$2+$E$2&gt;0,N98-SNAP!P98&gt;0),N98-SNAP!P98,0)</f>
        <v>0</v>
      </c>
      <c r="S98" s="20">
        <f t="shared" si="25"/>
        <v>2957.666666666667</v>
      </c>
      <c r="T98" s="20">
        <f t="shared" si="19"/>
        <v>887.30000000000007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100</v>
      </c>
      <c r="G99" s="20">
        <f t="shared" si="20"/>
        <v>3975</v>
      </c>
      <c r="H99" s="20" t="str">
        <f t="shared" si="14"/>
        <v>No</v>
      </c>
      <c r="I99" s="20">
        <f t="shared" si="15"/>
        <v>775</v>
      </c>
      <c r="J99" s="20">
        <f t="shared" si="16"/>
        <v>209</v>
      </c>
      <c r="K99" s="20">
        <f t="shared" si="17"/>
        <v>2991</v>
      </c>
      <c r="L99" s="20">
        <f t="shared" si="21"/>
        <v>500</v>
      </c>
      <c r="M99" s="20">
        <f>'Total income package'!$B$69</f>
        <v>500</v>
      </c>
      <c r="N99" s="20">
        <f t="shared" si="22"/>
        <v>1000</v>
      </c>
      <c r="O99" s="344" t="str">
        <f t="shared" si="23"/>
        <v>No</v>
      </c>
      <c r="P99" s="20">
        <f t="shared" si="24"/>
        <v>1495.5</v>
      </c>
      <c r="Q99" s="346">
        <f t="shared" si="18"/>
        <v>0</v>
      </c>
      <c r="R99" s="20">
        <f>IF(AND(D$2+$E$2&gt;0,N99-SNAP!P99&gt;0),N99-SNAP!P99,0)</f>
        <v>0</v>
      </c>
      <c r="S99" s="20">
        <f t="shared" si="25"/>
        <v>2991</v>
      </c>
      <c r="T99" s="20">
        <f t="shared" si="19"/>
        <v>897.3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100</v>
      </c>
      <c r="G100" s="20">
        <f t="shared" si="20"/>
        <v>4016.6666666666665</v>
      </c>
      <c r="H100" s="20" t="str">
        <f t="shared" si="14"/>
        <v>No</v>
      </c>
      <c r="I100" s="20">
        <f t="shared" si="15"/>
        <v>783.33333333333337</v>
      </c>
      <c r="J100" s="20">
        <f t="shared" si="16"/>
        <v>209</v>
      </c>
      <c r="K100" s="20">
        <f t="shared" si="17"/>
        <v>3024.333333333333</v>
      </c>
      <c r="L100" s="20">
        <f t="shared" si="21"/>
        <v>500</v>
      </c>
      <c r="M100" s="20">
        <f>'Total income package'!$B$69</f>
        <v>500</v>
      </c>
      <c r="N100" s="20">
        <f t="shared" si="22"/>
        <v>1000</v>
      </c>
      <c r="O100" s="344" t="str">
        <f t="shared" si="23"/>
        <v>No</v>
      </c>
      <c r="P100" s="20">
        <f t="shared" si="24"/>
        <v>1512.1666666666665</v>
      </c>
      <c r="Q100" s="346">
        <f t="shared" si="18"/>
        <v>0</v>
      </c>
      <c r="R100" s="20">
        <f>IF(AND(D$2+$E$2&gt;0,N100-SNAP!P100&gt;0),N100-SNAP!P100,0)</f>
        <v>0</v>
      </c>
      <c r="S100" s="20">
        <f t="shared" si="25"/>
        <v>3024.333333333333</v>
      </c>
      <c r="T100" s="20">
        <f t="shared" si="19"/>
        <v>907.29999999999984</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100</v>
      </c>
      <c r="G101" s="20">
        <f t="shared" si="20"/>
        <v>4058.3333333333335</v>
      </c>
      <c r="H101" s="20" t="str">
        <f t="shared" si="14"/>
        <v>No</v>
      </c>
      <c r="I101" s="20">
        <f t="shared" si="15"/>
        <v>791.66666666666674</v>
      </c>
      <c r="J101" s="20">
        <f t="shared" si="16"/>
        <v>209</v>
      </c>
      <c r="K101" s="20">
        <f t="shared" si="17"/>
        <v>3057.666666666667</v>
      </c>
      <c r="L101" s="20">
        <f t="shared" si="21"/>
        <v>500</v>
      </c>
      <c r="M101" s="20">
        <f>'Total income package'!$B$69</f>
        <v>500</v>
      </c>
      <c r="N101" s="20">
        <f t="shared" si="22"/>
        <v>1000</v>
      </c>
      <c r="O101" s="344" t="str">
        <f t="shared" si="23"/>
        <v>No</v>
      </c>
      <c r="P101" s="20">
        <f t="shared" si="24"/>
        <v>1528.8333333333335</v>
      </c>
      <c r="Q101" s="346">
        <f t="shared" si="18"/>
        <v>0</v>
      </c>
      <c r="R101" s="20">
        <f>IF(AND(D$2+$E$2&gt;0,N101-SNAP!P101&gt;0),N101-SNAP!P101,0)</f>
        <v>0</v>
      </c>
      <c r="S101" s="20">
        <f t="shared" si="25"/>
        <v>3057.666666666667</v>
      </c>
      <c r="T101" s="20">
        <f t="shared" si="19"/>
        <v>917.30000000000007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100</v>
      </c>
      <c r="G102" s="20">
        <f t="shared" si="20"/>
        <v>4100</v>
      </c>
      <c r="H102" s="20" t="str">
        <f t="shared" si="14"/>
        <v>No</v>
      </c>
      <c r="I102" s="20">
        <f t="shared" si="15"/>
        <v>800</v>
      </c>
      <c r="J102" s="20">
        <f t="shared" si="16"/>
        <v>209</v>
      </c>
      <c r="K102" s="20">
        <f t="shared" si="17"/>
        <v>3091</v>
      </c>
      <c r="L102" s="20">
        <f t="shared" si="21"/>
        <v>500</v>
      </c>
      <c r="M102" s="20">
        <f>'Total income package'!$B$69</f>
        <v>500</v>
      </c>
      <c r="N102" s="20">
        <f t="shared" si="22"/>
        <v>1000</v>
      </c>
      <c r="O102" s="344" t="str">
        <f t="shared" si="23"/>
        <v>No</v>
      </c>
      <c r="P102" s="20">
        <f t="shared" si="24"/>
        <v>1545.5</v>
      </c>
      <c r="Q102" s="346">
        <f t="shared" si="18"/>
        <v>0</v>
      </c>
      <c r="R102" s="20">
        <f>IF(AND(D$2+$E$2&gt;0,N102-SNAP!P102&gt;0),N102-SNAP!P102,0)</f>
        <v>0</v>
      </c>
      <c r="S102" s="20">
        <f t="shared" si="25"/>
        <v>3091</v>
      </c>
      <c r="T102" s="20">
        <f t="shared" si="19"/>
        <v>927.3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100</v>
      </c>
      <c r="G103" s="20">
        <f t="shared" si="20"/>
        <v>4141.6666666666661</v>
      </c>
      <c r="H103" s="20" t="str">
        <f t="shared" si="14"/>
        <v>No</v>
      </c>
      <c r="I103" s="20">
        <f t="shared" si="15"/>
        <v>808.33333333333337</v>
      </c>
      <c r="J103" s="20">
        <f t="shared" si="16"/>
        <v>209</v>
      </c>
      <c r="K103" s="20">
        <f t="shared" si="17"/>
        <v>3124.3333333333326</v>
      </c>
      <c r="L103" s="20">
        <f t="shared" si="21"/>
        <v>500</v>
      </c>
      <c r="M103" s="20">
        <f>'Total income package'!$B$69</f>
        <v>500</v>
      </c>
      <c r="N103" s="20">
        <f t="shared" si="22"/>
        <v>1000</v>
      </c>
      <c r="O103" s="344" t="str">
        <f t="shared" si="23"/>
        <v>No</v>
      </c>
      <c r="P103" s="20">
        <f t="shared" si="24"/>
        <v>1562.1666666666663</v>
      </c>
      <c r="Q103" s="346">
        <f t="shared" si="18"/>
        <v>0</v>
      </c>
      <c r="R103" s="20">
        <f>IF(AND(D$2+$E$2&gt;0,N103-SNAP!P103&gt;0),N103-SNAP!P103,0)</f>
        <v>0</v>
      </c>
      <c r="S103" s="20">
        <f t="shared" si="25"/>
        <v>3124.3333333333326</v>
      </c>
      <c r="T103" s="20">
        <f t="shared" si="19"/>
        <v>937.29999999999973</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100</v>
      </c>
      <c r="G104" s="20">
        <f t="shared" si="20"/>
        <v>4183.3333333333339</v>
      </c>
      <c r="H104" s="20" t="str">
        <f t="shared" si="14"/>
        <v>No</v>
      </c>
      <c r="I104" s="20">
        <f t="shared" si="15"/>
        <v>816.66666666666674</v>
      </c>
      <c r="J104" s="20">
        <f t="shared" si="16"/>
        <v>209</v>
      </c>
      <c r="K104" s="20">
        <f t="shared" si="17"/>
        <v>3157.666666666667</v>
      </c>
      <c r="L104" s="20">
        <f t="shared" si="21"/>
        <v>500</v>
      </c>
      <c r="M104" s="20">
        <f>'Total income package'!$B$69</f>
        <v>500</v>
      </c>
      <c r="N104" s="20">
        <f t="shared" si="22"/>
        <v>1000</v>
      </c>
      <c r="O104" s="344" t="str">
        <f t="shared" si="23"/>
        <v>No</v>
      </c>
      <c r="P104" s="20">
        <f t="shared" si="24"/>
        <v>1578.8333333333335</v>
      </c>
      <c r="Q104" s="346">
        <f t="shared" si="18"/>
        <v>0</v>
      </c>
      <c r="R104" s="20">
        <f>IF(AND(D$2+$E$2&gt;0,N104-SNAP!P104&gt;0),N104-SNAP!P104,0)</f>
        <v>0</v>
      </c>
      <c r="S104" s="20">
        <f t="shared" si="25"/>
        <v>3157.666666666667</v>
      </c>
      <c r="T104" s="20">
        <f t="shared" si="19"/>
        <v>947.30000000000007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100</v>
      </c>
      <c r="G105" s="20">
        <f t="shared" si="20"/>
        <v>4225</v>
      </c>
      <c r="H105" s="20" t="str">
        <f t="shared" si="14"/>
        <v>No</v>
      </c>
      <c r="I105" s="20">
        <f t="shared" si="15"/>
        <v>825</v>
      </c>
      <c r="J105" s="20">
        <f t="shared" si="16"/>
        <v>209</v>
      </c>
      <c r="K105" s="20">
        <f t="shared" si="17"/>
        <v>3191</v>
      </c>
      <c r="L105" s="20">
        <f t="shared" si="21"/>
        <v>500</v>
      </c>
      <c r="M105" s="20">
        <f>'Total income package'!$B$69</f>
        <v>500</v>
      </c>
      <c r="N105" s="20">
        <f t="shared" si="22"/>
        <v>1000</v>
      </c>
      <c r="O105" s="344" t="str">
        <f t="shared" si="23"/>
        <v>No</v>
      </c>
      <c r="P105" s="20">
        <f t="shared" si="24"/>
        <v>1595.5</v>
      </c>
      <c r="Q105" s="346">
        <f t="shared" si="18"/>
        <v>0</v>
      </c>
      <c r="R105" s="20">
        <f>IF(AND(D$2+$E$2&gt;0,N105-SNAP!P105&gt;0),N105-SNAP!P105,0)</f>
        <v>0</v>
      </c>
      <c r="S105" s="20">
        <f t="shared" si="25"/>
        <v>3191</v>
      </c>
      <c r="T105" s="20">
        <f t="shared" si="19"/>
        <v>957.3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100</v>
      </c>
      <c r="G106" s="20">
        <f t="shared" si="20"/>
        <v>4266.666666666667</v>
      </c>
      <c r="H106" s="20" t="str">
        <f t="shared" si="14"/>
        <v>No</v>
      </c>
      <c r="I106" s="20">
        <f t="shared" si="15"/>
        <v>833.33333333333348</v>
      </c>
      <c r="J106" s="20">
        <f t="shared" si="16"/>
        <v>209</v>
      </c>
      <c r="K106" s="20">
        <f t="shared" si="17"/>
        <v>3224.3333333333335</v>
      </c>
      <c r="L106" s="20">
        <f t="shared" si="21"/>
        <v>500</v>
      </c>
      <c r="M106" s="20">
        <f>'Total income package'!$B$69</f>
        <v>500</v>
      </c>
      <c r="N106" s="20">
        <f t="shared" si="22"/>
        <v>1000</v>
      </c>
      <c r="O106" s="344" t="str">
        <f t="shared" si="23"/>
        <v>No</v>
      </c>
      <c r="P106" s="20">
        <f t="shared" si="24"/>
        <v>1612.1666666666667</v>
      </c>
      <c r="Q106" s="346">
        <f t="shared" si="18"/>
        <v>0</v>
      </c>
      <c r="R106" s="20">
        <f>IF(AND(D$2+$E$2&gt;0,N106-SNAP!P106&gt;0),N106-SNAP!P106,0)</f>
        <v>0</v>
      </c>
      <c r="S106" s="20">
        <f t="shared" si="25"/>
        <v>3224.3333333333335</v>
      </c>
      <c r="T106" s="20">
        <f t="shared" si="19"/>
        <v>967.3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100</v>
      </c>
      <c r="G107" s="20">
        <f t="shared" si="20"/>
        <v>4308.333333333333</v>
      </c>
      <c r="H107" s="20" t="str">
        <f t="shared" si="14"/>
        <v>No</v>
      </c>
      <c r="I107" s="20">
        <f t="shared" si="15"/>
        <v>841.66666666666663</v>
      </c>
      <c r="J107" s="20">
        <f t="shared" si="16"/>
        <v>209</v>
      </c>
      <c r="K107" s="20">
        <f t="shared" si="17"/>
        <v>3257.6666666666665</v>
      </c>
      <c r="L107" s="20">
        <f t="shared" si="21"/>
        <v>500</v>
      </c>
      <c r="M107" s="20">
        <f>'Total income package'!$B$69</f>
        <v>500</v>
      </c>
      <c r="N107" s="20">
        <f t="shared" si="22"/>
        <v>1000</v>
      </c>
      <c r="O107" s="344" t="str">
        <f t="shared" si="23"/>
        <v>No</v>
      </c>
      <c r="P107" s="20">
        <f t="shared" si="24"/>
        <v>1628.8333333333333</v>
      </c>
      <c r="Q107" s="346">
        <f t="shared" si="18"/>
        <v>0</v>
      </c>
      <c r="R107" s="20">
        <f>IF(AND(D$2+$E$2&gt;0,N107-SNAP!P107&gt;0),N107-SNAP!P107,0)</f>
        <v>0</v>
      </c>
      <c r="S107" s="20">
        <f t="shared" si="25"/>
        <v>3257.6666666666665</v>
      </c>
      <c r="T107" s="20">
        <f t="shared" si="19"/>
        <v>977.3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100</v>
      </c>
      <c r="G108" s="20">
        <f t="shared" si="20"/>
        <v>4350</v>
      </c>
      <c r="H108" s="20" t="str">
        <f t="shared" si="14"/>
        <v>No</v>
      </c>
      <c r="I108" s="20">
        <f t="shared" si="15"/>
        <v>850</v>
      </c>
      <c r="J108" s="20">
        <f t="shared" si="16"/>
        <v>209</v>
      </c>
      <c r="K108" s="20">
        <f t="shared" si="17"/>
        <v>3291</v>
      </c>
      <c r="L108" s="20">
        <f t="shared" si="21"/>
        <v>500</v>
      </c>
      <c r="M108" s="20">
        <f>'Total income package'!$B$69</f>
        <v>500</v>
      </c>
      <c r="N108" s="20">
        <f t="shared" si="22"/>
        <v>1000</v>
      </c>
      <c r="O108" s="344" t="str">
        <f t="shared" si="23"/>
        <v>No</v>
      </c>
      <c r="P108" s="20">
        <f t="shared" si="24"/>
        <v>1645.5</v>
      </c>
      <c r="Q108" s="346">
        <f t="shared" si="18"/>
        <v>0</v>
      </c>
      <c r="R108" s="20">
        <f>IF(AND(D$2+$E$2&gt;0,N108-SNAP!P108&gt;0),N108-SNAP!P108,0)</f>
        <v>0</v>
      </c>
      <c r="S108" s="20">
        <f t="shared" si="25"/>
        <v>3291</v>
      </c>
      <c r="T108" s="20">
        <f t="shared" si="19"/>
        <v>987.3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100</v>
      </c>
      <c r="G109" s="20">
        <f t="shared" si="20"/>
        <v>4391.666666666667</v>
      </c>
      <c r="H109" s="20" t="str">
        <f t="shared" si="14"/>
        <v>No</v>
      </c>
      <c r="I109" s="20">
        <f t="shared" si="15"/>
        <v>858.33333333333348</v>
      </c>
      <c r="J109" s="20">
        <f t="shared" si="16"/>
        <v>209</v>
      </c>
      <c r="K109" s="20">
        <f t="shared" si="17"/>
        <v>3324.3333333333335</v>
      </c>
      <c r="L109" s="20">
        <f t="shared" si="21"/>
        <v>500</v>
      </c>
      <c r="M109" s="20">
        <f>'Total income package'!$B$69</f>
        <v>500</v>
      </c>
      <c r="N109" s="20">
        <f t="shared" si="22"/>
        <v>1000</v>
      </c>
      <c r="O109" s="344" t="str">
        <f t="shared" si="23"/>
        <v>No</v>
      </c>
      <c r="P109" s="20">
        <f t="shared" si="24"/>
        <v>1662.1666666666667</v>
      </c>
      <c r="Q109" s="346">
        <f t="shared" si="18"/>
        <v>0</v>
      </c>
      <c r="R109" s="20">
        <f>IF(AND(D$2+$E$2&gt;0,N109-SNAP!P109&gt;0),N109-SNAP!P109,0)</f>
        <v>0</v>
      </c>
      <c r="S109" s="20">
        <f t="shared" si="25"/>
        <v>3324.3333333333335</v>
      </c>
      <c r="T109" s="20">
        <f t="shared" si="19"/>
        <v>997.3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100</v>
      </c>
      <c r="G110" s="20">
        <f t="shared" si="20"/>
        <v>4433.333333333333</v>
      </c>
      <c r="H110" s="20" t="str">
        <f t="shared" si="14"/>
        <v>No</v>
      </c>
      <c r="I110" s="20">
        <f t="shared" si="15"/>
        <v>866.66666666666663</v>
      </c>
      <c r="J110" s="20">
        <f t="shared" si="16"/>
        <v>209</v>
      </c>
      <c r="K110" s="20">
        <f t="shared" si="17"/>
        <v>3357.6666666666665</v>
      </c>
      <c r="L110" s="20">
        <f t="shared" si="21"/>
        <v>500</v>
      </c>
      <c r="M110" s="20">
        <f>'Total income package'!$B$69</f>
        <v>500</v>
      </c>
      <c r="N110" s="20">
        <f t="shared" si="22"/>
        <v>1000</v>
      </c>
      <c r="O110" s="344" t="str">
        <f t="shared" si="23"/>
        <v>No</v>
      </c>
      <c r="P110" s="20">
        <f t="shared" si="24"/>
        <v>1678.8333333333333</v>
      </c>
      <c r="Q110" s="346">
        <f t="shared" si="18"/>
        <v>0</v>
      </c>
      <c r="R110" s="20">
        <f>IF(AND(D$2+$E$2&gt;0,N110-SNAP!P110&gt;0),N110-SNAP!P110,0)</f>
        <v>0</v>
      </c>
      <c r="S110" s="20">
        <f t="shared" si="25"/>
        <v>3357.6666666666665</v>
      </c>
      <c r="T110" s="20">
        <f t="shared" si="19"/>
        <v>1007.3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100</v>
      </c>
      <c r="G111" s="20">
        <f t="shared" si="20"/>
        <v>4475</v>
      </c>
      <c r="H111" s="20" t="str">
        <f t="shared" si="14"/>
        <v>No</v>
      </c>
      <c r="I111" s="20">
        <f t="shared" si="15"/>
        <v>875</v>
      </c>
      <c r="J111" s="20">
        <f t="shared" si="16"/>
        <v>209</v>
      </c>
      <c r="K111" s="20">
        <f t="shared" si="17"/>
        <v>3391</v>
      </c>
      <c r="L111" s="20">
        <f t="shared" si="21"/>
        <v>500</v>
      </c>
      <c r="M111" s="20">
        <f>'Total income package'!$B$69</f>
        <v>500</v>
      </c>
      <c r="N111" s="20">
        <f t="shared" si="22"/>
        <v>1000</v>
      </c>
      <c r="O111" s="344" t="str">
        <f t="shared" si="23"/>
        <v>No</v>
      </c>
      <c r="P111" s="20">
        <f t="shared" si="24"/>
        <v>1695.5</v>
      </c>
      <c r="Q111" s="346">
        <f t="shared" si="18"/>
        <v>0</v>
      </c>
      <c r="R111" s="20">
        <f>IF(AND(D$2+$E$2&gt;0,N111-SNAP!P111&gt;0),N111-SNAP!P111,0)</f>
        <v>0</v>
      </c>
      <c r="S111" s="20">
        <f t="shared" si="25"/>
        <v>3391</v>
      </c>
      <c r="T111" s="20">
        <f t="shared" si="19"/>
        <v>1017.3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100</v>
      </c>
      <c r="G112" s="20">
        <f t="shared" si="20"/>
        <v>4516.666666666667</v>
      </c>
      <c r="H112" s="20" t="str">
        <f t="shared" si="14"/>
        <v>No</v>
      </c>
      <c r="I112" s="20">
        <f t="shared" si="15"/>
        <v>883.33333333333348</v>
      </c>
      <c r="J112" s="20">
        <f t="shared" si="16"/>
        <v>209</v>
      </c>
      <c r="K112" s="20">
        <f t="shared" si="17"/>
        <v>3424.3333333333335</v>
      </c>
      <c r="L112" s="20">
        <f t="shared" si="21"/>
        <v>500</v>
      </c>
      <c r="M112" s="20">
        <f>'Total income package'!$B$69</f>
        <v>500</v>
      </c>
      <c r="N112" s="20">
        <f t="shared" si="22"/>
        <v>1000</v>
      </c>
      <c r="O112" s="344" t="str">
        <f t="shared" si="23"/>
        <v>No</v>
      </c>
      <c r="P112" s="20">
        <f t="shared" si="24"/>
        <v>1712.1666666666667</v>
      </c>
      <c r="Q112" s="346">
        <f t="shared" si="18"/>
        <v>0</v>
      </c>
      <c r="R112" s="20">
        <f>IF(AND(D$2+$E$2&gt;0,N112-SNAP!P112&gt;0),N112-SNAP!P112,0)</f>
        <v>0</v>
      </c>
      <c r="S112" s="20">
        <f t="shared" si="25"/>
        <v>3424.3333333333335</v>
      </c>
      <c r="T112" s="20">
        <f t="shared" si="19"/>
        <v>1027.3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100</v>
      </c>
      <c r="G113" s="20">
        <f t="shared" si="20"/>
        <v>4558.333333333333</v>
      </c>
      <c r="H113" s="20" t="str">
        <f t="shared" si="14"/>
        <v>No</v>
      </c>
      <c r="I113" s="20">
        <f t="shared" si="15"/>
        <v>891.66666666666663</v>
      </c>
      <c r="J113" s="20">
        <f t="shared" si="16"/>
        <v>209</v>
      </c>
      <c r="K113" s="20">
        <f t="shared" si="17"/>
        <v>3457.6666666666665</v>
      </c>
      <c r="L113" s="20">
        <f t="shared" si="21"/>
        <v>500</v>
      </c>
      <c r="M113" s="20">
        <f>'Total income package'!$B$69</f>
        <v>500</v>
      </c>
      <c r="N113" s="20">
        <f t="shared" si="22"/>
        <v>1000</v>
      </c>
      <c r="O113" s="344" t="str">
        <f t="shared" si="23"/>
        <v>No</v>
      </c>
      <c r="P113" s="20">
        <f t="shared" si="24"/>
        <v>1728.8333333333333</v>
      </c>
      <c r="Q113" s="346">
        <f t="shared" si="18"/>
        <v>0</v>
      </c>
      <c r="R113" s="20">
        <f>IF(AND(D$2+$E$2&gt;0,N113-SNAP!P113&gt;0),N113-SNAP!P113,0)</f>
        <v>0</v>
      </c>
      <c r="S113" s="20">
        <f t="shared" si="25"/>
        <v>3457.6666666666665</v>
      </c>
      <c r="T113" s="20">
        <f t="shared" si="19"/>
        <v>1037.3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100</v>
      </c>
      <c r="G114" s="20">
        <f t="shared" si="20"/>
        <v>4600</v>
      </c>
      <c r="H114" s="20" t="str">
        <f t="shared" si="14"/>
        <v>No</v>
      </c>
      <c r="I114" s="20">
        <f t="shared" si="15"/>
        <v>900</v>
      </c>
      <c r="J114" s="20">
        <f t="shared" si="16"/>
        <v>209</v>
      </c>
      <c r="K114" s="20">
        <f t="shared" si="17"/>
        <v>3491</v>
      </c>
      <c r="L114" s="20">
        <f t="shared" si="21"/>
        <v>500</v>
      </c>
      <c r="M114" s="20">
        <f>'Total income package'!$B$69</f>
        <v>500</v>
      </c>
      <c r="N114" s="20">
        <f t="shared" si="22"/>
        <v>1000</v>
      </c>
      <c r="O114" s="344" t="str">
        <f t="shared" si="23"/>
        <v>No</v>
      </c>
      <c r="P114" s="20">
        <f t="shared" si="24"/>
        <v>1745.5</v>
      </c>
      <c r="Q114" s="346">
        <f t="shared" si="18"/>
        <v>0</v>
      </c>
      <c r="R114" s="20">
        <f>IF(AND(D$2+$E$2&gt;0,N114-SNAP!P114&gt;0),N114-SNAP!P114,0)</f>
        <v>0</v>
      </c>
      <c r="S114" s="20">
        <f t="shared" si="25"/>
        <v>3491</v>
      </c>
      <c r="T114" s="20">
        <f t="shared" si="19"/>
        <v>1047.3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100</v>
      </c>
      <c r="G115" s="20">
        <f t="shared" si="20"/>
        <v>4641.666666666667</v>
      </c>
      <c r="H115" s="20" t="str">
        <f t="shared" si="14"/>
        <v>No</v>
      </c>
      <c r="I115" s="20">
        <f t="shared" si="15"/>
        <v>908.33333333333348</v>
      </c>
      <c r="J115" s="20">
        <f t="shared" si="16"/>
        <v>209</v>
      </c>
      <c r="K115" s="20">
        <f t="shared" si="17"/>
        <v>3524.3333333333335</v>
      </c>
      <c r="L115" s="20">
        <f t="shared" si="21"/>
        <v>500</v>
      </c>
      <c r="M115" s="20">
        <f>'Total income package'!$B$69</f>
        <v>500</v>
      </c>
      <c r="N115" s="20">
        <f t="shared" si="22"/>
        <v>1000</v>
      </c>
      <c r="O115" s="344" t="str">
        <f t="shared" si="23"/>
        <v>No</v>
      </c>
      <c r="P115" s="20">
        <f t="shared" si="24"/>
        <v>1762.1666666666667</v>
      </c>
      <c r="Q115" s="346">
        <f t="shared" si="18"/>
        <v>0</v>
      </c>
      <c r="R115" s="20">
        <f>IF(AND(D$2+$E$2&gt;0,N115-SNAP!P115&gt;0),N115-SNAP!P115,0)</f>
        <v>0</v>
      </c>
      <c r="S115" s="20">
        <f t="shared" si="25"/>
        <v>3524.3333333333335</v>
      </c>
      <c r="T115" s="20">
        <f t="shared" si="19"/>
        <v>1057.3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100</v>
      </c>
      <c r="G116" s="20">
        <f t="shared" si="20"/>
        <v>4683.333333333333</v>
      </c>
      <c r="H116" s="20" t="str">
        <f t="shared" si="14"/>
        <v>No</v>
      </c>
      <c r="I116" s="20">
        <f t="shared" si="15"/>
        <v>916.66666666666663</v>
      </c>
      <c r="J116" s="20">
        <f t="shared" si="16"/>
        <v>209</v>
      </c>
      <c r="K116" s="20">
        <f t="shared" si="17"/>
        <v>3557.6666666666665</v>
      </c>
      <c r="L116" s="20">
        <f t="shared" si="21"/>
        <v>500</v>
      </c>
      <c r="M116" s="20">
        <f>'Total income package'!$B$69</f>
        <v>500</v>
      </c>
      <c r="N116" s="20">
        <f t="shared" si="22"/>
        <v>1000</v>
      </c>
      <c r="O116" s="344" t="str">
        <f t="shared" si="23"/>
        <v>No</v>
      </c>
      <c r="P116" s="20">
        <f t="shared" si="24"/>
        <v>1778.8333333333333</v>
      </c>
      <c r="Q116" s="346">
        <f t="shared" si="18"/>
        <v>0</v>
      </c>
      <c r="R116" s="20">
        <f>IF(AND(D$2+$E$2&gt;0,N116-SNAP!P116&gt;0),N116-SNAP!P116,0)</f>
        <v>0</v>
      </c>
      <c r="S116" s="20">
        <f t="shared" si="25"/>
        <v>3557.6666666666665</v>
      </c>
      <c r="T116" s="20">
        <f t="shared" si="19"/>
        <v>1067.3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100</v>
      </c>
      <c r="G117" s="20">
        <f t="shared" si="20"/>
        <v>4725</v>
      </c>
      <c r="H117" s="20" t="str">
        <f t="shared" si="14"/>
        <v>No</v>
      </c>
      <c r="I117" s="20">
        <f t="shared" si="15"/>
        <v>925</v>
      </c>
      <c r="J117" s="20">
        <f t="shared" si="16"/>
        <v>209</v>
      </c>
      <c r="K117" s="20">
        <f t="shared" si="17"/>
        <v>3591</v>
      </c>
      <c r="L117" s="20">
        <f t="shared" si="21"/>
        <v>500</v>
      </c>
      <c r="M117" s="20">
        <f>'Total income package'!$B$69</f>
        <v>500</v>
      </c>
      <c r="N117" s="20">
        <f t="shared" si="22"/>
        <v>1000</v>
      </c>
      <c r="O117" s="344" t="str">
        <f t="shared" si="23"/>
        <v>No</v>
      </c>
      <c r="P117" s="20">
        <f t="shared" si="24"/>
        <v>1795.5</v>
      </c>
      <c r="Q117" s="346">
        <f t="shared" si="18"/>
        <v>0</v>
      </c>
      <c r="R117" s="20">
        <f>IF(AND(D$2+$E$2&gt;0,N117-SNAP!P117&gt;0),N117-SNAP!P117,0)</f>
        <v>0</v>
      </c>
      <c r="S117" s="20">
        <f t="shared" si="25"/>
        <v>3591</v>
      </c>
      <c r="T117" s="20">
        <f t="shared" si="19"/>
        <v>1077.3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100</v>
      </c>
      <c r="G118" s="20">
        <f t="shared" si="20"/>
        <v>4766.666666666667</v>
      </c>
      <c r="H118" s="20" t="str">
        <f t="shared" si="14"/>
        <v>No</v>
      </c>
      <c r="I118" s="20">
        <f t="shared" si="15"/>
        <v>933.33333333333348</v>
      </c>
      <c r="J118" s="20">
        <f t="shared" si="16"/>
        <v>209</v>
      </c>
      <c r="K118" s="20">
        <f t="shared" si="17"/>
        <v>3624.3333333333335</v>
      </c>
      <c r="L118" s="20">
        <f t="shared" si="21"/>
        <v>500</v>
      </c>
      <c r="M118" s="20">
        <f>'Total income package'!$B$69</f>
        <v>500</v>
      </c>
      <c r="N118" s="20">
        <f t="shared" si="22"/>
        <v>1000</v>
      </c>
      <c r="O118" s="344" t="str">
        <f t="shared" si="23"/>
        <v>No</v>
      </c>
      <c r="P118" s="20">
        <f t="shared" si="24"/>
        <v>1812.1666666666667</v>
      </c>
      <c r="Q118" s="346">
        <f t="shared" si="18"/>
        <v>0</v>
      </c>
      <c r="R118" s="20">
        <f>IF(AND(D$2+$E$2&gt;0,N118-SNAP!P118&gt;0),N118-SNAP!P118,0)</f>
        <v>0</v>
      </c>
      <c r="S118" s="20">
        <f t="shared" si="25"/>
        <v>3624.3333333333335</v>
      </c>
      <c r="T118" s="20">
        <f t="shared" si="19"/>
        <v>1087.3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100</v>
      </c>
      <c r="G119" s="20">
        <f t="shared" si="20"/>
        <v>4808.333333333333</v>
      </c>
      <c r="H119" s="20" t="str">
        <f t="shared" si="14"/>
        <v>No</v>
      </c>
      <c r="I119" s="20">
        <f t="shared" si="15"/>
        <v>941.66666666666663</v>
      </c>
      <c r="J119" s="20">
        <f t="shared" si="16"/>
        <v>209</v>
      </c>
      <c r="K119" s="20">
        <f t="shared" si="17"/>
        <v>3657.6666666666665</v>
      </c>
      <c r="L119" s="20">
        <f t="shared" si="21"/>
        <v>500</v>
      </c>
      <c r="M119" s="20">
        <f>'Total income package'!$B$69</f>
        <v>500</v>
      </c>
      <c r="N119" s="20">
        <f t="shared" si="22"/>
        <v>1000</v>
      </c>
      <c r="O119" s="344" t="str">
        <f t="shared" si="23"/>
        <v>No</v>
      </c>
      <c r="P119" s="20">
        <f t="shared" si="24"/>
        <v>1828.8333333333333</v>
      </c>
      <c r="Q119" s="346">
        <f t="shared" si="18"/>
        <v>0</v>
      </c>
      <c r="R119" s="20">
        <f>IF(AND(D$2+$E$2&gt;0,N119-SNAP!P119&gt;0),N119-SNAP!P119,0)</f>
        <v>0</v>
      </c>
      <c r="S119" s="20">
        <f t="shared" si="25"/>
        <v>3657.6666666666665</v>
      </c>
      <c r="T119" s="20">
        <f t="shared" si="19"/>
        <v>1097.3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100</v>
      </c>
      <c r="G120" s="20">
        <f t="shared" si="20"/>
        <v>4850</v>
      </c>
      <c r="H120" s="20" t="str">
        <f t="shared" si="14"/>
        <v>No</v>
      </c>
      <c r="I120" s="20">
        <f t="shared" si="15"/>
        <v>950</v>
      </c>
      <c r="J120" s="20">
        <f t="shared" si="16"/>
        <v>209</v>
      </c>
      <c r="K120" s="20">
        <f t="shared" si="17"/>
        <v>3691</v>
      </c>
      <c r="L120" s="20">
        <f t="shared" si="21"/>
        <v>500</v>
      </c>
      <c r="M120" s="20">
        <f>'Total income package'!$B$69</f>
        <v>500</v>
      </c>
      <c r="N120" s="20">
        <f t="shared" si="22"/>
        <v>1000</v>
      </c>
      <c r="O120" s="344" t="str">
        <f t="shared" si="23"/>
        <v>No</v>
      </c>
      <c r="P120" s="20">
        <f t="shared" si="24"/>
        <v>1845.5</v>
      </c>
      <c r="Q120" s="346">
        <f t="shared" si="18"/>
        <v>0</v>
      </c>
      <c r="R120" s="20">
        <f>IF(AND(D$2+$E$2&gt;0,N120-SNAP!P120&gt;0),N120-SNAP!P120,0)</f>
        <v>0</v>
      </c>
      <c r="S120" s="20">
        <f t="shared" si="25"/>
        <v>3691</v>
      </c>
      <c r="T120" s="20">
        <f t="shared" si="19"/>
        <v>1107.3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100</v>
      </c>
      <c r="G121" s="20">
        <f t="shared" si="20"/>
        <v>4891.666666666667</v>
      </c>
      <c r="H121" s="20" t="str">
        <f t="shared" si="14"/>
        <v>No</v>
      </c>
      <c r="I121" s="20">
        <f t="shared" si="15"/>
        <v>958.33333333333348</v>
      </c>
      <c r="J121" s="20">
        <f t="shared" si="16"/>
        <v>209</v>
      </c>
      <c r="K121" s="20">
        <f t="shared" si="17"/>
        <v>3724.3333333333335</v>
      </c>
      <c r="L121" s="20">
        <f t="shared" si="21"/>
        <v>500</v>
      </c>
      <c r="M121" s="20">
        <f>'Total income package'!$B$69</f>
        <v>500</v>
      </c>
      <c r="N121" s="20">
        <f t="shared" si="22"/>
        <v>1000</v>
      </c>
      <c r="O121" s="344" t="str">
        <f t="shared" si="23"/>
        <v>No</v>
      </c>
      <c r="P121" s="20">
        <f t="shared" si="24"/>
        <v>1862.1666666666667</v>
      </c>
      <c r="Q121" s="346">
        <f t="shared" si="18"/>
        <v>0</v>
      </c>
      <c r="R121" s="20">
        <f>IF(AND(D$2+$E$2&gt;0,N121-SNAP!P121&gt;0),N121-SNAP!P121,0)</f>
        <v>0</v>
      </c>
      <c r="S121" s="20">
        <f t="shared" si="25"/>
        <v>3724.3333333333335</v>
      </c>
      <c r="T121" s="20">
        <f t="shared" si="19"/>
        <v>1117.3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100</v>
      </c>
      <c r="G122" s="20">
        <f t="shared" si="20"/>
        <v>4933.333333333333</v>
      </c>
      <c r="H122" s="20" t="str">
        <f t="shared" si="14"/>
        <v>No</v>
      </c>
      <c r="I122" s="20">
        <f t="shared" si="15"/>
        <v>966.66666666666663</v>
      </c>
      <c r="J122" s="20">
        <f t="shared" si="16"/>
        <v>209</v>
      </c>
      <c r="K122" s="20">
        <f t="shared" si="17"/>
        <v>3757.6666666666665</v>
      </c>
      <c r="L122" s="20">
        <f t="shared" si="21"/>
        <v>500</v>
      </c>
      <c r="M122" s="20">
        <f>'Total income package'!$B$69</f>
        <v>500</v>
      </c>
      <c r="N122" s="20">
        <f t="shared" si="22"/>
        <v>1000</v>
      </c>
      <c r="O122" s="344" t="str">
        <f t="shared" si="23"/>
        <v>No</v>
      </c>
      <c r="P122" s="20">
        <f t="shared" si="24"/>
        <v>1878.8333333333333</v>
      </c>
      <c r="Q122" s="346">
        <f t="shared" si="18"/>
        <v>0</v>
      </c>
      <c r="R122" s="20">
        <f>IF(AND(D$2+$E$2&gt;0,N122-SNAP!P122&gt;0),N122-SNAP!P122,0)</f>
        <v>0</v>
      </c>
      <c r="S122" s="20">
        <f t="shared" si="25"/>
        <v>3757.6666666666665</v>
      </c>
      <c r="T122" s="20">
        <f t="shared" si="19"/>
        <v>1127.3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100</v>
      </c>
      <c r="G123" s="20">
        <f t="shared" si="20"/>
        <v>4975</v>
      </c>
      <c r="H123" s="20" t="str">
        <f t="shared" si="14"/>
        <v>No</v>
      </c>
      <c r="I123" s="20">
        <f t="shared" si="15"/>
        <v>975</v>
      </c>
      <c r="J123" s="20">
        <f t="shared" si="16"/>
        <v>209</v>
      </c>
      <c r="K123" s="20">
        <f t="shared" si="17"/>
        <v>3791</v>
      </c>
      <c r="L123" s="20">
        <f t="shared" si="21"/>
        <v>500</v>
      </c>
      <c r="M123" s="20">
        <f>'Total income package'!$B$69</f>
        <v>500</v>
      </c>
      <c r="N123" s="20">
        <f t="shared" si="22"/>
        <v>1000</v>
      </c>
      <c r="O123" s="344" t="str">
        <f t="shared" si="23"/>
        <v>No</v>
      </c>
      <c r="P123" s="20">
        <f t="shared" si="24"/>
        <v>1895.5</v>
      </c>
      <c r="Q123" s="346">
        <f t="shared" si="18"/>
        <v>0</v>
      </c>
      <c r="R123" s="20">
        <f>IF(AND(D$2+$E$2&gt;0,N123-SNAP!P123&gt;0),N123-SNAP!P123,0)</f>
        <v>0</v>
      </c>
      <c r="S123" s="20">
        <f t="shared" si="25"/>
        <v>3791</v>
      </c>
      <c r="T123" s="20">
        <f t="shared" si="19"/>
        <v>1137.3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100</v>
      </c>
      <c r="G124" s="20">
        <f t="shared" si="20"/>
        <v>5016.666666666667</v>
      </c>
      <c r="H124" s="20" t="str">
        <f t="shared" si="14"/>
        <v>No</v>
      </c>
      <c r="I124" s="20">
        <f t="shared" si="15"/>
        <v>983.33333333333348</v>
      </c>
      <c r="J124" s="20">
        <f t="shared" si="16"/>
        <v>209</v>
      </c>
      <c r="K124" s="20">
        <f t="shared" si="17"/>
        <v>3824.3333333333335</v>
      </c>
      <c r="L124" s="20">
        <f t="shared" si="21"/>
        <v>500</v>
      </c>
      <c r="M124" s="20">
        <f>'Total income package'!$B$69</f>
        <v>500</v>
      </c>
      <c r="N124" s="20">
        <f t="shared" si="22"/>
        <v>1000</v>
      </c>
      <c r="O124" s="344" t="str">
        <f t="shared" si="23"/>
        <v>No</v>
      </c>
      <c r="P124" s="20">
        <f t="shared" si="24"/>
        <v>1912.1666666666667</v>
      </c>
      <c r="Q124" s="346">
        <f t="shared" si="18"/>
        <v>0</v>
      </c>
      <c r="R124" s="20">
        <f>IF(AND(D$2+$E$2&gt;0,N124-SNAP!P124&gt;0),N124-SNAP!P124,0)</f>
        <v>0</v>
      </c>
      <c r="S124" s="20">
        <f t="shared" si="25"/>
        <v>3824.3333333333335</v>
      </c>
      <c r="T124" s="20">
        <f t="shared" si="19"/>
        <v>1147.3</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100</v>
      </c>
      <c r="G125" s="20">
        <f t="shared" si="20"/>
        <v>5058.333333333333</v>
      </c>
      <c r="H125" s="20" t="str">
        <f t="shared" si="14"/>
        <v>No</v>
      </c>
      <c r="I125" s="20">
        <f t="shared" si="15"/>
        <v>991.66666666666663</v>
      </c>
      <c r="J125" s="20">
        <f t="shared" si="16"/>
        <v>209</v>
      </c>
      <c r="K125" s="20">
        <f t="shared" si="17"/>
        <v>3857.6666666666665</v>
      </c>
      <c r="L125" s="20">
        <f t="shared" si="21"/>
        <v>500</v>
      </c>
      <c r="M125" s="20">
        <f>'Total income package'!$B$69</f>
        <v>500</v>
      </c>
      <c r="N125" s="20">
        <f t="shared" si="22"/>
        <v>1000</v>
      </c>
      <c r="O125" s="344" t="str">
        <f t="shared" si="23"/>
        <v>No</v>
      </c>
      <c r="P125" s="20">
        <f t="shared" si="24"/>
        <v>1928.8333333333333</v>
      </c>
      <c r="Q125" s="346">
        <f t="shared" si="18"/>
        <v>0</v>
      </c>
      <c r="R125" s="20">
        <f>IF(AND(D$2+$E$2&gt;0,N125-SNAP!P125&gt;0),N125-SNAP!P125,0)</f>
        <v>0</v>
      </c>
      <c r="S125" s="20">
        <f t="shared" si="25"/>
        <v>3857.6666666666665</v>
      </c>
      <c r="T125" s="20">
        <f t="shared" si="19"/>
        <v>1157.3</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100</v>
      </c>
      <c r="G126" s="20">
        <f t="shared" si="20"/>
        <v>5100</v>
      </c>
      <c r="H126" s="20" t="str">
        <f t="shared" si="14"/>
        <v>No</v>
      </c>
      <c r="I126" s="20">
        <f t="shared" si="15"/>
        <v>1000</v>
      </c>
      <c r="J126" s="20">
        <f t="shared" si="16"/>
        <v>209</v>
      </c>
      <c r="K126" s="20">
        <f t="shared" si="17"/>
        <v>3891</v>
      </c>
      <c r="L126" s="20">
        <f t="shared" si="21"/>
        <v>500</v>
      </c>
      <c r="M126" s="20">
        <f>'Total income package'!$B$69</f>
        <v>500</v>
      </c>
      <c r="N126" s="20">
        <f t="shared" si="22"/>
        <v>1000</v>
      </c>
      <c r="O126" s="344" t="str">
        <f t="shared" si="23"/>
        <v>No</v>
      </c>
      <c r="P126" s="20">
        <f t="shared" si="24"/>
        <v>1945.5</v>
      </c>
      <c r="Q126" s="346">
        <f t="shared" si="18"/>
        <v>0</v>
      </c>
      <c r="R126" s="20">
        <f>IF(AND(D$2+$E$2&gt;0,N126-SNAP!P126&gt;0),N126-SNAP!P126,0)</f>
        <v>0</v>
      </c>
      <c r="S126" s="20">
        <f t="shared" si="25"/>
        <v>3891</v>
      </c>
      <c r="T126" s="20">
        <f t="shared" si="19"/>
        <v>1167.3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100</v>
      </c>
      <c r="G127" s="20">
        <f t="shared" si="20"/>
        <v>5141.666666666667</v>
      </c>
      <c r="H127" s="20" t="str">
        <f t="shared" si="14"/>
        <v>No</v>
      </c>
      <c r="I127" s="20">
        <f t="shared" si="15"/>
        <v>1008.3333333333335</v>
      </c>
      <c r="J127" s="20">
        <f t="shared" si="16"/>
        <v>209</v>
      </c>
      <c r="K127" s="20">
        <f t="shared" si="17"/>
        <v>3924.3333333333339</v>
      </c>
      <c r="L127" s="20">
        <f t="shared" si="21"/>
        <v>500</v>
      </c>
      <c r="M127" s="20">
        <f>'Total income package'!$B$69</f>
        <v>500</v>
      </c>
      <c r="N127" s="20">
        <f t="shared" si="22"/>
        <v>1000</v>
      </c>
      <c r="O127" s="344" t="str">
        <f t="shared" si="23"/>
        <v>No</v>
      </c>
      <c r="P127" s="20">
        <f t="shared" si="24"/>
        <v>1962.166666666667</v>
      </c>
      <c r="Q127" s="346">
        <f t="shared" si="18"/>
        <v>0</v>
      </c>
      <c r="R127" s="20">
        <f>IF(AND(D$2+$E$2&gt;0,N127-SNAP!P127&gt;0),N127-SNAP!P127,0)</f>
        <v>0</v>
      </c>
      <c r="S127" s="20">
        <f t="shared" si="25"/>
        <v>3924.3333333333339</v>
      </c>
      <c r="T127" s="20">
        <f t="shared" si="19"/>
        <v>1177.3000000000002</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100</v>
      </c>
      <c r="G128" s="20">
        <f t="shared" si="20"/>
        <v>5183.333333333333</v>
      </c>
      <c r="H128" s="20" t="str">
        <f t="shared" si="14"/>
        <v>No</v>
      </c>
      <c r="I128" s="20">
        <f t="shared" si="15"/>
        <v>1016.6666666666666</v>
      </c>
      <c r="J128" s="20">
        <f t="shared" si="16"/>
        <v>209</v>
      </c>
      <c r="K128" s="20">
        <f t="shared" si="17"/>
        <v>3957.6666666666661</v>
      </c>
      <c r="L128" s="20">
        <f t="shared" si="21"/>
        <v>500</v>
      </c>
      <c r="M128" s="20">
        <f>'Total income package'!$B$69</f>
        <v>500</v>
      </c>
      <c r="N128" s="20">
        <f t="shared" si="22"/>
        <v>1000</v>
      </c>
      <c r="O128" s="344" t="str">
        <f t="shared" si="23"/>
        <v>No</v>
      </c>
      <c r="P128" s="20">
        <f t="shared" si="24"/>
        <v>1978.833333333333</v>
      </c>
      <c r="Q128" s="346">
        <f t="shared" si="18"/>
        <v>0</v>
      </c>
      <c r="R128" s="20">
        <f>IF(AND(D$2+$E$2&gt;0,N128-SNAP!P128&gt;0),N128-SNAP!P128,0)</f>
        <v>0</v>
      </c>
      <c r="S128" s="20">
        <f t="shared" si="25"/>
        <v>3957.6666666666661</v>
      </c>
      <c r="T128" s="20">
        <f t="shared" si="19"/>
        <v>1187.2999999999997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100</v>
      </c>
      <c r="G129" s="20">
        <f t="shared" si="20"/>
        <v>5225</v>
      </c>
      <c r="H129" s="20" t="str">
        <f t="shared" si="14"/>
        <v>No</v>
      </c>
      <c r="I129" s="20">
        <f t="shared" si="15"/>
        <v>1025</v>
      </c>
      <c r="J129" s="20">
        <f t="shared" si="16"/>
        <v>209</v>
      </c>
      <c r="K129" s="20">
        <f t="shared" si="17"/>
        <v>3991</v>
      </c>
      <c r="L129" s="20">
        <f t="shared" si="21"/>
        <v>500</v>
      </c>
      <c r="M129" s="20">
        <f>'Total income package'!$B$69</f>
        <v>500</v>
      </c>
      <c r="N129" s="20">
        <f t="shared" si="22"/>
        <v>1000</v>
      </c>
      <c r="O129" s="344" t="str">
        <f t="shared" si="23"/>
        <v>No</v>
      </c>
      <c r="P129" s="20">
        <f t="shared" si="24"/>
        <v>1995.5</v>
      </c>
      <c r="Q129" s="346">
        <f t="shared" si="18"/>
        <v>0</v>
      </c>
      <c r="R129" s="20">
        <f>IF(AND(D$2+$E$2&gt;0,N129-SNAP!P129&gt;0),N129-SNAP!P129,0)</f>
        <v>0</v>
      </c>
      <c r="S129" s="20">
        <f t="shared" si="25"/>
        <v>3991</v>
      </c>
      <c r="T129" s="20">
        <f t="shared" si="19"/>
        <v>1197.3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100</v>
      </c>
      <c r="G130" s="20">
        <f t="shared" si="20"/>
        <v>5266.666666666667</v>
      </c>
      <c r="H130" s="20" t="str">
        <f t="shared" si="14"/>
        <v>No</v>
      </c>
      <c r="I130" s="20">
        <f t="shared" si="15"/>
        <v>1033.3333333333335</v>
      </c>
      <c r="J130" s="20">
        <f t="shared" si="16"/>
        <v>209</v>
      </c>
      <c r="K130" s="20">
        <f t="shared" si="17"/>
        <v>4024.3333333333339</v>
      </c>
      <c r="L130" s="20">
        <f t="shared" si="21"/>
        <v>500</v>
      </c>
      <c r="M130" s="20">
        <f>'Total income package'!$B$69</f>
        <v>500</v>
      </c>
      <c r="N130" s="20">
        <f t="shared" si="22"/>
        <v>1000</v>
      </c>
      <c r="O130" s="344" t="str">
        <f t="shared" si="23"/>
        <v>No</v>
      </c>
      <c r="P130" s="20">
        <f t="shared" si="24"/>
        <v>2012.166666666667</v>
      </c>
      <c r="Q130" s="346">
        <f t="shared" si="18"/>
        <v>0</v>
      </c>
      <c r="R130" s="20">
        <f>IF(AND(D$2+$E$2&gt;0,N130-SNAP!P130&gt;0),N130-SNAP!P130,0)</f>
        <v>0</v>
      </c>
      <c r="S130" s="20">
        <f t="shared" si="25"/>
        <v>4024.3333333333339</v>
      </c>
      <c r="T130" s="20">
        <f t="shared" si="19"/>
        <v>1207.3000000000002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100</v>
      </c>
      <c r="G131" s="20">
        <f t="shared" si="20"/>
        <v>5308.333333333333</v>
      </c>
      <c r="H131" s="20" t="str">
        <f t="shared" si="14"/>
        <v>No</v>
      </c>
      <c r="I131" s="20">
        <f t="shared" si="15"/>
        <v>1041.6666666666667</v>
      </c>
      <c r="J131" s="20">
        <f t="shared" si="16"/>
        <v>209</v>
      </c>
      <c r="K131" s="20">
        <f t="shared" si="17"/>
        <v>4057.6666666666661</v>
      </c>
      <c r="L131" s="20">
        <f t="shared" si="21"/>
        <v>500</v>
      </c>
      <c r="M131" s="20">
        <f>'Total income package'!$B$69</f>
        <v>500</v>
      </c>
      <c r="N131" s="20">
        <f t="shared" si="22"/>
        <v>1000</v>
      </c>
      <c r="O131" s="344" t="str">
        <f t="shared" si="23"/>
        <v>No</v>
      </c>
      <c r="P131" s="20">
        <f t="shared" si="24"/>
        <v>2028.833333333333</v>
      </c>
      <c r="Q131" s="346">
        <f t="shared" si="18"/>
        <v>0</v>
      </c>
      <c r="R131" s="20">
        <f>IF(AND(D$2+$E$2&gt;0,N131-SNAP!P131&gt;0),N131-SNAP!P131,0)</f>
        <v>0</v>
      </c>
      <c r="S131" s="20">
        <f t="shared" si="25"/>
        <v>4057.6666666666661</v>
      </c>
      <c r="T131" s="20">
        <f t="shared" si="19"/>
        <v>1217.2999999999997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100</v>
      </c>
      <c r="G132" s="20">
        <f t="shared" si="20"/>
        <v>5350</v>
      </c>
      <c r="H132" s="20" t="str">
        <f t="shared" si="14"/>
        <v>No</v>
      </c>
      <c r="I132" s="20">
        <f t="shared" si="15"/>
        <v>1050</v>
      </c>
      <c r="J132" s="20">
        <f t="shared" si="16"/>
        <v>209</v>
      </c>
      <c r="K132" s="20">
        <f t="shared" si="17"/>
        <v>4091</v>
      </c>
      <c r="L132" s="20">
        <f t="shared" si="21"/>
        <v>500</v>
      </c>
      <c r="M132" s="20">
        <f>'Total income package'!$B$69</f>
        <v>500</v>
      </c>
      <c r="N132" s="20">
        <f t="shared" si="22"/>
        <v>1000</v>
      </c>
      <c r="O132" s="344" t="str">
        <f t="shared" si="23"/>
        <v>No</v>
      </c>
      <c r="P132" s="20">
        <f t="shared" si="24"/>
        <v>2045.5</v>
      </c>
      <c r="Q132" s="346">
        <f t="shared" si="18"/>
        <v>0</v>
      </c>
      <c r="R132" s="20">
        <f>IF(AND(D$2+$E$2&gt;0,N132-SNAP!P132&gt;0),N132-SNAP!P132,0)</f>
        <v>0</v>
      </c>
      <c r="S132" s="20">
        <f t="shared" si="25"/>
        <v>4091</v>
      </c>
      <c r="T132" s="20">
        <f t="shared" si="19"/>
        <v>1227.3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100</v>
      </c>
      <c r="G133" s="20">
        <f t="shared" si="20"/>
        <v>5391.666666666667</v>
      </c>
      <c r="H133" s="20" t="str">
        <f t="shared" si="14"/>
        <v>No</v>
      </c>
      <c r="I133" s="20">
        <f t="shared" si="15"/>
        <v>1058.3333333333335</v>
      </c>
      <c r="J133" s="20">
        <f t="shared" si="16"/>
        <v>209</v>
      </c>
      <c r="K133" s="20">
        <f t="shared" si="17"/>
        <v>4124.3333333333339</v>
      </c>
      <c r="L133" s="20">
        <f t="shared" si="21"/>
        <v>500</v>
      </c>
      <c r="M133" s="20">
        <f>'Total income package'!$B$69</f>
        <v>500</v>
      </c>
      <c r="N133" s="20">
        <f t="shared" si="22"/>
        <v>1000</v>
      </c>
      <c r="O133" s="344" t="str">
        <f t="shared" si="23"/>
        <v>No</v>
      </c>
      <c r="P133" s="20">
        <f t="shared" si="24"/>
        <v>2062.166666666667</v>
      </c>
      <c r="Q133" s="346">
        <f t="shared" si="18"/>
        <v>0</v>
      </c>
      <c r="R133" s="20">
        <f>IF(AND(D$2+$E$2&gt;0,N133-SNAP!P133&gt;0),N133-SNAP!P133,0)</f>
        <v>0</v>
      </c>
      <c r="S133" s="20">
        <f t="shared" si="25"/>
        <v>4124.3333333333339</v>
      </c>
      <c r="T133" s="20">
        <f t="shared" si="19"/>
        <v>1237.3000000000002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100</v>
      </c>
      <c r="G134" s="20">
        <f t="shared" si="20"/>
        <v>5433.333333333333</v>
      </c>
      <c r="H134" s="20" t="str">
        <f t="shared" ref="H134:H197" si="28">IF(G134&lt;$G$2,"Yes","No")</f>
        <v>No</v>
      </c>
      <c r="I134" s="20">
        <f t="shared" ref="I134:I197" si="29">D134*0.2</f>
        <v>1066.6666666666667</v>
      </c>
      <c r="J134" s="20">
        <f t="shared" ref="J134:J197" si="30">$H$2</f>
        <v>209</v>
      </c>
      <c r="K134" s="20">
        <f t="shared" ref="K134:K197" si="31">IF(G134-I134-J134&gt;0,G134-I134-J134,0)</f>
        <v>4157.6666666666661</v>
      </c>
      <c r="L134" s="20">
        <f t="shared" si="21"/>
        <v>500</v>
      </c>
      <c r="M134" s="20">
        <f>'Total income package'!$B$69</f>
        <v>500</v>
      </c>
      <c r="N134" s="20">
        <f t="shared" si="22"/>
        <v>1000</v>
      </c>
      <c r="O134" s="344" t="str">
        <f t="shared" si="23"/>
        <v>No</v>
      </c>
      <c r="P134" s="20">
        <f t="shared" si="24"/>
        <v>2078.833333333333</v>
      </c>
      <c r="Q134" s="346">
        <f t="shared" ref="Q134:Q197" si="32">IF(AND(D$2+$E$2=0,N134&lt;$L$2,N134-P134&gt;0),N134-P134,IF(AND(D$2+$E$2=0,N134&gt;$L$2),$L$2,0))</f>
        <v>0</v>
      </c>
      <c r="R134" s="20">
        <f>IF(AND(D$2+$E$2&gt;0,N134-SNAP!P134&gt;0),N134-SNAP!P134,0)</f>
        <v>0</v>
      </c>
      <c r="S134" s="20">
        <f t="shared" si="25"/>
        <v>4157.6666666666661</v>
      </c>
      <c r="T134" s="20">
        <f t="shared" ref="T134:T197" si="33">S134*0.3</f>
        <v>1247.2999999999997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100</v>
      </c>
      <c r="G135" s="20">
        <f t="shared" ref="G135:G198" si="34">D135+C135+E135+F135</f>
        <v>5475</v>
      </c>
      <c r="H135" s="20" t="str">
        <f t="shared" si="28"/>
        <v>No</v>
      </c>
      <c r="I135" s="20">
        <f t="shared" si="29"/>
        <v>1075</v>
      </c>
      <c r="J135" s="20">
        <f t="shared" si="30"/>
        <v>209</v>
      </c>
      <c r="K135" s="20">
        <f t="shared" si="31"/>
        <v>4191</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2095.5</v>
      </c>
      <c r="Q135" s="346">
        <f t="shared" si="32"/>
        <v>0</v>
      </c>
      <c r="R135" s="20">
        <f>IF(AND(D$2+$E$2&gt;0,N135-SNAP!P135&gt;0),N135-SNAP!P135,0)</f>
        <v>0</v>
      </c>
      <c r="S135" s="20">
        <f t="shared" ref="S135:S198" si="39">IF(AND($D$2+$E$2&gt;0,K135-R135&gt;0),K135-R135,IF(AND($D$2+$E$2=0,K135-Q135&gt;0),K135-Q135,0))</f>
        <v>4191</v>
      </c>
      <c r="T135" s="20">
        <f t="shared" si="33"/>
        <v>1257.3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100</v>
      </c>
      <c r="G136" s="20">
        <f t="shared" si="34"/>
        <v>5516.666666666667</v>
      </c>
      <c r="H136" s="20" t="str">
        <f t="shared" si="28"/>
        <v>No</v>
      </c>
      <c r="I136" s="20">
        <f t="shared" si="29"/>
        <v>1083.3333333333335</v>
      </c>
      <c r="J136" s="20">
        <f t="shared" si="30"/>
        <v>209</v>
      </c>
      <c r="K136" s="20">
        <f t="shared" si="31"/>
        <v>4224.3333333333339</v>
      </c>
      <c r="L136" s="20">
        <f t="shared" si="35"/>
        <v>500</v>
      </c>
      <c r="M136" s="20">
        <f>'Total income package'!$B$69</f>
        <v>500</v>
      </c>
      <c r="N136" s="20">
        <f t="shared" si="36"/>
        <v>1000</v>
      </c>
      <c r="O136" s="344" t="str">
        <f t="shared" si="37"/>
        <v>No</v>
      </c>
      <c r="P136" s="20">
        <f t="shared" si="38"/>
        <v>2112.166666666667</v>
      </c>
      <c r="Q136" s="346">
        <f t="shared" si="32"/>
        <v>0</v>
      </c>
      <c r="R136" s="20">
        <f>IF(AND(D$2+$E$2&gt;0,N136-SNAP!P136&gt;0),N136-SNAP!P136,0)</f>
        <v>0</v>
      </c>
      <c r="S136" s="20">
        <f t="shared" si="39"/>
        <v>4224.3333333333339</v>
      </c>
      <c r="T136" s="20">
        <f t="shared" si="33"/>
        <v>1267.3000000000002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100</v>
      </c>
      <c r="G137" s="20">
        <f t="shared" si="34"/>
        <v>5558.333333333333</v>
      </c>
      <c r="H137" s="20" t="str">
        <f t="shared" si="28"/>
        <v>No</v>
      </c>
      <c r="I137" s="20">
        <f t="shared" si="29"/>
        <v>1091.6666666666667</v>
      </c>
      <c r="J137" s="20">
        <f t="shared" si="30"/>
        <v>209</v>
      </c>
      <c r="K137" s="20">
        <f t="shared" si="31"/>
        <v>4257.6666666666661</v>
      </c>
      <c r="L137" s="20">
        <f t="shared" si="35"/>
        <v>500</v>
      </c>
      <c r="M137" s="20">
        <f>'Total income package'!$B$69</f>
        <v>500</v>
      </c>
      <c r="N137" s="20">
        <f t="shared" si="36"/>
        <v>1000</v>
      </c>
      <c r="O137" s="344" t="str">
        <f t="shared" si="37"/>
        <v>No</v>
      </c>
      <c r="P137" s="20">
        <f t="shared" si="38"/>
        <v>2128.833333333333</v>
      </c>
      <c r="Q137" s="346">
        <f t="shared" si="32"/>
        <v>0</v>
      </c>
      <c r="R137" s="20">
        <f>IF(AND(D$2+$E$2&gt;0,N137-SNAP!P137&gt;0),N137-SNAP!P137,0)</f>
        <v>0</v>
      </c>
      <c r="S137" s="20">
        <f t="shared" si="39"/>
        <v>4257.6666666666661</v>
      </c>
      <c r="T137" s="20">
        <f t="shared" si="33"/>
        <v>1277.2999999999997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100</v>
      </c>
      <c r="G138" s="20">
        <f t="shared" si="34"/>
        <v>5600</v>
      </c>
      <c r="H138" s="20" t="str">
        <f t="shared" si="28"/>
        <v>No</v>
      </c>
      <c r="I138" s="20">
        <f t="shared" si="29"/>
        <v>1100</v>
      </c>
      <c r="J138" s="20">
        <f t="shared" si="30"/>
        <v>209</v>
      </c>
      <c r="K138" s="20">
        <f t="shared" si="31"/>
        <v>4291</v>
      </c>
      <c r="L138" s="20">
        <f t="shared" si="35"/>
        <v>500</v>
      </c>
      <c r="M138" s="20">
        <f>'Total income package'!$B$69</f>
        <v>500</v>
      </c>
      <c r="N138" s="20">
        <f t="shared" si="36"/>
        <v>1000</v>
      </c>
      <c r="O138" s="344" t="str">
        <f t="shared" si="37"/>
        <v>No</v>
      </c>
      <c r="P138" s="20">
        <f t="shared" si="38"/>
        <v>2145.5</v>
      </c>
      <c r="Q138" s="346">
        <f t="shared" si="32"/>
        <v>0</v>
      </c>
      <c r="R138" s="20">
        <f>IF(AND(D$2+$E$2&gt;0,N138-SNAP!P138&gt;0),N138-SNAP!P138,0)</f>
        <v>0</v>
      </c>
      <c r="S138" s="20">
        <f t="shared" si="39"/>
        <v>4291</v>
      </c>
      <c r="T138" s="20">
        <f t="shared" si="33"/>
        <v>1287.3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100</v>
      </c>
      <c r="G139" s="20">
        <f t="shared" si="34"/>
        <v>5641.666666666667</v>
      </c>
      <c r="H139" s="20" t="str">
        <f t="shared" si="28"/>
        <v>No</v>
      </c>
      <c r="I139" s="20">
        <f t="shared" si="29"/>
        <v>1108.3333333333335</v>
      </c>
      <c r="J139" s="20">
        <f t="shared" si="30"/>
        <v>209</v>
      </c>
      <c r="K139" s="20">
        <f t="shared" si="31"/>
        <v>4324.3333333333339</v>
      </c>
      <c r="L139" s="20">
        <f t="shared" si="35"/>
        <v>500</v>
      </c>
      <c r="M139" s="20">
        <f>'Total income package'!$B$69</f>
        <v>500</v>
      </c>
      <c r="N139" s="20">
        <f t="shared" si="36"/>
        <v>1000</v>
      </c>
      <c r="O139" s="344" t="str">
        <f t="shared" si="37"/>
        <v>No</v>
      </c>
      <c r="P139" s="20">
        <f t="shared" si="38"/>
        <v>2162.166666666667</v>
      </c>
      <c r="Q139" s="346">
        <f t="shared" si="32"/>
        <v>0</v>
      </c>
      <c r="R139" s="20">
        <f>IF(AND(D$2+$E$2&gt;0,N139-SNAP!P139&gt;0),N139-SNAP!P139,0)</f>
        <v>0</v>
      </c>
      <c r="S139" s="20">
        <f t="shared" si="39"/>
        <v>4324.3333333333339</v>
      </c>
      <c r="T139" s="20">
        <f t="shared" si="33"/>
        <v>1297.3000000000002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100</v>
      </c>
      <c r="G140" s="20">
        <f t="shared" si="34"/>
        <v>5683.333333333333</v>
      </c>
      <c r="H140" s="20" t="str">
        <f t="shared" si="28"/>
        <v>No</v>
      </c>
      <c r="I140" s="20">
        <f t="shared" si="29"/>
        <v>1116.6666666666667</v>
      </c>
      <c r="J140" s="20">
        <f t="shared" si="30"/>
        <v>209</v>
      </c>
      <c r="K140" s="20">
        <f t="shared" si="31"/>
        <v>4357.6666666666661</v>
      </c>
      <c r="L140" s="20">
        <f t="shared" si="35"/>
        <v>500</v>
      </c>
      <c r="M140" s="20">
        <f>'Total income package'!$B$69</f>
        <v>500</v>
      </c>
      <c r="N140" s="20">
        <f t="shared" si="36"/>
        <v>1000</v>
      </c>
      <c r="O140" s="344" t="str">
        <f t="shared" si="37"/>
        <v>No</v>
      </c>
      <c r="P140" s="20">
        <f t="shared" si="38"/>
        <v>2178.833333333333</v>
      </c>
      <c r="Q140" s="346">
        <f t="shared" si="32"/>
        <v>0</v>
      </c>
      <c r="R140" s="20">
        <f>IF(AND(D$2+$E$2&gt;0,N140-SNAP!P140&gt;0),N140-SNAP!P140,0)</f>
        <v>0</v>
      </c>
      <c r="S140" s="20">
        <f t="shared" si="39"/>
        <v>4357.6666666666661</v>
      </c>
      <c r="T140" s="20">
        <f t="shared" si="33"/>
        <v>1307.2999999999997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100</v>
      </c>
      <c r="G141" s="20">
        <f t="shared" si="34"/>
        <v>5725</v>
      </c>
      <c r="H141" s="20" t="str">
        <f t="shared" si="28"/>
        <v>No</v>
      </c>
      <c r="I141" s="20">
        <f t="shared" si="29"/>
        <v>1125</v>
      </c>
      <c r="J141" s="20">
        <f t="shared" si="30"/>
        <v>209</v>
      </c>
      <c r="K141" s="20">
        <f t="shared" si="31"/>
        <v>4391</v>
      </c>
      <c r="L141" s="20">
        <f t="shared" si="35"/>
        <v>500</v>
      </c>
      <c r="M141" s="20">
        <f>'Total income package'!$B$69</f>
        <v>500</v>
      </c>
      <c r="N141" s="20">
        <f t="shared" si="36"/>
        <v>1000</v>
      </c>
      <c r="O141" s="344" t="str">
        <f t="shared" si="37"/>
        <v>No</v>
      </c>
      <c r="P141" s="20">
        <f t="shared" si="38"/>
        <v>2195.5</v>
      </c>
      <c r="Q141" s="346">
        <f t="shared" si="32"/>
        <v>0</v>
      </c>
      <c r="R141" s="20">
        <f>IF(AND(D$2+$E$2&gt;0,N141-SNAP!P141&gt;0),N141-SNAP!P141,0)</f>
        <v>0</v>
      </c>
      <c r="S141" s="20">
        <f t="shared" si="39"/>
        <v>4391</v>
      </c>
      <c r="T141" s="20">
        <f t="shared" si="33"/>
        <v>1317.3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100</v>
      </c>
      <c r="G142" s="20">
        <f t="shared" si="34"/>
        <v>5766.666666666667</v>
      </c>
      <c r="H142" s="20" t="str">
        <f t="shared" si="28"/>
        <v>No</v>
      </c>
      <c r="I142" s="20">
        <f t="shared" si="29"/>
        <v>1133.3333333333335</v>
      </c>
      <c r="J142" s="20">
        <f t="shared" si="30"/>
        <v>209</v>
      </c>
      <c r="K142" s="20">
        <f t="shared" si="31"/>
        <v>4424.3333333333339</v>
      </c>
      <c r="L142" s="20">
        <f t="shared" si="35"/>
        <v>500</v>
      </c>
      <c r="M142" s="20">
        <f>'Total income package'!$B$69</f>
        <v>500</v>
      </c>
      <c r="N142" s="20">
        <f t="shared" si="36"/>
        <v>1000</v>
      </c>
      <c r="O142" s="344" t="str">
        <f t="shared" si="37"/>
        <v>No</v>
      </c>
      <c r="P142" s="20">
        <f t="shared" si="38"/>
        <v>2212.166666666667</v>
      </c>
      <c r="Q142" s="346">
        <f t="shared" si="32"/>
        <v>0</v>
      </c>
      <c r="R142" s="20">
        <f>IF(AND(D$2+$E$2&gt;0,N142-SNAP!P142&gt;0),N142-SNAP!P142,0)</f>
        <v>0</v>
      </c>
      <c r="S142" s="20">
        <f t="shared" si="39"/>
        <v>4424.3333333333339</v>
      </c>
      <c r="T142" s="20">
        <f t="shared" si="33"/>
        <v>1327.3000000000002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100</v>
      </c>
      <c r="G143" s="20">
        <f t="shared" si="34"/>
        <v>5808.333333333333</v>
      </c>
      <c r="H143" s="20" t="str">
        <f t="shared" si="28"/>
        <v>No</v>
      </c>
      <c r="I143" s="20">
        <f t="shared" si="29"/>
        <v>1141.6666666666667</v>
      </c>
      <c r="J143" s="20">
        <f t="shared" si="30"/>
        <v>209</v>
      </c>
      <c r="K143" s="20">
        <f t="shared" si="31"/>
        <v>4457.6666666666661</v>
      </c>
      <c r="L143" s="20">
        <f t="shared" si="35"/>
        <v>500</v>
      </c>
      <c r="M143" s="20">
        <f>'Total income package'!$B$69</f>
        <v>500</v>
      </c>
      <c r="N143" s="20">
        <f t="shared" si="36"/>
        <v>1000</v>
      </c>
      <c r="O143" s="344" t="str">
        <f t="shared" si="37"/>
        <v>No</v>
      </c>
      <c r="P143" s="20">
        <f t="shared" si="38"/>
        <v>2228.833333333333</v>
      </c>
      <c r="Q143" s="346">
        <f t="shared" si="32"/>
        <v>0</v>
      </c>
      <c r="R143" s="20">
        <f>IF(AND(D$2+$E$2&gt;0,N143-SNAP!P143&gt;0),N143-SNAP!P143,0)</f>
        <v>0</v>
      </c>
      <c r="S143" s="20">
        <f t="shared" si="39"/>
        <v>4457.6666666666661</v>
      </c>
      <c r="T143" s="20">
        <f t="shared" si="33"/>
        <v>1337.2999999999997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100</v>
      </c>
      <c r="G144" s="20">
        <f t="shared" si="34"/>
        <v>5850</v>
      </c>
      <c r="H144" s="20" t="str">
        <f t="shared" si="28"/>
        <v>No</v>
      </c>
      <c r="I144" s="20">
        <f t="shared" si="29"/>
        <v>1150</v>
      </c>
      <c r="J144" s="20">
        <f t="shared" si="30"/>
        <v>209</v>
      </c>
      <c r="K144" s="20">
        <f t="shared" si="31"/>
        <v>4491</v>
      </c>
      <c r="L144" s="20">
        <f t="shared" si="35"/>
        <v>500</v>
      </c>
      <c r="M144" s="20">
        <f>'Total income package'!$B$69</f>
        <v>500</v>
      </c>
      <c r="N144" s="20">
        <f t="shared" si="36"/>
        <v>1000</v>
      </c>
      <c r="O144" s="344" t="str">
        <f t="shared" si="37"/>
        <v>No</v>
      </c>
      <c r="P144" s="20">
        <f t="shared" si="38"/>
        <v>2245.5</v>
      </c>
      <c r="Q144" s="346">
        <f t="shared" si="32"/>
        <v>0</v>
      </c>
      <c r="R144" s="20">
        <f>IF(AND(D$2+$E$2&gt;0,N144-SNAP!P144&gt;0),N144-SNAP!P144,0)</f>
        <v>0</v>
      </c>
      <c r="S144" s="20">
        <f t="shared" si="39"/>
        <v>4491</v>
      </c>
      <c r="T144" s="20">
        <f t="shared" si="33"/>
        <v>1347.3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100</v>
      </c>
      <c r="G145" s="20">
        <f t="shared" si="34"/>
        <v>5891.666666666667</v>
      </c>
      <c r="H145" s="20" t="str">
        <f t="shared" si="28"/>
        <v>No</v>
      </c>
      <c r="I145" s="20">
        <f t="shared" si="29"/>
        <v>1158.3333333333335</v>
      </c>
      <c r="J145" s="20">
        <f t="shared" si="30"/>
        <v>209</v>
      </c>
      <c r="K145" s="20">
        <f t="shared" si="31"/>
        <v>4524.3333333333339</v>
      </c>
      <c r="L145" s="20">
        <f t="shared" si="35"/>
        <v>500</v>
      </c>
      <c r="M145" s="20">
        <f>'Total income package'!$B$69</f>
        <v>500</v>
      </c>
      <c r="N145" s="20">
        <f t="shared" si="36"/>
        <v>1000</v>
      </c>
      <c r="O145" s="344" t="str">
        <f t="shared" si="37"/>
        <v>No</v>
      </c>
      <c r="P145" s="20">
        <f t="shared" si="38"/>
        <v>2262.166666666667</v>
      </c>
      <c r="Q145" s="346">
        <f t="shared" si="32"/>
        <v>0</v>
      </c>
      <c r="R145" s="20">
        <f>IF(AND(D$2+$E$2&gt;0,N145-SNAP!P145&gt;0),N145-SNAP!P145,0)</f>
        <v>0</v>
      </c>
      <c r="S145" s="20">
        <f t="shared" si="39"/>
        <v>4524.3333333333339</v>
      </c>
      <c r="T145" s="20">
        <f t="shared" si="33"/>
        <v>1357.3000000000002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100</v>
      </c>
      <c r="G146" s="20">
        <f t="shared" si="34"/>
        <v>5933.333333333333</v>
      </c>
      <c r="H146" s="20" t="str">
        <f t="shared" si="28"/>
        <v>No</v>
      </c>
      <c r="I146" s="20">
        <f t="shared" si="29"/>
        <v>1166.6666666666667</v>
      </c>
      <c r="J146" s="20">
        <f t="shared" si="30"/>
        <v>209</v>
      </c>
      <c r="K146" s="20">
        <f t="shared" si="31"/>
        <v>4557.6666666666661</v>
      </c>
      <c r="L146" s="20">
        <f t="shared" si="35"/>
        <v>500</v>
      </c>
      <c r="M146" s="20">
        <f>'Total income package'!$B$69</f>
        <v>500</v>
      </c>
      <c r="N146" s="20">
        <f t="shared" si="36"/>
        <v>1000</v>
      </c>
      <c r="O146" s="344" t="str">
        <f t="shared" si="37"/>
        <v>No</v>
      </c>
      <c r="P146" s="20">
        <f t="shared" si="38"/>
        <v>2278.833333333333</v>
      </c>
      <c r="Q146" s="346">
        <f t="shared" si="32"/>
        <v>0</v>
      </c>
      <c r="R146" s="20">
        <f>IF(AND(D$2+$E$2&gt;0,N146-SNAP!P146&gt;0),N146-SNAP!P146,0)</f>
        <v>0</v>
      </c>
      <c r="S146" s="20">
        <f t="shared" si="39"/>
        <v>4557.6666666666661</v>
      </c>
      <c r="T146" s="20">
        <f t="shared" si="33"/>
        <v>1367.2999999999997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100</v>
      </c>
      <c r="G147" s="20">
        <f t="shared" si="34"/>
        <v>5975</v>
      </c>
      <c r="H147" s="20" t="str">
        <f t="shared" si="28"/>
        <v>No</v>
      </c>
      <c r="I147" s="20">
        <f t="shared" si="29"/>
        <v>1175</v>
      </c>
      <c r="J147" s="20">
        <f t="shared" si="30"/>
        <v>209</v>
      </c>
      <c r="K147" s="20">
        <f t="shared" si="31"/>
        <v>4591</v>
      </c>
      <c r="L147" s="20">
        <f t="shared" si="35"/>
        <v>500</v>
      </c>
      <c r="M147" s="20">
        <f>'Total income package'!$B$69</f>
        <v>500</v>
      </c>
      <c r="N147" s="20">
        <f t="shared" si="36"/>
        <v>1000</v>
      </c>
      <c r="O147" s="344" t="str">
        <f t="shared" si="37"/>
        <v>No</v>
      </c>
      <c r="P147" s="20">
        <f t="shared" si="38"/>
        <v>2295.5</v>
      </c>
      <c r="Q147" s="346">
        <f t="shared" si="32"/>
        <v>0</v>
      </c>
      <c r="R147" s="20">
        <f>IF(AND(D$2+$E$2&gt;0,N147-SNAP!P147&gt;0),N147-SNAP!P147,0)</f>
        <v>0</v>
      </c>
      <c r="S147" s="20">
        <f t="shared" si="39"/>
        <v>4591</v>
      </c>
      <c r="T147" s="20">
        <f t="shared" si="33"/>
        <v>1377.3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100</v>
      </c>
      <c r="G148" s="20">
        <f t="shared" si="34"/>
        <v>6016.666666666667</v>
      </c>
      <c r="H148" s="20" t="str">
        <f t="shared" si="28"/>
        <v>No</v>
      </c>
      <c r="I148" s="20">
        <f t="shared" si="29"/>
        <v>1183.3333333333335</v>
      </c>
      <c r="J148" s="20">
        <f t="shared" si="30"/>
        <v>209</v>
      </c>
      <c r="K148" s="20">
        <f t="shared" si="31"/>
        <v>4624.3333333333339</v>
      </c>
      <c r="L148" s="20">
        <f t="shared" si="35"/>
        <v>500</v>
      </c>
      <c r="M148" s="20">
        <f>'Total income package'!$B$69</f>
        <v>500</v>
      </c>
      <c r="N148" s="20">
        <f t="shared" si="36"/>
        <v>1000</v>
      </c>
      <c r="O148" s="344" t="str">
        <f t="shared" si="37"/>
        <v>No</v>
      </c>
      <c r="P148" s="20">
        <f t="shared" si="38"/>
        <v>2312.166666666667</v>
      </c>
      <c r="Q148" s="346">
        <f t="shared" si="32"/>
        <v>0</v>
      </c>
      <c r="R148" s="20">
        <f>IF(AND(D$2+$E$2&gt;0,N148-SNAP!P148&gt;0),N148-SNAP!P148,0)</f>
        <v>0</v>
      </c>
      <c r="S148" s="20">
        <f t="shared" si="39"/>
        <v>4624.3333333333339</v>
      </c>
      <c r="T148" s="20">
        <f t="shared" si="33"/>
        <v>1387.3000000000002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100</v>
      </c>
      <c r="G149" s="20">
        <f t="shared" si="34"/>
        <v>6058.333333333333</v>
      </c>
      <c r="H149" s="20" t="str">
        <f t="shared" si="28"/>
        <v>No</v>
      </c>
      <c r="I149" s="20">
        <f t="shared" si="29"/>
        <v>1191.6666666666667</v>
      </c>
      <c r="J149" s="20">
        <f t="shared" si="30"/>
        <v>209</v>
      </c>
      <c r="K149" s="20">
        <f t="shared" si="31"/>
        <v>4657.6666666666661</v>
      </c>
      <c r="L149" s="20">
        <f t="shared" si="35"/>
        <v>500</v>
      </c>
      <c r="M149" s="20">
        <f>'Total income package'!$B$69</f>
        <v>500</v>
      </c>
      <c r="N149" s="20">
        <f t="shared" si="36"/>
        <v>1000</v>
      </c>
      <c r="O149" s="344" t="str">
        <f t="shared" si="37"/>
        <v>No</v>
      </c>
      <c r="P149" s="20">
        <f t="shared" si="38"/>
        <v>2328.833333333333</v>
      </c>
      <c r="Q149" s="346">
        <f t="shared" si="32"/>
        <v>0</v>
      </c>
      <c r="R149" s="20">
        <f>IF(AND(D$2+$E$2&gt;0,N149-SNAP!P149&gt;0),N149-SNAP!P149,0)</f>
        <v>0</v>
      </c>
      <c r="S149" s="20">
        <f t="shared" si="39"/>
        <v>4657.6666666666661</v>
      </c>
      <c r="T149" s="20">
        <f t="shared" si="33"/>
        <v>1397.2999999999997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100</v>
      </c>
      <c r="G150" s="20">
        <f t="shared" si="34"/>
        <v>6100</v>
      </c>
      <c r="H150" s="20" t="str">
        <f t="shared" si="28"/>
        <v>No</v>
      </c>
      <c r="I150" s="20">
        <f t="shared" si="29"/>
        <v>1200</v>
      </c>
      <c r="J150" s="20">
        <f t="shared" si="30"/>
        <v>209</v>
      </c>
      <c r="K150" s="20">
        <f t="shared" si="31"/>
        <v>4691</v>
      </c>
      <c r="L150" s="20">
        <f t="shared" si="35"/>
        <v>500</v>
      </c>
      <c r="M150" s="20">
        <f>'Total income package'!$B$69</f>
        <v>500</v>
      </c>
      <c r="N150" s="20">
        <f t="shared" si="36"/>
        <v>1000</v>
      </c>
      <c r="O150" s="344" t="str">
        <f t="shared" si="37"/>
        <v>No</v>
      </c>
      <c r="P150" s="20">
        <f t="shared" si="38"/>
        <v>2345.5</v>
      </c>
      <c r="Q150" s="346">
        <f t="shared" si="32"/>
        <v>0</v>
      </c>
      <c r="R150" s="20">
        <f>IF(AND(D$2+$E$2&gt;0,N150-SNAP!P150&gt;0),N150-SNAP!P150,0)</f>
        <v>0</v>
      </c>
      <c r="S150" s="20">
        <f t="shared" si="39"/>
        <v>4691</v>
      </c>
      <c r="T150" s="20">
        <f t="shared" si="33"/>
        <v>1407.3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100</v>
      </c>
      <c r="G151" s="20">
        <f t="shared" si="34"/>
        <v>6141.666666666667</v>
      </c>
      <c r="H151" s="20" t="str">
        <f t="shared" si="28"/>
        <v>No</v>
      </c>
      <c r="I151" s="20">
        <f t="shared" si="29"/>
        <v>1208.3333333333335</v>
      </c>
      <c r="J151" s="20">
        <f t="shared" si="30"/>
        <v>209</v>
      </c>
      <c r="K151" s="20">
        <f t="shared" si="31"/>
        <v>4724.3333333333339</v>
      </c>
      <c r="L151" s="20">
        <f t="shared" si="35"/>
        <v>500</v>
      </c>
      <c r="M151" s="20">
        <f>'Total income package'!$B$69</f>
        <v>500</v>
      </c>
      <c r="N151" s="20">
        <f t="shared" si="36"/>
        <v>1000</v>
      </c>
      <c r="O151" s="344" t="str">
        <f t="shared" si="37"/>
        <v>No</v>
      </c>
      <c r="P151" s="20">
        <f t="shared" si="38"/>
        <v>2362.166666666667</v>
      </c>
      <c r="Q151" s="346">
        <f t="shared" si="32"/>
        <v>0</v>
      </c>
      <c r="R151" s="20">
        <f>IF(AND(D$2+$E$2&gt;0,N151-SNAP!P151&gt;0),N151-SNAP!P151,0)</f>
        <v>0</v>
      </c>
      <c r="S151" s="20">
        <f t="shared" si="39"/>
        <v>4724.3333333333339</v>
      </c>
      <c r="T151" s="20">
        <f t="shared" si="33"/>
        <v>1417.3000000000002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100</v>
      </c>
      <c r="G152" s="20">
        <f t="shared" si="34"/>
        <v>6183.333333333333</v>
      </c>
      <c r="H152" s="20" t="str">
        <f t="shared" si="28"/>
        <v>No</v>
      </c>
      <c r="I152" s="20">
        <f t="shared" si="29"/>
        <v>1216.6666666666667</v>
      </c>
      <c r="J152" s="20">
        <f t="shared" si="30"/>
        <v>209</v>
      </c>
      <c r="K152" s="20">
        <f t="shared" si="31"/>
        <v>4757.6666666666661</v>
      </c>
      <c r="L152" s="20">
        <f t="shared" si="35"/>
        <v>500</v>
      </c>
      <c r="M152" s="20">
        <f>'Total income package'!$B$69</f>
        <v>500</v>
      </c>
      <c r="N152" s="20">
        <f t="shared" si="36"/>
        <v>1000</v>
      </c>
      <c r="O152" s="344" t="str">
        <f t="shared" si="37"/>
        <v>No</v>
      </c>
      <c r="P152" s="20">
        <f t="shared" si="38"/>
        <v>2378.833333333333</v>
      </c>
      <c r="Q152" s="346">
        <f t="shared" si="32"/>
        <v>0</v>
      </c>
      <c r="R152" s="20">
        <f>IF(AND(D$2+$E$2&gt;0,N152-SNAP!P152&gt;0),N152-SNAP!P152,0)</f>
        <v>0</v>
      </c>
      <c r="S152" s="20">
        <f t="shared" si="39"/>
        <v>4757.6666666666661</v>
      </c>
      <c r="T152" s="20">
        <f t="shared" si="33"/>
        <v>1427.2999999999997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100</v>
      </c>
      <c r="G153" s="20">
        <f t="shared" si="34"/>
        <v>6225</v>
      </c>
      <c r="H153" s="20" t="str">
        <f t="shared" si="28"/>
        <v>No</v>
      </c>
      <c r="I153" s="20">
        <f t="shared" si="29"/>
        <v>1225</v>
      </c>
      <c r="J153" s="20">
        <f t="shared" si="30"/>
        <v>209</v>
      </c>
      <c r="K153" s="20">
        <f t="shared" si="31"/>
        <v>4791</v>
      </c>
      <c r="L153" s="20">
        <f t="shared" si="35"/>
        <v>500</v>
      </c>
      <c r="M153" s="20">
        <f>'Total income package'!$B$69</f>
        <v>500</v>
      </c>
      <c r="N153" s="20">
        <f t="shared" si="36"/>
        <v>1000</v>
      </c>
      <c r="O153" s="344" t="str">
        <f t="shared" si="37"/>
        <v>No</v>
      </c>
      <c r="P153" s="20">
        <f t="shared" si="38"/>
        <v>2395.5</v>
      </c>
      <c r="Q153" s="346">
        <f t="shared" si="32"/>
        <v>0</v>
      </c>
      <c r="R153" s="20">
        <f>IF(AND(D$2+$E$2&gt;0,N153-SNAP!P153&gt;0),N153-SNAP!P153,0)</f>
        <v>0</v>
      </c>
      <c r="S153" s="20">
        <f t="shared" si="39"/>
        <v>4791</v>
      </c>
      <c r="T153" s="20">
        <f t="shared" si="33"/>
        <v>1437.3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100</v>
      </c>
      <c r="G154" s="20">
        <f t="shared" si="34"/>
        <v>6266.666666666667</v>
      </c>
      <c r="H154" s="20" t="str">
        <f t="shared" si="28"/>
        <v>No</v>
      </c>
      <c r="I154" s="20">
        <f t="shared" si="29"/>
        <v>1233.3333333333335</v>
      </c>
      <c r="J154" s="20">
        <f t="shared" si="30"/>
        <v>209</v>
      </c>
      <c r="K154" s="20">
        <f t="shared" si="31"/>
        <v>4824.3333333333339</v>
      </c>
      <c r="L154" s="20">
        <f t="shared" si="35"/>
        <v>500</v>
      </c>
      <c r="M154" s="20">
        <f>'Total income package'!$B$69</f>
        <v>500</v>
      </c>
      <c r="N154" s="20">
        <f t="shared" si="36"/>
        <v>1000</v>
      </c>
      <c r="O154" s="344" t="str">
        <f t="shared" si="37"/>
        <v>No</v>
      </c>
      <c r="P154" s="20">
        <f t="shared" si="38"/>
        <v>2412.166666666667</v>
      </c>
      <c r="Q154" s="346">
        <f t="shared" si="32"/>
        <v>0</v>
      </c>
      <c r="R154" s="20">
        <f>IF(AND(D$2+$E$2&gt;0,N154-SNAP!P154&gt;0),N154-SNAP!P154,0)</f>
        <v>0</v>
      </c>
      <c r="S154" s="20">
        <f t="shared" si="39"/>
        <v>4824.3333333333339</v>
      </c>
      <c r="T154" s="20">
        <f t="shared" si="33"/>
        <v>1447.3000000000002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100</v>
      </c>
      <c r="G155" s="20">
        <f t="shared" si="34"/>
        <v>6308.333333333333</v>
      </c>
      <c r="H155" s="20" t="str">
        <f t="shared" si="28"/>
        <v>No</v>
      </c>
      <c r="I155" s="20">
        <f t="shared" si="29"/>
        <v>1241.6666666666667</v>
      </c>
      <c r="J155" s="20">
        <f t="shared" si="30"/>
        <v>209</v>
      </c>
      <c r="K155" s="20">
        <f t="shared" si="31"/>
        <v>4857.6666666666661</v>
      </c>
      <c r="L155" s="20">
        <f t="shared" si="35"/>
        <v>500</v>
      </c>
      <c r="M155" s="20">
        <f>'Total income package'!$B$69</f>
        <v>500</v>
      </c>
      <c r="N155" s="20">
        <f t="shared" si="36"/>
        <v>1000</v>
      </c>
      <c r="O155" s="344" t="str">
        <f t="shared" si="37"/>
        <v>No</v>
      </c>
      <c r="P155" s="20">
        <f t="shared" si="38"/>
        <v>2428.833333333333</v>
      </c>
      <c r="Q155" s="346">
        <f t="shared" si="32"/>
        <v>0</v>
      </c>
      <c r="R155" s="20">
        <f>IF(AND(D$2+$E$2&gt;0,N155-SNAP!P155&gt;0),N155-SNAP!P155,0)</f>
        <v>0</v>
      </c>
      <c r="S155" s="20">
        <f t="shared" si="39"/>
        <v>4857.6666666666661</v>
      </c>
      <c r="T155" s="20">
        <f t="shared" si="33"/>
        <v>1457.2999999999997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100</v>
      </c>
      <c r="G156" s="20">
        <f t="shared" si="34"/>
        <v>6350</v>
      </c>
      <c r="H156" s="20" t="str">
        <f t="shared" si="28"/>
        <v>No</v>
      </c>
      <c r="I156" s="20">
        <f t="shared" si="29"/>
        <v>1250</v>
      </c>
      <c r="J156" s="20">
        <f t="shared" si="30"/>
        <v>209</v>
      </c>
      <c r="K156" s="20">
        <f t="shared" si="31"/>
        <v>4891</v>
      </c>
      <c r="L156" s="20">
        <f t="shared" si="35"/>
        <v>500</v>
      </c>
      <c r="M156" s="20">
        <f>'Total income package'!$B$69</f>
        <v>500</v>
      </c>
      <c r="N156" s="20">
        <f t="shared" si="36"/>
        <v>1000</v>
      </c>
      <c r="O156" s="344" t="str">
        <f t="shared" si="37"/>
        <v>No</v>
      </c>
      <c r="P156" s="20">
        <f t="shared" si="38"/>
        <v>2445.5</v>
      </c>
      <c r="Q156" s="346">
        <f t="shared" si="32"/>
        <v>0</v>
      </c>
      <c r="R156" s="20">
        <f>IF(AND(D$2+$E$2&gt;0,N156-SNAP!P156&gt;0),N156-SNAP!P156,0)</f>
        <v>0</v>
      </c>
      <c r="S156" s="20">
        <f t="shared" si="39"/>
        <v>4891</v>
      </c>
      <c r="T156" s="20">
        <f t="shared" si="33"/>
        <v>1467.3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100</v>
      </c>
      <c r="G157" s="20">
        <f t="shared" si="34"/>
        <v>6391.666666666667</v>
      </c>
      <c r="H157" s="20" t="str">
        <f t="shared" si="28"/>
        <v>No</v>
      </c>
      <c r="I157" s="20">
        <f t="shared" si="29"/>
        <v>1258.3333333333335</v>
      </c>
      <c r="J157" s="20">
        <f t="shared" si="30"/>
        <v>209</v>
      </c>
      <c r="K157" s="20">
        <f t="shared" si="31"/>
        <v>4924.3333333333339</v>
      </c>
      <c r="L157" s="20">
        <f t="shared" si="35"/>
        <v>500</v>
      </c>
      <c r="M157" s="20">
        <f>'Total income package'!$B$69</f>
        <v>500</v>
      </c>
      <c r="N157" s="20">
        <f t="shared" si="36"/>
        <v>1000</v>
      </c>
      <c r="O157" s="344" t="str">
        <f t="shared" si="37"/>
        <v>No</v>
      </c>
      <c r="P157" s="20">
        <f t="shared" si="38"/>
        <v>2462.166666666667</v>
      </c>
      <c r="Q157" s="346">
        <f t="shared" si="32"/>
        <v>0</v>
      </c>
      <c r="R157" s="20">
        <f>IF(AND(D$2+$E$2&gt;0,N157-SNAP!P157&gt;0),N157-SNAP!P157,0)</f>
        <v>0</v>
      </c>
      <c r="S157" s="20">
        <f t="shared" si="39"/>
        <v>4924.3333333333339</v>
      </c>
      <c r="T157" s="20">
        <f t="shared" si="33"/>
        <v>1477.3000000000002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100</v>
      </c>
      <c r="G158" s="20">
        <f t="shared" si="34"/>
        <v>6433.333333333333</v>
      </c>
      <c r="H158" s="20" t="str">
        <f t="shared" si="28"/>
        <v>No</v>
      </c>
      <c r="I158" s="20">
        <f t="shared" si="29"/>
        <v>1266.6666666666667</v>
      </c>
      <c r="J158" s="20">
        <f t="shared" si="30"/>
        <v>209</v>
      </c>
      <c r="K158" s="20">
        <f t="shared" si="31"/>
        <v>4957.6666666666661</v>
      </c>
      <c r="L158" s="20">
        <f t="shared" si="35"/>
        <v>500</v>
      </c>
      <c r="M158" s="20">
        <f>'Total income package'!$B$69</f>
        <v>500</v>
      </c>
      <c r="N158" s="20">
        <f t="shared" si="36"/>
        <v>1000</v>
      </c>
      <c r="O158" s="344" t="str">
        <f t="shared" si="37"/>
        <v>No</v>
      </c>
      <c r="P158" s="20">
        <f t="shared" si="38"/>
        <v>2478.833333333333</v>
      </c>
      <c r="Q158" s="346">
        <f t="shared" si="32"/>
        <v>0</v>
      </c>
      <c r="R158" s="20">
        <f>IF(AND(D$2+$E$2&gt;0,N158-SNAP!P158&gt;0),N158-SNAP!P158,0)</f>
        <v>0</v>
      </c>
      <c r="S158" s="20">
        <f t="shared" si="39"/>
        <v>4957.6666666666661</v>
      </c>
      <c r="T158" s="20">
        <f t="shared" si="33"/>
        <v>1487.2999999999997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100</v>
      </c>
      <c r="G159" s="20">
        <f t="shared" si="34"/>
        <v>6475</v>
      </c>
      <c r="H159" s="20" t="str">
        <f t="shared" si="28"/>
        <v>No</v>
      </c>
      <c r="I159" s="20">
        <f t="shared" si="29"/>
        <v>1275</v>
      </c>
      <c r="J159" s="20">
        <f t="shared" si="30"/>
        <v>209</v>
      </c>
      <c r="K159" s="20">
        <f t="shared" si="31"/>
        <v>4991</v>
      </c>
      <c r="L159" s="20">
        <f t="shared" si="35"/>
        <v>500</v>
      </c>
      <c r="M159" s="20">
        <f>'Total income package'!$B$69</f>
        <v>500</v>
      </c>
      <c r="N159" s="20">
        <f t="shared" si="36"/>
        <v>1000</v>
      </c>
      <c r="O159" s="344" t="str">
        <f t="shared" si="37"/>
        <v>No</v>
      </c>
      <c r="P159" s="20">
        <f t="shared" si="38"/>
        <v>2495.5</v>
      </c>
      <c r="Q159" s="346">
        <f t="shared" si="32"/>
        <v>0</v>
      </c>
      <c r="R159" s="20">
        <f>IF(AND(D$2+$E$2&gt;0,N159-SNAP!P159&gt;0),N159-SNAP!P159,0)</f>
        <v>0</v>
      </c>
      <c r="S159" s="20">
        <f t="shared" si="39"/>
        <v>4991</v>
      </c>
      <c r="T159" s="20">
        <f t="shared" si="33"/>
        <v>1497.3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100</v>
      </c>
      <c r="G160" s="20">
        <f t="shared" si="34"/>
        <v>6516.666666666667</v>
      </c>
      <c r="H160" s="20" t="str">
        <f t="shared" si="28"/>
        <v>No</v>
      </c>
      <c r="I160" s="20">
        <f t="shared" si="29"/>
        <v>1283.3333333333335</v>
      </c>
      <c r="J160" s="20">
        <f t="shared" si="30"/>
        <v>209</v>
      </c>
      <c r="K160" s="20">
        <f t="shared" si="31"/>
        <v>5024.3333333333339</v>
      </c>
      <c r="L160" s="20">
        <f t="shared" si="35"/>
        <v>500</v>
      </c>
      <c r="M160" s="20">
        <f>'Total income package'!$B$69</f>
        <v>500</v>
      </c>
      <c r="N160" s="20">
        <f t="shared" si="36"/>
        <v>1000</v>
      </c>
      <c r="O160" s="344" t="str">
        <f t="shared" si="37"/>
        <v>No</v>
      </c>
      <c r="P160" s="20">
        <f t="shared" si="38"/>
        <v>2512.166666666667</v>
      </c>
      <c r="Q160" s="346">
        <f t="shared" si="32"/>
        <v>0</v>
      </c>
      <c r="R160" s="20">
        <f>IF(AND(D$2+$E$2&gt;0,N160-SNAP!P160&gt;0),N160-SNAP!P160,0)</f>
        <v>0</v>
      </c>
      <c r="S160" s="20">
        <f t="shared" si="39"/>
        <v>5024.3333333333339</v>
      </c>
      <c r="T160" s="20">
        <f t="shared" si="33"/>
        <v>1507.3000000000002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100</v>
      </c>
      <c r="G161" s="20">
        <f t="shared" si="34"/>
        <v>6558.333333333333</v>
      </c>
      <c r="H161" s="20" t="str">
        <f t="shared" si="28"/>
        <v>No</v>
      </c>
      <c r="I161" s="20">
        <f t="shared" si="29"/>
        <v>1291.6666666666667</v>
      </c>
      <c r="J161" s="20">
        <f t="shared" si="30"/>
        <v>209</v>
      </c>
      <c r="K161" s="20">
        <f t="shared" si="31"/>
        <v>5057.6666666666661</v>
      </c>
      <c r="L161" s="20">
        <f t="shared" si="35"/>
        <v>500</v>
      </c>
      <c r="M161" s="20">
        <f>'Total income package'!$B$69</f>
        <v>500</v>
      </c>
      <c r="N161" s="20">
        <f t="shared" si="36"/>
        <v>1000</v>
      </c>
      <c r="O161" s="344" t="str">
        <f t="shared" si="37"/>
        <v>No</v>
      </c>
      <c r="P161" s="20">
        <f t="shared" si="38"/>
        <v>2528.833333333333</v>
      </c>
      <c r="Q161" s="346">
        <f t="shared" si="32"/>
        <v>0</v>
      </c>
      <c r="R161" s="20">
        <f>IF(AND(D$2+$E$2&gt;0,N161-SNAP!P161&gt;0),N161-SNAP!P161,0)</f>
        <v>0</v>
      </c>
      <c r="S161" s="20">
        <f t="shared" si="39"/>
        <v>5057.6666666666661</v>
      </c>
      <c r="T161" s="20">
        <f t="shared" si="33"/>
        <v>1517.2999999999997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100</v>
      </c>
      <c r="G162" s="20">
        <f t="shared" si="34"/>
        <v>6600</v>
      </c>
      <c r="H162" s="20" t="str">
        <f t="shared" si="28"/>
        <v>No</v>
      </c>
      <c r="I162" s="20">
        <f t="shared" si="29"/>
        <v>1300</v>
      </c>
      <c r="J162" s="20">
        <f t="shared" si="30"/>
        <v>209</v>
      </c>
      <c r="K162" s="20">
        <f t="shared" si="31"/>
        <v>5091</v>
      </c>
      <c r="L162" s="20">
        <f t="shared" si="35"/>
        <v>500</v>
      </c>
      <c r="M162" s="20">
        <f>'Total income package'!$B$69</f>
        <v>500</v>
      </c>
      <c r="N162" s="20">
        <f t="shared" si="36"/>
        <v>1000</v>
      </c>
      <c r="O162" s="344" t="str">
        <f t="shared" si="37"/>
        <v>No</v>
      </c>
      <c r="P162" s="20">
        <f t="shared" si="38"/>
        <v>2545.5</v>
      </c>
      <c r="Q162" s="346">
        <f t="shared" si="32"/>
        <v>0</v>
      </c>
      <c r="R162" s="20">
        <f>IF(AND(D$2+$E$2&gt;0,N162-SNAP!P162&gt;0),N162-SNAP!P162,0)</f>
        <v>0</v>
      </c>
      <c r="S162" s="20">
        <f t="shared" si="39"/>
        <v>5091</v>
      </c>
      <c r="T162" s="20">
        <f t="shared" si="33"/>
        <v>1527.3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100</v>
      </c>
      <c r="G163" s="20">
        <f t="shared" si="34"/>
        <v>6641.666666666667</v>
      </c>
      <c r="H163" s="20" t="str">
        <f t="shared" si="28"/>
        <v>No</v>
      </c>
      <c r="I163" s="20">
        <f t="shared" si="29"/>
        <v>1308.3333333333335</v>
      </c>
      <c r="J163" s="20">
        <f t="shared" si="30"/>
        <v>209</v>
      </c>
      <c r="K163" s="20">
        <f t="shared" si="31"/>
        <v>5124.3333333333339</v>
      </c>
      <c r="L163" s="20">
        <f t="shared" si="35"/>
        <v>500</v>
      </c>
      <c r="M163" s="20">
        <f>'Total income package'!$B$69</f>
        <v>500</v>
      </c>
      <c r="N163" s="20">
        <f t="shared" si="36"/>
        <v>1000</v>
      </c>
      <c r="O163" s="344" t="str">
        <f t="shared" si="37"/>
        <v>No</v>
      </c>
      <c r="P163" s="20">
        <f t="shared" si="38"/>
        <v>2562.166666666667</v>
      </c>
      <c r="Q163" s="346">
        <f t="shared" si="32"/>
        <v>0</v>
      </c>
      <c r="R163" s="20">
        <f>IF(AND(D$2+$E$2&gt;0,N163-SNAP!P163&gt;0),N163-SNAP!P163,0)</f>
        <v>0</v>
      </c>
      <c r="S163" s="20">
        <f t="shared" si="39"/>
        <v>5124.3333333333339</v>
      </c>
      <c r="T163" s="20">
        <f t="shared" si="33"/>
        <v>1537.3000000000002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100</v>
      </c>
      <c r="G164" s="20">
        <f t="shared" si="34"/>
        <v>6683.333333333333</v>
      </c>
      <c r="H164" s="20" t="str">
        <f t="shared" si="28"/>
        <v>No</v>
      </c>
      <c r="I164" s="20">
        <f t="shared" si="29"/>
        <v>1316.6666666666667</v>
      </c>
      <c r="J164" s="20">
        <f t="shared" si="30"/>
        <v>209</v>
      </c>
      <c r="K164" s="20">
        <f t="shared" si="31"/>
        <v>5157.6666666666661</v>
      </c>
      <c r="L164" s="20">
        <f t="shared" si="35"/>
        <v>500</v>
      </c>
      <c r="M164" s="20">
        <f>'Total income package'!$B$69</f>
        <v>500</v>
      </c>
      <c r="N164" s="20">
        <f t="shared" si="36"/>
        <v>1000</v>
      </c>
      <c r="O164" s="344" t="str">
        <f t="shared" si="37"/>
        <v>No</v>
      </c>
      <c r="P164" s="20">
        <f t="shared" si="38"/>
        <v>2578.833333333333</v>
      </c>
      <c r="Q164" s="346">
        <f t="shared" si="32"/>
        <v>0</v>
      </c>
      <c r="R164" s="20">
        <f>IF(AND(D$2+$E$2&gt;0,N164-SNAP!P164&gt;0),N164-SNAP!P164,0)</f>
        <v>0</v>
      </c>
      <c r="S164" s="20">
        <f t="shared" si="39"/>
        <v>5157.6666666666661</v>
      </c>
      <c r="T164" s="20">
        <f t="shared" si="33"/>
        <v>1547.2999999999997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100</v>
      </c>
      <c r="G165" s="20">
        <f t="shared" si="34"/>
        <v>6725</v>
      </c>
      <c r="H165" s="20" t="str">
        <f t="shared" si="28"/>
        <v>No</v>
      </c>
      <c r="I165" s="20">
        <f t="shared" si="29"/>
        <v>1325</v>
      </c>
      <c r="J165" s="20">
        <f t="shared" si="30"/>
        <v>209</v>
      </c>
      <c r="K165" s="20">
        <f t="shared" si="31"/>
        <v>5191</v>
      </c>
      <c r="L165" s="20">
        <f t="shared" si="35"/>
        <v>500</v>
      </c>
      <c r="M165" s="20">
        <f>'Total income package'!$B$69</f>
        <v>500</v>
      </c>
      <c r="N165" s="20">
        <f t="shared" si="36"/>
        <v>1000</v>
      </c>
      <c r="O165" s="344" t="str">
        <f t="shared" si="37"/>
        <v>No</v>
      </c>
      <c r="P165" s="20">
        <f t="shared" si="38"/>
        <v>2595.5</v>
      </c>
      <c r="Q165" s="346">
        <f t="shared" si="32"/>
        <v>0</v>
      </c>
      <c r="R165" s="20">
        <f>IF(AND(D$2+$E$2&gt;0,N165-SNAP!P165&gt;0),N165-SNAP!P165,0)</f>
        <v>0</v>
      </c>
      <c r="S165" s="20">
        <f t="shared" si="39"/>
        <v>5191</v>
      </c>
      <c r="T165" s="20">
        <f t="shared" si="33"/>
        <v>1557.3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100</v>
      </c>
      <c r="G166" s="20">
        <f t="shared" si="34"/>
        <v>6766.666666666667</v>
      </c>
      <c r="H166" s="20" t="str">
        <f t="shared" si="28"/>
        <v>No</v>
      </c>
      <c r="I166" s="20">
        <f t="shared" si="29"/>
        <v>1333.3333333333335</v>
      </c>
      <c r="J166" s="20">
        <f t="shared" si="30"/>
        <v>209</v>
      </c>
      <c r="K166" s="20">
        <f t="shared" si="31"/>
        <v>5224.3333333333339</v>
      </c>
      <c r="L166" s="20">
        <f t="shared" si="35"/>
        <v>500</v>
      </c>
      <c r="M166" s="20">
        <f>'Total income package'!$B$69</f>
        <v>500</v>
      </c>
      <c r="N166" s="20">
        <f t="shared" si="36"/>
        <v>1000</v>
      </c>
      <c r="O166" s="344" t="str">
        <f t="shared" si="37"/>
        <v>No</v>
      </c>
      <c r="P166" s="20">
        <f t="shared" si="38"/>
        <v>2612.166666666667</v>
      </c>
      <c r="Q166" s="346">
        <f t="shared" si="32"/>
        <v>0</v>
      </c>
      <c r="R166" s="20">
        <f>IF(AND(D$2+$E$2&gt;0,N166-SNAP!P166&gt;0),N166-SNAP!P166,0)</f>
        <v>0</v>
      </c>
      <c r="S166" s="20">
        <f t="shared" si="39"/>
        <v>5224.3333333333339</v>
      </c>
      <c r="T166" s="20">
        <f t="shared" si="33"/>
        <v>1567.3000000000002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100</v>
      </c>
      <c r="G167" s="20">
        <f t="shared" si="34"/>
        <v>6808.333333333333</v>
      </c>
      <c r="H167" s="20" t="str">
        <f t="shared" si="28"/>
        <v>No</v>
      </c>
      <c r="I167" s="20">
        <f t="shared" si="29"/>
        <v>1341.6666666666667</v>
      </c>
      <c r="J167" s="20">
        <f t="shared" si="30"/>
        <v>209</v>
      </c>
      <c r="K167" s="20">
        <f t="shared" si="31"/>
        <v>5257.6666666666661</v>
      </c>
      <c r="L167" s="20">
        <f t="shared" si="35"/>
        <v>500</v>
      </c>
      <c r="M167" s="20">
        <f>'Total income package'!$B$69</f>
        <v>500</v>
      </c>
      <c r="N167" s="20">
        <f t="shared" si="36"/>
        <v>1000</v>
      </c>
      <c r="O167" s="344" t="str">
        <f t="shared" si="37"/>
        <v>No</v>
      </c>
      <c r="P167" s="20">
        <f t="shared" si="38"/>
        <v>2628.833333333333</v>
      </c>
      <c r="Q167" s="346">
        <f t="shared" si="32"/>
        <v>0</v>
      </c>
      <c r="R167" s="20">
        <f>IF(AND(D$2+$E$2&gt;0,N167-SNAP!P167&gt;0),N167-SNAP!P167,0)</f>
        <v>0</v>
      </c>
      <c r="S167" s="20">
        <f t="shared" si="39"/>
        <v>5257.6666666666661</v>
      </c>
      <c r="T167" s="20">
        <f t="shared" si="33"/>
        <v>1577.2999999999997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100</v>
      </c>
      <c r="G168" s="20">
        <f t="shared" si="34"/>
        <v>6850</v>
      </c>
      <c r="H168" s="20" t="str">
        <f t="shared" si="28"/>
        <v>No</v>
      </c>
      <c r="I168" s="20">
        <f t="shared" si="29"/>
        <v>1350</v>
      </c>
      <c r="J168" s="20">
        <f t="shared" si="30"/>
        <v>209</v>
      </c>
      <c r="K168" s="20">
        <f t="shared" si="31"/>
        <v>5291</v>
      </c>
      <c r="L168" s="20">
        <f t="shared" si="35"/>
        <v>500</v>
      </c>
      <c r="M168" s="20">
        <f>'Total income package'!$B$69</f>
        <v>500</v>
      </c>
      <c r="N168" s="20">
        <f t="shared" si="36"/>
        <v>1000</v>
      </c>
      <c r="O168" s="344" t="str">
        <f t="shared" si="37"/>
        <v>No</v>
      </c>
      <c r="P168" s="20">
        <f t="shared" si="38"/>
        <v>2645.5</v>
      </c>
      <c r="Q168" s="346">
        <f t="shared" si="32"/>
        <v>0</v>
      </c>
      <c r="R168" s="20">
        <f>IF(AND(D$2+$E$2&gt;0,N168-SNAP!P168&gt;0),N168-SNAP!P168,0)</f>
        <v>0</v>
      </c>
      <c r="S168" s="20">
        <f t="shared" si="39"/>
        <v>5291</v>
      </c>
      <c r="T168" s="20">
        <f t="shared" si="33"/>
        <v>1587.3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100</v>
      </c>
      <c r="G169" s="20">
        <f t="shared" si="34"/>
        <v>6891.666666666667</v>
      </c>
      <c r="H169" s="20" t="str">
        <f t="shared" si="28"/>
        <v>No</v>
      </c>
      <c r="I169" s="20">
        <f t="shared" si="29"/>
        <v>1358.3333333333335</v>
      </c>
      <c r="J169" s="20">
        <f t="shared" si="30"/>
        <v>209</v>
      </c>
      <c r="K169" s="20">
        <f t="shared" si="31"/>
        <v>5324.3333333333339</v>
      </c>
      <c r="L169" s="20">
        <f t="shared" si="35"/>
        <v>500</v>
      </c>
      <c r="M169" s="20">
        <f>'Total income package'!$B$69</f>
        <v>500</v>
      </c>
      <c r="N169" s="20">
        <f t="shared" si="36"/>
        <v>1000</v>
      </c>
      <c r="O169" s="344" t="str">
        <f t="shared" si="37"/>
        <v>No</v>
      </c>
      <c r="P169" s="20">
        <f t="shared" si="38"/>
        <v>2662.166666666667</v>
      </c>
      <c r="Q169" s="346">
        <f t="shared" si="32"/>
        <v>0</v>
      </c>
      <c r="R169" s="20">
        <f>IF(AND(D$2+$E$2&gt;0,N169-SNAP!P169&gt;0),N169-SNAP!P169,0)</f>
        <v>0</v>
      </c>
      <c r="S169" s="20">
        <f t="shared" si="39"/>
        <v>5324.3333333333339</v>
      </c>
      <c r="T169" s="20">
        <f t="shared" si="33"/>
        <v>1597.3000000000002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100</v>
      </c>
      <c r="G170" s="20">
        <f t="shared" si="34"/>
        <v>6933.333333333333</v>
      </c>
      <c r="H170" s="20" t="str">
        <f t="shared" si="28"/>
        <v>No</v>
      </c>
      <c r="I170" s="20">
        <f t="shared" si="29"/>
        <v>1366.6666666666667</v>
      </c>
      <c r="J170" s="20">
        <f t="shared" si="30"/>
        <v>209</v>
      </c>
      <c r="K170" s="20">
        <f t="shared" si="31"/>
        <v>5357.6666666666661</v>
      </c>
      <c r="L170" s="20">
        <f t="shared" si="35"/>
        <v>500</v>
      </c>
      <c r="M170" s="20">
        <f>'Total income package'!$B$69</f>
        <v>500</v>
      </c>
      <c r="N170" s="20">
        <f t="shared" si="36"/>
        <v>1000</v>
      </c>
      <c r="O170" s="344" t="str">
        <f t="shared" si="37"/>
        <v>No</v>
      </c>
      <c r="P170" s="20">
        <f t="shared" si="38"/>
        <v>2678.833333333333</v>
      </c>
      <c r="Q170" s="346">
        <f t="shared" si="32"/>
        <v>0</v>
      </c>
      <c r="R170" s="20">
        <f>IF(AND(D$2+$E$2&gt;0,N170-SNAP!P170&gt;0),N170-SNAP!P170,0)</f>
        <v>0</v>
      </c>
      <c r="S170" s="20">
        <f t="shared" si="39"/>
        <v>5357.6666666666661</v>
      </c>
      <c r="T170" s="20">
        <f t="shared" si="33"/>
        <v>1607.2999999999997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100</v>
      </c>
      <c r="G171" s="20">
        <f t="shared" si="34"/>
        <v>6975</v>
      </c>
      <c r="H171" s="20" t="str">
        <f t="shared" si="28"/>
        <v>No</v>
      </c>
      <c r="I171" s="20">
        <f t="shared" si="29"/>
        <v>1375</v>
      </c>
      <c r="J171" s="20">
        <f t="shared" si="30"/>
        <v>209</v>
      </c>
      <c r="K171" s="20">
        <f t="shared" si="31"/>
        <v>5391</v>
      </c>
      <c r="L171" s="20">
        <f t="shared" si="35"/>
        <v>500</v>
      </c>
      <c r="M171" s="20">
        <f>'Total income package'!$B$69</f>
        <v>500</v>
      </c>
      <c r="N171" s="20">
        <f t="shared" si="36"/>
        <v>1000</v>
      </c>
      <c r="O171" s="344" t="str">
        <f t="shared" si="37"/>
        <v>No</v>
      </c>
      <c r="P171" s="20">
        <f t="shared" si="38"/>
        <v>2695.5</v>
      </c>
      <c r="Q171" s="346">
        <f t="shared" si="32"/>
        <v>0</v>
      </c>
      <c r="R171" s="20">
        <f>IF(AND(D$2+$E$2&gt;0,N171-SNAP!P171&gt;0),N171-SNAP!P171,0)</f>
        <v>0</v>
      </c>
      <c r="S171" s="20">
        <f t="shared" si="39"/>
        <v>5391</v>
      </c>
      <c r="T171" s="20">
        <f t="shared" si="33"/>
        <v>1617.3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100</v>
      </c>
      <c r="G172" s="20">
        <f t="shared" si="34"/>
        <v>7016.666666666667</v>
      </c>
      <c r="H172" s="20" t="str">
        <f t="shared" si="28"/>
        <v>No</v>
      </c>
      <c r="I172" s="20">
        <f t="shared" si="29"/>
        <v>1383.3333333333335</v>
      </c>
      <c r="J172" s="20">
        <f t="shared" si="30"/>
        <v>209</v>
      </c>
      <c r="K172" s="20">
        <f t="shared" si="31"/>
        <v>5424.3333333333339</v>
      </c>
      <c r="L172" s="20">
        <f t="shared" si="35"/>
        <v>500</v>
      </c>
      <c r="M172" s="20">
        <f>'Total income package'!$B$69</f>
        <v>500</v>
      </c>
      <c r="N172" s="20">
        <f t="shared" si="36"/>
        <v>1000</v>
      </c>
      <c r="O172" s="344" t="str">
        <f t="shared" si="37"/>
        <v>No</v>
      </c>
      <c r="P172" s="20">
        <f t="shared" si="38"/>
        <v>2712.166666666667</v>
      </c>
      <c r="Q172" s="346">
        <f t="shared" si="32"/>
        <v>0</v>
      </c>
      <c r="R172" s="20">
        <f>IF(AND(D$2+$E$2&gt;0,N172-SNAP!P172&gt;0),N172-SNAP!P172,0)</f>
        <v>0</v>
      </c>
      <c r="S172" s="20">
        <f t="shared" si="39"/>
        <v>5424.3333333333339</v>
      </c>
      <c r="T172" s="20">
        <f t="shared" si="33"/>
        <v>1627.3000000000002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100</v>
      </c>
      <c r="G173" s="20">
        <f t="shared" si="34"/>
        <v>7058.333333333333</v>
      </c>
      <c r="H173" s="20" t="str">
        <f t="shared" si="28"/>
        <v>No</v>
      </c>
      <c r="I173" s="20">
        <f t="shared" si="29"/>
        <v>1391.6666666666667</v>
      </c>
      <c r="J173" s="20">
        <f t="shared" si="30"/>
        <v>209</v>
      </c>
      <c r="K173" s="20">
        <f t="shared" si="31"/>
        <v>5457.6666666666661</v>
      </c>
      <c r="L173" s="20">
        <f t="shared" si="35"/>
        <v>500</v>
      </c>
      <c r="M173" s="20">
        <f>'Total income package'!$B$69</f>
        <v>500</v>
      </c>
      <c r="N173" s="20">
        <f t="shared" si="36"/>
        <v>1000</v>
      </c>
      <c r="O173" s="344" t="str">
        <f t="shared" si="37"/>
        <v>No</v>
      </c>
      <c r="P173" s="20">
        <f t="shared" si="38"/>
        <v>2728.833333333333</v>
      </c>
      <c r="Q173" s="346">
        <f t="shared" si="32"/>
        <v>0</v>
      </c>
      <c r="R173" s="20">
        <f>IF(AND(D$2+$E$2&gt;0,N173-SNAP!P173&gt;0),N173-SNAP!P173,0)</f>
        <v>0</v>
      </c>
      <c r="S173" s="20">
        <f t="shared" si="39"/>
        <v>5457.6666666666661</v>
      </c>
      <c r="T173" s="20">
        <f t="shared" si="33"/>
        <v>1637.2999999999997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100</v>
      </c>
      <c r="G174" s="20">
        <f t="shared" si="34"/>
        <v>7100</v>
      </c>
      <c r="H174" s="20" t="str">
        <f t="shared" si="28"/>
        <v>No</v>
      </c>
      <c r="I174" s="20">
        <f t="shared" si="29"/>
        <v>1400</v>
      </c>
      <c r="J174" s="20">
        <f t="shared" si="30"/>
        <v>209</v>
      </c>
      <c r="K174" s="20">
        <f t="shared" si="31"/>
        <v>5491</v>
      </c>
      <c r="L174" s="20">
        <f t="shared" si="35"/>
        <v>500</v>
      </c>
      <c r="M174" s="20">
        <f>'Total income package'!$B$69</f>
        <v>500</v>
      </c>
      <c r="N174" s="20">
        <f t="shared" si="36"/>
        <v>1000</v>
      </c>
      <c r="O174" s="344" t="str">
        <f t="shared" si="37"/>
        <v>No</v>
      </c>
      <c r="P174" s="20">
        <f t="shared" si="38"/>
        <v>2745.5</v>
      </c>
      <c r="Q174" s="346">
        <f t="shared" si="32"/>
        <v>0</v>
      </c>
      <c r="R174" s="20">
        <f>IF(AND(D$2+$E$2&gt;0,N174-SNAP!P174&gt;0),N174-SNAP!P174,0)</f>
        <v>0</v>
      </c>
      <c r="S174" s="20">
        <f t="shared" si="39"/>
        <v>5491</v>
      </c>
      <c r="T174" s="20">
        <f t="shared" si="33"/>
        <v>1647.3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100</v>
      </c>
      <c r="G175" s="20">
        <f t="shared" si="34"/>
        <v>7141.666666666667</v>
      </c>
      <c r="H175" s="20" t="str">
        <f t="shared" si="28"/>
        <v>No</v>
      </c>
      <c r="I175" s="20">
        <f t="shared" si="29"/>
        <v>1408.3333333333335</v>
      </c>
      <c r="J175" s="20">
        <f t="shared" si="30"/>
        <v>209</v>
      </c>
      <c r="K175" s="20">
        <f t="shared" si="31"/>
        <v>5524.3333333333339</v>
      </c>
      <c r="L175" s="20">
        <f t="shared" si="35"/>
        <v>500</v>
      </c>
      <c r="M175" s="20">
        <f>'Total income package'!$B$69</f>
        <v>500</v>
      </c>
      <c r="N175" s="20">
        <f t="shared" si="36"/>
        <v>1000</v>
      </c>
      <c r="O175" s="344" t="str">
        <f t="shared" si="37"/>
        <v>No</v>
      </c>
      <c r="P175" s="20">
        <f t="shared" si="38"/>
        <v>2762.166666666667</v>
      </c>
      <c r="Q175" s="346">
        <f t="shared" si="32"/>
        <v>0</v>
      </c>
      <c r="R175" s="20">
        <f>IF(AND(D$2+$E$2&gt;0,N175-SNAP!P175&gt;0),N175-SNAP!P175,0)</f>
        <v>0</v>
      </c>
      <c r="S175" s="20">
        <f t="shared" si="39"/>
        <v>5524.3333333333339</v>
      </c>
      <c r="T175" s="20">
        <f t="shared" si="33"/>
        <v>1657.3000000000002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100</v>
      </c>
      <c r="G176" s="20">
        <f t="shared" si="34"/>
        <v>7183.333333333333</v>
      </c>
      <c r="H176" s="20" t="str">
        <f t="shared" si="28"/>
        <v>No</v>
      </c>
      <c r="I176" s="20">
        <f t="shared" si="29"/>
        <v>1416.6666666666667</v>
      </c>
      <c r="J176" s="20">
        <f t="shared" si="30"/>
        <v>209</v>
      </c>
      <c r="K176" s="20">
        <f t="shared" si="31"/>
        <v>5557.6666666666661</v>
      </c>
      <c r="L176" s="20">
        <f t="shared" si="35"/>
        <v>500</v>
      </c>
      <c r="M176" s="20">
        <f>'Total income package'!$B$69</f>
        <v>500</v>
      </c>
      <c r="N176" s="20">
        <f t="shared" si="36"/>
        <v>1000</v>
      </c>
      <c r="O176" s="344" t="str">
        <f t="shared" si="37"/>
        <v>No</v>
      </c>
      <c r="P176" s="20">
        <f t="shared" si="38"/>
        <v>2778.833333333333</v>
      </c>
      <c r="Q176" s="346">
        <f t="shared" si="32"/>
        <v>0</v>
      </c>
      <c r="R176" s="20">
        <f>IF(AND(D$2+$E$2&gt;0,N176-SNAP!P176&gt;0),N176-SNAP!P176,0)</f>
        <v>0</v>
      </c>
      <c r="S176" s="20">
        <f t="shared" si="39"/>
        <v>5557.6666666666661</v>
      </c>
      <c r="T176" s="20">
        <f t="shared" si="33"/>
        <v>1667.2999999999997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100</v>
      </c>
      <c r="G177" s="20">
        <f t="shared" si="34"/>
        <v>7225</v>
      </c>
      <c r="H177" s="20" t="str">
        <f t="shared" si="28"/>
        <v>No</v>
      </c>
      <c r="I177" s="20">
        <f t="shared" si="29"/>
        <v>1425</v>
      </c>
      <c r="J177" s="20">
        <f t="shared" si="30"/>
        <v>209</v>
      </c>
      <c r="K177" s="20">
        <f t="shared" si="31"/>
        <v>5591</v>
      </c>
      <c r="L177" s="20">
        <f t="shared" si="35"/>
        <v>500</v>
      </c>
      <c r="M177" s="20">
        <f>'Total income package'!$B$69</f>
        <v>500</v>
      </c>
      <c r="N177" s="20">
        <f t="shared" si="36"/>
        <v>1000</v>
      </c>
      <c r="O177" s="344" t="str">
        <f t="shared" si="37"/>
        <v>No</v>
      </c>
      <c r="P177" s="20">
        <f t="shared" si="38"/>
        <v>2795.5</v>
      </c>
      <c r="Q177" s="346">
        <f t="shared" si="32"/>
        <v>0</v>
      </c>
      <c r="R177" s="20">
        <f>IF(AND(D$2+$E$2&gt;0,N177-SNAP!P177&gt;0),N177-SNAP!P177,0)</f>
        <v>0</v>
      </c>
      <c r="S177" s="20">
        <f>IF(AND($D$2+$E$2&gt;0,K177-R177&gt;0),K177-R177,IF(AND($D$2+$E$2=0,K177-Q177&gt;0),K177-Q177,0))</f>
        <v>5591</v>
      </c>
      <c r="T177" s="20">
        <f>S177*0.3</f>
        <v>1677.3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100</v>
      </c>
      <c r="G178" s="20">
        <f t="shared" si="34"/>
        <v>7266.666666666667</v>
      </c>
      <c r="H178" s="20" t="str">
        <f t="shared" si="28"/>
        <v>No</v>
      </c>
      <c r="I178" s="20">
        <f t="shared" si="29"/>
        <v>1433.3333333333335</v>
      </c>
      <c r="J178" s="20">
        <f t="shared" si="30"/>
        <v>209</v>
      </c>
      <c r="K178" s="20">
        <f t="shared" si="31"/>
        <v>5624.3333333333339</v>
      </c>
      <c r="L178" s="20">
        <f t="shared" si="35"/>
        <v>500</v>
      </c>
      <c r="M178" s="20">
        <f>'Total income package'!$B$69</f>
        <v>500</v>
      </c>
      <c r="N178" s="20">
        <f t="shared" si="36"/>
        <v>1000</v>
      </c>
      <c r="O178" s="344" t="str">
        <f t="shared" si="37"/>
        <v>No</v>
      </c>
      <c r="P178" s="20">
        <f t="shared" si="38"/>
        <v>2812.166666666667</v>
      </c>
      <c r="Q178" s="346">
        <f t="shared" si="32"/>
        <v>0</v>
      </c>
      <c r="R178" s="20">
        <f>IF(AND(D$2+$E$2&gt;0,N178-SNAP!P178&gt;0),N178-SNAP!P178,0)</f>
        <v>0</v>
      </c>
      <c r="S178" s="20">
        <f t="shared" si="39"/>
        <v>5624.3333333333339</v>
      </c>
      <c r="T178" s="20">
        <f t="shared" si="33"/>
        <v>1687.3000000000002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100</v>
      </c>
      <c r="G179" s="20">
        <f t="shared" si="34"/>
        <v>7308.333333333333</v>
      </c>
      <c r="H179" s="20" t="str">
        <f t="shared" si="28"/>
        <v>No</v>
      </c>
      <c r="I179" s="20">
        <f t="shared" si="29"/>
        <v>1441.6666666666667</v>
      </c>
      <c r="J179" s="20">
        <f t="shared" si="30"/>
        <v>209</v>
      </c>
      <c r="K179" s="20">
        <f t="shared" si="31"/>
        <v>5657.6666666666661</v>
      </c>
      <c r="L179" s="20">
        <f t="shared" si="35"/>
        <v>500</v>
      </c>
      <c r="M179" s="20">
        <f>'Total income package'!$B$69</f>
        <v>500</v>
      </c>
      <c r="N179" s="20">
        <f t="shared" si="36"/>
        <v>1000</v>
      </c>
      <c r="O179" s="344" t="str">
        <f t="shared" si="37"/>
        <v>No</v>
      </c>
      <c r="P179" s="20">
        <f t="shared" si="38"/>
        <v>2828.833333333333</v>
      </c>
      <c r="Q179" s="346">
        <f t="shared" si="32"/>
        <v>0</v>
      </c>
      <c r="R179" s="20">
        <f>IF(AND(D$2+$E$2&gt;0,N179-SNAP!P179&gt;0),N179-SNAP!P179,0)</f>
        <v>0</v>
      </c>
      <c r="S179" s="20">
        <f t="shared" si="39"/>
        <v>5657.6666666666661</v>
      </c>
      <c r="T179" s="20">
        <f t="shared" si="33"/>
        <v>1697.2999999999997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100</v>
      </c>
      <c r="G180" s="20">
        <f t="shared" si="34"/>
        <v>7350</v>
      </c>
      <c r="H180" s="20" t="str">
        <f t="shared" si="28"/>
        <v>No</v>
      </c>
      <c r="I180" s="20">
        <f t="shared" si="29"/>
        <v>1450</v>
      </c>
      <c r="J180" s="20">
        <f t="shared" si="30"/>
        <v>209</v>
      </c>
      <c r="K180" s="20">
        <f t="shared" si="31"/>
        <v>5691</v>
      </c>
      <c r="L180" s="20">
        <f t="shared" si="35"/>
        <v>500</v>
      </c>
      <c r="M180" s="20">
        <f>'Total income package'!$B$69</f>
        <v>500</v>
      </c>
      <c r="N180" s="20">
        <f t="shared" si="36"/>
        <v>1000</v>
      </c>
      <c r="O180" s="344" t="str">
        <f t="shared" si="37"/>
        <v>No</v>
      </c>
      <c r="P180" s="20">
        <f t="shared" si="38"/>
        <v>2845.5</v>
      </c>
      <c r="Q180" s="346">
        <f t="shared" si="32"/>
        <v>0</v>
      </c>
      <c r="R180" s="20">
        <f>IF(AND(D$2+$E$2&gt;0,N180-SNAP!P180&gt;0),N180-SNAP!P180,0)</f>
        <v>0</v>
      </c>
      <c r="S180" s="20">
        <f t="shared" si="39"/>
        <v>5691</v>
      </c>
      <c r="T180" s="20">
        <f t="shared" si="33"/>
        <v>1707.3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100</v>
      </c>
      <c r="G181" s="20">
        <f t="shared" si="34"/>
        <v>7391.666666666667</v>
      </c>
      <c r="H181" s="20" t="str">
        <f t="shared" si="28"/>
        <v>No</v>
      </c>
      <c r="I181" s="20">
        <f t="shared" si="29"/>
        <v>1458.3333333333335</v>
      </c>
      <c r="J181" s="20">
        <f t="shared" si="30"/>
        <v>209</v>
      </c>
      <c r="K181" s="20">
        <f t="shared" si="31"/>
        <v>5724.3333333333339</v>
      </c>
      <c r="L181" s="20">
        <f t="shared" si="35"/>
        <v>500</v>
      </c>
      <c r="M181" s="20">
        <f>'Total income package'!$B$69</f>
        <v>500</v>
      </c>
      <c r="N181" s="20">
        <f t="shared" si="36"/>
        <v>1000</v>
      </c>
      <c r="O181" s="344" t="str">
        <f t="shared" si="37"/>
        <v>No</v>
      </c>
      <c r="P181" s="20">
        <f t="shared" si="38"/>
        <v>2862.166666666667</v>
      </c>
      <c r="Q181" s="346">
        <f t="shared" si="32"/>
        <v>0</v>
      </c>
      <c r="R181" s="20">
        <f>IF(AND(D$2+$E$2&gt;0,N181-SNAP!P181&gt;0),N181-SNAP!P181,0)</f>
        <v>0</v>
      </c>
      <c r="S181" s="20">
        <f t="shared" si="39"/>
        <v>5724.3333333333339</v>
      </c>
      <c r="T181" s="20">
        <f t="shared" si="33"/>
        <v>1717.3000000000002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100</v>
      </c>
      <c r="G182" s="20">
        <f t="shared" si="34"/>
        <v>7433.333333333333</v>
      </c>
      <c r="H182" s="20" t="str">
        <f t="shared" si="28"/>
        <v>No</v>
      </c>
      <c r="I182" s="20">
        <f t="shared" si="29"/>
        <v>1466.6666666666667</v>
      </c>
      <c r="J182" s="20">
        <f t="shared" si="30"/>
        <v>209</v>
      </c>
      <c r="K182" s="20">
        <f t="shared" si="31"/>
        <v>5757.6666666666661</v>
      </c>
      <c r="L182" s="20">
        <f t="shared" si="35"/>
        <v>500</v>
      </c>
      <c r="M182" s="20">
        <f>'Total income package'!$B$69</f>
        <v>500</v>
      </c>
      <c r="N182" s="20">
        <f t="shared" si="36"/>
        <v>1000</v>
      </c>
      <c r="O182" s="344" t="str">
        <f t="shared" si="37"/>
        <v>No</v>
      </c>
      <c r="P182" s="20">
        <f t="shared" si="38"/>
        <v>2878.833333333333</v>
      </c>
      <c r="Q182" s="346">
        <f t="shared" si="32"/>
        <v>0</v>
      </c>
      <c r="R182" s="20">
        <f>IF(AND(D$2+$E$2&gt;0,N182-SNAP!P182&gt;0),N182-SNAP!P182,0)</f>
        <v>0</v>
      </c>
      <c r="S182" s="20">
        <f t="shared" si="39"/>
        <v>5757.6666666666661</v>
      </c>
      <c r="T182" s="20">
        <f t="shared" si="33"/>
        <v>1727.2999999999997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100</v>
      </c>
      <c r="G183" s="20">
        <f t="shared" si="34"/>
        <v>7475</v>
      </c>
      <c r="H183" s="20" t="str">
        <f t="shared" si="28"/>
        <v>No</v>
      </c>
      <c r="I183" s="20">
        <f t="shared" si="29"/>
        <v>1475</v>
      </c>
      <c r="J183" s="20">
        <f t="shared" si="30"/>
        <v>209</v>
      </c>
      <c r="K183" s="20">
        <f t="shared" si="31"/>
        <v>5791</v>
      </c>
      <c r="L183" s="20">
        <f t="shared" si="35"/>
        <v>500</v>
      </c>
      <c r="M183" s="20">
        <f>'Total income package'!$B$69</f>
        <v>500</v>
      </c>
      <c r="N183" s="20">
        <f t="shared" si="36"/>
        <v>1000</v>
      </c>
      <c r="O183" s="344" t="str">
        <f t="shared" si="37"/>
        <v>No</v>
      </c>
      <c r="P183" s="20">
        <f t="shared" si="38"/>
        <v>2895.5</v>
      </c>
      <c r="Q183" s="346">
        <f t="shared" si="32"/>
        <v>0</v>
      </c>
      <c r="R183" s="20">
        <f>IF(AND(D$2+$E$2&gt;0,N183-SNAP!P183&gt;0),N183-SNAP!P183,0)</f>
        <v>0</v>
      </c>
      <c r="S183" s="20">
        <f t="shared" si="39"/>
        <v>5791</v>
      </c>
      <c r="T183" s="20">
        <f t="shared" si="33"/>
        <v>1737.3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100</v>
      </c>
      <c r="G184" s="20">
        <f t="shared" si="34"/>
        <v>7516.666666666667</v>
      </c>
      <c r="H184" s="20" t="str">
        <f t="shared" si="28"/>
        <v>No</v>
      </c>
      <c r="I184" s="20">
        <f t="shared" si="29"/>
        <v>1483.3333333333335</v>
      </c>
      <c r="J184" s="20">
        <f t="shared" si="30"/>
        <v>209</v>
      </c>
      <c r="K184" s="20">
        <f t="shared" si="31"/>
        <v>5824.3333333333339</v>
      </c>
      <c r="L184" s="20">
        <f t="shared" si="35"/>
        <v>500</v>
      </c>
      <c r="M184" s="20">
        <f>'Total income package'!$B$69</f>
        <v>500</v>
      </c>
      <c r="N184" s="20">
        <f t="shared" si="36"/>
        <v>1000</v>
      </c>
      <c r="O184" s="344" t="str">
        <f t="shared" si="37"/>
        <v>No</v>
      </c>
      <c r="P184" s="20">
        <f t="shared" si="38"/>
        <v>2912.166666666667</v>
      </c>
      <c r="Q184" s="346">
        <f t="shared" si="32"/>
        <v>0</v>
      </c>
      <c r="R184" s="20">
        <f>IF(AND(D$2+$E$2&gt;0,N184-SNAP!P184&gt;0),N184-SNAP!P184,0)</f>
        <v>0</v>
      </c>
      <c r="S184" s="20">
        <f t="shared" si="39"/>
        <v>5824.3333333333339</v>
      </c>
      <c r="T184" s="20">
        <f t="shared" si="33"/>
        <v>1747.3000000000002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100</v>
      </c>
      <c r="G185" s="20">
        <f t="shared" si="34"/>
        <v>7558.333333333333</v>
      </c>
      <c r="H185" s="20" t="str">
        <f t="shared" si="28"/>
        <v>No</v>
      </c>
      <c r="I185" s="20">
        <f t="shared" si="29"/>
        <v>1491.6666666666667</v>
      </c>
      <c r="J185" s="20">
        <f t="shared" si="30"/>
        <v>209</v>
      </c>
      <c r="K185" s="20">
        <f t="shared" si="31"/>
        <v>5857.6666666666661</v>
      </c>
      <c r="L185" s="20">
        <f t="shared" si="35"/>
        <v>500</v>
      </c>
      <c r="M185" s="20">
        <f>'Total income package'!$B$69</f>
        <v>500</v>
      </c>
      <c r="N185" s="20">
        <f t="shared" si="36"/>
        <v>1000</v>
      </c>
      <c r="O185" s="344" t="str">
        <f t="shared" si="37"/>
        <v>No</v>
      </c>
      <c r="P185" s="20">
        <f t="shared" si="38"/>
        <v>2928.833333333333</v>
      </c>
      <c r="Q185" s="346">
        <f t="shared" si="32"/>
        <v>0</v>
      </c>
      <c r="R185" s="20">
        <f>IF(AND(D$2+$E$2&gt;0,N185-SNAP!P185&gt;0),N185-SNAP!P185,0)</f>
        <v>0</v>
      </c>
      <c r="S185" s="20">
        <f t="shared" si="39"/>
        <v>5857.6666666666661</v>
      </c>
      <c r="T185" s="20">
        <f t="shared" si="33"/>
        <v>1757.2999999999997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100</v>
      </c>
      <c r="G186" s="20">
        <f t="shared" si="34"/>
        <v>7600</v>
      </c>
      <c r="H186" s="20" t="str">
        <f t="shared" si="28"/>
        <v>No</v>
      </c>
      <c r="I186" s="20">
        <f t="shared" si="29"/>
        <v>1500</v>
      </c>
      <c r="J186" s="20">
        <f t="shared" si="30"/>
        <v>209</v>
      </c>
      <c r="K186" s="20">
        <f t="shared" si="31"/>
        <v>5891</v>
      </c>
      <c r="L186" s="20">
        <f t="shared" si="35"/>
        <v>500</v>
      </c>
      <c r="M186" s="20">
        <f>'Total income package'!$B$69</f>
        <v>500</v>
      </c>
      <c r="N186" s="20">
        <f t="shared" si="36"/>
        <v>1000</v>
      </c>
      <c r="O186" s="344" t="str">
        <f t="shared" si="37"/>
        <v>No</v>
      </c>
      <c r="P186" s="20">
        <f t="shared" si="38"/>
        <v>2945.5</v>
      </c>
      <c r="Q186" s="346">
        <f t="shared" si="32"/>
        <v>0</v>
      </c>
      <c r="R186" s="20">
        <f>IF(AND(D$2+$E$2&gt;0,N186-SNAP!P186&gt;0),N186-SNAP!P186,0)</f>
        <v>0</v>
      </c>
      <c r="S186" s="20">
        <f t="shared" si="39"/>
        <v>5891</v>
      </c>
      <c r="T186" s="20">
        <f t="shared" si="33"/>
        <v>1767.3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100</v>
      </c>
      <c r="G187" s="20">
        <f t="shared" si="34"/>
        <v>7641.666666666667</v>
      </c>
      <c r="H187" s="20" t="str">
        <f t="shared" si="28"/>
        <v>No</v>
      </c>
      <c r="I187" s="20">
        <f t="shared" si="29"/>
        <v>1508.3333333333335</v>
      </c>
      <c r="J187" s="20">
        <f t="shared" si="30"/>
        <v>209</v>
      </c>
      <c r="K187" s="20">
        <f t="shared" si="31"/>
        <v>5924.3333333333339</v>
      </c>
      <c r="L187" s="20">
        <f t="shared" si="35"/>
        <v>500</v>
      </c>
      <c r="M187" s="20">
        <f>'Total income package'!$B$69</f>
        <v>500</v>
      </c>
      <c r="N187" s="20">
        <f t="shared" si="36"/>
        <v>1000</v>
      </c>
      <c r="O187" s="344" t="str">
        <f t="shared" si="37"/>
        <v>No</v>
      </c>
      <c r="P187" s="20">
        <f t="shared" si="38"/>
        <v>2962.166666666667</v>
      </c>
      <c r="Q187" s="346">
        <f t="shared" si="32"/>
        <v>0</v>
      </c>
      <c r="R187" s="20">
        <f>IF(AND(D$2+$E$2&gt;0,N187-SNAP!P187&gt;0),N187-SNAP!P187,0)</f>
        <v>0</v>
      </c>
      <c r="S187" s="20">
        <f t="shared" si="39"/>
        <v>5924.3333333333339</v>
      </c>
      <c r="T187" s="20">
        <f t="shared" si="33"/>
        <v>1777.3000000000002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100</v>
      </c>
      <c r="G188" s="20">
        <f t="shared" si="34"/>
        <v>7683.333333333333</v>
      </c>
      <c r="H188" s="20" t="str">
        <f t="shared" si="28"/>
        <v>No</v>
      </c>
      <c r="I188" s="20">
        <f t="shared" si="29"/>
        <v>1516.6666666666667</v>
      </c>
      <c r="J188" s="20">
        <f t="shared" si="30"/>
        <v>209</v>
      </c>
      <c r="K188" s="20">
        <f t="shared" si="31"/>
        <v>5957.6666666666661</v>
      </c>
      <c r="L188" s="20">
        <f t="shared" si="35"/>
        <v>500</v>
      </c>
      <c r="M188" s="20">
        <f>'Total income package'!$B$69</f>
        <v>500</v>
      </c>
      <c r="N188" s="20">
        <f t="shared" si="36"/>
        <v>1000</v>
      </c>
      <c r="O188" s="344" t="str">
        <f t="shared" si="37"/>
        <v>No</v>
      </c>
      <c r="P188" s="20">
        <f t="shared" si="38"/>
        <v>2978.833333333333</v>
      </c>
      <c r="Q188" s="346">
        <f t="shared" si="32"/>
        <v>0</v>
      </c>
      <c r="R188" s="20">
        <f>IF(AND(D$2+$E$2&gt;0,N188-SNAP!P188&gt;0),N188-SNAP!P188,0)</f>
        <v>0</v>
      </c>
      <c r="S188" s="20">
        <f t="shared" si="39"/>
        <v>5957.6666666666661</v>
      </c>
      <c r="T188" s="20">
        <f t="shared" si="33"/>
        <v>1787.2999999999997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100</v>
      </c>
      <c r="G189" s="20">
        <f t="shared" si="34"/>
        <v>7725</v>
      </c>
      <c r="H189" s="20" t="str">
        <f t="shared" si="28"/>
        <v>No</v>
      </c>
      <c r="I189" s="20">
        <f t="shared" si="29"/>
        <v>1525</v>
      </c>
      <c r="J189" s="20">
        <f t="shared" si="30"/>
        <v>209</v>
      </c>
      <c r="K189" s="20">
        <f t="shared" si="31"/>
        <v>5991</v>
      </c>
      <c r="L189" s="20">
        <f t="shared" si="35"/>
        <v>500</v>
      </c>
      <c r="M189" s="20">
        <f>'Total income package'!$B$69</f>
        <v>500</v>
      </c>
      <c r="N189" s="20">
        <f t="shared" si="36"/>
        <v>1000</v>
      </c>
      <c r="O189" s="344" t="str">
        <f t="shared" si="37"/>
        <v>No</v>
      </c>
      <c r="P189" s="20">
        <f t="shared" si="38"/>
        <v>2995.5</v>
      </c>
      <c r="Q189" s="346">
        <f t="shared" si="32"/>
        <v>0</v>
      </c>
      <c r="R189" s="20">
        <f>IF(AND(D$2+$E$2&gt;0,N189-SNAP!P189&gt;0),N189-SNAP!P189,0)</f>
        <v>0</v>
      </c>
      <c r="S189" s="20">
        <f t="shared" si="39"/>
        <v>5991</v>
      </c>
      <c r="T189" s="20">
        <f t="shared" si="33"/>
        <v>1797.3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100</v>
      </c>
      <c r="G190" s="20">
        <f t="shared" si="34"/>
        <v>7766.666666666667</v>
      </c>
      <c r="H190" s="20" t="str">
        <f t="shared" si="28"/>
        <v>No</v>
      </c>
      <c r="I190" s="20">
        <f t="shared" si="29"/>
        <v>1533.3333333333335</v>
      </c>
      <c r="J190" s="20">
        <f t="shared" si="30"/>
        <v>209</v>
      </c>
      <c r="K190" s="20">
        <f t="shared" si="31"/>
        <v>6024.3333333333339</v>
      </c>
      <c r="L190" s="20">
        <f t="shared" si="35"/>
        <v>500</v>
      </c>
      <c r="M190" s="20">
        <f>'Total income package'!$B$69</f>
        <v>500</v>
      </c>
      <c r="N190" s="20">
        <f t="shared" si="36"/>
        <v>1000</v>
      </c>
      <c r="O190" s="344" t="str">
        <f t="shared" si="37"/>
        <v>No</v>
      </c>
      <c r="P190" s="20">
        <f t="shared" si="38"/>
        <v>3012.166666666667</v>
      </c>
      <c r="Q190" s="346">
        <f t="shared" si="32"/>
        <v>0</v>
      </c>
      <c r="R190" s="20">
        <f>IF(AND(D$2+$E$2&gt;0,N190-SNAP!P190&gt;0),N190-SNAP!P190,0)</f>
        <v>0</v>
      </c>
      <c r="S190" s="20">
        <f t="shared" si="39"/>
        <v>6024.3333333333339</v>
      </c>
      <c r="T190" s="20">
        <f t="shared" si="33"/>
        <v>1807.3000000000002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100</v>
      </c>
      <c r="G191" s="20">
        <f t="shared" si="34"/>
        <v>7808.333333333333</v>
      </c>
      <c r="H191" s="20" t="str">
        <f t="shared" si="28"/>
        <v>No</v>
      </c>
      <c r="I191" s="20">
        <f t="shared" si="29"/>
        <v>1541.6666666666667</v>
      </c>
      <c r="J191" s="20">
        <f t="shared" si="30"/>
        <v>209</v>
      </c>
      <c r="K191" s="20">
        <f t="shared" si="31"/>
        <v>6057.6666666666661</v>
      </c>
      <c r="L191" s="20">
        <f t="shared" si="35"/>
        <v>500</v>
      </c>
      <c r="M191" s="20">
        <f>'Total income package'!$B$69</f>
        <v>500</v>
      </c>
      <c r="N191" s="20">
        <f t="shared" si="36"/>
        <v>1000</v>
      </c>
      <c r="O191" s="344" t="str">
        <f t="shared" si="37"/>
        <v>No</v>
      </c>
      <c r="P191" s="20">
        <f t="shared" si="38"/>
        <v>3028.833333333333</v>
      </c>
      <c r="Q191" s="346">
        <f t="shared" si="32"/>
        <v>0</v>
      </c>
      <c r="R191" s="20">
        <f>IF(AND(D$2+$E$2&gt;0,N191-SNAP!P191&gt;0),N191-SNAP!P191,0)</f>
        <v>0</v>
      </c>
      <c r="S191" s="20">
        <f t="shared" si="39"/>
        <v>6057.6666666666661</v>
      </c>
      <c r="T191" s="20">
        <f t="shared" si="33"/>
        <v>1817.2999999999997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100</v>
      </c>
      <c r="G192" s="20">
        <f t="shared" si="34"/>
        <v>7850</v>
      </c>
      <c r="H192" s="20" t="str">
        <f t="shared" si="28"/>
        <v>No</v>
      </c>
      <c r="I192" s="20">
        <f t="shared" si="29"/>
        <v>1550</v>
      </c>
      <c r="J192" s="20">
        <f t="shared" si="30"/>
        <v>209</v>
      </c>
      <c r="K192" s="20">
        <f t="shared" si="31"/>
        <v>6091</v>
      </c>
      <c r="L192" s="20">
        <f t="shared" si="35"/>
        <v>500</v>
      </c>
      <c r="M192" s="20">
        <f>'Total income package'!$B$69</f>
        <v>500</v>
      </c>
      <c r="N192" s="20">
        <f t="shared" si="36"/>
        <v>1000</v>
      </c>
      <c r="O192" s="344" t="str">
        <f t="shared" si="37"/>
        <v>No</v>
      </c>
      <c r="P192" s="20">
        <f t="shared" si="38"/>
        <v>3045.5</v>
      </c>
      <c r="Q192" s="346">
        <f t="shared" si="32"/>
        <v>0</v>
      </c>
      <c r="R192" s="20">
        <f>IF(AND(D$2+$E$2&gt;0,N192-SNAP!P192&gt;0),N192-SNAP!P192,0)</f>
        <v>0</v>
      </c>
      <c r="S192" s="20">
        <f t="shared" si="39"/>
        <v>6091</v>
      </c>
      <c r="T192" s="20">
        <f t="shared" si="33"/>
        <v>1827.3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100</v>
      </c>
      <c r="G193" s="20">
        <f t="shared" si="34"/>
        <v>7891.666666666667</v>
      </c>
      <c r="H193" s="20" t="str">
        <f t="shared" si="28"/>
        <v>No</v>
      </c>
      <c r="I193" s="20">
        <f t="shared" si="29"/>
        <v>1558.3333333333335</v>
      </c>
      <c r="J193" s="20">
        <f t="shared" si="30"/>
        <v>209</v>
      </c>
      <c r="K193" s="20">
        <f t="shared" si="31"/>
        <v>6124.3333333333339</v>
      </c>
      <c r="L193" s="20">
        <f t="shared" si="35"/>
        <v>500</v>
      </c>
      <c r="M193" s="20">
        <f>'Total income package'!$B$69</f>
        <v>500</v>
      </c>
      <c r="N193" s="20">
        <f t="shared" si="36"/>
        <v>1000</v>
      </c>
      <c r="O193" s="344" t="str">
        <f t="shared" si="37"/>
        <v>No</v>
      </c>
      <c r="P193" s="20">
        <f t="shared" si="38"/>
        <v>3062.166666666667</v>
      </c>
      <c r="Q193" s="346">
        <f t="shared" si="32"/>
        <v>0</v>
      </c>
      <c r="R193" s="20">
        <f>IF(AND(D$2+$E$2&gt;0,N193-SNAP!P193&gt;0),N193-SNAP!P193,0)</f>
        <v>0</v>
      </c>
      <c r="S193" s="20">
        <f t="shared" si="39"/>
        <v>6124.3333333333339</v>
      </c>
      <c r="T193" s="20">
        <f t="shared" si="33"/>
        <v>1837.3000000000002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100</v>
      </c>
      <c r="G194" s="20">
        <f t="shared" si="34"/>
        <v>7933.333333333333</v>
      </c>
      <c r="H194" s="20" t="str">
        <f t="shared" si="28"/>
        <v>No</v>
      </c>
      <c r="I194" s="20">
        <f t="shared" si="29"/>
        <v>1566.6666666666667</v>
      </c>
      <c r="J194" s="20">
        <f t="shared" si="30"/>
        <v>209</v>
      </c>
      <c r="K194" s="20">
        <f t="shared" si="31"/>
        <v>6157.6666666666661</v>
      </c>
      <c r="L194" s="20">
        <f t="shared" si="35"/>
        <v>500</v>
      </c>
      <c r="M194" s="20">
        <f>'Total income package'!$B$69</f>
        <v>500</v>
      </c>
      <c r="N194" s="20">
        <f t="shared" si="36"/>
        <v>1000</v>
      </c>
      <c r="O194" s="344" t="str">
        <f t="shared" si="37"/>
        <v>No</v>
      </c>
      <c r="P194" s="20">
        <f t="shared" si="38"/>
        <v>3078.833333333333</v>
      </c>
      <c r="Q194" s="346">
        <f t="shared" si="32"/>
        <v>0</v>
      </c>
      <c r="R194" s="20">
        <f>IF(AND(D$2+$E$2&gt;0,N194-SNAP!P194&gt;0),N194-SNAP!P194,0)</f>
        <v>0</v>
      </c>
      <c r="S194" s="20">
        <f t="shared" si="39"/>
        <v>6157.6666666666661</v>
      </c>
      <c r="T194" s="20">
        <f t="shared" si="33"/>
        <v>1847.2999999999997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100</v>
      </c>
      <c r="G195" s="20">
        <f t="shared" si="34"/>
        <v>7975</v>
      </c>
      <c r="H195" s="20" t="str">
        <f t="shared" si="28"/>
        <v>No</v>
      </c>
      <c r="I195" s="20">
        <f t="shared" si="29"/>
        <v>1575</v>
      </c>
      <c r="J195" s="20">
        <f t="shared" si="30"/>
        <v>209</v>
      </c>
      <c r="K195" s="20">
        <f t="shared" si="31"/>
        <v>6191</v>
      </c>
      <c r="L195" s="20">
        <f t="shared" si="35"/>
        <v>500</v>
      </c>
      <c r="M195" s="20">
        <f>'Total income package'!$B$69</f>
        <v>500</v>
      </c>
      <c r="N195" s="20">
        <f t="shared" si="36"/>
        <v>1000</v>
      </c>
      <c r="O195" s="344" t="str">
        <f t="shared" si="37"/>
        <v>No</v>
      </c>
      <c r="P195" s="20">
        <f t="shared" si="38"/>
        <v>3095.5</v>
      </c>
      <c r="Q195" s="346">
        <f t="shared" si="32"/>
        <v>0</v>
      </c>
      <c r="R195" s="20">
        <f>IF(AND(D$2+$E$2&gt;0,N195-SNAP!P195&gt;0),N195-SNAP!P195,0)</f>
        <v>0</v>
      </c>
      <c r="S195" s="20">
        <f t="shared" si="39"/>
        <v>6191</v>
      </c>
      <c r="T195" s="20">
        <f t="shared" si="33"/>
        <v>1857.3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100</v>
      </c>
      <c r="G196" s="20">
        <f t="shared" si="34"/>
        <v>8016.666666666667</v>
      </c>
      <c r="H196" s="20" t="str">
        <f t="shared" si="28"/>
        <v>No</v>
      </c>
      <c r="I196" s="20">
        <f t="shared" si="29"/>
        <v>1583.3333333333335</v>
      </c>
      <c r="J196" s="20">
        <f t="shared" si="30"/>
        <v>209</v>
      </c>
      <c r="K196" s="20">
        <f t="shared" si="31"/>
        <v>6224.3333333333339</v>
      </c>
      <c r="L196" s="20">
        <f t="shared" si="35"/>
        <v>500</v>
      </c>
      <c r="M196" s="20">
        <f>'Total income package'!$B$69</f>
        <v>500</v>
      </c>
      <c r="N196" s="20">
        <f t="shared" si="36"/>
        <v>1000</v>
      </c>
      <c r="O196" s="344" t="str">
        <f t="shared" si="37"/>
        <v>No</v>
      </c>
      <c r="P196" s="20">
        <f t="shared" si="38"/>
        <v>3112.166666666667</v>
      </c>
      <c r="Q196" s="346">
        <f t="shared" si="32"/>
        <v>0</v>
      </c>
      <c r="R196" s="20">
        <f>IF(AND(D$2+$E$2&gt;0,N196-SNAP!P196&gt;0),N196-SNAP!P196,0)</f>
        <v>0</v>
      </c>
      <c r="S196" s="20">
        <f t="shared" si="39"/>
        <v>6224.3333333333339</v>
      </c>
      <c r="T196" s="20">
        <f t="shared" si="33"/>
        <v>1867.3000000000002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100</v>
      </c>
      <c r="G197" s="20">
        <f t="shared" si="34"/>
        <v>8058.333333333333</v>
      </c>
      <c r="H197" s="20" t="str">
        <f t="shared" si="28"/>
        <v>No</v>
      </c>
      <c r="I197" s="20">
        <f t="shared" si="29"/>
        <v>1591.6666666666667</v>
      </c>
      <c r="J197" s="20">
        <f t="shared" si="30"/>
        <v>209</v>
      </c>
      <c r="K197" s="20">
        <f t="shared" si="31"/>
        <v>6257.6666666666661</v>
      </c>
      <c r="L197" s="20">
        <f t="shared" si="35"/>
        <v>500</v>
      </c>
      <c r="M197" s="20">
        <f>'Total income package'!$B$69</f>
        <v>500</v>
      </c>
      <c r="N197" s="20">
        <f t="shared" si="36"/>
        <v>1000</v>
      </c>
      <c r="O197" s="344" t="str">
        <f t="shared" si="37"/>
        <v>No</v>
      </c>
      <c r="P197" s="20">
        <f t="shared" si="38"/>
        <v>3128.833333333333</v>
      </c>
      <c r="Q197" s="346">
        <f t="shared" si="32"/>
        <v>0</v>
      </c>
      <c r="R197" s="20">
        <f>IF(AND(D$2+$E$2&gt;0,N197-SNAP!P197&gt;0),N197-SNAP!P197,0)</f>
        <v>0</v>
      </c>
      <c r="S197" s="20">
        <f t="shared" si="39"/>
        <v>6257.6666666666661</v>
      </c>
      <c r="T197" s="20">
        <f t="shared" si="33"/>
        <v>1877.2999999999997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100</v>
      </c>
      <c r="G198" s="20">
        <f t="shared" si="34"/>
        <v>8100</v>
      </c>
      <c r="H198" s="20" t="str">
        <f t="shared" ref="H198:H206" si="42">IF(G198&lt;$G$2,"Yes","No")</f>
        <v>No</v>
      </c>
      <c r="I198" s="20">
        <f t="shared" ref="I198:I206" si="43">D198*0.2</f>
        <v>1600</v>
      </c>
      <c r="J198" s="20">
        <f t="shared" ref="J198:J206" si="44">$H$2</f>
        <v>209</v>
      </c>
      <c r="K198" s="20">
        <f t="shared" ref="K198:K206" si="45">IF(G198-I198-J198&gt;0,G198-I198-J198,0)</f>
        <v>6291</v>
      </c>
      <c r="L198" s="20">
        <f t="shared" si="35"/>
        <v>500</v>
      </c>
      <c r="M198" s="20">
        <f>'Total income package'!$B$69</f>
        <v>500</v>
      </c>
      <c r="N198" s="20">
        <f t="shared" si="36"/>
        <v>1000</v>
      </c>
      <c r="O198" s="344" t="str">
        <f t="shared" si="37"/>
        <v>No</v>
      </c>
      <c r="P198" s="20">
        <f t="shared" si="38"/>
        <v>3145.5</v>
      </c>
      <c r="Q198" s="346">
        <f t="shared" ref="Q198:Q206" si="46">IF(AND(D$2+$E$2=0,N198&lt;$L$2,N198-P198&gt;0),N198-P198,IF(AND(D$2+$E$2=0,N198&gt;$L$2),$L$2,0))</f>
        <v>0</v>
      </c>
      <c r="R198" s="20">
        <f>IF(AND(D$2+$E$2&gt;0,N198-SNAP!P198&gt;0),N198-SNAP!P198,0)</f>
        <v>0</v>
      </c>
      <c r="S198" s="20">
        <f t="shared" si="39"/>
        <v>6291</v>
      </c>
      <c r="T198" s="20">
        <f t="shared" ref="T198:T206" si="47">S198*0.3</f>
        <v>1887.3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100</v>
      </c>
      <c r="G199" s="20">
        <f t="shared" ref="G199:G206" si="48">D199+C199+E199+F199</f>
        <v>8141.666666666667</v>
      </c>
      <c r="H199" s="20" t="str">
        <f t="shared" si="42"/>
        <v>No</v>
      </c>
      <c r="I199" s="20">
        <f t="shared" si="43"/>
        <v>1608.3333333333335</v>
      </c>
      <c r="J199" s="20">
        <f t="shared" si="44"/>
        <v>209</v>
      </c>
      <c r="K199" s="20">
        <f t="shared" si="45"/>
        <v>6324.3333333333339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3162.166666666667</v>
      </c>
      <c r="Q199" s="346">
        <f t="shared" si="46"/>
        <v>0</v>
      </c>
      <c r="R199" s="20">
        <f>IF(AND(D$2+$E$2&gt;0,N199-SNAP!P199&gt;0),N199-SNAP!P199,0)</f>
        <v>0</v>
      </c>
      <c r="S199" s="20">
        <f t="shared" ref="S199:S206" si="53">IF(AND($D$2+$E$2&gt;0,K199-R199&gt;0),K199-R199,IF(AND($D$2+$E$2=0,K199-Q199&gt;0),K199-Q199,0))</f>
        <v>6324.3333333333339</v>
      </c>
      <c r="T199" s="20">
        <f t="shared" si="47"/>
        <v>1897.3000000000002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100</v>
      </c>
      <c r="G200" s="20">
        <f t="shared" si="48"/>
        <v>8183.333333333333</v>
      </c>
      <c r="H200" s="20" t="str">
        <f t="shared" si="42"/>
        <v>No</v>
      </c>
      <c r="I200" s="20">
        <f t="shared" si="43"/>
        <v>1616.6666666666667</v>
      </c>
      <c r="J200" s="20">
        <f t="shared" si="44"/>
        <v>209</v>
      </c>
      <c r="K200" s="20">
        <f t="shared" si="45"/>
        <v>6357.6666666666661</v>
      </c>
      <c r="L200" s="20">
        <f t="shared" si="49"/>
        <v>500</v>
      </c>
      <c r="M200" s="20">
        <f>'Total income package'!$B$69</f>
        <v>500</v>
      </c>
      <c r="N200" s="20">
        <f t="shared" si="50"/>
        <v>1000</v>
      </c>
      <c r="O200" s="344" t="str">
        <f t="shared" si="51"/>
        <v>No</v>
      </c>
      <c r="P200" s="20">
        <f t="shared" si="52"/>
        <v>3178.833333333333</v>
      </c>
      <c r="Q200" s="346">
        <f t="shared" si="46"/>
        <v>0</v>
      </c>
      <c r="R200" s="20">
        <f>IF(AND(D$2+$E$2&gt;0,N200-SNAP!P200&gt;0),N200-SNAP!P200,0)</f>
        <v>0</v>
      </c>
      <c r="S200" s="20">
        <f t="shared" si="53"/>
        <v>6357.6666666666661</v>
      </c>
      <c r="T200" s="20">
        <f t="shared" si="47"/>
        <v>1907.2999999999997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100</v>
      </c>
      <c r="G201" s="20">
        <f t="shared" si="48"/>
        <v>8225</v>
      </c>
      <c r="H201" s="20" t="str">
        <f t="shared" si="42"/>
        <v>No</v>
      </c>
      <c r="I201" s="20">
        <f t="shared" si="43"/>
        <v>1625</v>
      </c>
      <c r="J201" s="20">
        <f t="shared" si="44"/>
        <v>209</v>
      </c>
      <c r="K201" s="20">
        <f t="shared" si="45"/>
        <v>6391</v>
      </c>
      <c r="L201" s="20">
        <f t="shared" si="49"/>
        <v>500</v>
      </c>
      <c r="M201" s="20">
        <f>'Total income package'!$B$69</f>
        <v>500</v>
      </c>
      <c r="N201" s="20">
        <f t="shared" si="50"/>
        <v>1000</v>
      </c>
      <c r="O201" s="344" t="str">
        <f t="shared" si="51"/>
        <v>No</v>
      </c>
      <c r="P201" s="20">
        <f t="shared" si="52"/>
        <v>3195.5</v>
      </c>
      <c r="Q201" s="346">
        <f t="shared" si="46"/>
        <v>0</v>
      </c>
      <c r="R201" s="20">
        <f>IF(AND(D$2+$E$2&gt;0,N201-SNAP!P201&gt;0),N201-SNAP!P201,0)</f>
        <v>0</v>
      </c>
      <c r="S201" s="20">
        <f t="shared" si="53"/>
        <v>6391</v>
      </c>
      <c r="T201" s="20">
        <f t="shared" si="47"/>
        <v>1917.3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100</v>
      </c>
      <c r="G202" s="20">
        <f t="shared" si="48"/>
        <v>8266.6666666666679</v>
      </c>
      <c r="H202" s="20" t="str">
        <f t="shared" si="42"/>
        <v>No</v>
      </c>
      <c r="I202" s="20">
        <f t="shared" si="43"/>
        <v>1633.3333333333335</v>
      </c>
      <c r="J202" s="20">
        <f t="shared" si="44"/>
        <v>209</v>
      </c>
      <c r="K202" s="20">
        <f t="shared" si="45"/>
        <v>6424.3333333333339</v>
      </c>
      <c r="L202" s="20">
        <f t="shared" si="49"/>
        <v>500</v>
      </c>
      <c r="M202" s="20">
        <f>'Total income package'!$B$69</f>
        <v>500</v>
      </c>
      <c r="N202" s="20">
        <f t="shared" si="50"/>
        <v>1000</v>
      </c>
      <c r="O202" s="344" t="str">
        <f t="shared" si="51"/>
        <v>No</v>
      </c>
      <c r="P202" s="20">
        <f t="shared" si="52"/>
        <v>3212.166666666667</v>
      </c>
      <c r="Q202" s="346">
        <f t="shared" si="46"/>
        <v>0</v>
      </c>
      <c r="R202" s="20">
        <f>IF(AND(D$2+$E$2&gt;0,N202-SNAP!P202&gt;0),N202-SNAP!P202,0)</f>
        <v>0</v>
      </c>
      <c r="S202" s="20">
        <f t="shared" si="53"/>
        <v>6424.3333333333339</v>
      </c>
      <c r="T202" s="20">
        <f t="shared" si="47"/>
        <v>1927.3000000000002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100</v>
      </c>
      <c r="G203" s="20">
        <f t="shared" si="48"/>
        <v>8308.3333333333339</v>
      </c>
      <c r="H203" s="20" t="str">
        <f t="shared" si="42"/>
        <v>No</v>
      </c>
      <c r="I203" s="20">
        <f t="shared" si="43"/>
        <v>1641.666666666667</v>
      </c>
      <c r="J203" s="20">
        <f t="shared" si="44"/>
        <v>209</v>
      </c>
      <c r="K203" s="20">
        <f t="shared" si="45"/>
        <v>6457.666666666667</v>
      </c>
      <c r="L203" s="20">
        <f t="shared" si="49"/>
        <v>500</v>
      </c>
      <c r="M203" s="20">
        <f>'Total income package'!$B$69</f>
        <v>500</v>
      </c>
      <c r="N203" s="20">
        <f t="shared" si="50"/>
        <v>1000</v>
      </c>
      <c r="O203" s="344" t="str">
        <f t="shared" si="51"/>
        <v>No</v>
      </c>
      <c r="P203" s="20">
        <f t="shared" si="52"/>
        <v>3228.8333333333335</v>
      </c>
      <c r="Q203" s="346">
        <f t="shared" si="46"/>
        <v>0</v>
      </c>
      <c r="R203" s="20">
        <f>IF(AND(D$2+$E$2&gt;0,N203-SNAP!P203&gt;0),N203-SNAP!P203,0)</f>
        <v>0</v>
      </c>
      <c r="S203" s="20">
        <f t="shared" si="53"/>
        <v>6457.666666666667</v>
      </c>
      <c r="T203" s="20">
        <f t="shared" si="47"/>
        <v>1937.3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100</v>
      </c>
      <c r="G204" s="20">
        <f t="shared" si="48"/>
        <v>8350</v>
      </c>
      <c r="H204" s="20" t="str">
        <f t="shared" si="42"/>
        <v>No</v>
      </c>
      <c r="I204" s="20">
        <f t="shared" si="43"/>
        <v>1650</v>
      </c>
      <c r="J204" s="20">
        <f t="shared" si="44"/>
        <v>209</v>
      </c>
      <c r="K204" s="20">
        <f t="shared" si="45"/>
        <v>6491</v>
      </c>
      <c r="L204" s="20">
        <f t="shared" si="49"/>
        <v>500</v>
      </c>
      <c r="M204" s="20">
        <f>'Total income package'!$B$69</f>
        <v>500</v>
      </c>
      <c r="N204" s="20">
        <f t="shared" si="50"/>
        <v>1000</v>
      </c>
      <c r="O204" s="344" t="str">
        <f t="shared" si="51"/>
        <v>No</v>
      </c>
      <c r="P204" s="20">
        <f t="shared" si="52"/>
        <v>3245.5</v>
      </c>
      <c r="Q204" s="346">
        <f t="shared" si="46"/>
        <v>0</v>
      </c>
      <c r="R204" s="20">
        <f>IF(AND(D$2+$E$2&gt;0,N204-SNAP!P204&gt;0),N204-SNAP!P204,0)</f>
        <v>0</v>
      </c>
      <c r="S204" s="20">
        <f t="shared" si="53"/>
        <v>6491</v>
      </c>
      <c r="T204" s="20">
        <f t="shared" si="47"/>
        <v>1947.3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100</v>
      </c>
      <c r="G205" s="20">
        <f t="shared" si="48"/>
        <v>8391.6666666666661</v>
      </c>
      <c r="H205" s="20" t="str">
        <f t="shared" si="42"/>
        <v>No</v>
      </c>
      <c r="I205" s="20">
        <f t="shared" si="43"/>
        <v>1658.3333333333333</v>
      </c>
      <c r="J205" s="20">
        <f t="shared" si="44"/>
        <v>209</v>
      </c>
      <c r="K205" s="20">
        <f t="shared" si="45"/>
        <v>6524.333333333333</v>
      </c>
      <c r="L205" s="20">
        <f t="shared" si="49"/>
        <v>500</v>
      </c>
      <c r="M205" s="20">
        <f>'Total income package'!$B$69</f>
        <v>500</v>
      </c>
      <c r="N205" s="20">
        <f t="shared" si="50"/>
        <v>1000</v>
      </c>
      <c r="O205" s="344" t="str">
        <f t="shared" si="51"/>
        <v>No</v>
      </c>
      <c r="P205" s="20">
        <f t="shared" si="52"/>
        <v>3262.1666666666665</v>
      </c>
      <c r="Q205" s="346">
        <f t="shared" si="46"/>
        <v>0</v>
      </c>
      <c r="R205" s="20">
        <f>IF(AND(D$2+$E$2&gt;0,N205-SNAP!P205&gt;0),N205-SNAP!P205,0)</f>
        <v>0</v>
      </c>
      <c r="S205" s="20">
        <f t="shared" si="53"/>
        <v>6524.333333333333</v>
      </c>
      <c r="T205" s="20">
        <f t="shared" si="47"/>
        <v>1957.2999999999997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100</v>
      </c>
      <c r="G206" s="20">
        <f t="shared" si="48"/>
        <v>8433.3333333333339</v>
      </c>
      <c r="H206" s="20" t="str">
        <f t="shared" si="42"/>
        <v>No</v>
      </c>
      <c r="I206" s="20">
        <f t="shared" si="43"/>
        <v>1666.666666666667</v>
      </c>
      <c r="J206" s="20">
        <f t="shared" si="44"/>
        <v>209</v>
      </c>
      <c r="K206" s="20">
        <f t="shared" si="45"/>
        <v>6557.666666666667</v>
      </c>
      <c r="L206" s="20">
        <f t="shared" si="49"/>
        <v>500</v>
      </c>
      <c r="M206" s="20">
        <f>'Total income package'!$B$69</f>
        <v>500</v>
      </c>
      <c r="N206" s="20">
        <f t="shared" si="50"/>
        <v>1000</v>
      </c>
      <c r="O206" s="344" t="str">
        <f t="shared" si="51"/>
        <v>No</v>
      </c>
      <c r="P206" s="20">
        <f t="shared" si="52"/>
        <v>3278.8333333333335</v>
      </c>
      <c r="Q206" s="346">
        <f t="shared" si="46"/>
        <v>0</v>
      </c>
      <c r="R206" s="20">
        <f>IF(AND(D$2+$E$2&gt;0,N206-SNAP!P206&gt;0),N206-SNAP!P206,0)</f>
        <v>0</v>
      </c>
      <c r="S206" s="20">
        <f t="shared" si="53"/>
        <v>6557.666666666667</v>
      </c>
      <c r="T206" s="20">
        <f t="shared" si="47"/>
        <v>1967.3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1289</v>
      </c>
      <c r="E209" s="20">
        <f>'Total income package'!$D$80+'Total income package'!$D$86</f>
        <v>0</v>
      </c>
      <c r="F209" s="20">
        <f>'Total income package'!$H$61+'Total income package'!$F$66</f>
        <v>100</v>
      </c>
      <c r="G209" s="20">
        <f>D209+C209+E209+F209</f>
        <v>1389</v>
      </c>
      <c r="H209" s="20" t="str">
        <f>IF(G209&lt;$G$2,"Yes","No")</f>
        <v>Yes</v>
      </c>
      <c r="I209" s="20">
        <f>D209*0.2</f>
        <v>257.8</v>
      </c>
      <c r="J209" s="20">
        <f>$H$2</f>
        <v>209</v>
      </c>
      <c r="K209" s="20">
        <f>IF(G209-I209-J209&gt;0,G209-I209-J209,0)</f>
        <v>922.2</v>
      </c>
      <c r="L209" s="20">
        <f t="shared" si="49"/>
        <v>500</v>
      </c>
      <c r="M209" s="20">
        <f>'Total income package'!$B$69</f>
        <v>500</v>
      </c>
      <c r="N209" s="20">
        <f t="shared" si="50"/>
        <v>1000</v>
      </c>
      <c r="O209" s="344" t="str">
        <f t="shared" ref="O209:O211" si="56">IF(AND($D$2+$E$2&gt;0,K209&lt;$J$2),"Yes","No")</f>
        <v>Yes</v>
      </c>
      <c r="P209" s="20">
        <f>K209/2</f>
        <v>461.1</v>
      </c>
      <c r="Q209" s="346">
        <f>IF(AND(D$2+$E$2=0,N209&lt;$L$2,N209-P209&gt;0),N209-P209,IF(AND(D$2+$E$2=0,N209&gt;$L$2),$L$2,0))</f>
        <v>0</v>
      </c>
      <c r="R209" s="20">
        <f>IF(AND(D$2+$E$2&gt;0,N209-SNAP!P209&gt;0),N209-SNAP!P209,0)</f>
        <v>538.9</v>
      </c>
      <c r="S209" s="20">
        <f>IF(AND($D$2+$E$2&gt;0,K209-R209&gt;0),K209-R209,IF(AND($D$2+$E$2=0,K209-Q209&gt;0),K209-Q209,0))</f>
        <v>383.30000000000007</v>
      </c>
      <c r="T209" s="20">
        <f>S209*0.3</f>
        <v>114.99000000000002</v>
      </c>
      <c r="U209" s="20">
        <f>IF(AND('Total income package'!$A$18=TRUE,OR(H209="Yes",O209="Yes"),G209&lt;$G$2,$K$2-T209&gt;10),ROUNDDOWN($K$2-T209,0),0)</f>
        <v>431</v>
      </c>
      <c r="V209" s="176">
        <f t="shared" si="54"/>
        <v>431</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1289</v>
      </c>
      <c r="E211" s="20">
        <f>'Total income package'!$D$80+'Total income package'!$D$86</f>
        <v>0</v>
      </c>
      <c r="F211" s="20">
        <f>'Total income package'!$H$61+'Total income package'!$F$66</f>
        <v>100</v>
      </c>
      <c r="G211" s="20">
        <f t="shared" ref="G211" si="57">D211+C211+E211+F211</f>
        <v>1389</v>
      </c>
      <c r="H211" s="20" t="str">
        <f>IF(G211&lt;$G$2,"Yes","No")</f>
        <v>Yes</v>
      </c>
      <c r="I211" s="20">
        <f>D211*0.2</f>
        <v>257.8</v>
      </c>
      <c r="J211" s="20">
        <f>$H$2</f>
        <v>209</v>
      </c>
      <c r="K211" s="20">
        <f>IF(G211-I211-J211&gt;0,G211-I211-J211,0)</f>
        <v>922.2</v>
      </c>
      <c r="L211" s="20">
        <f t="shared" si="49"/>
        <v>500</v>
      </c>
      <c r="M211" s="20">
        <f>'Total income package'!$B$69</f>
        <v>500</v>
      </c>
      <c r="N211" s="20">
        <f t="shared" si="50"/>
        <v>1000</v>
      </c>
      <c r="O211" s="344" t="str">
        <f t="shared" si="56"/>
        <v>Yes</v>
      </c>
      <c r="P211" s="20">
        <f t="shared" ref="P211" si="58">K211/2</f>
        <v>461.1</v>
      </c>
      <c r="Q211" s="346">
        <f>IF(AND(D$2+$E$2=0,N211&lt;$L$2,N211-P211&gt;0),N211-P211,IF(AND(D$2+$E$2=0,N211&gt;$L$2),$L$2,0))</f>
        <v>0</v>
      </c>
      <c r="R211" s="20">
        <f>IF(AND(D$2+$E$2&gt;0,N211-SNAP!P211&gt;0),N211-SNAP!P211,0)</f>
        <v>538.9</v>
      </c>
      <c r="S211" s="20">
        <f t="shared" ref="S211" si="59">IF(AND($D$2+$E$2&gt;0,K211-R211&gt;0),K211-R211,IF(AND($D$2+$E$2=0,K211-Q211&gt;0),K211-Q211,0))</f>
        <v>383.30000000000007</v>
      </c>
      <c r="T211" s="20">
        <f t="shared" ref="T211" si="60">S211*0.3</f>
        <v>114.99000000000002</v>
      </c>
      <c r="U211" s="20">
        <f>IF(AND('Total income package'!$A$18=TRUE,OR(H211="Yes",O211="Yes"),G211&lt;$G$2,$K$2-T211&gt;10),ROUNDDOWN($K$2-T211,0),0)</f>
        <v>431</v>
      </c>
      <c r="V211" s="176">
        <f t="shared" si="54"/>
        <v>431</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2</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1289</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1289</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2</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1289</v>
      </c>
      <c r="C209" s="3">
        <f>'Total income package'!$D$80</f>
        <v>0</v>
      </c>
      <c r="D209" s="7">
        <f t="shared" ref="D209:D211" si="24">B209+C209</f>
        <v>1289</v>
      </c>
      <c r="E209" s="7">
        <f t="shared" ref="E209:E211" si="25">D209-20</f>
        <v>1269</v>
      </c>
      <c r="F209" s="7">
        <f>IF(B209-65&lt;0,0,B209-65)</f>
        <v>1224</v>
      </c>
      <c r="G209" s="7">
        <f t="shared" ref="G209:G211" si="26">IF(F209/2&lt;0,0,F209/2)</f>
        <v>612</v>
      </c>
      <c r="H209" s="7">
        <f t="shared" ref="H209:H211" si="27">G209+C209</f>
        <v>612</v>
      </c>
      <c r="I209" s="7"/>
    </row>
    <row r="210" spans="1:9" x14ac:dyDescent="0.25">
      <c r="A210" s="116" t="s">
        <v>303</v>
      </c>
      <c r="B210" s="150"/>
      <c r="C210" s="3"/>
      <c r="D210" s="7"/>
      <c r="E210" s="7"/>
      <c r="F210" s="7"/>
      <c r="G210" s="7"/>
      <c r="H210" s="7"/>
      <c r="I210" s="7"/>
    </row>
    <row r="211" spans="1:9" x14ac:dyDescent="0.25">
      <c r="A211" s="7"/>
      <c r="B211" s="150">
        <f>'Total income package'!$B$91</f>
        <v>1289</v>
      </c>
      <c r="C211" s="3">
        <f>'Total income package'!$D$80</f>
        <v>0</v>
      </c>
      <c r="D211" s="7">
        <f t="shared" si="24"/>
        <v>1289</v>
      </c>
      <c r="E211" s="7">
        <f t="shared" si="25"/>
        <v>1269</v>
      </c>
      <c r="F211" s="7">
        <f>IF(B211-65&lt;0,0,B211-65)</f>
        <v>1224</v>
      </c>
      <c r="G211" s="7">
        <f t="shared" si="26"/>
        <v>612</v>
      </c>
      <c r="H211" s="7">
        <f t="shared" si="27"/>
        <v>612</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2</v>
      </c>
      <c r="C2" s="148">
        <f>'Total income package'!D66</f>
        <v>0</v>
      </c>
      <c r="D2" s="78">
        <f>VLOOKUP($G$6,'Program specific data'!A35:B42,2)</f>
        <v>209</v>
      </c>
      <c r="E2" s="78">
        <f>VLOOKUP(G6,'Program specific data'!A6:D13,3)</f>
        <v>1803.3333333333333</v>
      </c>
      <c r="F2" s="129">
        <f>IF(A3=2,VLOOKUP(G6,'Program specific data'!A60:C67,2,FALSE),VLOOKUP(G6,'Program specific data'!A60:C67,3,FALSE))</f>
        <v>767</v>
      </c>
      <c r="G2" s="311">
        <f>IF(A3=2,VLOOKUP(G6,'Program specific data'!A48:C55,2,FALSE),VLOOKUP(G6,'Program specific data'!A48:C55,3,FALSE))</f>
        <v>385</v>
      </c>
      <c r="H2" s="78">
        <f>VLOOKUP(G6,'Program specific data'!A6:C13,3,FALSE)</f>
        <v>1803.3333333333333</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1</v>
      </c>
      <c r="C6" s="148">
        <f>'Total income package'!D61</f>
        <v>1</v>
      </c>
      <c r="D6" s="77">
        <f>C4-C6</f>
        <v>1</v>
      </c>
      <c r="E6" s="457">
        <f>B6-C2</f>
        <v>1</v>
      </c>
      <c r="F6" s="457"/>
      <c r="G6" s="457">
        <f>D6+E6</f>
        <v>2</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385</v>
      </c>
      <c r="L9" s="130">
        <f>IF('Total income package'!$A$20=TRUE,MIN(IF(K9&gt;9.99,K9,0),$I$2),0)</f>
        <v>385</v>
      </c>
      <c r="M9" s="14" t="str">
        <f t="shared" ref="M9:M25" si="2">IF(B9&lt;$H$2,"Yes","No")</f>
        <v>Yes</v>
      </c>
      <c r="N9" s="14" t="str">
        <f>IF(C9&lt;$G$2,"Yes","No")</f>
        <v>Yes</v>
      </c>
      <c r="O9" s="312">
        <f>IF(AND(M9="Yes",N9="Yes"),MIN($G$2,$I$2),0)</f>
        <v>385</v>
      </c>
      <c r="P9" s="63">
        <f t="shared" ref="P9:P72" si="3">I9+O9</f>
        <v>385</v>
      </c>
      <c r="Q9" s="312" t="str">
        <f>IF(P9&lt;$H$2,"Yes","No")</f>
        <v>Yes</v>
      </c>
      <c r="R9" s="312">
        <f>IF(P9&gt;$H$2,P9-$H$2,0)</f>
        <v>0</v>
      </c>
      <c r="S9" s="15">
        <f>IF(P9&gt;$H$2,O9-R9,O9)</f>
        <v>385</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385</v>
      </c>
      <c r="L10" s="130">
        <f>IF('Total income package'!$A$20=TRUE,MIN(IF(K10&gt;9.99,K10,0),$I$2),0)</f>
        <v>385</v>
      </c>
      <c r="M10" s="14" t="str">
        <f t="shared" si="2"/>
        <v>Yes</v>
      </c>
      <c r="N10" s="14" t="str">
        <f t="shared" ref="N10:N73" si="9">IF(C10&lt;$G$2,"Yes","No")</f>
        <v>Yes</v>
      </c>
      <c r="O10" s="312">
        <f t="shared" ref="O10:O73" si="10">IF(AND(M10="Yes",N10="Yes"),MIN($G$2,$I$2),0)</f>
        <v>385</v>
      </c>
      <c r="P10" s="63">
        <f t="shared" si="3"/>
        <v>385</v>
      </c>
      <c r="Q10" s="312" t="str">
        <f t="shared" ref="Q10:Q73" si="11">IF(P10&lt;$H$2,"Yes","No")</f>
        <v>Yes</v>
      </c>
      <c r="R10" s="312">
        <f t="shared" ref="R10:R73" si="12">IF(P10&gt;$H$2,P10-$H$2,0)</f>
        <v>0</v>
      </c>
      <c r="S10" s="15">
        <f t="shared" ref="S10:S73" si="13">IF(P10&gt;$H$2,O10-R10,O10)</f>
        <v>385</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385</v>
      </c>
      <c r="L11" s="130">
        <f>IF('Total income package'!$A$20=TRUE,MIN(IF(K11&gt;9.99,K11,0),$I$2),0)</f>
        <v>385</v>
      </c>
      <c r="M11" s="14" t="str">
        <f t="shared" si="2"/>
        <v>Yes</v>
      </c>
      <c r="N11" s="14" t="str">
        <f t="shared" si="9"/>
        <v>Yes</v>
      </c>
      <c r="O11" s="312">
        <f t="shared" si="10"/>
        <v>385</v>
      </c>
      <c r="P11" s="63">
        <f t="shared" si="3"/>
        <v>385</v>
      </c>
      <c r="Q11" s="312" t="str">
        <f t="shared" si="11"/>
        <v>Yes</v>
      </c>
      <c r="R11" s="312">
        <f t="shared" si="12"/>
        <v>0</v>
      </c>
      <c r="S11" s="15">
        <f t="shared" si="13"/>
        <v>385</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385</v>
      </c>
      <c r="L12" s="130">
        <f>IF('Total income package'!$A$20=TRUE,MIN(IF(K12&gt;9.99,K12,0),$I$2),0)</f>
        <v>385</v>
      </c>
      <c r="M12" s="14" t="str">
        <f t="shared" si="2"/>
        <v>Yes</v>
      </c>
      <c r="N12" s="14" t="str">
        <f t="shared" si="9"/>
        <v>Yes</v>
      </c>
      <c r="O12" s="312">
        <f t="shared" si="10"/>
        <v>385</v>
      </c>
      <c r="P12" s="63">
        <f t="shared" si="3"/>
        <v>385</v>
      </c>
      <c r="Q12" s="312" t="str">
        <f t="shared" si="11"/>
        <v>Yes</v>
      </c>
      <c r="R12" s="312">
        <f t="shared" si="12"/>
        <v>0</v>
      </c>
      <c r="S12" s="15">
        <f t="shared" si="13"/>
        <v>385</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385</v>
      </c>
      <c r="L13" s="130">
        <f>IF('Total income package'!$A$20=TRUE,MIN(IF(K13&gt;9.99,K13,0),$I$2),0)</f>
        <v>385</v>
      </c>
      <c r="M13" s="14" t="str">
        <f t="shared" si="2"/>
        <v>Yes</v>
      </c>
      <c r="N13" s="14" t="str">
        <f t="shared" si="9"/>
        <v>Yes</v>
      </c>
      <c r="O13" s="312">
        <f t="shared" si="10"/>
        <v>385</v>
      </c>
      <c r="P13" s="63">
        <f t="shared" si="3"/>
        <v>385</v>
      </c>
      <c r="Q13" s="312" t="str">
        <f t="shared" si="11"/>
        <v>Yes</v>
      </c>
      <c r="R13" s="312">
        <f t="shared" si="12"/>
        <v>0</v>
      </c>
      <c r="S13" s="15">
        <f t="shared" si="13"/>
        <v>385</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385</v>
      </c>
      <c r="L14" s="130">
        <f>IF('Total income package'!$A$20=TRUE,MIN(IF(K14&gt;9.99,K14,0),$I$2),0)</f>
        <v>385</v>
      </c>
      <c r="M14" s="14" t="str">
        <f t="shared" si="2"/>
        <v>Yes</v>
      </c>
      <c r="N14" s="14" t="str">
        <f t="shared" si="9"/>
        <v>Yes</v>
      </c>
      <c r="O14" s="312">
        <f t="shared" si="10"/>
        <v>385</v>
      </c>
      <c r="P14" s="63">
        <f t="shared" si="3"/>
        <v>385</v>
      </c>
      <c r="Q14" s="312" t="str">
        <f t="shared" si="11"/>
        <v>Yes</v>
      </c>
      <c r="R14" s="312">
        <f t="shared" si="12"/>
        <v>0</v>
      </c>
      <c r="S14" s="15">
        <f t="shared" si="13"/>
        <v>385</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352.2</v>
      </c>
      <c r="L15" s="130">
        <f>IF('Total income package'!$A$20=TRUE,MIN(IF(K15&gt;9.99,K15,0),$I$2),0)</f>
        <v>352.2</v>
      </c>
      <c r="M15" s="14" t="str">
        <f t="shared" si="2"/>
        <v>Yes</v>
      </c>
      <c r="N15" s="14" t="str">
        <f t="shared" si="9"/>
        <v>Yes</v>
      </c>
      <c r="O15" s="312">
        <f t="shared" si="10"/>
        <v>385</v>
      </c>
      <c r="P15" s="63">
        <f t="shared" si="3"/>
        <v>417.8</v>
      </c>
      <c r="Q15" s="312" t="str">
        <f t="shared" si="11"/>
        <v>Yes</v>
      </c>
      <c r="R15" s="312">
        <f t="shared" si="12"/>
        <v>0</v>
      </c>
      <c r="S15" s="15">
        <f t="shared" si="13"/>
        <v>385</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318.86666666666667</v>
      </c>
      <c r="L16" s="130">
        <f>IF('Total income package'!$A$20=TRUE,MIN(IF(K16&gt;9.99,K16,0),$I$2),0)</f>
        <v>318.86666666666667</v>
      </c>
      <c r="M16" s="14" t="str">
        <f t="shared" si="2"/>
        <v>Yes</v>
      </c>
      <c r="N16" s="14" t="str">
        <f t="shared" si="9"/>
        <v>Yes</v>
      </c>
      <c r="O16" s="312">
        <f t="shared" si="10"/>
        <v>385</v>
      </c>
      <c r="P16" s="63">
        <f t="shared" si="3"/>
        <v>451.13333333333333</v>
      </c>
      <c r="Q16" s="312" t="str">
        <f t="shared" si="11"/>
        <v>Yes</v>
      </c>
      <c r="R16" s="312">
        <f t="shared" si="12"/>
        <v>0</v>
      </c>
      <c r="S16" s="15">
        <f t="shared" si="13"/>
        <v>385</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285.53333333333336</v>
      </c>
      <c r="L17" s="130">
        <f>IF('Total income package'!$A$20=TRUE,MIN(IF(K17&gt;9.99,K17,0),$I$2),0)</f>
        <v>285.53333333333336</v>
      </c>
      <c r="M17" s="14" t="str">
        <f t="shared" si="2"/>
        <v>Yes</v>
      </c>
      <c r="N17" s="14" t="str">
        <f t="shared" si="9"/>
        <v>Yes</v>
      </c>
      <c r="O17" s="312">
        <f t="shared" si="10"/>
        <v>385</v>
      </c>
      <c r="P17" s="63">
        <f t="shared" si="3"/>
        <v>484.46666666666664</v>
      </c>
      <c r="Q17" s="312" t="str">
        <f t="shared" si="11"/>
        <v>Yes</v>
      </c>
      <c r="R17" s="312">
        <f t="shared" si="12"/>
        <v>0</v>
      </c>
      <c r="S17" s="15">
        <f t="shared" si="13"/>
        <v>385</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252.2</v>
      </c>
      <c r="L18" s="130">
        <f>IF('Total income package'!$A$20=TRUE,MIN(IF(K18&gt;9.99,K18,0),$I$2),0)</f>
        <v>252.2</v>
      </c>
      <c r="M18" s="14" t="str">
        <f t="shared" si="2"/>
        <v>Yes</v>
      </c>
      <c r="N18" s="14" t="str">
        <f t="shared" si="9"/>
        <v>Yes</v>
      </c>
      <c r="O18" s="312">
        <f t="shared" si="10"/>
        <v>385</v>
      </c>
      <c r="P18" s="63">
        <f t="shared" si="3"/>
        <v>517.79999999999995</v>
      </c>
      <c r="Q18" s="312" t="str">
        <f t="shared" si="11"/>
        <v>Yes</v>
      </c>
      <c r="R18" s="312">
        <f t="shared" si="12"/>
        <v>0</v>
      </c>
      <c r="S18" s="15">
        <f t="shared" si="13"/>
        <v>385</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218.86666666666665</v>
      </c>
      <c r="L19" s="130">
        <f>IF('Total income package'!$A$20=TRUE,MIN(IF(K19&gt;9.99,K19,0),$I$2),0)</f>
        <v>218.86666666666665</v>
      </c>
      <c r="M19" s="14" t="str">
        <f t="shared" si="2"/>
        <v>Yes</v>
      </c>
      <c r="N19" s="14" t="str">
        <f t="shared" si="9"/>
        <v>Yes</v>
      </c>
      <c r="O19" s="312">
        <f t="shared" si="10"/>
        <v>385</v>
      </c>
      <c r="P19" s="63">
        <f t="shared" si="3"/>
        <v>551.13333333333333</v>
      </c>
      <c r="Q19" s="312" t="str">
        <f t="shared" si="11"/>
        <v>Yes</v>
      </c>
      <c r="R19" s="312">
        <f t="shared" si="12"/>
        <v>0</v>
      </c>
      <c r="S19" s="15">
        <f t="shared" si="13"/>
        <v>385</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185.53333333333336</v>
      </c>
      <c r="L20" s="130">
        <f>IF('Total income package'!$A$20=TRUE,MIN(IF(K20&gt;9.99,K20,0),$I$2),0)</f>
        <v>185.53333333333336</v>
      </c>
      <c r="M20" s="14" t="str">
        <f t="shared" si="2"/>
        <v>Yes</v>
      </c>
      <c r="N20" s="14" t="str">
        <f t="shared" si="9"/>
        <v>Yes</v>
      </c>
      <c r="O20" s="312">
        <f t="shared" si="10"/>
        <v>385</v>
      </c>
      <c r="P20" s="63">
        <f t="shared" si="3"/>
        <v>584.4666666666667</v>
      </c>
      <c r="Q20" s="312" t="str">
        <f t="shared" si="11"/>
        <v>Yes</v>
      </c>
      <c r="R20" s="312">
        <f t="shared" si="12"/>
        <v>0</v>
      </c>
      <c r="S20" s="15">
        <f t="shared" si="13"/>
        <v>385</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152.19999999999999</v>
      </c>
      <c r="L21" s="130">
        <f>IF('Total income package'!$A$20=TRUE,MIN(IF(K21&gt;9.99,K21,0),$I$2),0)</f>
        <v>152.19999999999999</v>
      </c>
      <c r="M21" s="14" t="str">
        <f t="shared" si="2"/>
        <v>Yes</v>
      </c>
      <c r="N21" s="14" t="str">
        <f t="shared" si="9"/>
        <v>Yes</v>
      </c>
      <c r="O21" s="312">
        <f t="shared" si="10"/>
        <v>385</v>
      </c>
      <c r="P21" s="63">
        <f t="shared" si="3"/>
        <v>617.79999999999995</v>
      </c>
      <c r="Q21" s="312" t="str">
        <f t="shared" si="11"/>
        <v>Yes</v>
      </c>
      <c r="R21" s="312">
        <f t="shared" si="12"/>
        <v>0</v>
      </c>
      <c r="S21" s="15">
        <f t="shared" si="13"/>
        <v>385</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118.86666666666667</v>
      </c>
      <c r="L22" s="130">
        <f>IF('Total income package'!$A$20=TRUE,MIN(IF(K22&gt;9.99,K22,0),$I$2),0)</f>
        <v>118.86666666666667</v>
      </c>
      <c r="M22" s="14" t="str">
        <f t="shared" si="2"/>
        <v>Yes</v>
      </c>
      <c r="N22" s="14" t="str">
        <f t="shared" si="9"/>
        <v>Yes</v>
      </c>
      <c r="O22" s="312">
        <f t="shared" si="10"/>
        <v>385</v>
      </c>
      <c r="P22" s="63">
        <f t="shared" si="3"/>
        <v>651.13333333333333</v>
      </c>
      <c r="Q22" s="312" t="str">
        <f t="shared" si="11"/>
        <v>Yes</v>
      </c>
      <c r="R22" s="312">
        <f t="shared" si="12"/>
        <v>0</v>
      </c>
      <c r="S22" s="15">
        <f t="shared" si="13"/>
        <v>385</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85.533333333333303</v>
      </c>
      <c r="L23" s="130">
        <f>IF('Total income package'!$A$20=TRUE,MIN(IF(K23&gt;9.99,K23,0),$I$2),0)</f>
        <v>85.533333333333303</v>
      </c>
      <c r="M23" s="14" t="str">
        <f t="shared" si="2"/>
        <v>Yes</v>
      </c>
      <c r="N23" s="14" t="str">
        <f t="shared" si="9"/>
        <v>Yes</v>
      </c>
      <c r="O23" s="312">
        <f t="shared" si="10"/>
        <v>385</v>
      </c>
      <c r="P23" s="63">
        <f t="shared" si="3"/>
        <v>684.4666666666667</v>
      </c>
      <c r="Q23" s="312" t="str">
        <f t="shared" si="11"/>
        <v>Yes</v>
      </c>
      <c r="R23" s="312">
        <f t="shared" si="12"/>
        <v>0</v>
      </c>
      <c r="S23" s="15">
        <f t="shared" si="13"/>
        <v>385</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52.199999999999989</v>
      </c>
      <c r="L24" s="130">
        <f>IF('Total income package'!$A$20=TRUE,MIN(IF(K24&gt;9.99,K24,0),$I$2),0)</f>
        <v>52.199999999999989</v>
      </c>
      <c r="M24" s="14" t="str">
        <f t="shared" si="2"/>
        <v>Yes</v>
      </c>
      <c r="N24" s="14" t="str">
        <f t="shared" si="9"/>
        <v>Yes</v>
      </c>
      <c r="O24" s="312">
        <f t="shared" si="10"/>
        <v>385</v>
      </c>
      <c r="P24" s="63">
        <f t="shared" si="3"/>
        <v>717.8</v>
      </c>
      <c r="Q24" s="312" t="str">
        <f t="shared" si="11"/>
        <v>Yes</v>
      </c>
      <c r="R24" s="312">
        <f t="shared" si="12"/>
        <v>0</v>
      </c>
      <c r="S24" s="15">
        <f t="shared" si="13"/>
        <v>385</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18.866666666666674</v>
      </c>
      <c r="L25" s="130">
        <f>IF('Total income package'!$A$20=TRUE,MIN(IF(K25&gt;9.99,K25,0),$I$2),0)</f>
        <v>18.866666666666674</v>
      </c>
      <c r="M25" s="14" t="str">
        <f t="shared" si="2"/>
        <v>Yes</v>
      </c>
      <c r="N25" s="14" t="str">
        <f t="shared" si="9"/>
        <v>Yes</v>
      </c>
      <c r="O25" s="312">
        <f t="shared" si="10"/>
        <v>385</v>
      </c>
      <c r="P25" s="63">
        <f t="shared" si="3"/>
        <v>751.13333333333333</v>
      </c>
      <c r="Q25" s="312" t="str">
        <f t="shared" si="11"/>
        <v>Yes</v>
      </c>
      <c r="R25" s="312">
        <f t="shared" si="12"/>
        <v>0</v>
      </c>
      <c r="S25" s="15">
        <f t="shared" si="13"/>
        <v>385</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No</v>
      </c>
      <c r="K26" s="63">
        <f t="shared" si="1"/>
        <v>0</v>
      </c>
      <c r="L26" s="130">
        <f>IF('Total income package'!$A$20=TRUE,MIN(IF(K26&gt;9.99,K26,0),$I$2),0)</f>
        <v>0</v>
      </c>
      <c r="M26" s="14" t="str">
        <f>IF(D26&lt;$H$2,"Yes","No")</f>
        <v>Yes</v>
      </c>
      <c r="N26" s="14" t="str">
        <f t="shared" si="9"/>
        <v>Yes</v>
      </c>
      <c r="O26" s="312">
        <f t="shared" si="10"/>
        <v>385</v>
      </c>
      <c r="P26" s="63">
        <f t="shared" si="3"/>
        <v>784.4666666666667</v>
      </c>
      <c r="Q26" s="312" t="str">
        <f t="shared" si="11"/>
        <v>Yes</v>
      </c>
      <c r="R26" s="312">
        <f t="shared" si="12"/>
        <v>0</v>
      </c>
      <c r="S26" s="15">
        <f t="shared" si="13"/>
        <v>385</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No</v>
      </c>
      <c r="K27" s="63">
        <f t="shared" si="1"/>
        <v>0</v>
      </c>
      <c r="L27" s="130">
        <f>IF('Total income package'!$A$20=TRUE,MIN(IF(K27&gt;9.99,K27,0),$I$2),0)</f>
        <v>0</v>
      </c>
      <c r="M27" s="14" t="str">
        <f t="shared" ref="M27:M90" si="16">IF(D27&lt;$H$2,"Yes","No")</f>
        <v>Yes</v>
      </c>
      <c r="N27" s="14" t="str">
        <f t="shared" si="9"/>
        <v>Yes</v>
      </c>
      <c r="O27" s="312">
        <f t="shared" si="10"/>
        <v>385</v>
      </c>
      <c r="P27" s="63">
        <f t="shared" si="3"/>
        <v>817.8</v>
      </c>
      <c r="Q27" s="312" t="str">
        <f t="shared" si="11"/>
        <v>Yes</v>
      </c>
      <c r="R27" s="312">
        <f t="shared" si="12"/>
        <v>0</v>
      </c>
      <c r="S27" s="15">
        <f t="shared" si="13"/>
        <v>385</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No</v>
      </c>
      <c r="F28" s="63">
        <f t="shared" si="0"/>
        <v>582.66666666666663</v>
      </c>
      <c r="G28" s="63">
        <f t="shared" si="14"/>
        <v>116.53333333333333</v>
      </c>
      <c r="H28" s="63">
        <f t="shared" si="6"/>
        <v>466.13333333333333</v>
      </c>
      <c r="I28" s="312">
        <f t="shared" si="7"/>
        <v>466.13333333333333</v>
      </c>
      <c r="J28" s="14" t="str">
        <f t="shared" si="8"/>
        <v>No</v>
      </c>
      <c r="K28" s="63">
        <f t="shared" si="1"/>
        <v>0</v>
      </c>
      <c r="L28" s="130">
        <f>IF('Total income package'!$A$20=TRUE,MIN(IF(K28&gt;9.99,K28,0),$I$2),0)</f>
        <v>0</v>
      </c>
      <c r="M28" s="14" t="str">
        <f t="shared" si="16"/>
        <v>Yes</v>
      </c>
      <c r="N28" s="14" t="str">
        <f t="shared" si="9"/>
        <v>Yes</v>
      </c>
      <c r="O28" s="312">
        <f t="shared" si="10"/>
        <v>385</v>
      </c>
      <c r="P28" s="63">
        <f t="shared" si="3"/>
        <v>851.13333333333333</v>
      </c>
      <c r="Q28" s="312" t="str">
        <f t="shared" si="11"/>
        <v>Yes</v>
      </c>
      <c r="R28" s="312">
        <f t="shared" si="12"/>
        <v>0</v>
      </c>
      <c r="S28" s="15">
        <f t="shared" si="13"/>
        <v>385</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No</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385</v>
      </c>
      <c r="P29" s="63">
        <f t="shared" si="3"/>
        <v>884.4666666666667</v>
      </c>
      <c r="Q29" s="312" t="str">
        <f t="shared" si="11"/>
        <v>Yes</v>
      </c>
      <c r="R29" s="312">
        <f t="shared" si="12"/>
        <v>0</v>
      </c>
      <c r="S29" s="15">
        <f t="shared" si="13"/>
        <v>385</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No</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385</v>
      </c>
      <c r="P30" s="63">
        <f t="shared" si="3"/>
        <v>917.8</v>
      </c>
      <c r="Q30" s="312" t="str">
        <f t="shared" si="11"/>
        <v>Yes</v>
      </c>
      <c r="R30" s="312">
        <f t="shared" si="12"/>
        <v>0</v>
      </c>
      <c r="S30" s="15">
        <f t="shared" si="13"/>
        <v>385</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No</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385</v>
      </c>
      <c r="P31" s="63">
        <f t="shared" si="3"/>
        <v>951.13333333333333</v>
      </c>
      <c r="Q31" s="312" t="str">
        <f t="shared" si="11"/>
        <v>Yes</v>
      </c>
      <c r="R31" s="312">
        <f t="shared" si="12"/>
        <v>0</v>
      </c>
      <c r="S31" s="15">
        <f t="shared" si="13"/>
        <v>385</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No</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385</v>
      </c>
      <c r="P32" s="63">
        <f t="shared" si="3"/>
        <v>984.4666666666667</v>
      </c>
      <c r="Q32" s="312" t="str">
        <f t="shared" si="11"/>
        <v>Yes</v>
      </c>
      <c r="R32" s="312">
        <f t="shared" si="12"/>
        <v>0</v>
      </c>
      <c r="S32" s="15">
        <f t="shared" si="13"/>
        <v>385</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385</v>
      </c>
      <c r="P33" s="63">
        <f t="shared" si="3"/>
        <v>1017.8</v>
      </c>
      <c r="Q33" s="312" t="str">
        <f t="shared" si="11"/>
        <v>Yes</v>
      </c>
      <c r="R33" s="312">
        <f t="shared" si="12"/>
        <v>0</v>
      </c>
      <c r="S33" s="15">
        <f t="shared" si="13"/>
        <v>385</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385</v>
      </c>
      <c r="P34" s="63">
        <f t="shared" si="3"/>
        <v>1051.1333333333334</v>
      </c>
      <c r="Q34" s="312" t="str">
        <f t="shared" si="11"/>
        <v>Yes</v>
      </c>
      <c r="R34" s="312">
        <f t="shared" si="12"/>
        <v>0</v>
      </c>
      <c r="S34" s="15">
        <f t="shared" si="13"/>
        <v>385</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385</v>
      </c>
      <c r="P35" s="63">
        <f t="shared" si="3"/>
        <v>1084.4666666666667</v>
      </c>
      <c r="Q35" s="312" t="str">
        <f t="shared" si="11"/>
        <v>Yes</v>
      </c>
      <c r="R35" s="312">
        <f t="shared" si="12"/>
        <v>0</v>
      </c>
      <c r="S35" s="15">
        <f t="shared" si="13"/>
        <v>385</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385</v>
      </c>
      <c r="P36" s="63">
        <f t="shared" si="3"/>
        <v>1117.8</v>
      </c>
      <c r="Q36" s="312" t="str">
        <f t="shared" si="11"/>
        <v>Yes</v>
      </c>
      <c r="R36" s="312">
        <f t="shared" si="12"/>
        <v>0</v>
      </c>
      <c r="S36" s="15">
        <f t="shared" si="13"/>
        <v>385</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385</v>
      </c>
      <c r="P37" s="63">
        <f t="shared" si="3"/>
        <v>1151.1333333333334</v>
      </c>
      <c r="Q37" s="312" t="str">
        <f t="shared" si="11"/>
        <v>Yes</v>
      </c>
      <c r="R37" s="312">
        <f t="shared" si="12"/>
        <v>0</v>
      </c>
      <c r="S37" s="15">
        <f t="shared" si="13"/>
        <v>385</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385</v>
      </c>
      <c r="P38" s="63">
        <f t="shared" si="3"/>
        <v>1184.4666666666667</v>
      </c>
      <c r="Q38" s="312" t="str">
        <f t="shared" si="11"/>
        <v>Yes</v>
      </c>
      <c r="R38" s="312">
        <f t="shared" si="12"/>
        <v>0</v>
      </c>
      <c r="S38" s="15">
        <f t="shared" si="13"/>
        <v>385</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385</v>
      </c>
      <c r="P39" s="63">
        <f t="shared" si="3"/>
        <v>1217.8</v>
      </c>
      <c r="Q39" s="312" t="str">
        <f t="shared" si="11"/>
        <v>Yes</v>
      </c>
      <c r="R39" s="312">
        <f t="shared" si="12"/>
        <v>0</v>
      </c>
      <c r="S39" s="15">
        <f t="shared" si="13"/>
        <v>385</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385</v>
      </c>
      <c r="P40" s="63">
        <f t="shared" si="3"/>
        <v>1251.1333333333334</v>
      </c>
      <c r="Q40" s="312" t="str">
        <f t="shared" si="11"/>
        <v>Yes</v>
      </c>
      <c r="R40" s="312">
        <f t="shared" si="12"/>
        <v>0</v>
      </c>
      <c r="S40" s="15">
        <f t="shared" si="13"/>
        <v>385</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385</v>
      </c>
      <c r="P41" s="63">
        <f t="shared" si="3"/>
        <v>1284.4666666666667</v>
      </c>
      <c r="Q41" s="312" t="str">
        <f t="shared" si="11"/>
        <v>Yes</v>
      </c>
      <c r="R41" s="312">
        <f t="shared" si="12"/>
        <v>0</v>
      </c>
      <c r="S41" s="15">
        <f t="shared" si="13"/>
        <v>385</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385</v>
      </c>
      <c r="P42" s="63">
        <f t="shared" si="3"/>
        <v>1317.8</v>
      </c>
      <c r="Q42" s="312" t="str">
        <f t="shared" si="11"/>
        <v>Yes</v>
      </c>
      <c r="R42" s="312">
        <f t="shared" si="12"/>
        <v>0</v>
      </c>
      <c r="S42" s="15">
        <f t="shared" si="13"/>
        <v>385</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385</v>
      </c>
      <c r="P43" s="63">
        <f t="shared" si="3"/>
        <v>1351.1333333333334</v>
      </c>
      <c r="Q43" s="312" t="str">
        <f t="shared" si="11"/>
        <v>Yes</v>
      </c>
      <c r="R43" s="312">
        <f t="shared" si="12"/>
        <v>0</v>
      </c>
      <c r="S43" s="15">
        <f t="shared" si="13"/>
        <v>385</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385</v>
      </c>
      <c r="P44" s="63">
        <f t="shared" si="3"/>
        <v>1384.4666666666667</v>
      </c>
      <c r="Q44" s="312" t="str">
        <f t="shared" si="11"/>
        <v>Yes</v>
      </c>
      <c r="R44" s="312">
        <f t="shared" si="12"/>
        <v>0</v>
      </c>
      <c r="S44" s="15">
        <f t="shared" si="13"/>
        <v>385</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385</v>
      </c>
      <c r="P45" s="63">
        <f t="shared" si="3"/>
        <v>1417.8</v>
      </c>
      <c r="Q45" s="312" t="str">
        <f t="shared" si="11"/>
        <v>Yes</v>
      </c>
      <c r="R45" s="312">
        <f t="shared" si="12"/>
        <v>0</v>
      </c>
      <c r="S45" s="15">
        <f t="shared" si="13"/>
        <v>385</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385</v>
      </c>
      <c r="P46" s="63">
        <f t="shared" si="3"/>
        <v>1451.1333333333334</v>
      </c>
      <c r="Q46" s="312" t="str">
        <f t="shared" si="11"/>
        <v>Yes</v>
      </c>
      <c r="R46" s="312">
        <f t="shared" si="12"/>
        <v>0</v>
      </c>
      <c r="S46" s="15">
        <f t="shared" si="13"/>
        <v>385</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385</v>
      </c>
      <c r="P47" s="63">
        <f t="shared" si="3"/>
        <v>1484.4666666666667</v>
      </c>
      <c r="Q47" s="312" t="str">
        <f t="shared" si="11"/>
        <v>Yes</v>
      </c>
      <c r="R47" s="312">
        <f t="shared" si="12"/>
        <v>0</v>
      </c>
      <c r="S47" s="15">
        <f t="shared" si="13"/>
        <v>385</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385</v>
      </c>
      <c r="P48" s="63">
        <f t="shared" si="3"/>
        <v>1517.8</v>
      </c>
      <c r="Q48" s="312" t="str">
        <f t="shared" si="11"/>
        <v>Yes</v>
      </c>
      <c r="R48" s="312">
        <f t="shared" si="12"/>
        <v>0</v>
      </c>
      <c r="S48" s="15">
        <f t="shared" si="13"/>
        <v>385</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385</v>
      </c>
      <c r="P49" s="63">
        <f t="shared" si="3"/>
        <v>1551.1333333333334</v>
      </c>
      <c r="Q49" s="312" t="str">
        <f t="shared" si="11"/>
        <v>Yes</v>
      </c>
      <c r="R49" s="312">
        <f t="shared" si="12"/>
        <v>0</v>
      </c>
      <c r="S49" s="15">
        <f t="shared" si="13"/>
        <v>385</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385</v>
      </c>
      <c r="P50" s="63">
        <f t="shared" si="3"/>
        <v>1584.4666666666667</v>
      </c>
      <c r="Q50" s="312" t="str">
        <f t="shared" si="11"/>
        <v>Yes</v>
      </c>
      <c r="R50" s="312">
        <f t="shared" si="12"/>
        <v>0</v>
      </c>
      <c r="S50" s="15">
        <f t="shared" si="13"/>
        <v>385</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385</v>
      </c>
      <c r="P51" s="63">
        <f t="shared" si="3"/>
        <v>1617.8</v>
      </c>
      <c r="Q51" s="312" t="str">
        <f t="shared" si="11"/>
        <v>Yes</v>
      </c>
      <c r="R51" s="312">
        <f t="shared" si="12"/>
        <v>0</v>
      </c>
      <c r="S51" s="15">
        <f t="shared" si="13"/>
        <v>385</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385</v>
      </c>
      <c r="P52" s="63">
        <f t="shared" si="3"/>
        <v>1651.1333333333334</v>
      </c>
      <c r="Q52" s="312" t="str">
        <f t="shared" si="11"/>
        <v>Yes</v>
      </c>
      <c r="R52" s="312">
        <f t="shared" si="12"/>
        <v>0</v>
      </c>
      <c r="S52" s="15">
        <f t="shared" si="13"/>
        <v>385</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No</v>
      </c>
      <c r="N53" s="14" t="str">
        <f t="shared" si="9"/>
        <v>Yes</v>
      </c>
      <c r="O53" s="312">
        <f t="shared" si="10"/>
        <v>0</v>
      </c>
      <c r="P53" s="63">
        <f t="shared" si="3"/>
        <v>1299.4666666666667</v>
      </c>
      <c r="Q53" s="312" t="str">
        <f t="shared" si="11"/>
        <v>Yes</v>
      </c>
      <c r="R53" s="312">
        <f t="shared" si="12"/>
        <v>0</v>
      </c>
      <c r="S53" s="15">
        <f t="shared" si="13"/>
        <v>0</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No</v>
      </c>
      <c r="N54" s="14" t="str">
        <f t="shared" si="9"/>
        <v>Yes</v>
      </c>
      <c r="O54" s="312">
        <f t="shared" si="10"/>
        <v>0</v>
      </c>
      <c r="P54" s="63">
        <f t="shared" si="3"/>
        <v>1332.8</v>
      </c>
      <c r="Q54" s="312" t="str">
        <f t="shared" si="11"/>
        <v>Yes</v>
      </c>
      <c r="R54" s="312">
        <f t="shared" si="12"/>
        <v>0</v>
      </c>
      <c r="S54" s="15">
        <f t="shared" si="13"/>
        <v>0</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No</v>
      </c>
      <c r="N55" s="14" t="str">
        <f t="shared" si="9"/>
        <v>Yes</v>
      </c>
      <c r="O55" s="312">
        <f t="shared" si="10"/>
        <v>0</v>
      </c>
      <c r="P55" s="63">
        <f t="shared" si="3"/>
        <v>1366.1333333333334</v>
      </c>
      <c r="Q55" s="312" t="str">
        <f t="shared" si="11"/>
        <v>Yes</v>
      </c>
      <c r="R55" s="312">
        <f t="shared" si="12"/>
        <v>0</v>
      </c>
      <c r="S55" s="15">
        <f t="shared" si="13"/>
        <v>0</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No</v>
      </c>
      <c r="N56" s="14" t="str">
        <f t="shared" si="9"/>
        <v>Yes</v>
      </c>
      <c r="O56" s="312">
        <f t="shared" si="10"/>
        <v>0</v>
      </c>
      <c r="P56" s="63">
        <f t="shared" si="3"/>
        <v>1399.4666666666667</v>
      </c>
      <c r="Q56" s="312" t="str">
        <f t="shared" si="11"/>
        <v>Yes</v>
      </c>
      <c r="R56" s="312">
        <f t="shared" si="12"/>
        <v>0</v>
      </c>
      <c r="S56" s="15">
        <f t="shared" si="13"/>
        <v>0</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No</v>
      </c>
      <c r="N57" s="14" t="str">
        <f t="shared" si="9"/>
        <v>Yes</v>
      </c>
      <c r="O57" s="312">
        <f t="shared" si="10"/>
        <v>0</v>
      </c>
      <c r="P57" s="63">
        <f t="shared" si="3"/>
        <v>1432.8</v>
      </c>
      <c r="Q57" s="312" t="str">
        <f t="shared" si="11"/>
        <v>Yes</v>
      </c>
      <c r="R57" s="312">
        <f t="shared" si="12"/>
        <v>0</v>
      </c>
      <c r="S57" s="15">
        <f t="shared" si="13"/>
        <v>0</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No</v>
      </c>
      <c r="N58" s="14" t="str">
        <f t="shared" si="9"/>
        <v>Yes</v>
      </c>
      <c r="O58" s="312">
        <f t="shared" si="10"/>
        <v>0</v>
      </c>
      <c r="P58" s="63">
        <f t="shared" si="3"/>
        <v>1466.1333333333334</v>
      </c>
      <c r="Q58" s="312" t="str">
        <f t="shared" si="11"/>
        <v>Yes</v>
      </c>
      <c r="R58" s="312">
        <f t="shared" si="12"/>
        <v>0</v>
      </c>
      <c r="S58" s="15">
        <f t="shared" si="13"/>
        <v>0</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No</v>
      </c>
      <c r="N59" s="14" t="str">
        <f t="shared" si="9"/>
        <v>Yes</v>
      </c>
      <c r="O59" s="312">
        <f t="shared" si="10"/>
        <v>0</v>
      </c>
      <c r="P59" s="63">
        <f t="shared" si="3"/>
        <v>1499.4666666666667</v>
      </c>
      <c r="Q59" s="312" t="str">
        <f t="shared" si="11"/>
        <v>Yes</v>
      </c>
      <c r="R59" s="312">
        <f t="shared" si="12"/>
        <v>0</v>
      </c>
      <c r="S59" s="15">
        <f t="shared" si="13"/>
        <v>0</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No</v>
      </c>
      <c r="N60" s="14" t="str">
        <f t="shared" si="9"/>
        <v>Yes</v>
      </c>
      <c r="O60" s="312">
        <f t="shared" si="10"/>
        <v>0</v>
      </c>
      <c r="P60" s="63">
        <f t="shared" si="3"/>
        <v>1532.8</v>
      </c>
      <c r="Q60" s="312" t="str">
        <f t="shared" si="11"/>
        <v>Yes</v>
      </c>
      <c r="R60" s="312">
        <f t="shared" si="12"/>
        <v>0</v>
      </c>
      <c r="S60" s="15">
        <f t="shared" si="13"/>
        <v>0</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No</v>
      </c>
      <c r="N61" s="14" t="str">
        <f t="shared" si="9"/>
        <v>Yes</v>
      </c>
      <c r="O61" s="312">
        <f t="shared" si="10"/>
        <v>0</v>
      </c>
      <c r="P61" s="63">
        <f t="shared" si="3"/>
        <v>1566.1333333333332</v>
      </c>
      <c r="Q61" s="312" t="str">
        <f t="shared" si="11"/>
        <v>Yes</v>
      </c>
      <c r="R61" s="312">
        <f t="shared" si="12"/>
        <v>0</v>
      </c>
      <c r="S61" s="15">
        <f t="shared" si="13"/>
        <v>0</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No</v>
      </c>
      <c r="N62" s="14" t="str">
        <f t="shared" si="9"/>
        <v>Yes</v>
      </c>
      <c r="O62" s="312">
        <f t="shared" si="10"/>
        <v>0</v>
      </c>
      <c r="P62" s="63">
        <f t="shared" si="3"/>
        <v>1599.4666666666667</v>
      </c>
      <c r="Q62" s="312" t="str">
        <f t="shared" si="11"/>
        <v>Yes</v>
      </c>
      <c r="R62" s="312">
        <f t="shared" si="12"/>
        <v>0</v>
      </c>
      <c r="S62" s="15">
        <f t="shared" si="13"/>
        <v>0</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No</v>
      </c>
      <c r="N63" s="14" t="str">
        <f t="shared" si="9"/>
        <v>Yes</v>
      </c>
      <c r="O63" s="312">
        <f t="shared" si="10"/>
        <v>0</v>
      </c>
      <c r="P63" s="63">
        <f t="shared" si="3"/>
        <v>1632.8</v>
      </c>
      <c r="Q63" s="312" t="str">
        <f t="shared" si="11"/>
        <v>Yes</v>
      </c>
      <c r="R63" s="312">
        <f t="shared" si="12"/>
        <v>0</v>
      </c>
      <c r="S63" s="15">
        <f t="shared" si="13"/>
        <v>0</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No</v>
      </c>
      <c r="R69" s="312">
        <f t="shared" si="12"/>
        <v>29.466666666666697</v>
      </c>
      <c r="S69" s="15">
        <f t="shared" si="13"/>
        <v>-29.466666666666697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No</v>
      </c>
      <c r="R70" s="312">
        <f t="shared" si="12"/>
        <v>62.799999999999955</v>
      </c>
      <c r="S70" s="15">
        <f t="shared" si="13"/>
        <v>-62.799999999999955</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No</v>
      </c>
      <c r="R71" s="312">
        <f t="shared" si="12"/>
        <v>96.133333333333439</v>
      </c>
      <c r="S71" s="15">
        <f t="shared" si="13"/>
        <v>-96.133333333333439</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No</v>
      </c>
      <c r="R72" s="312">
        <f t="shared" si="12"/>
        <v>129.4666666666667</v>
      </c>
      <c r="S72" s="15">
        <f t="shared" si="13"/>
        <v>-129.4666666666667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No</v>
      </c>
      <c r="R73" s="312">
        <f t="shared" si="12"/>
        <v>162.79999999999995</v>
      </c>
      <c r="S73" s="15">
        <f t="shared" si="13"/>
        <v>-162.79999999999995</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No</v>
      </c>
      <c r="R74" s="312">
        <f t="shared" ref="R74:R137" si="28">IF(P74&gt;$H$2,P74-$H$2,0)</f>
        <v>196.13333333333344</v>
      </c>
      <c r="S74" s="15">
        <f t="shared" ref="S74:S137" si="29">IF(P74&gt;$H$2,O74-R74,O74)</f>
        <v>-196.13333333333344</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No</v>
      </c>
      <c r="R75" s="312">
        <f t="shared" si="28"/>
        <v>229.4666666666667</v>
      </c>
      <c r="S75" s="15">
        <f t="shared" si="29"/>
        <v>-229.4666666666667</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No</v>
      </c>
      <c r="R76" s="312">
        <f t="shared" si="28"/>
        <v>262.79999999999995</v>
      </c>
      <c r="S76" s="15">
        <f t="shared" si="29"/>
        <v>-262.79999999999995</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No</v>
      </c>
      <c r="R77" s="312">
        <f t="shared" si="28"/>
        <v>296.13333333333344</v>
      </c>
      <c r="S77" s="15">
        <f t="shared" si="29"/>
        <v>-296.13333333333344</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No</v>
      </c>
      <c r="R78" s="312">
        <f t="shared" si="28"/>
        <v>329.46666666666692</v>
      </c>
      <c r="S78" s="15">
        <f t="shared" si="29"/>
        <v>-329.46666666666692</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No</v>
      </c>
      <c r="R79" s="312">
        <f t="shared" si="28"/>
        <v>362.79999999999995</v>
      </c>
      <c r="S79" s="15">
        <f t="shared" si="29"/>
        <v>-362.79999999999995</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No</v>
      </c>
      <c r="R80" s="312">
        <f t="shared" si="28"/>
        <v>396.13333333333344</v>
      </c>
      <c r="S80" s="15">
        <f t="shared" si="29"/>
        <v>-396.13333333333344</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No</v>
      </c>
      <c r="R81" s="312">
        <f t="shared" si="28"/>
        <v>429.46666666666692</v>
      </c>
      <c r="S81" s="15">
        <f>IF(P81&gt;$H$2,O81-R81,O81)</f>
        <v>-429.46666666666692</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No</v>
      </c>
      <c r="R82" s="312">
        <f t="shared" si="28"/>
        <v>462.79999999999995</v>
      </c>
      <c r="S82" s="15">
        <f t="shared" si="29"/>
        <v>-462.79999999999995</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496.13333333333344</v>
      </c>
      <c r="S83" s="15">
        <f t="shared" si="29"/>
        <v>-496.13333333333344</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529.46666666666692</v>
      </c>
      <c r="S84" s="15">
        <f t="shared" si="29"/>
        <v>-529.46666666666692</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562.79999999999995</v>
      </c>
      <c r="S85" s="15">
        <f t="shared" si="29"/>
        <v>-562.79999999999995</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596.13333333333344</v>
      </c>
      <c r="S86" s="15">
        <f t="shared" si="29"/>
        <v>-596.13333333333344</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629.46666666666692</v>
      </c>
      <c r="S87" s="15">
        <f t="shared" si="29"/>
        <v>-629.46666666666692</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662.8</v>
      </c>
      <c r="S88" s="15">
        <f t="shared" si="29"/>
        <v>-662.8</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696.13333333333344</v>
      </c>
      <c r="S89" s="15">
        <f t="shared" si="29"/>
        <v>-696.13333333333344</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729.46666666666692</v>
      </c>
      <c r="S90" s="15">
        <f t="shared" si="29"/>
        <v>-729.46666666666692</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762.8</v>
      </c>
      <c r="S91" s="15">
        <f t="shared" si="29"/>
        <v>-762.8</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796.13333333333344</v>
      </c>
      <c r="S92" s="15">
        <f t="shared" si="29"/>
        <v>-796.13333333333344</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829.46666666666692</v>
      </c>
      <c r="S93" s="15">
        <f t="shared" si="29"/>
        <v>-829.46666666666692</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862.8</v>
      </c>
      <c r="S94" s="15">
        <f t="shared" si="29"/>
        <v>-862.8</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896.13333333333344</v>
      </c>
      <c r="S95" s="15">
        <f t="shared" si="29"/>
        <v>-896.13333333333344</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929.46666666666692</v>
      </c>
      <c r="S96" s="15">
        <f t="shared" si="29"/>
        <v>-929.46666666666692</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962.8</v>
      </c>
      <c r="S97" s="15">
        <f t="shared" si="29"/>
        <v>-962.8</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996.13333333333344</v>
      </c>
      <c r="S98" s="15">
        <f t="shared" si="29"/>
        <v>-996.13333333333344</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1029.4666666666669</v>
      </c>
      <c r="S99" s="15">
        <f t="shared" si="29"/>
        <v>-1029.4666666666669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1062.8</v>
      </c>
      <c r="S100" s="15">
        <f t="shared" si="29"/>
        <v>-1062.8</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1096.1333333333334</v>
      </c>
      <c r="S101" s="15">
        <f t="shared" si="29"/>
        <v>-1096.1333333333334</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1129.4666666666669</v>
      </c>
      <c r="S102" s="15">
        <f t="shared" si="29"/>
        <v>-1129.4666666666669</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1162.8</v>
      </c>
      <c r="S103" s="15">
        <f t="shared" si="29"/>
        <v>-1162.8</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1196.1333333333334</v>
      </c>
      <c r="S104" s="15">
        <f t="shared" si="29"/>
        <v>-1196.1333333333334</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1229.4666666666669</v>
      </c>
      <c r="S105" s="15">
        <f t="shared" si="29"/>
        <v>-1229.4666666666669</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1262.8</v>
      </c>
      <c r="S106" s="15">
        <f t="shared" si="29"/>
        <v>-1262.8</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1296.1333333333334</v>
      </c>
      <c r="S107" s="15">
        <f t="shared" si="29"/>
        <v>-1296.1333333333334</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1329.4666666666669</v>
      </c>
      <c r="S108" s="15">
        <f t="shared" si="29"/>
        <v>-1329.4666666666669</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1362.8000000000004</v>
      </c>
      <c r="S109" s="15">
        <f t="shared" si="29"/>
        <v>-1362.8000000000004</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1396.133333333333</v>
      </c>
      <c r="S110" s="15">
        <f t="shared" si="29"/>
        <v>-1396.133333333333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1429.4666666666669</v>
      </c>
      <c r="S111" s="15">
        <f t="shared" si="29"/>
        <v>-1429.4666666666669</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1462.8000000000004</v>
      </c>
      <c r="S112" s="15">
        <f t="shared" si="29"/>
        <v>-1462.8000000000004</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1496.133333333333</v>
      </c>
      <c r="S113" s="15">
        <f t="shared" si="29"/>
        <v>-1496.133333333333</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1529.4666666666669</v>
      </c>
      <c r="S114" s="15">
        <f t="shared" si="29"/>
        <v>-1529.4666666666669</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1562.8000000000004</v>
      </c>
      <c r="S115" s="15">
        <f t="shared" si="29"/>
        <v>-1562.8000000000004</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1596.133333333333</v>
      </c>
      <c r="S116" s="15">
        <f t="shared" si="29"/>
        <v>-1596.133333333333</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1629.4666666666669</v>
      </c>
      <c r="S117" s="15">
        <f t="shared" si="29"/>
        <v>-1629.4666666666669</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1662.8000000000004</v>
      </c>
      <c r="S118" s="15">
        <f t="shared" si="29"/>
        <v>-1662.8000000000004</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1696.133333333333</v>
      </c>
      <c r="S119" s="15">
        <f t="shared" si="29"/>
        <v>-1696.133333333333</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1729.4666666666669</v>
      </c>
      <c r="S120" s="15">
        <f t="shared" si="29"/>
        <v>-1729.4666666666669</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1762.8000000000004</v>
      </c>
      <c r="S121" s="15">
        <f t="shared" si="29"/>
        <v>-1762.8000000000004</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1796.133333333333</v>
      </c>
      <c r="S122" s="15">
        <f t="shared" si="29"/>
        <v>-1796.133333333333</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1829.4666666666669</v>
      </c>
      <c r="S123" s="15">
        <f t="shared" si="29"/>
        <v>-1829.4666666666669</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1862.8000000000004</v>
      </c>
      <c r="S124" s="15">
        <f t="shared" si="29"/>
        <v>-1862.8000000000004</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1896.133333333333</v>
      </c>
      <c r="S125" s="15">
        <f t="shared" si="29"/>
        <v>-1896.133333333333</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1929.4666666666669</v>
      </c>
      <c r="S126" s="15">
        <f t="shared" si="29"/>
        <v>-1929.4666666666669</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1962.8000000000004</v>
      </c>
      <c r="S127" s="15">
        <f t="shared" si="29"/>
        <v>-1962.8000000000004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1996.133333333333</v>
      </c>
      <c r="S128" s="15">
        <f t="shared" si="29"/>
        <v>-1996.133333333333</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2029.4666666666669</v>
      </c>
      <c r="S129" s="15">
        <f t="shared" si="29"/>
        <v>-2029.4666666666669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2062.8000000000002</v>
      </c>
      <c r="S130" s="15">
        <f t="shared" si="29"/>
        <v>-2062.8000000000002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2096.1333333333332</v>
      </c>
      <c r="S131" s="15">
        <f t="shared" si="29"/>
        <v>-2096.1333333333332</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2129.4666666666672</v>
      </c>
      <c r="S132" s="15">
        <f t="shared" si="29"/>
        <v>-2129.4666666666672</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2162.8000000000002</v>
      </c>
      <c r="S133" s="15">
        <f t="shared" si="29"/>
        <v>-2162.8000000000002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2196.1333333333332</v>
      </c>
      <c r="S134" s="15">
        <f t="shared" si="29"/>
        <v>-2196.1333333333332</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2229.4666666666672</v>
      </c>
      <c r="S135" s="15">
        <f t="shared" si="29"/>
        <v>-2229.4666666666672</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2262.8000000000002</v>
      </c>
      <c r="S136" s="15">
        <f t="shared" si="29"/>
        <v>-2262.8000000000002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2296.1333333333332</v>
      </c>
      <c r="S137" s="15">
        <f t="shared" si="29"/>
        <v>-2296.1333333333332</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2329.4666666666672</v>
      </c>
      <c r="S138" s="15">
        <f t="shared" ref="S138:S201" si="46">IF(P138&gt;$H$2,O138-R138,O138)</f>
        <v>-2329.4666666666672</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2362.8000000000002</v>
      </c>
      <c r="S139" s="15">
        <f t="shared" si="46"/>
        <v>-2362.8000000000002</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2396.1333333333332</v>
      </c>
      <c r="S140" s="15">
        <f t="shared" si="46"/>
        <v>-2396.1333333333332</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2429.4666666666672</v>
      </c>
      <c r="S141" s="15">
        <f t="shared" si="46"/>
        <v>-2429.4666666666672</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2462.8000000000002</v>
      </c>
      <c r="S142" s="15">
        <f t="shared" si="46"/>
        <v>-2462.8000000000002</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2496.1333333333332</v>
      </c>
      <c r="S143" s="15">
        <f t="shared" si="46"/>
        <v>-2496.1333333333332</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2529.4666666666672</v>
      </c>
      <c r="S144" s="15">
        <f t="shared" si="46"/>
        <v>-2529.4666666666672</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2562.8000000000002</v>
      </c>
      <c r="S145" s="15">
        <f t="shared" si="46"/>
        <v>-2562.8000000000002</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2596.1333333333332</v>
      </c>
      <c r="S146" s="15">
        <f t="shared" si="46"/>
        <v>-2596.1333333333332</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2629.4666666666672</v>
      </c>
      <c r="S147" s="15">
        <f t="shared" si="46"/>
        <v>-2629.4666666666672</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2662.8</v>
      </c>
      <c r="S148" s="15">
        <f t="shared" si="46"/>
        <v>-2662.8</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2696.1333333333332</v>
      </c>
      <c r="S149" s="15">
        <f t="shared" si="46"/>
        <v>-2696.1333333333332</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2729.4666666666672</v>
      </c>
      <c r="S150" s="15">
        <f t="shared" si="46"/>
        <v>-2729.4666666666672</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2762.8</v>
      </c>
      <c r="S151" s="15">
        <f t="shared" si="46"/>
        <v>-2762.8</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2796.1333333333332</v>
      </c>
      <c r="S152" s="15">
        <f t="shared" si="46"/>
        <v>-2796.1333333333332</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2829.4666666666672</v>
      </c>
      <c r="S153" s="15">
        <f t="shared" si="46"/>
        <v>-2829.4666666666672</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2862.8</v>
      </c>
      <c r="S154" s="15">
        <f t="shared" si="46"/>
        <v>-2862.8</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2896.1333333333332</v>
      </c>
      <c r="S155" s="15">
        <f t="shared" si="46"/>
        <v>-2896.1333333333332</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2929.4666666666672</v>
      </c>
      <c r="S156" s="15">
        <f t="shared" si="46"/>
        <v>-2929.4666666666672</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2962.8</v>
      </c>
      <c r="S157" s="15">
        <f t="shared" si="46"/>
        <v>-2962.8</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2996.1333333333332</v>
      </c>
      <c r="S158" s="15">
        <f t="shared" si="46"/>
        <v>-2996.1333333333332</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3029.4666666666672</v>
      </c>
      <c r="S159" s="15">
        <f t="shared" si="46"/>
        <v>-3029.4666666666672</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3062.8</v>
      </c>
      <c r="S160" s="15">
        <f t="shared" si="46"/>
        <v>-3062.8</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3096.1333333333332</v>
      </c>
      <c r="S161" s="15">
        <f t="shared" si="46"/>
        <v>-3096.1333333333332</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3129.4666666666672</v>
      </c>
      <c r="S162" s="15">
        <f t="shared" si="46"/>
        <v>-3129.4666666666672</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3162.8</v>
      </c>
      <c r="S163" s="15">
        <f t="shared" si="46"/>
        <v>-3162.8</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3196.1333333333332</v>
      </c>
      <c r="S164" s="15">
        <f t="shared" si="46"/>
        <v>-3196.1333333333332</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3229.4666666666672</v>
      </c>
      <c r="S165" s="15">
        <f t="shared" si="46"/>
        <v>-3229.4666666666672</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3262.8</v>
      </c>
      <c r="S166" s="15">
        <f t="shared" si="46"/>
        <v>-3262.8</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3296.1333333333332</v>
      </c>
      <c r="S167" s="15">
        <f t="shared" si="46"/>
        <v>-3296.1333333333332</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3329.4666666666672</v>
      </c>
      <c r="S168" s="15">
        <f t="shared" si="46"/>
        <v>-3329.4666666666672</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3362.8</v>
      </c>
      <c r="S169" s="15">
        <f t="shared" si="46"/>
        <v>-3362.8</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3396.1333333333332</v>
      </c>
      <c r="S170" s="15">
        <f t="shared" si="46"/>
        <v>-3396.1333333333332</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3429.4666666666672</v>
      </c>
      <c r="S171" s="15">
        <f t="shared" si="46"/>
        <v>-3429.4666666666672</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3462.8</v>
      </c>
      <c r="S172" s="15">
        <f t="shared" si="46"/>
        <v>-3462.8</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3496.1333333333332</v>
      </c>
      <c r="S173" s="15">
        <f t="shared" si="46"/>
        <v>-3496.1333333333332</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3529.4666666666672</v>
      </c>
      <c r="S174" s="15">
        <f t="shared" si="46"/>
        <v>-3529.4666666666672</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3562.8</v>
      </c>
      <c r="S175" s="15">
        <f t="shared" si="46"/>
        <v>-3562.8</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3596.1333333333332</v>
      </c>
      <c r="S176" s="15">
        <f t="shared" si="46"/>
        <v>-3596.1333333333332</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3629.4666666666672</v>
      </c>
      <c r="S177" s="15">
        <f t="shared" si="46"/>
        <v>-3629.4666666666672</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3662.8</v>
      </c>
      <c r="S178" s="15">
        <f t="shared" si="46"/>
        <v>-3662.8</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3696.1333333333332</v>
      </c>
      <c r="S179" s="15">
        <f t="shared" si="46"/>
        <v>-3696.1333333333332</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3729.4666666666672</v>
      </c>
      <c r="S180" s="15">
        <f t="shared" si="46"/>
        <v>-3729.4666666666672</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3762.8</v>
      </c>
      <c r="S181" s="15">
        <f t="shared" si="46"/>
        <v>-3762.8</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3796.1333333333332</v>
      </c>
      <c r="S182" s="15">
        <f t="shared" si="46"/>
        <v>-3796.1333333333332</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3829.4666666666672</v>
      </c>
      <c r="S183" s="15">
        <f t="shared" si="46"/>
        <v>-3829.4666666666672</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3862.8</v>
      </c>
      <c r="S184" s="15">
        <f t="shared" si="46"/>
        <v>-3862.8</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3896.1333333333332</v>
      </c>
      <c r="S185" s="15">
        <f t="shared" si="46"/>
        <v>-3896.1333333333332</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3929.4666666666672</v>
      </c>
      <c r="S186" s="15">
        <f t="shared" si="46"/>
        <v>-3929.4666666666672</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3962.8</v>
      </c>
      <c r="S187" s="15">
        <f t="shared" si="46"/>
        <v>-3962.8</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3996.1333333333332</v>
      </c>
      <c r="S188" s="15">
        <f t="shared" si="46"/>
        <v>-3996.1333333333332</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4029.4666666666672</v>
      </c>
      <c r="S189" s="15">
        <f t="shared" si="46"/>
        <v>-4029.4666666666672</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4062.8</v>
      </c>
      <c r="S190" s="15">
        <f t="shared" si="46"/>
        <v>-4062.8</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4096.1333333333332</v>
      </c>
      <c r="S191" s="15">
        <f t="shared" si="46"/>
        <v>-4096.1333333333332</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4129.4666666666672</v>
      </c>
      <c r="S192" s="15">
        <f t="shared" si="46"/>
        <v>-4129.4666666666672</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4162.8</v>
      </c>
      <c r="S193" s="15">
        <f t="shared" si="46"/>
        <v>-4162.8</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4196.1333333333332</v>
      </c>
      <c r="S194" s="15">
        <f t="shared" si="46"/>
        <v>-4196.1333333333332</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4229.4666666666672</v>
      </c>
      <c r="S195" s="15">
        <f t="shared" si="46"/>
        <v>-4229.4666666666672</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4262.8</v>
      </c>
      <c r="S196" s="15">
        <f t="shared" si="46"/>
        <v>-4262.8</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4296.1333333333332</v>
      </c>
      <c r="S197" s="15">
        <f t="shared" si="46"/>
        <v>-4296.1333333333332</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4329.4666666666672</v>
      </c>
      <c r="S198" s="15">
        <f t="shared" si="46"/>
        <v>-4329.4666666666672</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4362.8</v>
      </c>
      <c r="S199" s="15">
        <f t="shared" si="46"/>
        <v>-4362.8</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4396.1333333333332</v>
      </c>
      <c r="S200" s="15">
        <f t="shared" si="46"/>
        <v>-4396.1333333333332</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4429.4666666666672</v>
      </c>
      <c r="S201" s="15">
        <f t="shared" si="46"/>
        <v>-4429.4666666666672</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4462.8</v>
      </c>
      <c r="S202" s="15">
        <f t="shared" ref="S202:S209" si="62">IF(P202&gt;$H$2,O202-R202,O202)</f>
        <v>-4462.8</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4496.1333333333332</v>
      </c>
      <c r="S203" s="15">
        <f t="shared" si="62"/>
        <v>-4496.1333333333332</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4529.4666666666672</v>
      </c>
      <c r="S204" s="15">
        <f t="shared" si="62"/>
        <v>-4529.4666666666672</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4562.8</v>
      </c>
      <c r="S205" s="15">
        <f t="shared" si="62"/>
        <v>-4562.8</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4596.1333333333341</v>
      </c>
      <c r="S206" s="15">
        <f t="shared" si="62"/>
        <v>-4596.1333333333341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4629.4666666666672</v>
      </c>
      <c r="S207" s="15">
        <f t="shared" si="62"/>
        <v>-4629.4666666666672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4662.8</v>
      </c>
      <c r="S208" s="15">
        <f t="shared" si="62"/>
        <v>-4662.8</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4696.1333333333341</v>
      </c>
      <c r="S209" s="15">
        <f t="shared" si="62"/>
        <v>-4696.1333333333341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1289</v>
      </c>
      <c r="C212" s="63">
        <f>'Total income package'!$D$80</f>
        <v>0</v>
      </c>
      <c r="D212" s="63">
        <f t="shared" ref="D212:D214" si="64">B212+C212</f>
        <v>1289</v>
      </c>
      <c r="E212" s="14" t="str">
        <f t="shared" ref="E212:E214" si="65">IF(D212&lt;=$F$2,"Yes","No")</f>
        <v>No</v>
      </c>
      <c r="F212" s="63">
        <f>IF(B212-$D$2&gt;0,B212-$D$2,0)</f>
        <v>1080</v>
      </c>
      <c r="G212" s="63">
        <f>F212*0.2</f>
        <v>216</v>
      </c>
      <c r="H212" s="63">
        <f t="shared" ref="H212:H214" si="66">F212-G212</f>
        <v>864</v>
      </c>
      <c r="I212" s="312">
        <f t="shared" ref="I212:I214" si="67">C212+H212</f>
        <v>864</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385</v>
      </c>
      <c r="P212" s="63">
        <f>I212+O212</f>
        <v>1249</v>
      </c>
      <c r="Q212" s="312" t="str">
        <f>IF(P212&lt;$H$2,"Yes","No")</f>
        <v>Yes</v>
      </c>
      <c r="R212" s="312">
        <f>IF(P212&gt;$H$2,P212-$H$2,0)</f>
        <v>0</v>
      </c>
      <c r="S212" s="15">
        <f>IF(P212&gt;$H$2,O212-R212,O212)</f>
        <v>385</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1289</v>
      </c>
      <c r="C214" s="63">
        <f>'Total income package'!$D$80</f>
        <v>0</v>
      </c>
      <c r="D214" s="63">
        <f t="shared" si="64"/>
        <v>1289</v>
      </c>
      <c r="E214" s="14" t="str">
        <f t="shared" si="65"/>
        <v>No</v>
      </c>
      <c r="F214" s="63">
        <f>IF(B214-$D$2&gt;0,B214-$D$2,0)</f>
        <v>1080</v>
      </c>
      <c r="G214" s="63">
        <f>F214*0.2</f>
        <v>216</v>
      </c>
      <c r="H214" s="63">
        <f t="shared" si="66"/>
        <v>864</v>
      </c>
      <c r="I214" s="312">
        <f t="shared" si="67"/>
        <v>864</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385</v>
      </c>
      <c r="P214" s="63">
        <f>I214+O214</f>
        <v>1249</v>
      </c>
      <c r="Q214" s="312" t="str">
        <f>IF(P214&lt;$H$2,"Yes","No")</f>
        <v>Yes</v>
      </c>
      <c r="R214" s="312">
        <f>IF(P214&gt;$H$2,P214-$H$2,0)</f>
        <v>0</v>
      </c>
      <c r="S214" s="15">
        <f>IF(P214&gt;$H$2,O214-R214,O214)</f>
        <v>385</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2</v>
      </c>
      <c r="C2" s="77">
        <f>COUNTIF('Total income package'!$B$48:$B$54,"Infant")</f>
        <v>0</v>
      </c>
      <c r="D2" s="77">
        <f>COUNTIF('Total income package'!$B$48:$B$54,"Toddler")</f>
        <v>0</v>
      </c>
      <c r="E2" s="77">
        <f>COUNTIF('Total income package'!$B$48:$B$54,"Two year old")</f>
        <v>0</v>
      </c>
      <c r="F2" s="77">
        <f>COUNTIF('Total income package'!$B$48:$B$54,"Preschool")</f>
        <v>0</v>
      </c>
      <c r="G2" s="77">
        <f>SUM(C2:F2)</f>
        <v>0</v>
      </c>
      <c r="H2" s="78">
        <f>'Total income package'!H61+'Total income package'!F66+'Total income package'!D80</f>
        <v>100</v>
      </c>
      <c r="I2" s="151">
        <f>VLOOKUP(B2,'Program specific data'!A109:B116,2)</f>
        <v>3261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100</v>
      </c>
      <c r="D8" s="20">
        <f>MAX('TANF-VIEW'!L9,'TANF-VIEW'!T9)</f>
        <v>385</v>
      </c>
      <c r="E8" s="20">
        <f>B8+C8+D8</f>
        <v>485</v>
      </c>
      <c r="F8" s="178">
        <f>IF(AND('Total income package'!$A$24=TRUE,E8&lt;$I$2),'Program specific data'!$B$119*WIC!$G$2,0)</f>
        <v>0</v>
      </c>
    </row>
    <row r="9" spans="1:17" x14ac:dyDescent="0.25">
      <c r="A9" s="19">
        <v>500</v>
      </c>
      <c r="B9" s="20">
        <f t="shared" si="0"/>
        <v>41.666666666666664</v>
      </c>
      <c r="C9" s="20">
        <f>$H$2</f>
        <v>100</v>
      </c>
      <c r="D9" s="20">
        <f>MAX('TANF-VIEW'!L10,'TANF-VIEW'!T10)</f>
        <v>385</v>
      </c>
      <c r="E9" s="20">
        <f t="shared" ref="E9:E72" si="1">B9+C9+D9</f>
        <v>526.66666666666663</v>
      </c>
      <c r="F9" s="178">
        <f>IF(AND('Total income package'!$A$24=TRUE,E9&lt;$I$2),'Program specific data'!$B$119*WIC!$G$2,0)</f>
        <v>0</v>
      </c>
    </row>
    <row r="10" spans="1:17" x14ac:dyDescent="0.25">
      <c r="A10" s="19">
        <v>1000</v>
      </c>
      <c r="B10" s="20">
        <f t="shared" si="0"/>
        <v>83.333333333333329</v>
      </c>
      <c r="C10" s="20">
        <f t="shared" ref="C10:C72" si="2">$H$2</f>
        <v>100</v>
      </c>
      <c r="D10" s="20">
        <f>MAX('TANF-VIEW'!L11,'TANF-VIEW'!T11)</f>
        <v>385</v>
      </c>
      <c r="E10" s="20">
        <f t="shared" si="1"/>
        <v>568.33333333333326</v>
      </c>
      <c r="F10" s="178">
        <f>IF(AND('Total income package'!$A$24=TRUE,E10&lt;$I$2),'Program specific data'!$B$119*WIC!$G$2,0)</f>
        <v>0</v>
      </c>
    </row>
    <row r="11" spans="1:17" x14ac:dyDescent="0.25">
      <c r="A11" s="19">
        <v>1500</v>
      </c>
      <c r="B11" s="20">
        <f t="shared" si="0"/>
        <v>125</v>
      </c>
      <c r="C11" s="20">
        <f t="shared" si="2"/>
        <v>100</v>
      </c>
      <c r="D11" s="20">
        <f>MAX('TANF-VIEW'!L12,'TANF-VIEW'!T12)</f>
        <v>385</v>
      </c>
      <c r="E11" s="20">
        <f t="shared" si="1"/>
        <v>610</v>
      </c>
      <c r="F11" s="178">
        <f>IF(AND('Total income package'!$A$24=TRUE,E11&lt;$I$2),'Program specific data'!$B$119*WIC!$G$2,0)</f>
        <v>0</v>
      </c>
    </row>
    <row r="12" spans="1:17" x14ac:dyDescent="0.25">
      <c r="A12" s="19">
        <v>2000</v>
      </c>
      <c r="B12" s="20">
        <f t="shared" si="0"/>
        <v>166.66666666666666</v>
      </c>
      <c r="C12" s="20">
        <f t="shared" si="2"/>
        <v>100</v>
      </c>
      <c r="D12" s="20">
        <f>MAX('TANF-VIEW'!L13,'TANF-VIEW'!T13)</f>
        <v>385</v>
      </c>
      <c r="E12" s="20">
        <f t="shared" si="1"/>
        <v>651.66666666666663</v>
      </c>
      <c r="F12" s="178">
        <f>IF(AND('Total income package'!$A$24=TRUE,E12&lt;$I$2),'Program specific data'!$B$119*WIC!$G$2,0)</f>
        <v>0</v>
      </c>
      <c r="L12" s="16"/>
      <c r="M12" s="16"/>
      <c r="N12" s="16"/>
      <c r="O12" s="16"/>
      <c r="P12" s="16"/>
      <c r="Q12" s="7"/>
    </row>
    <row r="13" spans="1:17" x14ac:dyDescent="0.25">
      <c r="A13" s="19">
        <v>2500</v>
      </c>
      <c r="B13" s="20">
        <f t="shared" si="0"/>
        <v>208.33333333333334</v>
      </c>
      <c r="C13" s="20">
        <f t="shared" si="2"/>
        <v>100</v>
      </c>
      <c r="D13" s="20">
        <f>MAX('TANF-VIEW'!L14,'TANF-VIEW'!T14)</f>
        <v>385</v>
      </c>
      <c r="E13" s="20">
        <f t="shared" si="1"/>
        <v>693.33333333333337</v>
      </c>
      <c r="F13" s="178">
        <f>IF(AND('Total income package'!$A$24=TRUE,E13&lt;$I$2),'Program specific data'!$B$119*WIC!$G$2,0)</f>
        <v>0</v>
      </c>
      <c r="L13" s="17"/>
      <c r="Q13" s="7"/>
    </row>
    <row r="14" spans="1:17" x14ac:dyDescent="0.25">
      <c r="A14" s="19">
        <v>3000</v>
      </c>
      <c r="B14" s="20">
        <f t="shared" si="0"/>
        <v>250</v>
      </c>
      <c r="C14" s="20">
        <f t="shared" si="2"/>
        <v>100</v>
      </c>
      <c r="D14" s="20">
        <f>MAX('TANF-VIEW'!L15,'TANF-VIEW'!T15)</f>
        <v>352.2</v>
      </c>
      <c r="E14" s="20">
        <f t="shared" si="1"/>
        <v>702.2</v>
      </c>
      <c r="F14" s="178">
        <f>IF(AND('Total income package'!$A$24=TRUE,E14&lt;$I$2),'Program specific data'!$B$119*WIC!$G$2,0)</f>
        <v>0</v>
      </c>
      <c r="M14" s="7"/>
      <c r="Q14" s="7"/>
    </row>
    <row r="15" spans="1:17" x14ac:dyDescent="0.25">
      <c r="A15" s="19">
        <v>3500</v>
      </c>
      <c r="B15" s="20">
        <f t="shared" si="0"/>
        <v>291.66666666666669</v>
      </c>
      <c r="C15" s="20">
        <f t="shared" si="2"/>
        <v>100</v>
      </c>
      <c r="D15" s="20">
        <f>MAX('TANF-VIEW'!L16,'TANF-VIEW'!T16)</f>
        <v>318.86666666666667</v>
      </c>
      <c r="E15" s="20">
        <f t="shared" si="1"/>
        <v>710.5333333333333</v>
      </c>
      <c r="F15" s="178">
        <f>IF(AND('Total income package'!$A$24=TRUE,E15&lt;$I$2),'Program specific data'!$B$119*WIC!$G$2,0)</f>
        <v>0</v>
      </c>
      <c r="N15" s="7"/>
      <c r="O15" s="7"/>
      <c r="Q15" s="7"/>
    </row>
    <row r="16" spans="1:17" x14ac:dyDescent="0.25">
      <c r="A16" s="19">
        <v>4000</v>
      </c>
      <c r="B16" s="20">
        <f t="shared" si="0"/>
        <v>333.33333333333331</v>
      </c>
      <c r="C16" s="20">
        <f t="shared" si="2"/>
        <v>100</v>
      </c>
      <c r="D16" s="20">
        <f>MAX('TANF-VIEW'!L17,'TANF-VIEW'!T17)</f>
        <v>285.53333333333336</v>
      </c>
      <c r="E16" s="20">
        <f t="shared" si="1"/>
        <v>718.86666666666667</v>
      </c>
      <c r="F16" s="178">
        <f>IF(AND('Total income package'!$A$24=TRUE,E16&lt;$I$2),'Program specific data'!$B$119*WIC!$G$2,0)</f>
        <v>0</v>
      </c>
    </row>
    <row r="17" spans="1:6" x14ac:dyDescent="0.25">
      <c r="A17" s="19">
        <v>4500</v>
      </c>
      <c r="B17" s="20">
        <f t="shared" si="0"/>
        <v>375</v>
      </c>
      <c r="C17" s="20">
        <f t="shared" si="2"/>
        <v>100</v>
      </c>
      <c r="D17" s="20">
        <f>MAX('TANF-VIEW'!L18,'TANF-VIEW'!T18)</f>
        <v>252.2</v>
      </c>
      <c r="E17" s="20">
        <f t="shared" si="1"/>
        <v>727.2</v>
      </c>
      <c r="F17" s="178">
        <f>IF(AND('Total income package'!$A$24=TRUE,E17&lt;$I$2),'Program specific data'!$B$119*WIC!$G$2,0)</f>
        <v>0</v>
      </c>
    </row>
    <row r="18" spans="1:6" x14ac:dyDescent="0.25">
      <c r="A18" s="19">
        <v>5000</v>
      </c>
      <c r="B18" s="20">
        <f t="shared" si="0"/>
        <v>416.66666666666669</v>
      </c>
      <c r="C18" s="20">
        <f t="shared" si="2"/>
        <v>100</v>
      </c>
      <c r="D18" s="20">
        <f>MAX('TANF-VIEW'!L19,'TANF-VIEW'!T19)</f>
        <v>218.86666666666665</v>
      </c>
      <c r="E18" s="20">
        <f t="shared" si="1"/>
        <v>735.53333333333342</v>
      </c>
      <c r="F18" s="178">
        <f>IF(AND('Total income package'!$A$24=TRUE,E18&lt;$I$2),'Program specific data'!$B$119*WIC!$G$2,0)</f>
        <v>0</v>
      </c>
    </row>
    <row r="19" spans="1:6" x14ac:dyDescent="0.25">
      <c r="A19" s="19">
        <v>5500</v>
      </c>
      <c r="B19" s="20">
        <f t="shared" si="0"/>
        <v>458.33333333333331</v>
      </c>
      <c r="C19" s="20">
        <f t="shared" si="2"/>
        <v>100</v>
      </c>
      <c r="D19" s="20">
        <f>MAX('TANF-VIEW'!L20,'TANF-VIEW'!T20)</f>
        <v>185.53333333333336</v>
      </c>
      <c r="E19" s="20">
        <f t="shared" si="1"/>
        <v>743.86666666666656</v>
      </c>
      <c r="F19" s="178">
        <f>IF(AND('Total income package'!$A$24=TRUE,E19&lt;$I$2),'Program specific data'!$B$119*WIC!$G$2,0)</f>
        <v>0</v>
      </c>
    </row>
    <row r="20" spans="1:6" x14ac:dyDescent="0.25">
      <c r="A20" s="19">
        <v>6000</v>
      </c>
      <c r="B20" s="20">
        <f t="shared" si="0"/>
        <v>500</v>
      </c>
      <c r="C20" s="20">
        <f t="shared" si="2"/>
        <v>100</v>
      </c>
      <c r="D20" s="20">
        <f>MAX('TANF-VIEW'!L21,'TANF-VIEW'!T21)</f>
        <v>152.19999999999999</v>
      </c>
      <c r="E20" s="20">
        <f t="shared" si="1"/>
        <v>752.2</v>
      </c>
      <c r="F20" s="178">
        <f>IF(AND('Total income package'!$A$24=TRUE,E20&lt;$I$2),'Program specific data'!$B$119*WIC!$G$2,0)</f>
        <v>0</v>
      </c>
    </row>
    <row r="21" spans="1:6" x14ac:dyDescent="0.25">
      <c r="A21" s="19">
        <v>6500</v>
      </c>
      <c r="B21" s="20">
        <f t="shared" si="0"/>
        <v>541.66666666666663</v>
      </c>
      <c r="C21" s="20">
        <f t="shared" si="2"/>
        <v>100</v>
      </c>
      <c r="D21" s="20">
        <f>MAX('TANF-VIEW'!L22,'TANF-VIEW'!T22)</f>
        <v>118.86666666666667</v>
      </c>
      <c r="E21" s="20">
        <f t="shared" si="1"/>
        <v>760.5333333333333</v>
      </c>
      <c r="F21" s="178">
        <f>IF(AND('Total income package'!$A$24=TRUE,E21&lt;$I$2),'Program specific data'!$B$119*WIC!$G$2,0)</f>
        <v>0</v>
      </c>
    </row>
    <row r="22" spans="1:6" x14ac:dyDescent="0.25">
      <c r="A22" s="19">
        <v>7000</v>
      </c>
      <c r="B22" s="20">
        <f t="shared" si="0"/>
        <v>583.33333333333337</v>
      </c>
      <c r="C22" s="20">
        <f t="shared" si="2"/>
        <v>100</v>
      </c>
      <c r="D22" s="20">
        <f>MAX('TANF-VIEW'!L23,'TANF-VIEW'!T23)</f>
        <v>85.533333333333303</v>
      </c>
      <c r="E22" s="20">
        <f t="shared" si="1"/>
        <v>768.86666666666667</v>
      </c>
      <c r="F22" s="178">
        <f>IF(AND('Total income package'!$A$24=TRUE,E22&lt;$I$2),'Program specific data'!$B$119*WIC!$G$2,0)</f>
        <v>0</v>
      </c>
    </row>
    <row r="23" spans="1:6" x14ac:dyDescent="0.25">
      <c r="A23" s="19">
        <v>7500</v>
      </c>
      <c r="B23" s="20">
        <f t="shared" si="0"/>
        <v>625</v>
      </c>
      <c r="C23" s="20">
        <f t="shared" si="2"/>
        <v>100</v>
      </c>
      <c r="D23" s="20">
        <f>MAX('TANF-VIEW'!L24,'TANF-VIEW'!T24)</f>
        <v>52.199999999999989</v>
      </c>
      <c r="E23" s="20">
        <f t="shared" si="1"/>
        <v>777.2</v>
      </c>
      <c r="F23" s="178">
        <f>IF(AND('Total income package'!$A$24=TRUE,E23&lt;$I$2),'Program specific data'!$B$119*WIC!$G$2,0)</f>
        <v>0</v>
      </c>
    </row>
    <row r="24" spans="1:6" x14ac:dyDescent="0.25">
      <c r="A24" s="19">
        <v>8000</v>
      </c>
      <c r="B24" s="20">
        <f t="shared" si="0"/>
        <v>666.66666666666663</v>
      </c>
      <c r="C24" s="20">
        <f t="shared" si="2"/>
        <v>100</v>
      </c>
      <c r="D24" s="20">
        <f>MAX('TANF-VIEW'!L25,'TANF-VIEW'!T25)</f>
        <v>18.866666666666674</v>
      </c>
      <c r="E24" s="20">
        <f t="shared" si="1"/>
        <v>785.5333333333333</v>
      </c>
      <c r="F24" s="178">
        <f>IF(AND('Total income package'!$A$24=TRUE,E24&lt;$I$2),'Program specific data'!$B$119*WIC!$G$2,0)</f>
        <v>0</v>
      </c>
    </row>
    <row r="25" spans="1:6" x14ac:dyDescent="0.25">
      <c r="A25" s="19">
        <v>8500</v>
      </c>
      <c r="B25" s="20">
        <f t="shared" si="0"/>
        <v>708.33333333333337</v>
      </c>
      <c r="C25" s="20">
        <f t="shared" si="2"/>
        <v>100</v>
      </c>
      <c r="D25" s="20">
        <f>MAX('TANF-VIEW'!L26,'TANF-VIEW'!T26)</f>
        <v>0</v>
      </c>
      <c r="E25" s="20">
        <f t="shared" si="1"/>
        <v>808.33333333333337</v>
      </c>
      <c r="F25" s="178">
        <f>IF(AND('Total income package'!$A$24=TRUE,E25&lt;$I$2),'Program specific data'!$B$119*WIC!$G$2,0)</f>
        <v>0</v>
      </c>
    </row>
    <row r="26" spans="1:6" x14ac:dyDescent="0.25">
      <c r="A26" s="19">
        <v>9000</v>
      </c>
      <c r="B26" s="20">
        <f t="shared" si="0"/>
        <v>750</v>
      </c>
      <c r="C26" s="20">
        <f t="shared" si="2"/>
        <v>100</v>
      </c>
      <c r="D26" s="20">
        <f>MAX('TANF-VIEW'!L27,'TANF-VIEW'!T27)</f>
        <v>0</v>
      </c>
      <c r="E26" s="20">
        <f t="shared" si="1"/>
        <v>850</v>
      </c>
      <c r="F26" s="178">
        <f>IF(AND('Total income package'!$A$24=TRUE,E26&lt;$I$2),'Program specific data'!$B$119*WIC!$G$2,0)</f>
        <v>0</v>
      </c>
    </row>
    <row r="27" spans="1:6" x14ac:dyDescent="0.25">
      <c r="A27" s="19">
        <v>9500</v>
      </c>
      <c r="B27" s="20">
        <f t="shared" si="0"/>
        <v>791.66666666666663</v>
      </c>
      <c r="C27" s="20">
        <f t="shared" si="2"/>
        <v>100</v>
      </c>
      <c r="D27" s="20">
        <f>MAX('TANF-VIEW'!L28,'TANF-VIEW'!T28)</f>
        <v>0</v>
      </c>
      <c r="E27" s="20">
        <f t="shared" si="1"/>
        <v>891.66666666666663</v>
      </c>
      <c r="F27" s="178">
        <f>IF(AND('Total income package'!$A$24=TRUE,E27&lt;$I$2),'Program specific data'!$B$119*WIC!$G$2,0)</f>
        <v>0</v>
      </c>
    </row>
    <row r="28" spans="1:6" x14ac:dyDescent="0.25">
      <c r="A28" s="19">
        <v>10000</v>
      </c>
      <c r="B28" s="20">
        <f t="shared" si="0"/>
        <v>833.33333333333337</v>
      </c>
      <c r="C28" s="20">
        <f t="shared" si="2"/>
        <v>100</v>
      </c>
      <c r="D28" s="20">
        <f>MAX('TANF-VIEW'!L29,'TANF-VIEW'!T29)</f>
        <v>0</v>
      </c>
      <c r="E28" s="20">
        <f t="shared" si="1"/>
        <v>933.33333333333337</v>
      </c>
      <c r="F28" s="178">
        <f>IF(AND('Total income package'!$A$24=TRUE,E28&lt;$I$2),'Program specific data'!$B$119*WIC!$G$2,0)</f>
        <v>0</v>
      </c>
    </row>
    <row r="29" spans="1:6" x14ac:dyDescent="0.25">
      <c r="A29" s="19">
        <v>10500</v>
      </c>
      <c r="B29" s="20">
        <f t="shared" si="0"/>
        <v>875</v>
      </c>
      <c r="C29" s="20">
        <f t="shared" si="2"/>
        <v>100</v>
      </c>
      <c r="D29" s="20">
        <f>MAX('TANF-VIEW'!L30,'TANF-VIEW'!T30)</f>
        <v>0</v>
      </c>
      <c r="E29" s="20">
        <f t="shared" si="1"/>
        <v>975</v>
      </c>
      <c r="F29" s="178">
        <f>IF(AND('Total income package'!$A$24=TRUE,E29&lt;$I$2),'Program specific data'!$B$119*WIC!$G$2,0)</f>
        <v>0</v>
      </c>
    </row>
    <row r="30" spans="1:6" x14ac:dyDescent="0.25">
      <c r="A30" s="19">
        <v>11000</v>
      </c>
      <c r="B30" s="20">
        <f t="shared" si="0"/>
        <v>916.66666666666663</v>
      </c>
      <c r="C30" s="20">
        <f t="shared" si="2"/>
        <v>100</v>
      </c>
      <c r="D30" s="20">
        <f>MAX('TANF-VIEW'!L31,'TANF-VIEW'!T31)</f>
        <v>0</v>
      </c>
      <c r="E30" s="20">
        <f t="shared" si="1"/>
        <v>1016.6666666666666</v>
      </c>
      <c r="F30" s="178">
        <f>IF(AND('Total income package'!$A$24=TRUE,E30&lt;$I$2),'Program specific data'!$B$119*WIC!$G$2,0)</f>
        <v>0</v>
      </c>
    </row>
    <row r="31" spans="1:6" x14ac:dyDescent="0.25">
      <c r="A31" s="19">
        <v>11500</v>
      </c>
      <c r="B31" s="20">
        <f t="shared" si="0"/>
        <v>958.33333333333337</v>
      </c>
      <c r="C31" s="20">
        <f t="shared" si="2"/>
        <v>100</v>
      </c>
      <c r="D31" s="20">
        <f>MAX('TANF-VIEW'!L32,'TANF-VIEW'!T32)</f>
        <v>0</v>
      </c>
      <c r="E31" s="20">
        <f t="shared" si="1"/>
        <v>1058.3333333333335</v>
      </c>
      <c r="F31" s="178">
        <f>IF(AND('Total income package'!$A$24=TRUE,E31&lt;$I$2),'Program specific data'!$B$119*WIC!$G$2,0)</f>
        <v>0</v>
      </c>
    </row>
    <row r="32" spans="1:6" x14ac:dyDescent="0.25">
      <c r="A32" s="19">
        <v>12000</v>
      </c>
      <c r="B32" s="20">
        <f t="shared" si="0"/>
        <v>1000</v>
      </c>
      <c r="C32" s="20">
        <f t="shared" si="2"/>
        <v>100</v>
      </c>
      <c r="D32" s="20">
        <f>MAX('TANF-VIEW'!L33,'TANF-VIEW'!T33)</f>
        <v>0</v>
      </c>
      <c r="E32" s="20">
        <f t="shared" si="1"/>
        <v>1100</v>
      </c>
      <c r="F32" s="178">
        <f>IF(AND('Total income package'!$A$24=TRUE,E32&lt;$I$2),'Program specific data'!$B$119*WIC!$G$2,0)</f>
        <v>0</v>
      </c>
    </row>
    <row r="33" spans="1:6" x14ac:dyDescent="0.25">
      <c r="A33" s="19">
        <v>12500</v>
      </c>
      <c r="B33" s="20">
        <f t="shared" si="0"/>
        <v>1041.6666666666667</v>
      </c>
      <c r="C33" s="20">
        <f t="shared" si="2"/>
        <v>100</v>
      </c>
      <c r="D33" s="20">
        <f>MAX('TANF-VIEW'!L34,'TANF-VIEW'!T34)</f>
        <v>0</v>
      </c>
      <c r="E33" s="20">
        <f t="shared" si="1"/>
        <v>1141.6666666666667</v>
      </c>
      <c r="F33" s="178">
        <f>IF(AND('Total income package'!$A$24=TRUE,E33&lt;$I$2),'Program specific data'!$B$119*WIC!$G$2,0)</f>
        <v>0</v>
      </c>
    </row>
    <row r="34" spans="1:6" x14ac:dyDescent="0.25">
      <c r="A34" s="19">
        <v>13000</v>
      </c>
      <c r="B34" s="20">
        <f t="shared" si="0"/>
        <v>1083.3333333333333</v>
      </c>
      <c r="C34" s="20">
        <f t="shared" si="2"/>
        <v>100</v>
      </c>
      <c r="D34" s="20">
        <f>MAX('TANF-VIEW'!L35,'TANF-VIEW'!T35)</f>
        <v>0</v>
      </c>
      <c r="E34" s="20">
        <f t="shared" si="1"/>
        <v>1183.3333333333333</v>
      </c>
      <c r="F34" s="178">
        <f>IF(AND('Total income package'!$A$24=TRUE,E34&lt;$I$2),'Program specific data'!$B$119*WIC!$G$2,0)</f>
        <v>0</v>
      </c>
    </row>
    <row r="35" spans="1:6" x14ac:dyDescent="0.25">
      <c r="A35" s="19">
        <v>13500</v>
      </c>
      <c r="B35" s="20">
        <f t="shared" si="0"/>
        <v>1125</v>
      </c>
      <c r="C35" s="20">
        <f t="shared" si="2"/>
        <v>100</v>
      </c>
      <c r="D35" s="20">
        <f>MAX('TANF-VIEW'!L36,'TANF-VIEW'!T36)</f>
        <v>0</v>
      </c>
      <c r="E35" s="20">
        <f t="shared" si="1"/>
        <v>1225</v>
      </c>
      <c r="F35" s="178">
        <f>IF(AND('Total income package'!$A$24=TRUE,E35&lt;$I$2),'Program specific data'!$B$119*WIC!$G$2,0)</f>
        <v>0</v>
      </c>
    </row>
    <row r="36" spans="1:6" x14ac:dyDescent="0.25">
      <c r="A36" s="19">
        <v>14000</v>
      </c>
      <c r="B36" s="20">
        <f t="shared" si="0"/>
        <v>1166.6666666666667</v>
      </c>
      <c r="C36" s="20">
        <f t="shared" si="2"/>
        <v>100</v>
      </c>
      <c r="D36" s="20">
        <f>MAX('TANF-VIEW'!L37,'TANF-VIEW'!T37)</f>
        <v>0</v>
      </c>
      <c r="E36" s="20">
        <f t="shared" si="1"/>
        <v>1266.6666666666667</v>
      </c>
      <c r="F36" s="178">
        <f>IF(AND('Total income package'!$A$24=TRUE,E36&lt;$I$2),'Program specific data'!$B$119*WIC!$G$2,0)</f>
        <v>0</v>
      </c>
    </row>
    <row r="37" spans="1:6" x14ac:dyDescent="0.25">
      <c r="A37" s="19">
        <v>14500</v>
      </c>
      <c r="B37" s="20">
        <f t="shared" si="0"/>
        <v>1208.3333333333333</v>
      </c>
      <c r="C37" s="20">
        <f t="shared" si="2"/>
        <v>100</v>
      </c>
      <c r="D37" s="20">
        <f>MAX('TANF-VIEW'!L38,'TANF-VIEW'!T38)</f>
        <v>0</v>
      </c>
      <c r="E37" s="20">
        <f t="shared" si="1"/>
        <v>1308.3333333333333</v>
      </c>
      <c r="F37" s="178">
        <f>IF(AND('Total income package'!$A$24=TRUE,E37&lt;$I$2),'Program specific data'!$B$119*WIC!$G$2,0)</f>
        <v>0</v>
      </c>
    </row>
    <row r="38" spans="1:6" x14ac:dyDescent="0.25">
      <c r="A38" s="19">
        <v>15000</v>
      </c>
      <c r="B38" s="20">
        <f t="shared" si="0"/>
        <v>1250</v>
      </c>
      <c r="C38" s="20">
        <f t="shared" si="2"/>
        <v>100</v>
      </c>
      <c r="D38" s="20">
        <f>MAX('TANF-VIEW'!L39,'TANF-VIEW'!T39)</f>
        <v>0</v>
      </c>
      <c r="E38" s="20">
        <f t="shared" si="1"/>
        <v>1350</v>
      </c>
      <c r="F38" s="178">
        <f>IF(AND('Total income package'!$A$24=TRUE,E38&lt;$I$2),'Program specific data'!$B$119*WIC!$G$2,0)</f>
        <v>0</v>
      </c>
    </row>
    <row r="39" spans="1:6" x14ac:dyDescent="0.25">
      <c r="A39" s="19">
        <v>15500</v>
      </c>
      <c r="B39" s="20">
        <f t="shared" si="0"/>
        <v>1291.6666666666667</v>
      </c>
      <c r="C39" s="20">
        <f t="shared" si="2"/>
        <v>100</v>
      </c>
      <c r="D39" s="20">
        <f>MAX('TANF-VIEW'!L40,'TANF-VIEW'!T40)</f>
        <v>0</v>
      </c>
      <c r="E39" s="20">
        <f t="shared" si="1"/>
        <v>1391.6666666666667</v>
      </c>
      <c r="F39" s="178">
        <f>IF(AND('Total income package'!$A$24=TRUE,E39&lt;$I$2),'Program specific data'!$B$119*WIC!$G$2,0)</f>
        <v>0</v>
      </c>
    </row>
    <row r="40" spans="1:6" x14ac:dyDescent="0.25">
      <c r="A40" s="19">
        <v>16000</v>
      </c>
      <c r="B40" s="20">
        <f t="shared" si="0"/>
        <v>1333.3333333333333</v>
      </c>
      <c r="C40" s="20">
        <f t="shared" si="2"/>
        <v>100</v>
      </c>
      <c r="D40" s="20">
        <f>MAX('TANF-VIEW'!L41,'TANF-VIEW'!T41)</f>
        <v>0</v>
      </c>
      <c r="E40" s="20">
        <f t="shared" si="1"/>
        <v>1433.3333333333333</v>
      </c>
      <c r="F40" s="178">
        <f>IF(AND('Total income package'!$A$24=TRUE,E40&lt;$I$2),'Program specific data'!$B$119*WIC!$G$2,0)</f>
        <v>0</v>
      </c>
    </row>
    <row r="41" spans="1:6" x14ac:dyDescent="0.25">
      <c r="A41" s="19">
        <v>16500</v>
      </c>
      <c r="B41" s="20">
        <f t="shared" si="0"/>
        <v>1375</v>
      </c>
      <c r="C41" s="20">
        <f t="shared" si="2"/>
        <v>100</v>
      </c>
      <c r="D41" s="20">
        <f>MAX('TANF-VIEW'!L42,'TANF-VIEW'!T42)</f>
        <v>0</v>
      </c>
      <c r="E41" s="20">
        <f t="shared" si="1"/>
        <v>1475</v>
      </c>
      <c r="F41" s="178">
        <f>IF(AND('Total income package'!$A$24=TRUE,E41&lt;$I$2),'Program specific data'!$B$119*WIC!$G$2,0)</f>
        <v>0</v>
      </c>
    </row>
    <row r="42" spans="1:6" x14ac:dyDescent="0.25">
      <c r="A42" s="19">
        <v>17000</v>
      </c>
      <c r="B42" s="20">
        <f t="shared" si="0"/>
        <v>1416.6666666666667</v>
      </c>
      <c r="C42" s="20">
        <f t="shared" si="2"/>
        <v>100</v>
      </c>
      <c r="D42" s="20">
        <f>MAX('TANF-VIEW'!L43,'TANF-VIEW'!T43)</f>
        <v>0</v>
      </c>
      <c r="E42" s="20">
        <f t="shared" si="1"/>
        <v>1516.6666666666667</v>
      </c>
      <c r="F42" s="178">
        <f>IF(AND('Total income package'!$A$24=TRUE,E42&lt;$I$2),'Program specific data'!$B$119*WIC!$G$2,0)</f>
        <v>0</v>
      </c>
    </row>
    <row r="43" spans="1:6" x14ac:dyDescent="0.25">
      <c r="A43" s="19">
        <v>17500</v>
      </c>
      <c r="B43" s="20">
        <f t="shared" si="0"/>
        <v>1458.3333333333333</v>
      </c>
      <c r="C43" s="20">
        <f t="shared" si="2"/>
        <v>100</v>
      </c>
      <c r="D43" s="20">
        <f>MAX('TANF-VIEW'!L44,'TANF-VIEW'!T44)</f>
        <v>0</v>
      </c>
      <c r="E43" s="20">
        <f t="shared" si="1"/>
        <v>1558.3333333333333</v>
      </c>
      <c r="F43" s="178">
        <f>IF(AND('Total income package'!$A$24=TRUE,E43&lt;$I$2),'Program specific data'!$B$119*WIC!$G$2,0)</f>
        <v>0</v>
      </c>
    </row>
    <row r="44" spans="1:6" x14ac:dyDescent="0.25">
      <c r="A44" s="19">
        <v>18000</v>
      </c>
      <c r="B44" s="20">
        <f t="shared" si="0"/>
        <v>1500</v>
      </c>
      <c r="C44" s="20">
        <f t="shared" si="2"/>
        <v>100</v>
      </c>
      <c r="D44" s="20">
        <f>MAX('TANF-VIEW'!L45,'TANF-VIEW'!T45)</f>
        <v>0</v>
      </c>
      <c r="E44" s="20">
        <f t="shared" si="1"/>
        <v>1600</v>
      </c>
      <c r="F44" s="178">
        <f>IF(AND('Total income package'!$A$24=TRUE,E44&lt;$I$2),'Program specific data'!$B$119*WIC!$G$2,0)</f>
        <v>0</v>
      </c>
    </row>
    <row r="45" spans="1:6" x14ac:dyDescent="0.25">
      <c r="A45" s="19">
        <v>18500</v>
      </c>
      <c r="B45" s="20">
        <f t="shared" si="0"/>
        <v>1541.6666666666667</v>
      </c>
      <c r="C45" s="20">
        <f t="shared" si="2"/>
        <v>100</v>
      </c>
      <c r="D45" s="20">
        <f>MAX('TANF-VIEW'!L46,'TANF-VIEW'!T46)</f>
        <v>0</v>
      </c>
      <c r="E45" s="20">
        <f t="shared" si="1"/>
        <v>1641.6666666666667</v>
      </c>
      <c r="F45" s="178">
        <f>IF(AND('Total income package'!$A$24=TRUE,E45&lt;$I$2),'Program specific data'!$B$119*WIC!$G$2,0)</f>
        <v>0</v>
      </c>
    </row>
    <row r="46" spans="1:6" x14ac:dyDescent="0.25">
      <c r="A46" s="19">
        <v>19000</v>
      </c>
      <c r="B46" s="20">
        <f t="shared" si="0"/>
        <v>1583.3333333333333</v>
      </c>
      <c r="C46" s="20">
        <f t="shared" si="2"/>
        <v>100</v>
      </c>
      <c r="D46" s="20">
        <f>MAX('TANF-VIEW'!L47,'TANF-VIEW'!T47)</f>
        <v>0</v>
      </c>
      <c r="E46" s="20">
        <f t="shared" si="1"/>
        <v>1683.3333333333333</v>
      </c>
      <c r="F46" s="178">
        <f>IF(AND('Total income package'!$A$24=TRUE,E46&lt;$I$2),'Program specific data'!$B$119*WIC!$G$2,0)</f>
        <v>0</v>
      </c>
    </row>
    <row r="47" spans="1:6" x14ac:dyDescent="0.25">
      <c r="A47" s="19">
        <v>19500</v>
      </c>
      <c r="B47" s="20">
        <f t="shared" si="0"/>
        <v>1625</v>
      </c>
      <c r="C47" s="20">
        <f t="shared" si="2"/>
        <v>100</v>
      </c>
      <c r="D47" s="20">
        <f>MAX('TANF-VIEW'!L48,'TANF-VIEW'!T48)</f>
        <v>0</v>
      </c>
      <c r="E47" s="20">
        <f t="shared" si="1"/>
        <v>1725</v>
      </c>
      <c r="F47" s="178">
        <f>IF(AND('Total income package'!$A$24=TRUE,E47&lt;$I$2),'Program specific data'!$B$119*WIC!$G$2,0)</f>
        <v>0</v>
      </c>
    </row>
    <row r="48" spans="1:6" x14ac:dyDescent="0.25">
      <c r="A48" s="19">
        <v>20000</v>
      </c>
      <c r="B48" s="20">
        <f t="shared" si="0"/>
        <v>1666.6666666666667</v>
      </c>
      <c r="C48" s="20">
        <f t="shared" si="2"/>
        <v>100</v>
      </c>
      <c r="D48" s="20">
        <f>MAX('TANF-VIEW'!L49,'TANF-VIEW'!T49)</f>
        <v>0</v>
      </c>
      <c r="E48" s="20">
        <f t="shared" si="1"/>
        <v>1766.6666666666667</v>
      </c>
      <c r="F48" s="178">
        <f>IF(AND('Total income package'!$A$24=TRUE,E48&lt;$I$2),'Program specific data'!$B$119*WIC!$G$2,0)</f>
        <v>0</v>
      </c>
    </row>
    <row r="49" spans="1:6" x14ac:dyDescent="0.25">
      <c r="A49" s="19">
        <v>20500</v>
      </c>
      <c r="B49" s="20">
        <f t="shared" si="0"/>
        <v>1708.3333333333333</v>
      </c>
      <c r="C49" s="20">
        <f t="shared" si="2"/>
        <v>100</v>
      </c>
      <c r="D49" s="20">
        <f>MAX('TANF-VIEW'!L50,'TANF-VIEW'!T50)</f>
        <v>0</v>
      </c>
      <c r="E49" s="20">
        <f t="shared" si="1"/>
        <v>1808.3333333333333</v>
      </c>
      <c r="F49" s="178">
        <f>IF(AND('Total income package'!$A$24=TRUE,E49&lt;$I$2),'Program specific data'!$B$119*WIC!$G$2,0)</f>
        <v>0</v>
      </c>
    </row>
    <row r="50" spans="1:6" x14ac:dyDescent="0.25">
      <c r="A50" s="19">
        <v>21000</v>
      </c>
      <c r="B50" s="20">
        <f t="shared" si="0"/>
        <v>1750</v>
      </c>
      <c r="C50" s="20">
        <f t="shared" si="2"/>
        <v>100</v>
      </c>
      <c r="D50" s="20">
        <f>MAX('TANF-VIEW'!L51,'TANF-VIEW'!T51)</f>
        <v>0</v>
      </c>
      <c r="E50" s="20">
        <f t="shared" si="1"/>
        <v>1850</v>
      </c>
      <c r="F50" s="178">
        <f>IF(AND('Total income package'!$A$24=TRUE,E50&lt;$I$2),'Program specific data'!$B$119*WIC!$G$2,0)</f>
        <v>0</v>
      </c>
    </row>
    <row r="51" spans="1:6" x14ac:dyDescent="0.25">
      <c r="A51" s="19">
        <v>21500</v>
      </c>
      <c r="B51" s="20">
        <f t="shared" si="0"/>
        <v>1791.6666666666667</v>
      </c>
      <c r="C51" s="20">
        <f t="shared" si="2"/>
        <v>100</v>
      </c>
      <c r="D51" s="20">
        <f>MAX('TANF-VIEW'!L52,'TANF-VIEW'!T52)</f>
        <v>0</v>
      </c>
      <c r="E51" s="20">
        <f t="shared" si="1"/>
        <v>1891.6666666666667</v>
      </c>
      <c r="F51" s="178">
        <f>IF(AND('Total income package'!$A$24=TRUE,E51&lt;$I$2),'Program specific data'!$B$119*WIC!$G$2,0)</f>
        <v>0</v>
      </c>
    </row>
    <row r="52" spans="1:6" x14ac:dyDescent="0.25">
      <c r="A52" s="19">
        <v>22000</v>
      </c>
      <c r="B52" s="20">
        <f t="shared" si="0"/>
        <v>1833.3333333333333</v>
      </c>
      <c r="C52" s="20">
        <f t="shared" si="2"/>
        <v>100</v>
      </c>
      <c r="D52" s="20">
        <f>MAX('TANF-VIEW'!L53,'TANF-VIEW'!T53)</f>
        <v>0</v>
      </c>
      <c r="E52" s="20">
        <f t="shared" si="1"/>
        <v>1933.3333333333333</v>
      </c>
      <c r="F52" s="178">
        <f>IF(AND('Total income package'!$A$24=TRUE,E52&lt;$I$2),'Program specific data'!$B$119*WIC!$G$2,0)</f>
        <v>0</v>
      </c>
    </row>
    <row r="53" spans="1:6" x14ac:dyDescent="0.25">
      <c r="A53" s="19">
        <v>22500</v>
      </c>
      <c r="B53" s="20">
        <f t="shared" si="0"/>
        <v>1875</v>
      </c>
      <c r="C53" s="20">
        <f t="shared" si="2"/>
        <v>100</v>
      </c>
      <c r="D53" s="20">
        <f>MAX('TANF-VIEW'!L54,'TANF-VIEW'!T54)</f>
        <v>0</v>
      </c>
      <c r="E53" s="20">
        <f t="shared" si="1"/>
        <v>1975</v>
      </c>
      <c r="F53" s="178">
        <f>IF(AND('Total income package'!$A$24=TRUE,E53&lt;$I$2),'Program specific data'!$B$119*WIC!$G$2,0)</f>
        <v>0</v>
      </c>
    </row>
    <row r="54" spans="1:6" x14ac:dyDescent="0.25">
      <c r="A54" s="19">
        <v>23000</v>
      </c>
      <c r="B54" s="20">
        <f t="shared" si="0"/>
        <v>1916.6666666666667</v>
      </c>
      <c r="C54" s="20">
        <f t="shared" si="2"/>
        <v>100</v>
      </c>
      <c r="D54" s="20">
        <f>MAX('TANF-VIEW'!L55,'TANF-VIEW'!T55)</f>
        <v>0</v>
      </c>
      <c r="E54" s="20">
        <f t="shared" si="1"/>
        <v>2016.6666666666667</v>
      </c>
      <c r="F54" s="178">
        <f>IF(AND('Total income package'!$A$24=TRUE,E54&lt;$I$2),'Program specific data'!$B$119*WIC!$G$2,0)</f>
        <v>0</v>
      </c>
    </row>
    <row r="55" spans="1:6" x14ac:dyDescent="0.25">
      <c r="A55" s="19">
        <v>23500</v>
      </c>
      <c r="B55" s="20">
        <f t="shared" si="0"/>
        <v>1958.3333333333333</v>
      </c>
      <c r="C55" s="20">
        <f t="shared" si="2"/>
        <v>100</v>
      </c>
      <c r="D55" s="20">
        <f>MAX('TANF-VIEW'!L56,'TANF-VIEW'!T56)</f>
        <v>0</v>
      </c>
      <c r="E55" s="20">
        <f t="shared" si="1"/>
        <v>2058.333333333333</v>
      </c>
      <c r="F55" s="178">
        <f>IF(AND('Total income package'!$A$24=TRUE,E55&lt;$I$2),'Program specific data'!$B$119*WIC!$G$2,0)</f>
        <v>0</v>
      </c>
    </row>
    <row r="56" spans="1:6" x14ac:dyDescent="0.25">
      <c r="A56" s="19">
        <v>24000</v>
      </c>
      <c r="B56" s="20">
        <f t="shared" si="0"/>
        <v>2000</v>
      </c>
      <c r="C56" s="20">
        <f t="shared" si="2"/>
        <v>100</v>
      </c>
      <c r="D56" s="20">
        <f>MAX('TANF-VIEW'!L57,'TANF-VIEW'!T57)</f>
        <v>0</v>
      </c>
      <c r="E56" s="20">
        <f t="shared" si="1"/>
        <v>2100</v>
      </c>
      <c r="F56" s="178">
        <f>IF(AND('Total income package'!$A$24=TRUE,E56&lt;$I$2),'Program specific data'!$B$119*WIC!$G$2,0)</f>
        <v>0</v>
      </c>
    </row>
    <row r="57" spans="1:6" x14ac:dyDescent="0.25">
      <c r="A57" s="19">
        <v>24500</v>
      </c>
      <c r="B57" s="20">
        <f t="shared" si="0"/>
        <v>2041.6666666666667</v>
      </c>
      <c r="C57" s="20">
        <f t="shared" si="2"/>
        <v>100</v>
      </c>
      <c r="D57" s="20">
        <f>MAX('TANF-VIEW'!L58,'TANF-VIEW'!T58)</f>
        <v>0</v>
      </c>
      <c r="E57" s="20">
        <f t="shared" si="1"/>
        <v>2141.666666666667</v>
      </c>
      <c r="F57" s="178">
        <f>IF(AND('Total income package'!$A$24=TRUE,E57&lt;$I$2),'Program specific data'!$B$119*WIC!$G$2,0)</f>
        <v>0</v>
      </c>
    </row>
    <row r="58" spans="1:6" x14ac:dyDescent="0.25">
      <c r="A58" s="19">
        <v>25000</v>
      </c>
      <c r="B58" s="20">
        <f t="shared" si="0"/>
        <v>2083.3333333333335</v>
      </c>
      <c r="C58" s="20">
        <f t="shared" si="2"/>
        <v>100</v>
      </c>
      <c r="D58" s="20">
        <f>MAX('TANF-VIEW'!L59,'TANF-VIEW'!T59)</f>
        <v>0</v>
      </c>
      <c r="E58" s="20">
        <f t="shared" si="1"/>
        <v>2183.3333333333335</v>
      </c>
      <c r="F58" s="178">
        <f>IF(AND('Total income package'!$A$24=TRUE,E58&lt;$I$2),'Program specific data'!$B$119*WIC!$G$2,0)</f>
        <v>0</v>
      </c>
    </row>
    <row r="59" spans="1:6" x14ac:dyDescent="0.25">
      <c r="A59" s="19">
        <v>25500</v>
      </c>
      <c r="B59" s="20">
        <f t="shared" si="0"/>
        <v>2125</v>
      </c>
      <c r="C59" s="20">
        <f t="shared" si="2"/>
        <v>100</v>
      </c>
      <c r="D59" s="20">
        <f>MAX('TANF-VIEW'!L60,'TANF-VIEW'!T60)</f>
        <v>0</v>
      </c>
      <c r="E59" s="20">
        <f t="shared" si="1"/>
        <v>2225</v>
      </c>
      <c r="F59" s="178">
        <f>IF(AND('Total income package'!$A$24=TRUE,E59&lt;$I$2),'Program specific data'!$B$119*WIC!$G$2,0)</f>
        <v>0</v>
      </c>
    </row>
    <row r="60" spans="1:6" x14ac:dyDescent="0.25">
      <c r="A60" s="19">
        <v>26000</v>
      </c>
      <c r="B60" s="20">
        <f t="shared" si="0"/>
        <v>2166.6666666666665</v>
      </c>
      <c r="C60" s="20">
        <f t="shared" si="2"/>
        <v>100</v>
      </c>
      <c r="D60" s="20">
        <f>MAX('TANF-VIEW'!L61,'TANF-VIEW'!T61)</f>
        <v>0</v>
      </c>
      <c r="E60" s="20">
        <f t="shared" si="1"/>
        <v>2266.6666666666665</v>
      </c>
      <c r="F60" s="178">
        <f>IF(AND('Total income package'!$A$24=TRUE,E60&lt;$I$2),'Program specific data'!$B$119*WIC!$G$2,0)</f>
        <v>0</v>
      </c>
    </row>
    <row r="61" spans="1:6" x14ac:dyDescent="0.25">
      <c r="A61" s="19">
        <v>26500</v>
      </c>
      <c r="B61" s="20">
        <f t="shared" si="0"/>
        <v>2208.3333333333335</v>
      </c>
      <c r="C61" s="20">
        <f t="shared" si="2"/>
        <v>100</v>
      </c>
      <c r="D61" s="20">
        <f>MAX('TANF-VIEW'!L62,'TANF-VIEW'!T62)</f>
        <v>0</v>
      </c>
      <c r="E61" s="20">
        <f t="shared" si="1"/>
        <v>2308.3333333333335</v>
      </c>
      <c r="F61" s="178">
        <f>IF(AND('Total income package'!$A$24=TRUE,E61&lt;$I$2),'Program specific data'!$B$119*WIC!$G$2,0)</f>
        <v>0</v>
      </c>
    </row>
    <row r="62" spans="1:6" x14ac:dyDescent="0.25">
      <c r="A62" s="19">
        <v>27000</v>
      </c>
      <c r="B62" s="20">
        <f t="shared" si="0"/>
        <v>2250</v>
      </c>
      <c r="C62" s="20">
        <f t="shared" si="2"/>
        <v>100</v>
      </c>
      <c r="D62" s="20">
        <f>MAX('TANF-VIEW'!L63,'TANF-VIEW'!T63)</f>
        <v>0</v>
      </c>
      <c r="E62" s="20">
        <f t="shared" si="1"/>
        <v>2350</v>
      </c>
      <c r="F62" s="178">
        <f>IF(AND('Total income package'!$A$24=TRUE,E62&lt;$I$2),'Program specific data'!$B$119*WIC!$G$2,0)</f>
        <v>0</v>
      </c>
    </row>
    <row r="63" spans="1:6" x14ac:dyDescent="0.25">
      <c r="A63" s="19">
        <v>27500</v>
      </c>
      <c r="B63" s="20">
        <f t="shared" si="0"/>
        <v>2291.6666666666665</v>
      </c>
      <c r="C63" s="20">
        <f t="shared" si="2"/>
        <v>100</v>
      </c>
      <c r="D63" s="20">
        <f>MAX('TANF-VIEW'!L64,'TANF-VIEW'!T64)</f>
        <v>0</v>
      </c>
      <c r="E63" s="20">
        <f t="shared" si="1"/>
        <v>2391.6666666666665</v>
      </c>
      <c r="F63" s="178">
        <f>IF(AND('Total income package'!$A$24=TRUE,E63&lt;$I$2),'Program specific data'!$B$119*WIC!$G$2,0)</f>
        <v>0</v>
      </c>
    </row>
    <row r="64" spans="1:6" x14ac:dyDescent="0.25">
      <c r="A64" s="19">
        <v>28000</v>
      </c>
      <c r="B64" s="20">
        <f t="shared" si="0"/>
        <v>2333.3333333333335</v>
      </c>
      <c r="C64" s="20">
        <f t="shared" si="2"/>
        <v>100</v>
      </c>
      <c r="D64" s="20">
        <f>MAX('TANF-VIEW'!L65,'TANF-VIEW'!T65)</f>
        <v>0</v>
      </c>
      <c r="E64" s="20">
        <f t="shared" si="1"/>
        <v>2433.3333333333335</v>
      </c>
      <c r="F64" s="178">
        <f>IF(AND('Total income package'!$A$24=TRUE,E64&lt;$I$2),'Program specific data'!$B$119*WIC!$G$2,0)</f>
        <v>0</v>
      </c>
    </row>
    <row r="65" spans="1:6" x14ac:dyDescent="0.25">
      <c r="A65" s="19">
        <v>28500</v>
      </c>
      <c r="B65" s="20">
        <f t="shared" si="0"/>
        <v>2375</v>
      </c>
      <c r="C65" s="20">
        <f t="shared" si="2"/>
        <v>100</v>
      </c>
      <c r="D65" s="20">
        <f>MAX('TANF-VIEW'!L66,'TANF-VIEW'!T66)</f>
        <v>0</v>
      </c>
      <c r="E65" s="20">
        <f t="shared" si="1"/>
        <v>2475</v>
      </c>
      <c r="F65" s="178">
        <f>IF(AND('Total income package'!$A$24=TRUE,E65&lt;$I$2),'Program specific data'!$B$119*WIC!$G$2,0)</f>
        <v>0</v>
      </c>
    </row>
    <row r="66" spans="1:6" x14ac:dyDescent="0.25">
      <c r="A66" s="19">
        <v>29000</v>
      </c>
      <c r="B66" s="20">
        <f t="shared" si="0"/>
        <v>2416.6666666666665</v>
      </c>
      <c r="C66" s="20">
        <f t="shared" si="2"/>
        <v>100</v>
      </c>
      <c r="D66" s="20">
        <f>MAX('TANF-VIEW'!L67,'TANF-VIEW'!T67)</f>
        <v>0</v>
      </c>
      <c r="E66" s="20">
        <f t="shared" si="1"/>
        <v>2516.6666666666665</v>
      </c>
      <c r="F66" s="178">
        <f>IF(AND('Total income package'!$A$24=TRUE,E66&lt;$I$2),'Program specific data'!$B$119*WIC!$G$2,0)</f>
        <v>0</v>
      </c>
    </row>
    <row r="67" spans="1:6" x14ac:dyDescent="0.25">
      <c r="A67" s="19">
        <v>29500</v>
      </c>
      <c r="B67" s="20">
        <f t="shared" si="0"/>
        <v>2458.3333333333335</v>
      </c>
      <c r="C67" s="20">
        <f t="shared" si="2"/>
        <v>100</v>
      </c>
      <c r="D67" s="20">
        <f>MAX('TANF-VIEW'!L68,'TANF-VIEW'!T68)</f>
        <v>0</v>
      </c>
      <c r="E67" s="20">
        <f t="shared" si="1"/>
        <v>2558.3333333333335</v>
      </c>
      <c r="F67" s="178">
        <f>IF(AND('Total income package'!$A$24=TRUE,E67&lt;$I$2),'Program specific data'!$B$119*WIC!$G$2,0)</f>
        <v>0</v>
      </c>
    </row>
    <row r="68" spans="1:6" x14ac:dyDescent="0.25">
      <c r="A68" s="19">
        <v>30000</v>
      </c>
      <c r="B68" s="20">
        <f t="shared" si="0"/>
        <v>2500</v>
      </c>
      <c r="C68" s="20">
        <f t="shared" si="2"/>
        <v>100</v>
      </c>
      <c r="D68" s="20">
        <f>MAX('TANF-VIEW'!L69,'TANF-VIEW'!T69)</f>
        <v>0</v>
      </c>
      <c r="E68" s="20">
        <f t="shared" si="1"/>
        <v>2600</v>
      </c>
      <c r="F68" s="178">
        <f>IF(AND('Total income package'!$A$24=TRUE,E68&lt;$I$2),'Program specific data'!$B$119*WIC!$G$2,0)</f>
        <v>0</v>
      </c>
    </row>
    <row r="69" spans="1:6" x14ac:dyDescent="0.25">
      <c r="A69" s="19">
        <v>30500</v>
      </c>
      <c r="B69" s="20">
        <f t="shared" si="0"/>
        <v>2541.6666666666665</v>
      </c>
      <c r="C69" s="20">
        <f t="shared" si="2"/>
        <v>100</v>
      </c>
      <c r="D69" s="20">
        <f>MAX('TANF-VIEW'!L70,'TANF-VIEW'!T70)</f>
        <v>0</v>
      </c>
      <c r="E69" s="20">
        <f t="shared" si="1"/>
        <v>2641.6666666666665</v>
      </c>
      <c r="F69" s="178">
        <f>IF(AND('Total income package'!$A$24=TRUE,E69&lt;$I$2),'Program specific data'!$B$119*WIC!$G$2,0)</f>
        <v>0</v>
      </c>
    </row>
    <row r="70" spans="1:6" x14ac:dyDescent="0.25">
      <c r="A70" s="19">
        <v>31000</v>
      </c>
      <c r="B70" s="20">
        <f t="shared" si="0"/>
        <v>2583.3333333333335</v>
      </c>
      <c r="C70" s="20">
        <f t="shared" si="2"/>
        <v>100</v>
      </c>
      <c r="D70" s="20">
        <f>MAX('TANF-VIEW'!L71,'TANF-VIEW'!T71)</f>
        <v>0</v>
      </c>
      <c r="E70" s="20">
        <f t="shared" si="1"/>
        <v>2683.3333333333335</v>
      </c>
      <c r="F70" s="178">
        <f>IF(AND('Total income package'!$A$24=TRUE,E70&lt;$I$2),'Program specific data'!$B$119*WIC!$G$2,0)</f>
        <v>0</v>
      </c>
    </row>
    <row r="71" spans="1:6" x14ac:dyDescent="0.25">
      <c r="A71" s="19">
        <v>31500</v>
      </c>
      <c r="B71" s="20">
        <f t="shared" si="0"/>
        <v>2625</v>
      </c>
      <c r="C71" s="20">
        <f t="shared" si="2"/>
        <v>100</v>
      </c>
      <c r="D71" s="20">
        <f>MAX('TANF-VIEW'!L72,'TANF-VIEW'!T72)</f>
        <v>0</v>
      </c>
      <c r="E71" s="20">
        <f t="shared" si="1"/>
        <v>2725</v>
      </c>
      <c r="F71" s="178">
        <f>IF(AND('Total income package'!$A$24=TRUE,E71&lt;$I$2),'Program specific data'!$B$119*WIC!$G$2,0)</f>
        <v>0</v>
      </c>
    </row>
    <row r="72" spans="1:6" x14ac:dyDescent="0.25">
      <c r="A72" s="19">
        <v>32000</v>
      </c>
      <c r="B72" s="20">
        <f t="shared" si="0"/>
        <v>2666.6666666666665</v>
      </c>
      <c r="C72" s="20">
        <f t="shared" si="2"/>
        <v>100</v>
      </c>
      <c r="D72" s="20">
        <f>MAX('TANF-VIEW'!L73,'TANF-VIEW'!T73)</f>
        <v>0</v>
      </c>
      <c r="E72" s="20">
        <f t="shared" si="1"/>
        <v>2766.6666666666665</v>
      </c>
      <c r="F72" s="178">
        <f>IF(AND('Total income package'!$A$24=TRUE,E72&lt;$I$2),'Program specific data'!$B$119*WIC!$G$2,0)</f>
        <v>0</v>
      </c>
    </row>
    <row r="73" spans="1:6" x14ac:dyDescent="0.25">
      <c r="A73" s="19">
        <v>32500</v>
      </c>
      <c r="B73" s="20">
        <f t="shared" si="0"/>
        <v>2708.3333333333335</v>
      </c>
      <c r="C73" s="20">
        <f t="shared" ref="C73:C136" si="3">$H$2</f>
        <v>100</v>
      </c>
      <c r="D73" s="20">
        <f>MAX('TANF-VIEW'!L74,'TANF-VIEW'!T74)</f>
        <v>0</v>
      </c>
      <c r="E73" s="20">
        <f t="shared" ref="E73:E136" si="4">B73+C73+D73</f>
        <v>2808.3333333333335</v>
      </c>
      <c r="F73" s="178">
        <f>IF(AND('Total income package'!$A$24=TRUE,E73&lt;$I$2),'Program specific data'!$B$119*WIC!$G$2,0)</f>
        <v>0</v>
      </c>
    </row>
    <row r="74" spans="1:6" x14ac:dyDescent="0.25">
      <c r="A74" s="19">
        <v>33000</v>
      </c>
      <c r="B74" s="20">
        <f t="shared" ref="B74:B137" si="5">A74/12</f>
        <v>2750</v>
      </c>
      <c r="C74" s="20">
        <f t="shared" si="3"/>
        <v>100</v>
      </c>
      <c r="D74" s="20">
        <f>MAX('TANF-VIEW'!L75,'TANF-VIEW'!T75)</f>
        <v>0</v>
      </c>
      <c r="E74" s="20">
        <f t="shared" si="4"/>
        <v>2850</v>
      </c>
      <c r="F74" s="178">
        <f>IF(AND('Total income package'!$A$24=TRUE,E74&lt;$I$2),'Program specific data'!$B$119*WIC!$G$2,0)</f>
        <v>0</v>
      </c>
    </row>
    <row r="75" spans="1:6" x14ac:dyDescent="0.25">
      <c r="A75" s="19">
        <v>33500</v>
      </c>
      <c r="B75" s="20">
        <f t="shared" si="5"/>
        <v>2791.6666666666665</v>
      </c>
      <c r="C75" s="20">
        <f t="shared" si="3"/>
        <v>100</v>
      </c>
      <c r="D75" s="20">
        <f>MAX('TANF-VIEW'!L76,'TANF-VIEW'!T76)</f>
        <v>0</v>
      </c>
      <c r="E75" s="20">
        <f t="shared" si="4"/>
        <v>2891.6666666666665</v>
      </c>
      <c r="F75" s="178">
        <f>IF(AND('Total income package'!$A$24=TRUE,E75&lt;$I$2),'Program specific data'!$B$119*WIC!$G$2,0)</f>
        <v>0</v>
      </c>
    </row>
    <row r="76" spans="1:6" x14ac:dyDescent="0.25">
      <c r="A76" s="19">
        <v>34000</v>
      </c>
      <c r="B76" s="20">
        <f t="shared" si="5"/>
        <v>2833.3333333333335</v>
      </c>
      <c r="C76" s="20">
        <f t="shared" si="3"/>
        <v>100</v>
      </c>
      <c r="D76" s="20">
        <f>MAX('TANF-VIEW'!L77,'TANF-VIEW'!T77)</f>
        <v>0</v>
      </c>
      <c r="E76" s="20">
        <f t="shared" si="4"/>
        <v>2933.3333333333335</v>
      </c>
      <c r="F76" s="178">
        <f>IF(AND('Total income package'!$A$24=TRUE,E76&lt;$I$2),'Program specific data'!$B$119*WIC!$G$2,0)</f>
        <v>0</v>
      </c>
    </row>
    <row r="77" spans="1:6" x14ac:dyDescent="0.25">
      <c r="A77" s="19">
        <v>34500</v>
      </c>
      <c r="B77" s="20">
        <f t="shared" si="5"/>
        <v>2875</v>
      </c>
      <c r="C77" s="20">
        <f t="shared" si="3"/>
        <v>100</v>
      </c>
      <c r="D77" s="20">
        <f>MAX('TANF-VIEW'!L78,'TANF-VIEW'!T78)</f>
        <v>0</v>
      </c>
      <c r="E77" s="20">
        <f t="shared" si="4"/>
        <v>2975</v>
      </c>
      <c r="F77" s="178">
        <f>IF(AND('Total income package'!$A$24=TRUE,E77&lt;$I$2),'Program specific data'!$B$119*WIC!$G$2,0)</f>
        <v>0</v>
      </c>
    </row>
    <row r="78" spans="1:6" x14ac:dyDescent="0.25">
      <c r="A78" s="19">
        <v>35000</v>
      </c>
      <c r="B78" s="20">
        <f t="shared" si="5"/>
        <v>2916.6666666666665</v>
      </c>
      <c r="C78" s="20">
        <f t="shared" si="3"/>
        <v>100</v>
      </c>
      <c r="D78" s="20">
        <f>MAX('TANF-VIEW'!L79,'TANF-VIEW'!T79)</f>
        <v>0</v>
      </c>
      <c r="E78" s="20">
        <f t="shared" si="4"/>
        <v>3016.6666666666665</v>
      </c>
      <c r="F78" s="178">
        <f>IF(AND('Total income package'!$A$24=TRUE,E78&lt;$I$2),'Program specific data'!$B$119*WIC!$G$2,0)</f>
        <v>0</v>
      </c>
    </row>
    <row r="79" spans="1:6" x14ac:dyDescent="0.25">
      <c r="A79" s="19">
        <v>35500</v>
      </c>
      <c r="B79" s="20">
        <f t="shared" si="5"/>
        <v>2958.3333333333335</v>
      </c>
      <c r="C79" s="20">
        <f t="shared" si="3"/>
        <v>100</v>
      </c>
      <c r="D79" s="20">
        <f>MAX('TANF-VIEW'!L80,'TANF-VIEW'!T80)</f>
        <v>0</v>
      </c>
      <c r="E79" s="20">
        <f t="shared" si="4"/>
        <v>3058.3333333333335</v>
      </c>
      <c r="F79" s="178">
        <f>IF(AND('Total income package'!$A$24=TRUE,E79&lt;$I$2),'Program specific data'!$B$119*WIC!$G$2,0)</f>
        <v>0</v>
      </c>
    </row>
    <row r="80" spans="1:6" x14ac:dyDescent="0.25">
      <c r="A80" s="19">
        <v>36000</v>
      </c>
      <c r="B80" s="20">
        <f t="shared" si="5"/>
        <v>3000</v>
      </c>
      <c r="C80" s="20">
        <f t="shared" si="3"/>
        <v>100</v>
      </c>
      <c r="D80" s="20">
        <f>MAX('TANF-VIEW'!L81,'TANF-VIEW'!T81)</f>
        <v>0</v>
      </c>
      <c r="E80" s="20">
        <f t="shared" si="4"/>
        <v>3100</v>
      </c>
      <c r="F80" s="178">
        <f>IF(AND('Total income package'!$A$24=TRUE,E80&lt;$I$2),'Program specific data'!$B$119*WIC!$G$2,0)</f>
        <v>0</v>
      </c>
    </row>
    <row r="81" spans="1:6" x14ac:dyDescent="0.25">
      <c r="A81" s="19">
        <v>36500</v>
      </c>
      <c r="B81" s="20">
        <f t="shared" si="5"/>
        <v>3041.6666666666665</v>
      </c>
      <c r="C81" s="20">
        <f t="shared" si="3"/>
        <v>100</v>
      </c>
      <c r="D81" s="20">
        <f>MAX('TANF-VIEW'!L82,'TANF-VIEW'!T82)</f>
        <v>0</v>
      </c>
      <c r="E81" s="20">
        <f t="shared" si="4"/>
        <v>3141.6666666666665</v>
      </c>
      <c r="F81" s="178">
        <f>IF(AND('Total income package'!$A$24=TRUE,E81&lt;$I$2),'Program specific data'!$B$119*WIC!$G$2,0)</f>
        <v>0</v>
      </c>
    </row>
    <row r="82" spans="1:6" x14ac:dyDescent="0.25">
      <c r="A82" s="19">
        <v>37000</v>
      </c>
      <c r="B82" s="20">
        <f t="shared" si="5"/>
        <v>3083.3333333333335</v>
      </c>
      <c r="C82" s="20">
        <f t="shared" si="3"/>
        <v>100</v>
      </c>
      <c r="D82" s="20">
        <f>MAX('TANF-VIEW'!L83,'TANF-VIEW'!T83)</f>
        <v>0</v>
      </c>
      <c r="E82" s="20">
        <f t="shared" si="4"/>
        <v>3183.3333333333335</v>
      </c>
      <c r="F82" s="178">
        <f>IF(AND('Total income package'!$A$24=TRUE,E82&lt;$I$2),'Program specific data'!$B$119*WIC!$G$2,0)</f>
        <v>0</v>
      </c>
    </row>
    <row r="83" spans="1:6" x14ac:dyDescent="0.25">
      <c r="A83" s="19">
        <v>37500</v>
      </c>
      <c r="B83" s="20">
        <f t="shared" si="5"/>
        <v>3125</v>
      </c>
      <c r="C83" s="20">
        <f t="shared" si="3"/>
        <v>100</v>
      </c>
      <c r="D83" s="20">
        <f>MAX('TANF-VIEW'!L84,'TANF-VIEW'!T84)</f>
        <v>0</v>
      </c>
      <c r="E83" s="20">
        <f t="shared" si="4"/>
        <v>3225</v>
      </c>
      <c r="F83" s="178">
        <f>IF(AND('Total income package'!$A$24=TRUE,E83&lt;$I$2),'Program specific data'!$B$119*WIC!$G$2,0)</f>
        <v>0</v>
      </c>
    </row>
    <row r="84" spans="1:6" x14ac:dyDescent="0.25">
      <c r="A84" s="19">
        <v>38000</v>
      </c>
      <c r="B84" s="20">
        <f t="shared" si="5"/>
        <v>3166.6666666666665</v>
      </c>
      <c r="C84" s="20">
        <f t="shared" si="3"/>
        <v>100</v>
      </c>
      <c r="D84" s="20">
        <f>MAX('TANF-VIEW'!L85,'TANF-VIEW'!T85)</f>
        <v>0</v>
      </c>
      <c r="E84" s="20">
        <f t="shared" si="4"/>
        <v>3266.6666666666665</v>
      </c>
      <c r="F84" s="178">
        <f>IF(AND('Total income package'!$A$24=TRUE,E84&lt;$I$2),'Program specific data'!$B$119*WIC!$G$2,0)</f>
        <v>0</v>
      </c>
    </row>
    <row r="85" spans="1:6" x14ac:dyDescent="0.25">
      <c r="A85" s="19">
        <v>38500</v>
      </c>
      <c r="B85" s="20">
        <f t="shared" si="5"/>
        <v>3208.3333333333335</v>
      </c>
      <c r="C85" s="20">
        <f t="shared" si="3"/>
        <v>100</v>
      </c>
      <c r="D85" s="20">
        <f>MAX('TANF-VIEW'!L86,'TANF-VIEW'!T86)</f>
        <v>0</v>
      </c>
      <c r="E85" s="20">
        <f t="shared" si="4"/>
        <v>3308.3333333333335</v>
      </c>
      <c r="F85" s="178">
        <f>IF(AND('Total income package'!$A$24=TRUE,E85&lt;$I$2),'Program specific data'!$B$119*WIC!$G$2,0)</f>
        <v>0</v>
      </c>
    </row>
    <row r="86" spans="1:6" x14ac:dyDescent="0.25">
      <c r="A86" s="19">
        <v>39000</v>
      </c>
      <c r="B86" s="20">
        <f t="shared" si="5"/>
        <v>3250</v>
      </c>
      <c r="C86" s="20">
        <f t="shared" si="3"/>
        <v>100</v>
      </c>
      <c r="D86" s="20">
        <f>MAX('TANF-VIEW'!L87,'TANF-VIEW'!T87)</f>
        <v>0</v>
      </c>
      <c r="E86" s="20">
        <f t="shared" si="4"/>
        <v>3350</v>
      </c>
      <c r="F86" s="178">
        <f>IF(AND('Total income package'!$A$24=TRUE,E86&lt;$I$2),'Program specific data'!$B$119*WIC!$G$2,0)</f>
        <v>0</v>
      </c>
    </row>
    <row r="87" spans="1:6" x14ac:dyDescent="0.25">
      <c r="A87" s="19">
        <v>39500</v>
      </c>
      <c r="B87" s="20">
        <f t="shared" si="5"/>
        <v>3291.6666666666665</v>
      </c>
      <c r="C87" s="20">
        <f t="shared" si="3"/>
        <v>100</v>
      </c>
      <c r="D87" s="20">
        <f>MAX('TANF-VIEW'!L88,'TANF-VIEW'!T88)</f>
        <v>0</v>
      </c>
      <c r="E87" s="20">
        <f t="shared" si="4"/>
        <v>3391.6666666666665</v>
      </c>
      <c r="F87" s="178">
        <f>IF(AND('Total income package'!$A$24=TRUE,E87&lt;$I$2),'Program specific data'!$B$119*WIC!$G$2,0)</f>
        <v>0</v>
      </c>
    </row>
    <row r="88" spans="1:6" x14ac:dyDescent="0.25">
      <c r="A88" s="19">
        <v>40000</v>
      </c>
      <c r="B88" s="20">
        <f t="shared" si="5"/>
        <v>3333.3333333333335</v>
      </c>
      <c r="C88" s="20">
        <f t="shared" si="3"/>
        <v>100</v>
      </c>
      <c r="D88" s="20">
        <f>MAX('TANF-VIEW'!L89,'TANF-VIEW'!T89)</f>
        <v>0</v>
      </c>
      <c r="E88" s="20">
        <f t="shared" si="4"/>
        <v>3433.3333333333335</v>
      </c>
      <c r="F88" s="178">
        <f>IF(AND('Total income package'!$A$24=TRUE,E88&lt;$I$2),'Program specific data'!$B$119*WIC!$G$2,0)</f>
        <v>0</v>
      </c>
    </row>
    <row r="89" spans="1:6" x14ac:dyDescent="0.25">
      <c r="A89" s="19">
        <v>40500</v>
      </c>
      <c r="B89" s="20">
        <f t="shared" si="5"/>
        <v>3375</v>
      </c>
      <c r="C89" s="20">
        <f t="shared" si="3"/>
        <v>100</v>
      </c>
      <c r="D89" s="20">
        <f>MAX('TANF-VIEW'!L90,'TANF-VIEW'!T90)</f>
        <v>0</v>
      </c>
      <c r="E89" s="20">
        <f t="shared" si="4"/>
        <v>3475</v>
      </c>
      <c r="F89" s="178">
        <f>IF(AND('Total income package'!$A$24=TRUE,E89&lt;$I$2),'Program specific data'!$B$119*WIC!$G$2,0)</f>
        <v>0</v>
      </c>
    </row>
    <row r="90" spans="1:6" x14ac:dyDescent="0.25">
      <c r="A90" s="19">
        <v>41000</v>
      </c>
      <c r="B90" s="20">
        <f t="shared" si="5"/>
        <v>3416.6666666666665</v>
      </c>
      <c r="C90" s="20">
        <f t="shared" si="3"/>
        <v>100</v>
      </c>
      <c r="D90" s="20">
        <f>MAX('TANF-VIEW'!L91,'TANF-VIEW'!T91)</f>
        <v>0</v>
      </c>
      <c r="E90" s="20">
        <f t="shared" si="4"/>
        <v>3516.6666666666665</v>
      </c>
      <c r="F90" s="178">
        <f>IF(AND('Total income package'!$A$24=TRUE,E90&lt;$I$2),'Program specific data'!$B$119*WIC!$G$2,0)</f>
        <v>0</v>
      </c>
    </row>
    <row r="91" spans="1:6" x14ac:dyDescent="0.25">
      <c r="A91" s="19">
        <v>41500</v>
      </c>
      <c r="B91" s="20">
        <f t="shared" si="5"/>
        <v>3458.3333333333335</v>
      </c>
      <c r="C91" s="20">
        <f t="shared" si="3"/>
        <v>100</v>
      </c>
      <c r="D91" s="20">
        <f>MAX('TANF-VIEW'!L92,'TANF-VIEW'!T92)</f>
        <v>0</v>
      </c>
      <c r="E91" s="20">
        <f t="shared" si="4"/>
        <v>3558.3333333333335</v>
      </c>
      <c r="F91" s="178">
        <f>IF(AND('Total income package'!$A$24=TRUE,E91&lt;$I$2),'Program specific data'!$B$119*WIC!$G$2,0)</f>
        <v>0</v>
      </c>
    </row>
    <row r="92" spans="1:6" x14ac:dyDescent="0.25">
      <c r="A92" s="19">
        <v>42000</v>
      </c>
      <c r="B92" s="20">
        <f t="shared" si="5"/>
        <v>3500</v>
      </c>
      <c r="C92" s="20">
        <f t="shared" si="3"/>
        <v>100</v>
      </c>
      <c r="D92" s="20">
        <f>MAX('TANF-VIEW'!L93,'TANF-VIEW'!T93)</f>
        <v>0</v>
      </c>
      <c r="E92" s="20">
        <f t="shared" si="4"/>
        <v>3600</v>
      </c>
      <c r="F92" s="178">
        <f>IF(AND('Total income package'!$A$24=TRUE,E92&lt;$I$2),'Program specific data'!$B$119*WIC!$G$2,0)</f>
        <v>0</v>
      </c>
    </row>
    <row r="93" spans="1:6" x14ac:dyDescent="0.25">
      <c r="A93" s="19">
        <v>42500</v>
      </c>
      <c r="B93" s="20">
        <f t="shared" si="5"/>
        <v>3541.6666666666665</v>
      </c>
      <c r="C93" s="20">
        <f t="shared" si="3"/>
        <v>100</v>
      </c>
      <c r="D93" s="20">
        <f>MAX('TANF-VIEW'!L94,'TANF-VIEW'!T94)</f>
        <v>0</v>
      </c>
      <c r="E93" s="20">
        <f t="shared" si="4"/>
        <v>3641.6666666666665</v>
      </c>
      <c r="F93" s="178">
        <f>IF(AND('Total income package'!$A$24=TRUE,E93&lt;$I$2),'Program specific data'!$B$119*WIC!$G$2,0)</f>
        <v>0</v>
      </c>
    </row>
    <row r="94" spans="1:6" x14ac:dyDescent="0.25">
      <c r="A94" s="19">
        <v>43000</v>
      </c>
      <c r="B94" s="20">
        <f t="shared" si="5"/>
        <v>3583.3333333333335</v>
      </c>
      <c r="C94" s="20">
        <f t="shared" si="3"/>
        <v>100</v>
      </c>
      <c r="D94" s="20">
        <f>MAX('TANF-VIEW'!L95,'TANF-VIEW'!T95)</f>
        <v>0</v>
      </c>
      <c r="E94" s="20">
        <f t="shared" si="4"/>
        <v>3683.3333333333335</v>
      </c>
      <c r="F94" s="178">
        <f>IF(AND('Total income package'!$A$24=TRUE,E94&lt;$I$2),'Program specific data'!$B$119*WIC!$G$2,0)</f>
        <v>0</v>
      </c>
    </row>
    <row r="95" spans="1:6" x14ac:dyDescent="0.25">
      <c r="A95" s="19">
        <v>43500</v>
      </c>
      <c r="B95" s="20">
        <f t="shared" si="5"/>
        <v>3625</v>
      </c>
      <c r="C95" s="20">
        <f t="shared" si="3"/>
        <v>100</v>
      </c>
      <c r="D95" s="20">
        <f>MAX('TANF-VIEW'!L96,'TANF-VIEW'!T96)</f>
        <v>0</v>
      </c>
      <c r="E95" s="20">
        <f t="shared" si="4"/>
        <v>3725</v>
      </c>
      <c r="F95" s="178">
        <f>IF(AND('Total income package'!$A$24=TRUE,E95&lt;$I$2),'Program specific data'!$B$119*WIC!$G$2,0)</f>
        <v>0</v>
      </c>
    </row>
    <row r="96" spans="1:6" x14ac:dyDescent="0.25">
      <c r="A96" s="19">
        <v>44000</v>
      </c>
      <c r="B96" s="20">
        <f t="shared" si="5"/>
        <v>3666.6666666666665</v>
      </c>
      <c r="C96" s="20">
        <f t="shared" si="3"/>
        <v>100</v>
      </c>
      <c r="D96" s="20">
        <f>MAX('TANF-VIEW'!L97,'TANF-VIEW'!T97)</f>
        <v>0</v>
      </c>
      <c r="E96" s="20">
        <f t="shared" si="4"/>
        <v>3766.6666666666665</v>
      </c>
      <c r="F96" s="178">
        <f>IF(AND('Total income package'!$A$24=TRUE,E96&lt;$I$2),'Program specific data'!$B$119*WIC!$G$2,0)</f>
        <v>0</v>
      </c>
    </row>
    <row r="97" spans="1:6" x14ac:dyDescent="0.25">
      <c r="A97" s="19">
        <v>44500</v>
      </c>
      <c r="B97" s="20">
        <f t="shared" si="5"/>
        <v>3708.3333333333335</v>
      </c>
      <c r="C97" s="20">
        <f t="shared" si="3"/>
        <v>100</v>
      </c>
      <c r="D97" s="20">
        <f>MAX('TANF-VIEW'!L98,'TANF-VIEW'!T98)</f>
        <v>0</v>
      </c>
      <c r="E97" s="20">
        <f t="shared" si="4"/>
        <v>3808.3333333333335</v>
      </c>
      <c r="F97" s="178">
        <f>IF(AND('Total income package'!$A$24=TRUE,E97&lt;$I$2),'Program specific data'!$B$119*WIC!$G$2,0)</f>
        <v>0</v>
      </c>
    </row>
    <row r="98" spans="1:6" x14ac:dyDescent="0.25">
      <c r="A98" s="19">
        <v>45000</v>
      </c>
      <c r="B98" s="20">
        <f t="shared" si="5"/>
        <v>3750</v>
      </c>
      <c r="C98" s="20">
        <f t="shared" si="3"/>
        <v>100</v>
      </c>
      <c r="D98" s="20">
        <f>MAX('TANF-VIEW'!L99,'TANF-VIEW'!T99)</f>
        <v>0</v>
      </c>
      <c r="E98" s="20">
        <f t="shared" si="4"/>
        <v>3850</v>
      </c>
      <c r="F98" s="178">
        <f>IF(AND('Total income package'!$A$24=TRUE,E98&lt;$I$2),'Program specific data'!$B$119*WIC!$G$2,0)</f>
        <v>0</v>
      </c>
    </row>
    <row r="99" spans="1:6" x14ac:dyDescent="0.25">
      <c r="A99" s="19">
        <v>45500</v>
      </c>
      <c r="B99" s="20">
        <f t="shared" si="5"/>
        <v>3791.6666666666665</v>
      </c>
      <c r="C99" s="20">
        <f t="shared" si="3"/>
        <v>100</v>
      </c>
      <c r="D99" s="20">
        <f>MAX('TANF-VIEW'!L100,'TANF-VIEW'!T100)</f>
        <v>0</v>
      </c>
      <c r="E99" s="20">
        <f t="shared" si="4"/>
        <v>3891.6666666666665</v>
      </c>
      <c r="F99" s="178">
        <f>IF(AND('Total income package'!$A$24=TRUE,E99&lt;$I$2),'Program specific data'!$B$119*WIC!$G$2,0)</f>
        <v>0</v>
      </c>
    </row>
    <row r="100" spans="1:6" x14ac:dyDescent="0.25">
      <c r="A100" s="19">
        <v>46000</v>
      </c>
      <c r="B100" s="20">
        <f t="shared" si="5"/>
        <v>3833.3333333333335</v>
      </c>
      <c r="C100" s="20">
        <f t="shared" si="3"/>
        <v>100</v>
      </c>
      <c r="D100" s="20">
        <f>MAX('TANF-VIEW'!L101,'TANF-VIEW'!T101)</f>
        <v>0</v>
      </c>
      <c r="E100" s="20">
        <f t="shared" si="4"/>
        <v>3933.3333333333335</v>
      </c>
      <c r="F100" s="178">
        <f>IF(AND('Total income package'!$A$24=TRUE,E100&lt;$I$2),'Program specific data'!$B$119*WIC!$G$2,0)</f>
        <v>0</v>
      </c>
    </row>
    <row r="101" spans="1:6" x14ac:dyDescent="0.25">
      <c r="A101" s="19">
        <v>46500</v>
      </c>
      <c r="B101" s="20">
        <f t="shared" si="5"/>
        <v>3875</v>
      </c>
      <c r="C101" s="20">
        <f t="shared" si="3"/>
        <v>100</v>
      </c>
      <c r="D101" s="20">
        <f>MAX('TANF-VIEW'!L102,'TANF-VIEW'!T102)</f>
        <v>0</v>
      </c>
      <c r="E101" s="20">
        <f t="shared" si="4"/>
        <v>3975</v>
      </c>
      <c r="F101" s="178">
        <f>IF(AND('Total income package'!$A$24=TRUE,E101&lt;$I$2),'Program specific data'!$B$119*WIC!$G$2,0)</f>
        <v>0</v>
      </c>
    </row>
    <row r="102" spans="1:6" x14ac:dyDescent="0.25">
      <c r="A102" s="19">
        <v>47000</v>
      </c>
      <c r="B102" s="20">
        <f t="shared" si="5"/>
        <v>3916.6666666666665</v>
      </c>
      <c r="C102" s="20">
        <f t="shared" si="3"/>
        <v>100</v>
      </c>
      <c r="D102" s="20">
        <f>MAX('TANF-VIEW'!L103,'TANF-VIEW'!T103)</f>
        <v>0</v>
      </c>
      <c r="E102" s="20">
        <f t="shared" si="4"/>
        <v>4016.6666666666665</v>
      </c>
      <c r="F102" s="178">
        <f>IF(AND('Total income package'!$A$24=TRUE,E102&lt;$I$2),'Program specific data'!$B$119*WIC!$G$2,0)</f>
        <v>0</v>
      </c>
    </row>
    <row r="103" spans="1:6" x14ac:dyDescent="0.25">
      <c r="A103" s="19">
        <v>47500</v>
      </c>
      <c r="B103" s="20">
        <f t="shared" si="5"/>
        <v>3958.3333333333335</v>
      </c>
      <c r="C103" s="20">
        <f t="shared" si="3"/>
        <v>100</v>
      </c>
      <c r="D103" s="20">
        <f>MAX('TANF-VIEW'!L104,'TANF-VIEW'!T104)</f>
        <v>0</v>
      </c>
      <c r="E103" s="20">
        <f t="shared" si="4"/>
        <v>4058.3333333333335</v>
      </c>
      <c r="F103" s="178">
        <f>IF(AND('Total income package'!$A$24=TRUE,E103&lt;$I$2),'Program specific data'!$B$119*WIC!$G$2,0)</f>
        <v>0</v>
      </c>
    </row>
    <row r="104" spans="1:6" x14ac:dyDescent="0.25">
      <c r="A104" s="19">
        <v>48000</v>
      </c>
      <c r="B104" s="20">
        <f t="shared" si="5"/>
        <v>4000</v>
      </c>
      <c r="C104" s="20">
        <f t="shared" si="3"/>
        <v>100</v>
      </c>
      <c r="D104" s="20">
        <f>MAX('TANF-VIEW'!L105,'TANF-VIEW'!T105)</f>
        <v>0</v>
      </c>
      <c r="E104" s="20">
        <f t="shared" si="4"/>
        <v>4100</v>
      </c>
      <c r="F104" s="178">
        <f>IF(AND('Total income package'!$A$24=TRUE,E104&lt;$I$2),'Program specific data'!$B$119*WIC!$G$2,0)</f>
        <v>0</v>
      </c>
    </row>
    <row r="105" spans="1:6" x14ac:dyDescent="0.25">
      <c r="A105" s="19">
        <v>48500</v>
      </c>
      <c r="B105" s="20">
        <f t="shared" si="5"/>
        <v>4041.6666666666665</v>
      </c>
      <c r="C105" s="20">
        <f t="shared" si="3"/>
        <v>100</v>
      </c>
      <c r="D105" s="20">
        <f>MAX('TANF-VIEW'!L106,'TANF-VIEW'!T106)</f>
        <v>0</v>
      </c>
      <c r="E105" s="20">
        <f t="shared" si="4"/>
        <v>4141.6666666666661</v>
      </c>
      <c r="F105" s="178">
        <f>IF(AND('Total income package'!$A$24=TRUE,E105&lt;$I$2),'Program specific data'!$B$119*WIC!$G$2,0)</f>
        <v>0</v>
      </c>
    </row>
    <row r="106" spans="1:6" x14ac:dyDescent="0.25">
      <c r="A106" s="19">
        <v>49000</v>
      </c>
      <c r="B106" s="20">
        <f t="shared" si="5"/>
        <v>4083.3333333333335</v>
      </c>
      <c r="C106" s="20">
        <f t="shared" si="3"/>
        <v>100</v>
      </c>
      <c r="D106" s="20">
        <f>MAX('TANF-VIEW'!L107,'TANF-VIEW'!T107)</f>
        <v>0</v>
      </c>
      <c r="E106" s="20">
        <f t="shared" si="4"/>
        <v>4183.3333333333339</v>
      </c>
      <c r="F106" s="178">
        <f>IF(AND('Total income package'!$A$24=TRUE,E106&lt;$I$2),'Program specific data'!$B$119*WIC!$G$2,0)</f>
        <v>0</v>
      </c>
    </row>
    <row r="107" spans="1:6" x14ac:dyDescent="0.25">
      <c r="A107" s="19">
        <v>49500</v>
      </c>
      <c r="B107" s="20">
        <f t="shared" si="5"/>
        <v>4125</v>
      </c>
      <c r="C107" s="20">
        <f t="shared" si="3"/>
        <v>100</v>
      </c>
      <c r="D107" s="20">
        <f>MAX('TANF-VIEW'!L108,'TANF-VIEW'!T108)</f>
        <v>0</v>
      </c>
      <c r="E107" s="20">
        <f t="shared" si="4"/>
        <v>4225</v>
      </c>
      <c r="F107" s="178">
        <f>IF(AND('Total income package'!$A$24=TRUE,E107&lt;$I$2),'Program specific data'!$B$119*WIC!$G$2,0)</f>
        <v>0</v>
      </c>
    </row>
    <row r="108" spans="1:6" x14ac:dyDescent="0.25">
      <c r="A108" s="19">
        <v>50000</v>
      </c>
      <c r="B108" s="20">
        <f t="shared" si="5"/>
        <v>4166.666666666667</v>
      </c>
      <c r="C108" s="20">
        <f t="shared" si="3"/>
        <v>100</v>
      </c>
      <c r="D108" s="20">
        <f>MAX('TANF-VIEW'!L109,'TANF-VIEW'!T109)</f>
        <v>0</v>
      </c>
      <c r="E108" s="20">
        <f t="shared" si="4"/>
        <v>4266.666666666667</v>
      </c>
      <c r="F108" s="178">
        <f>IF(AND('Total income package'!$A$24=TRUE,E108&lt;$I$2),'Program specific data'!$B$119*WIC!$G$2,0)</f>
        <v>0</v>
      </c>
    </row>
    <row r="109" spans="1:6" x14ac:dyDescent="0.25">
      <c r="A109" s="19">
        <v>50500</v>
      </c>
      <c r="B109" s="20">
        <f t="shared" si="5"/>
        <v>4208.333333333333</v>
      </c>
      <c r="C109" s="20">
        <f t="shared" si="3"/>
        <v>100</v>
      </c>
      <c r="D109" s="20">
        <f>MAX('TANF-VIEW'!L110,'TANF-VIEW'!T110)</f>
        <v>0</v>
      </c>
      <c r="E109" s="20">
        <f t="shared" si="4"/>
        <v>4308.333333333333</v>
      </c>
      <c r="F109" s="178">
        <f>IF(AND('Total income package'!$A$24=TRUE,E109&lt;$I$2),'Program specific data'!$B$119*WIC!$G$2,0)</f>
        <v>0</v>
      </c>
    </row>
    <row r="110" spans="1:6" x14ac:dyDescent="0.25">
      <c r="A110" s="19">
        <v>51000</v>
      </c>
      <c r="B110" s="20">
        <f t="shared" si="5"/>
        <v>4250</v>
      </c>
      <c r="C110" s="20">
        <f t="shared" si="3"/>
        <v>100</v>
      </c>
      <c r="D110" s="20">
        <f>MAX('TANF-VIEW'!L111,'TANF-VIEW'!T111)</f>
        <v>0</v>
      </c>
      <c r="E110" s="20">
        <f t="shared" si="4"/>
        <v>4350</v>
      </c>
      <c r="F110" s="178">
        <f>IF(AND('Total income package'!$A$24=TRUE,E110&lt;$I$2),'Program specific data'!$B$119*WIC!$G$2,0)</f>
        <v>0</v>
      </c>
    </row>
    <row r="111" spans="1:6" x14ac:dyDescent="0.25">
      <c r="A111" s="19">
        <v>51500</v>
      </c>
      <c r="B111" s="20">
        <f t="shared" si="5"/>
        <v>4291.666666666667</v>
      </c>
      <c r="C111" s="20">
        <f t="shared" si="3"/>
        <v>100</v>
      </c>
      <c r="D111" s="20">
        <f>MAX('TANF-VIEW'!L112,'TANF-VIEW'!T112)</f>
        <v>0</v>
      </c>
      <c r="E111" s="20">
        <f t="shared" si="4"/>
        <v>4391.666666666667</v>
      </c>
      <c r="F111" s="178">
        <f>IF(AND('Total income package'!$A$24=TRUE,E111&lt;$I$2),'Program specific data'!$B$119*WIC!$G$2,0)</f>
        <v>0</v>
      </c>
    </row>
    <row r="112" spans="1:6" x14ac:dyDescent="0.25">
      <c r="A112" s="19">
        <v>52000</v>
      </c>
      <c r="B112" s="20">
        <f t="shared" si="5"/>
        <v>4333.333333333333</v>
      </c>
      <c r="C112" s="20">
        <f t="shared" si="3"/>
        <v>100</v>
      </c>
      <c r="D112" s="20">
        <f>MAX('TANF-VIEW'!L113,'TANF-VIEW'!T113)</f>
        <v>0</v>
      </c>
      <c r="E112" s="20">
        <f t="shared" si="4"/>
        <v>4433.333333333333</v>
      </c>
      <c r="F112" s="178">
        <f>IF(AND('Total income package'!$A$24=TRUE,E112&lt;$I$2),'Program specific data'!$B$119*WIC!$G$2,0)</f>
        <v>0</v>
      </c>
    </row>
    <row r="113" spans="1:6" x14ac:dyDescent="0.25">
      <c r="A113" s="19">
        <v>52500</v>
      </c>
      <c r="B113" s="20">
        <f t="shared" si="5"/>
        <v>4375</v>
      </c>
      <c r="C113" s="20">
        <f t="shared" si="3"/>
        <v>100</v>
      </c>
      <c r="D113" s="20">
        <f>MAX('TANF-VIEW'!L114,'TANF-VIEW'!T114)</f>
        <v>0</v>
      </c>
      <c r="E113" s="20">
        <f t="shared" si="4"/>
        <v>4475</v>
      </c>
      <c r="F113" s="178">
        <f>IF(AND('Total income package'!$A$24=TRUE,E113&lt;$I$2),'Program specific data'!$B$119*WIC!$G$2,0)</f>
        <v>0</v>
      </c>
    </row>
    <row r="114" spans="1:6" x14ac:dyDescent="0.25">
      <c r="A114" s="19">
        <v>53000</v>
      </c>
      <c r="B114" s="20">
        <f t="shared" si="5"/>
        <v>4416.666666666667</v>
      </c>
      <c r="C114" s="20">
        <f t="shared" si="3"/>
        <v>100</v>
      </c>
      <c r="D114" s="20">
        <f>MAX('TANF-VIEW'!L115,'TANF-VIEW'!T115)</f>
        <v>0</v>
      </c>
      <c r="E114" s="20">
        <f t="shared" si="4"/>
        <v>4516.666666666667</v>
      </c>
      <c r="F114" s="178">
        <f>IF(AND('Total income package'!$A$24=TRUE,E114&lt;$I$2),'Program specific data'!$B$119*WIC!$G$2,0)</f>
        <v>0</v>
      </c>
    </row>
    <row r="115" spans="1:6" x14ac:dyDescent="0.25">
      <c r="A115" s="19">
        <v>53500</v>
      </c>
      <c r="B115" s="20">
        <f t="shared" si="5"/>
        <v>4458.333333333333</v>
      </c>
      <c r="C115" s="20">
        <f t="shared" si="3"/>
        <v>100</v>
      </c>
      <c r="D115" s="20">
        <f>MAX('TANF-VIEW'!L116,'TANF-VIEW'!T116)</f>
        <v>0</v>
      </c>
      <c r="E115" s="20">
        <f t="shared" si="4"/>
        <v>4558.333333333333</v>
      </c>
      <c r="F115" s="178">
        <f>IF(AND('Total income package'!$A$24=TRUE,E115&lt;$I$2),'Program specific data'!$B$119*WIC!$G$2,0)</f>
        <v>0</v>
      </c>
    </row>
    <row r="116" spans="1:6" x14ac:dyDescent="0.25">
      <c r="A116" s="19">
        <v>54000</v>
      </c>
      <c r="B116" s="20">
        <f t="shared" si="5"/>
        <v>4500</v>
      </c>
      <c r="C116" s="20">
        <f t="shared" si="3"/>
        <v>100</v>
      </c>
      <c r="D116" s="20">
        <f>MAX('TANF-VIEW'!L117,'TANF-VIEW'!T117)</f>
        <v>0</v>
      </c>
      <c r="E116" s="20">
        <f t="shared" si="4"/>
        <v>4600</v>
      </c>
      <c r="F116" s="178">
        <f>IF(AND('Total income package'!$A$24=TRUE,E116&lt;$I$2),'Program specific data'!$B$119*WIC!$G$2,0)</f>
        <v>0</v>
      </c>
    </row>
    <row r="117" spans="1:6" x14ac:dyDescent="0.25">
      <c r="A117" s="19">
        <v>54500</v>
      </c>
      <c r="B117" s="20">
        <f t="shared" si="5"/>
        <v>4541.666666666667</v>
      </c>
      <c r="C117" s="20">
        <f t="shared" si="3"/>
        <v>100</v>
      </c>
      <c r="D117" s="20">
        <f>MAX('TANF-VIEW'!L118,'TANF-VIEW'!T118)</f>
        <v>0</v>
      </c>
      <c r="E117" s="20">
        <f t="shared" si="4"/>
        <v>4641.666666666667</v>
      </c>
      <c r="F117" s="178">
        <f>IF(AND('Total income package'!$A$24=TRUE,E117&lt;$I$2),'Program specific data'!$B$119*WIC!$G$2,0)</f>
        <v>0</v>
      </c>
    </row>
    <row r="118" spans="1:6" x14ac:dyDescent="0.25">
      <c r="A118" s="19">
        <v>55000</v>
      </c>
      <c r="B118" s="20">
        <f t="shared" si="5"/>
        <v>4583.333333333333</v>
      </c>
      <c r="C118" s="20">
        <f t="shared" si="3"/>
        <v>100</v>
      </c>
      <c r="D118" s="20">
        <f>MAX('TANF-VIEW'!L119,'TANF-VIEW'!T119)</f>
        <v>0</v>
      </c>
      <c r="E118" s="20">
        <f t="shared" si="4"/>
        <v>4683.333333333333</v>
      </c>
      <c r="F118" s="178">
        <f>IF(AND('Total income package'!$A$24=TRUE,E118&lt;$I$2),'Program specific data'!$B$119*WIC!$G$2,0)</f>
        <v>0</v>
      </c>
    </row>
    <row r="119" spans="1:6" x14ac:dyDescent="0.25">
      <c r="A119" s="19">
        <v>55500</v>
      </c>
      <c r="B119" s="20">
        <f t="shared" si="5"/>
        <v>4625</v>
      </c>
      <c r="C119" s="20">
        <f t="shared" si="3"/>
        <v>100</v>
      </c>
      <c r="D119" s="20">
        <f>MAX('TANF-VIEW'!L120,'TANF-VIEW'!T120)</f>
        <v>0</v>
      </c>
      <c r="E119" s="20">
        <f t="shared" si="4"/>
        <v>4725</v>
      </c>
      <c r="F119" s="178">
        <f>IF(AND('Total income package'!$A$24=TRUE,E119&lt;$I$2),'Program specific data'!$B$119*WIC!$G$2,0)</f>
        <v>0</v>
      </c>
    </row>
    <row r="120" spans="1:6" x14ac:dyDescent="0.25">
      <c r="A120" s="19">
        <v>56000</v>
      </c>
      <c r="B120" s="20">
        <f t="shared" si="5"/>
        <v>4666.666666666667</v>
      </c>
      <c r="C120" s="20">
        <f t="shared" si="3"/>
        <v>100</v>
      </c>
      <c r="D120" s="20">
        <f>MAX('TANF-VIEW'!L121,'TANF-VIEW'!T121)</f>
        <v>0</v>
      </c>
      <c r="E120" s="20">
        <f t="shared" si="4"/>
        <v>4766.666666666667</v>
      </c>
      <c r="F120" s="178">
        <f>IF(AND('Total income package'!$A$24=TRUE,E120&lt;$I$2),'Program specific data'!$B$119*WIC!$G$2,0)</f>
        <v>0</v>
      </c>
    </row>
    <row r="121" spans="1:6" x14ac:dyDescent="0.25">
      <c r="A121" s="19">
        <v>56500</v>
      </c>
      <c r="B121" s="20">
        <f t="shared" si="5"/>
        <v>4708.333333333333</v>
      </c>
      <c r="C121" s="20">
        <f t="shared" si="3"/>
        <v>100</v>
      </c>
      <c r="D121" s="20">
        <f>MAX('TANF-VIEW'!L122,'TANF-VIEW'!T122)</f>
        <v>0</v>
      </c>
      <c r="E121" s="20">
        <f t="shared" si="4"/>
        <v>4808.333333333333</v>
      </c>
      <c r="F121" s="178">
        <f>IF(AND('Total income package'!$A$24=TRUE,E121&lt;$I$2),'Program specific data'!$B$119*WIC!$G$2,0)</f>
        <v>0</v>
      </c>
    </row>
    <row r="122" spans="1:6" x14ac:dyDescent="0.25">
      <c r="A122" s="19">
        <v>57000</v>
      </c>
      <c r="B122" s="20">
        <f t="shared" si="5"/>
        <v>4750</v>
      </c>
      <c r="C122" s="20">
        <f t="shared" si="3"/>
        <v>100</v>
      </c>
      <c r="D122" s="20">
        <f>MAX('TANF-VIEW'!L123,'TANF-VIEW'!T123)</f>
        <v>0</v>
      </c>
      <c r="E122" s="20">
        <f t="shared" si="4"/>
        <v>4850</v>
      </c>
      <c r="F122" s="178">
        <f>IF(AND('Total income package'!$A$24=TRUE,E122&lt;$I$2),'Program specific data'!$B$119*WIC!$G$2,0)</f>
        <v>0</v>
      </c>
    </row>
    <row r="123" spans="1:6" x14ac:dyDescent="0.25">
      <c r="A123" s="19">
        <v>57500</v>
      </c>
      <c r="B123" s="20">
        <f t="shared" si="5"/>
        <v>4791.666666666667</v>
      </c>
      <c r="C123" s="20">
        <f t="shared" si="3"/>
        <v>100</v>
      </c>
      <c r="D123" s="20">
        <f>MAX('TANF-VIEW'!L124,'TANF-VIEW'!T124)</f>
        <v>0</v>
      </c>
      <c r="E123" s="20">
        <f t="shared" si="4"/>
        <v>4891.666666666667</v>
      </c>
      <c r="F123" s="178">
        <f>IF(AND('Total income package'!$A$24=TRUE,E123&lt;$I$2),'Program specific data'!$B$119*WIC!$G$2,0)</f>
        <v>0</v>
      </c>
    </row>
    <row r="124" spans="1:6" x14ac:dyDescent="0.25">
      <c r="A124" s="19">
        <v>58000</v>
      </c>
      <c r="B124" s="20">
        <f t="shared" si="5"/>
        <v>4833.333333333333</v>
      </c>
      <c r="C124" s="20">
        <f t="shared" si="3"/>
        <v>100</v>
      </c>
      <c r="D124" s="20">
        <f>MAX('TANF-VIEW'!L125,'TANF-VIEW'!T125)</f>
        <v>0</v>
      </c>
      <c r="E124" s="20">
        <f t="shared" si="4"/>
        <v>4933.333333333333</v>
      </c>
      <c r="F124" s="178">
        <f>IF(AND('Total income package'!$A$24=TRUE,E124&lt;$I$2),'Program specific data'!$B$119*WIC!$G$2,0)</f>
        <v>0</v>
      </c>
    </row>
    <row r="125" spans="1:6" x14ac:dyDescent="0.25">
      <c r="A125" s="19">
        <v>58500</v>
      </c>
      <c r="B125" s="20">
        <f t="shared" si="5"/>
        <v>4875</v>
      </c>
      <c r="C125" s="20">
        <f t="shared" si="3"/>
        <v>100</v>
      </c>
      <c r="D125" s="20">
        <f>MAX('TANF-VIEW'!L126,'TANF-VIEW'!T126)</f>
        <v>0</v>
      </c>
      <c r="E125" s="20">
        <f t="shared" si="4"/>
        <v>4975</v>
      </c>
      <c r="F125" s="178">
        <f>IF(AND('Total income package'!$A$24=TRUE,E125&lt;$I$2),'Program specific data'!$B$119*WIC!$G$2,0)</f>
        <v>0</v>
      </c>
    </row>
    <row r="126" spans="1:6" x14ac:dyDescent="0.25">
      <c r="A126" s="19">
        <v>59000</v>
      </c>
      <c r="B126" s="20">
        <f t="shared" si="5"/>
        <v>4916.666666666667</v>
      </c>
      <c r="C126" s="20">
        <f t="shared" si="3"/>
        <v>100</v>
      </c>
      <c r="D126" s="20">
        <f>MAX('TANF-VIEW'!L127,'TANF-VIEW'!T127)</f>
        <v>0</v>
      </c>
      <c r="E126" s="20">
        <f t="shared" si="4"/>
        <v>5016.666666666667</v>
      </c>
      <c r="F126" s="178">
        <f>IF(AND('Total income package'!$A$24=TRUE,E126&lt;$I$2),'Program specific data'!$B$119*WIC!$G$2,0)</f>
        <v>0</v>
      </c>
    </row>
    <row r="127" spans="1:6" x14ac:dyDescent="0.25">
      <c r="A127" s="19">
        <v>59500</v>
      </c>
      <c r="B127" s="20">
        <f t="shared" si="5"/>
        <v>4958.333333333333</v>
      </c>
      <c r="C127" s="20">
        <f t="shared" si="3"/>
        <v>100</v>
      </c>
      <c r="D127" s="20">
        <f>MAX('TANF-VIEW'!L128,'TANF-VIEW'!T128)</f>
        <v>0</v>
      </c>
      <c r="E127" s="20">
        <f t="shared" si="4"/>
        <v>5058.333333333333</v>
      </c>
      <c r="F127" s="178">
        <f>IF(AND('Total income package'!$A$24=TRUE,E127&lt;$I$2),'Program specific data'!$B$119*WIC!$G$2,0)</f>
        <v>0</v>
      </c>
    </row>
    <row r="128" spans="1:6" x14ac:dyDescent="0.25">
      <c r="A128" s="19">
        <v>60000</v>
      </c>
      <c r="B128" s="20">
        <f t="shared" si="5"/>
        <v>5000</v>
      </c>
      <c r="C128" s="20">
        <f t="shared" si="3"/>
        <v>100</v>
      </c>
      <c r="D128" s="20">
        <f>MAX('TANF-VIEW'!L129,'TANF-VIEW'!T129)</f>
        <v>0</v>
      </c>
      <c r="E128" s="20">
        <f t="shared" si="4"/>
        <v>5100</v>
      </c>
      <c r="F128" s="178">
        <f>IF(AND('Total income package'!$A$24=TRUE,E128&lt;$I$2),'Program specific data'!$B$119*WIC!$G$2,0)</f>
        <v>0</v>
      </c>
    </row>
    <row r="129" spans="1:6" x14ac:dyDescent="0.25">
      <c r="A129" s="19">
        <v>60500</v>
      </c>
      <c r="B129" s="20">
        <f t="shared" si="5"/>
        <v>5041.666666666667</v>
      </c>
      <c r="C129" s="20">
        <f t="shared" si="3"/>
        <v>100</v>
      </c>
      <c r="D129" s="20">
        <f>MAX('TANF-VIEW'!L130,'TANF-VIEW'!T130)</f>
        <v>0</v>
      </c>
      <c r="E129" s="20">
        <f t="shared" si="4"/>
        <v>5141.666666666667</v>
      </c>
      <c r="F129" s="178">
        <f>IF(AND('Total income package'!$A$24=TRUE,E129&lt;$I$2),'Program specific data'!$B$119*WIC!$G$2,0)</f>
        <v>0</v>
      </c>
    </row>
    <row r="130" spans="1:6" x14ac:dyDescent="0.25">
      <c r="A130" s="19">
        <v>61000</v>
      </c>
      <c r="B130" s="20">
        <f t="shared" si="5"/>
        <v>5083.333333333333</v>
      </c>
      <c r="C130" s="20">
        <f t="shared" si="3"/>
        <v>100</v>
      </c>
      <c r="D130" s="20">
        <f>MAX('TANF-VIEW'!L131,'TANF-VIEW'!T131)</f>
        <v>0</v>
      </c>
      <c r="E130" s="20">
        <f t="shared" si="4"/>
        <v>5183.333333333333</v>
      </c>
      <c r="F130" s="178">
        <f>IF(AND('Total income package'!$A$24=TRUE,E130&lt;$I$2),'Program specific data'!$B$119*WIC!$G$2,0)</f>
        <v>0</v>
      </c>
    </row>
    <row r="131" spans="1:6" x14ac:dyDescent="0.25">
      <c r="A131" s="19">
        <v>61500</v>
      </c>
      <c r="B131" s="20">
        <f t="shared" si="5"/>
        <v>5125</v>
      </c>
      <c r="C131" s="20">
        <f t="shared" si="3"/>
        <v>100</v>
      </c>
      <c r="D131" s="20">
        <f>MAX('TANF-VIEW'!L132,'TANF-VIEW'!T132)</f>
        <v>0</v>
      </c>
      <c r="E131" s="20">
        <f t="shared" si="4"/>
        <v>5225</v>
      </c>
      <c r="F131" s="178">
        <f>IF(AND('Total income package'!$A$24=TRUE,E131&lt;$I$2),'Program specific data'!$B$119*WIC!$G$2,0)</f>
        <v>0</v>
      </c>
    </row>
    <row r="132" spans="1:6" x14ac:dyDescent="0.25">
      <c r="A132" s="19">
        <v>62000</v>
      </c>
      <c r="B132" s="20">
        <f t="shared" si="5"/>
        <v>5166.666666666667</v>
      </c>
      <c r="C132" s="20">
        <f t="shared" si="3"/>
        <v>100</v>
      </c>
      <c r="D132" s="20">
        <f>MAX('TANF-VIEW'!L133,'TANF-VIEW'!T133)</f>
        <v>0</v>
      </c>
      <c r="E132" s="20">
        <f t="shared" si="4"/>
        <v>5266.666666666667</v>
      </c>
      <c r="F132" s="178">
        <f>IF(AND('Total income package'!$A$24=TRUE,E132&lt;$I$2),'Program specific data'!$B$119*WIC!$G$2,0)</f>
        <v>0</v>
      </c>
    </row>
    <row r="133" spans="1:6" x14ac:dyDescent="0.25">
      <c r="A133" s="19">
        <v>62500</v>
      </c>
      <c r="B133" s="20">
        <f t="shared" si="5"/>
        <v>5208.333333333333</v>
      </c>
      <c r="C133" s="20">
        <f t="shared" si="3"/>
        <v>100</v>
      </c>
      <c r="D133" s="20">
        <f>MAX('TANF-VIEW'!L134,'TANF-VIEW'!T134)</f>
        <v>0</v>
      </c>
      <c r="E133" s="20">
        <f t="shared" si="4"/>
        <v>5308.333333333333</v>
      </c>
      <c r="F133" s="178">
        <f>IF(AND('Total income package'!$A$24=TRUE,E133&lt;$I$2),'Program specific data'!$B$119*WIC!$G$2,0)</f>
        <v>0</v>
      </c>
    </row>
    <row r="134" spans="1:6" x14ac:dyDescent="0.25">
      <c r="A134" s="19">
        <v>63000</v>
      </c>
      <c r="B134" s="20">
        <f t="shared" si="5"/>
        <v>5250</v>
      </c>
      <c r="C134" s="20">
        <f t="shared" si="3"/>
        <v>100</v>
      </c>
      <c r="D134" s="20">
        <f>MAX('TANF-VIEW'!L135,'TANF-VIEW'!T135)</f>
        <v>0</v>
      </c>
      <c r="E134" s="20">
        <f t="shared" si="4"/>
        <v>5350</v>
      </c>
      <c r="F134" s="178">
        <f>IF(AND('Total income package'!$A$24=TRUE,E134&lt;$I$2),'Program specific data'!$B$119*WIC!$G$2,0)</f>
        <v>0</v>
      </c>
    </row>
    <row r="135" spans="1:6" x14ac:dyDescent="0.25">
      <c r="A135" s="19">
        <v>63500</v>
      </c>
      <c r="B135" s="20">
        <f t="shared" si="5"/>
        <v>5291.666666666667</v>
      </c>
      <c r="C135" s="20">
        <f t="shared" si="3"/>
        <v>100</v>
      </c>
      <c r="D135" s="20">
        <f>MAX('TANF-VIEW'!L136,'TANF-VIEW'!T136)</f>
        <v>0</v>
      </c>
      <c r="E135" s="20">
        <f t="shared" si="4"/>
        <v>5391.666666666667</v>
      </c>
      <c r="F135" s="178">
        <f>IF(AND('Total income package'!$A$24=TRUE,E135&lt;$I$2),'Program specific data'!$B$119*WIC!$G$2,0)</f>
        <v>0</v>
      </c>
    </row>
    <row r="136" spans="1:6" x14ac:dyDescent="0.25">
      <c r="A136" s="19">
        <v>64000</v>
      </c>
      <c r="B136" s="20">
        <f t="shared" si="5"/>
        <v>5333.333333333333</v>
      </c>
      <c r="C136" s="20">
        <f t="shared" si="3"/>
        <v>100</v>
      </c>
      <c r="D136" s="20">
        <f>MAX('TANF-VIEW'!L137,'TANF-VIEW'!T137)</f>
        <v>0</v>
      </c>
      <c r="E136" s="20">
        <f t="shared" si="4"/>
        <v>5433.333333333333</v>
      </c>
      <c r="F136" s="178">
        <f>IF(AND('Total income package'!$A$24=TRUE,E136&lt;$I$2),'Program specific data'!$B$119*WIC!$G$2,0)</f>
        <v>0</v>
      </c>
    </row>
    <row r="137" spans="1:6" x14ac:dyDescent="0.25">
      <c r="A137" s="19">
        <v>64500</v>
      </c>
      <c r="B137" s="20">
        <f t="shared" si="5"/>
        <v>5375</v>
      </c>
      <c r="C137" s="20">
        <f t="shared" ref="C137:C200" si="6">$H$2</f>
        <v>100</v>
      </c>
      <c r="D137" s="20">
        <f>MAX('TANF-VIEW'!L138,'TANF-VIEW'!T138)</f>
        <v>0</v>
      </c>
      <c r="E137" s="20">
        <f t="shared" ref="E137:E200" si="7">B137+C137+D137</f>
        <v>5475</v>
      </c>
      <c r="F137" s="178">
        <f>IF(AND('Total income package'!$A$24=TRUE,E137&lt;$I$2),'Program specific data'!$B$119*WIC!$G$2,0)</f>
        <v>0</v>
      </c>
    </row>
    <row r="138" spans="1:6" x14ac:dyDescent="0.25">
      <c r="A138" s="19">
        <v>65000</v>
      </c>
      <c r="B138" s="20">
        <f t="shared" ref="B138:B201" si="8">A138/12</f>
        <v>5416.666666666667</v>
      </c>
      <c r="C138" s="20">
        <f t="shared" si="6"/>
        <v>100</v>
      </c>
      <c r="D138" s="20">
        <f>MAX('TANF-VIEW'!L139,'TANF-VIEW'!T139)</f>
        <v>0</v>
      </c>
      <c r="E138" s="20">
        <f t="shared" si="7"/>
        <v>5516.666666666667</v>
      </c>
      <c r="F138" s="178">
        <f>IF(AND('Total income package'!$A$24=TRUE,E138&lt;$I$2),'Program specific data'!$B$119*WIC!$G$2,0)</f>
        <v>0</v>
      </c>
    </row>
    <row r="139" spans="1:6" x14ac:dyDescent="0.25">
      <c r="A139" s="19">
        <v>65500</v>
      </c>
      <c r="B139" s="20">
        <f t="shared" si="8"/>
        <v>5458.333333333333</v>
      </c>
      <c r="C139" s="20">
        <f t="shared" si="6"/>
        <v>100</v>
      </c>
      <c r="D139" s="20">
        <f>MAX('TANF-VIEW'!L140,'TANF-VIEW'!T140)</f>
        <v>0</v>
      </c>
      <c r="E139" s="20">
        <f t="shared" si="7"/>
        <v>5558.333333333333</v>
      </c>
      <c r="F139" s="178">
        <f>IF(AND('Total income package'!$A$24=TRUE,E139&lt;$I$2),'Program specific data'!$B$119*WIC!$G$2,0)</f>
        <v>0</v>
      </c>
    </row>
    <row r="140" spans="1:6" x14ac:dyDescent="0.25">
      <c r="A140" s="19">
        <v>66000</v>
      </c>
      <c r="B140" s="20">
        <f t="shared" si="8"/>
        <v>5500</v>
      </c>
      <c r="C140" s="20">
        <f t="shared" si="6"/>
        <v>100</v>
      </c>
      <c r="D140" s="20">
        <f>MAX('TANF-VIEW'!L141,'TANF-VIEW'!T141)</f>
        <v>0</v>
      </c>
      <c r="E140" s="20">
        <f t="shared" si="7"/>
        <v>5600</v>
      </c>
      <c r="F140" s="178">
        <f>IF(AND('Total income package'!$A$24=TRUE,E140&lt;$I$2),'Program specific data'!$B$119*WIC!$G$2,0)</f>
        <v>0</v>
      </c>
    </row>
    <row r="141" spans="1:6" x14ac:dyDescent="0.25">
      <c r="A141" s="19">
        <v>66500</v>
      </c>
      <c r="B141" s="20">
        <f t="shared" si="8"/>
        <v>5541.666666666667</v>
      </c>
      <c r="C141" s="20">
        <f t="shared" si="6"/>
        <v>100</v>
      </c>
      <c r="D141" s="20">
        <f>MAX('TANF-VIEW'!L142,'TANF-VIEW'!T142)</f>
        <v>0</v>
      </c>
      <c r="E141" s="20">
        <f t="shared" si="7"/>
        <v>5641.666666666667</v>
      </c>
      <c r="F141" s="178">
        <f>IF(AND('Total income package'!$A$24=TRUE,E141&lt;$I$2),'Program specific data'!$B$119*WIC!$G$2,0)</f>
        <v>0</v>
      </c>
    </row>
    <row r="142" spans="1:6" x14ac:dyDescent="0.25">
      <c r="A142" s="19">
        <v>67000</v>
      </c>
      <c r="B142" s="20">
        <f t="shared" si="8"/>
        <v>5583.333333333333</v>
      </c>
      <c r="C142" s="20">
        <f t="shared" si="6"/>
        <v>100</v>
      </c>
      <c r="D142" s="20">
        <f>MAX('TANF-VIEW'!L143,'TANF-VIEW'!T143)</f>
        <v>0</v>
      </c>
      <c r="E142" s="20">
        <f t="shared" si="7"/>
        <v>5683.333333333333</v>
      </c>
      <c r="F142" s="178">
        <f>IF(AND('Total income package'!$A$24=TRUE,E142&lt;$I$2),'Program specific data'!$B$119*WIC!$G$2,0)</f>
        <v>0</v>
      </c>
    </row>
    <row r="143" spans="1:6" x14ac:dyDescent="0.25">
      <c r="A143" s="19">
        <v>67500</v>
      </c>
      <c r="B143" s="20">
        <f t="shared" si="8"/>
        <v>5625</v>
      </c>
      <c r="C143" s="20">
        <f t="shared" si="6"/>
        <v>100</v>
      </c>
      <c r="D143" s="20">
        <f>MAX('TANF-VIEW'!L144,'TANF-VIEW'!T144)</f>
        <v>0</v>
      </c>
      <c r="E143" s="20">
        <f t="shared" si="7"/>
        <v>5725</v>
      </c>
      <c r="F143" s="178">
        <f>IF(AND('Total income package'!$A$24=TRUE,E143&lt;$I$2),'Program specific data'!$B$119*WIC!$G$2,0)</f>
        <v>0</v>
      </c>
    </row>
    <row r="144" spans="1:6" x14ac:dyDescent="0.25">
      <c r="A144" s="19">
        <v>68000</v>
      </c>
      <c r="B144" s="20">
        <f t="shared" si="8"/>
        <v>5666.666666666667</v>
      </c>
      <c r="C144" s="20">
        <f t="shared" si="6"/>
        <v>100</v>
      </c>
      <c r="D144" s="20">
        <f>MAX('TANF-VIEW'!L145,'TANF-VIEW'!T145)</f>
        <v>0</v>
      </c>
      <c r="E144" s="20">
        <f t="shared" si="7"/>
        <v>5766.666666666667</v>
      </c>
      <c r="F144" s="178">
        <f>IF(AND('Total income package'!$A$24=TRUE,E144&lt;$I$2),'Program specific data'!$B$119*WIC!$G$2,0)</f>
        <v>0</v>
      </c>
    </row>
    <row r="145" spans="1:6" x14ac:dyDescent="0.25">
      <c r="A145" s="19">
        <v>68500</v>
      </c>
      <c r="B145" s="20">
        <f t="shared" si="8"/>
        <v>5708.333333333333</v>
      </c>
      <c r="C145" s="20">
        <f t="shared" si="6"/>
        <v>100</v>
      </c>
      <c r="D145" s="20">
        <f>MAX('TANF-VIEW'!L146,'TANF-VIEW'!T146)</f>
        <v>0</v>
      </c>
      <c r="E145" s="20">
        <f t="shared" si="7"/>
        <v>5808.333333333333</v>
      </c>
      <c r="F145" s="178">
        <f>IF(AND('Total income package'!$A$24=TRUE,E145&lt;$I$2),'Program specific data'!$B$119*WIC!$G$2,0)</f>
        <v>0</v>
      </c>
    </row>
    <row r="146" spans="1:6" x14ac:dyDescent="0.25">
      <c r="A146" s="19">
        <v>69000</v>
      </c>
      <c r="B146" s="20">
        <f t="shared" si="8"/>
        <v>5750</v>
      </c>
      <c r="C146" s="20">
        <f t="shared" si="6"/>
        <v>100</v>
      </c>
      <c r="D146" s="20">
        <f>MAX('TANF-VIEW'!L147,'TANF-VIEW'!T147)</f>
        <v>0</v>
      </c>
      <c r="E146" s="20">
        <f t="shared" si="7"/>
        <v>5850</v>
      </c>
      <c r="F146" s="178">
        <f>IF(AND('Total income package'!$A$24=TRUE,E146&lt;$I$2),'Program specific data'!$B$119*WIC!$G$2,0)</f>
        <v>0</v>
      </c>
    </row>
    <row r="147" spans="1:6" x14ac:dyDescent="0.25">
      <c r="A147" s="19">
        <v>69500</v>
      </c>
      <c r="B147" s="20">
        <f t="shared" si="8"/>
        <v>5791.666666666667</v>
      </c>
      <c r="C147" s="20">
        <f t="shared" si="6"/>
        <v>100</v>
      </c>
      <c r="D147" s="20">
        <f>MAX('TANF-VIEW'!L148,'TANF-VIEW'!T148)</f>
        <v>0</v>
      </c>
      <c r="E147" s="20">
        <f t="shared" si="7"/>
        <v>5891.666666666667</v>
      </c>
      <c r="F147" s="178">
        <f>IF(AND('Total income package'!$A$24=TRUE,E147&lt;$I$2),'Program specific data'!$B$119*WIC!$G$2,0)</f>
        <v>0</v>
      </c>
    </row>
    <row r="148" spans="1:6" x14ac:dyDescent="0.25">
      <c r="A148" s="19">
        <v>70000</v>
      </c>
      <c r="B148" s="20">
        <f t="shared" si="8"/>
        <v>5833.333333333333</v>
      </c>
      <c r="C148" s="20">
        <f t="shared" si="6"/>
        <v>100</v>
      </c>
      <c r="D148" s="20">
        <f>MAX('TANF-VIEW'!L149,'TANF-VIEW'!T149)</f>
        <v>0</v>
      </c>
      <c r="E148" s="20">
        <f t="shared" si="7"/>
        <v>5933.333333333333</v>
      </c>
      <c r="F148" s="178">
        <f>IF(AND('Total income package'!$A$24=TRUE,E148&lt;$I$2),'Program specific data'!$B$119*WIC!$G$2,0)</f>
        <v>0</v>
      </c>
    </row>
    <row r="149" spans="1:6" x14ac:dyDescent="0.25">
      <c r="A149" s="19">
        <v>70500</v>
      </c>
      <c r="B149" s="20">
        <f t="shared" si="8"/>
        <v>5875</v>
      </c>
      <c r="C149" s="20">
        <f t="shared" si="6"/>
        <v>100</v>
      </c>
      <c r="D149" s="20">
        <f>MAX('TANF-VIEW'!L150,'TANF-VIEW'!T150)</f>
        <v>0</v>
      </c>
      <c r="E149" s="20">
        <f t="shared" si="7"/>
        <v>5975</v>
      </c>
      <c r="F149" s="178">
        <f>IF(AND('Total income package'!$A$24=TRUE,E149&lt;$I$2),'Program specific data'!$B$119*WIC!$G$2,0)</f>
        <v>0</v>
      </c>
    </row>
    <row r="150" spans="1:6" x14ac:dyDescent="0.25">
      <c r="A150" s="19">
        <v>71000</v>
      </c>
      <c r="B150" s="20">
        <f t="shared" si="8"/>
        <v>5916.666666666667</v>
      </c>
      <c r="C150" s="20">
        <f t="shared" si="6"/>
        <v>100</v>
      </c>
      <c r="D150" s="20">
        <f>MAX('TANF-VIEW'!L151,'TANF-VIEW'!T151)</f>
        <v>0</v>
      </c>
      <c r="E150" s="20">
        <f t="shared" si="7"/>
        <v>6016.666666666667</v>
      </c>
      <c r="F150" s="178">
        <f>IF(AND('Total income package'!$A$24=TRUE,E150&lt;$I$2),'Program specific data'!$B$119*WIC!$G$2,0)</f>
        <v>0</v>
      </c>
    </row>
    <row r="151" spans="1:6" x14ac:dyDescent="0.25">
      <c r="A151" s="19">
        <v>71500</v>
      </c>
      <c r="B151" s="20">
        <f t="shared" si="8"/>
        <v>5958.333333333333</v>
      </c>
      <c r="C151" s="20">
        <f t="shared" si="6"/>
        <v>100</v>
      </c>
      <c r="D151" s="20">
        <f>MAX('TANF-VIEW'!L152,'TANF-VIEW'!T152)</f>
        <v>0</v>
      </c>
      <c r="E151" s="20">
        <f t="shared" si="7"/>
        <v>6058.333333333333</v>
      </c>
      <c r="F151" s="178">
        <f>IF(AND('Total income package'!$A$24=TRUE,E151&lt;$I$2),'Program specific data'!$B$119*WIC!$G$2,0)</f>
        <v>0</v>
      </c>
    </row>
    <row r="152" spans="1:6" x14ac:dyDescent="0.25">
      <c r="A152" s="19">
        <v>72000</v>
      </c>
      <c r="B152" s="20">
        <f t="shared" si="8"/>
        <v>6000</v>
      </c>
      <c r="C152" s="20">
        <f t="shared" si="6"/>
        <v>100</v>
      </c>
      <c r="D152" s="20">
        <f>MAX('TANF-VIEW'!L153,'TANF-VIEW'!T153)</f>
        <v>0</v>
      </c>
      <c r="E152" s="20">
        <f t="shared" si="7"/>
        <v>6100</v>
      </c>
      <c r="F152" s="178">
        <f>IF(AND('Total income package'!$A$24=TRUE,E152&lt;$I$2),'Program specific data'!$B$119*WIC!$G$2,0)</f>
        <v>0</v>
      </c>
    </row>
    <row r="153" spans="1:6" x14ac:dyDescent="0.25">
      <c r="A153" s="19">
        <v>72500</v>
      </c>
      <c r="B153" s="20">
        <f t="shared" si="8"/>
        <v>6041.666666666667</v>
      </c>
      <c r="C153" s="20">
        <f t="shared" si="6"/>
        <v>100</v>
      </c>
      <c r="D153" s="20">
        <f>MAX('TANF-VIEW'!L154,'TANF-VIEW'!T154)</f>
        <v>0</v>
      </c>
      <c r="E153" s="20">
        <f t="shared" si="7"/>
        <v>6141.666666666667</v>
      </c>
      <c r="F153" s="178">
        <f>IF(AND('Total income package'!$A$24=TRUE,E153&lt;$I$2),'Program specific data'!$B$119*WIC!$G$2,0)</f>
        <v>0</v>
      </c>
    </row>
    <row r="154" spans="1:6" x14ac:dyDescent="0.25">
      <c r="A154" s="19">
        <v>73000</v>
      </c>
      <c r="B154" s="20">
        <f t="shared" si="8"/>
        <v>6083.333333333333</v>
      </c>
      <c r="C154" s="20">
        <f t="shared" si="6"/>
        <v>100</v>
      </c>
      <c r="D154" s="20">
        <f>MAX('TANF-VIEW'!L155,'TANF-VIEW'!T155)</f>
        <v>0</v>
      </c>
      <c r="E154" s="20">
        <f t="shared" si="7"/>
        <v>6183.333333333333</v>
      </c>
      <c r="F154" s="178">
        <f>IF(AND('Total income package'!$A$24=TRUE,E154&lt;$I$2),'Program specific data'!$B$119*WIC!$G$2,0)</f>
        <v>0</v>
      </c>
    </row>
    <row r="155" spans="1:6" x14ac:dyDescent="0.25">
      <c r="A155" s="19">
        <v>73500</v>
      </c>
      <c r="B155" s="20">
        <f t="shared" si="8"/>
        <v>6125</v>
      </c>
      <c r="C155" s="20">
        <f t="shared" si="6"/>
        <v>100</v>
      </c>
      <c r="D155" s="20">
        <f>MAX('TANF-VIEW'!L156,'TANF-VIEW'!T156)</f>
        <v>0</v>
      </c>
      <c r="E155" s="20">
        <f t="shared" si="7"/>
        <v>6225</v>
      </c>
      <c r="F155" s="178">
        <f>IF(AND('Total income package'!$A$24=TRUE,E155&lt;$I$2),'Program specific data'!$B$119*WIC!$G$2,0)</f>
        <v>0</v>
      </c>
    </row>
    <row r="156" spans="1:6" x14ac:dyDescent="0.25">
      <c r="A156" s="19">
        <v>74000</v>
      </c>
      <c r="B156" s="20">
        <f t="shared" si="8"/>
        <v>6166.666666666667</v>
      </c>
      <c r="C156" s="20">
        <f t="shared" si="6"/>
        <v>100</v>
      </c>
      <c r="D156" s="20">
        <f>MAX('TANF-VIEW'!L157,'TANF-VIEW'!T157)</f>
        <v>0</v>
      </c>
      <c r="E156" s="20">
        <f t="shared" si="7"/>
        <v>6266.666666666667</v>
      </c>
      <c r="F156" s="178">
        <f>IF(AND('Total income package'!$A$24=TRUE,E156&lt;$I$2),'Program specific data'!$B$119*WIC!$G$2,0)</f>
        <v>0</v>
      </c>
    </row>
    <row r="157" spans="1:6" x14ac:dyDescent="0.25">
      <c r="A157" s="19">
        <v>74500</v>
      </c>
      <c r="B157" s="20">
        <f t="shared" si="8"/>
        <v>6208.333333333333</v>
      </c>
      <c r="C157" s="20">
        <f t="shared" si="6"/>
        <v>100</v>
      </c>
      <c r="D157" s="20">
        <f>MAX('TANF-VIEW'!L158,'TANF-VIEW'!T158)</f>
        <v>0</v>
      </c>
      <c r="E157" s="20">
        <f t="shared" si="7"/>
        <v>6308.333333333333</v>
      </c>
      <c r="F157" s="178">
        <f>IF(AND('Total income package'!$A$24=TRUE,E157&lt;$I$2),'Program specific data'!$B$119*WIC!$G$2,0)</f>
        <v>0</v>
      </c>
    </row>
    <row r="158" spans="1:6" x14ac:dyDescent="0.25">
      <c r="A158" s="19">
        <v>75000</v>
      </c>
      <c r="B158" s="20">
        <f t="shared" si="8"/>
        <v>6250</v>
      </c>
      <c r="C158" s="20">
        <f t="shared" si="6"/>
        <v>100</v>
      </c>
      <c r="D158" s="20">
        <f>MAX('TANF-VIEW'!L159,'TANF-VIEW'!T159)</f>
        <v>0</v>
      </c>
      <c r="E158" s="20">
        <f t="shared" si="7"/>
        <v>6350</v>
      </c>
      <c r="F158" s="178">
        <f>IF(AND('Total income package'!$A$24=TRUE,E158&lt;$I$2),'Program specific data'!$B$119*WIC!$G$2,0)</f>
        <v>0</v>
      </c>
    </row>
    <row r="159" spans="1:6" x14ac:dyDescent="0.25">
      <c r="A159" s="19">
        <v>75500</v>
      </c>
      <c r="B159" s="20">
        <f t="shared" si="8"/>
        <v>6291.666666666667</v>
      </c>
      <c r="C159" s="20">
        <f t="shared" si="6"/>
        <v>100</v>
      </c>
      <c r="D159" s="20">
        <f>MAX('TANF-VIEW'!L160,'TANF-VIEW'!T160)</f>
        <v>0</v>
      </c>
      <c r="E159" s="20">
        <f t="shared" si="7"/>
        <v>6391.666666666667</v>
      </c>
      <c r="F159" s="178">
        <f>IF(AND('Total income package'!$A$24=TRUE,E159&lt;$I$2),'Program specific data'!$B$119*WIC!$G$2,0)</f>
        <v>0</v>
      </c>
    </row>
    <row r="160" spans="1:6" x14ac:dyDescent="0.25">
      <c r="A160" s="19">
        <v>76000</v>
      </c>
      <c r="B160" s="20">
        <f t="shared" si="8"/>
        <v>6333.333333333333</v>
      </c>
      <c r="C160" s="20">
        <f t="shared" si="6"/>
        <v>100</v>
      </c>
      <c r="D160" s="20">
        <f>MAX('TANF-VIEW'!L161,'TANF-VIEW'!T161)</f>
        <v>0</v>
      </c>
      <c r="E160" s="20">
        <f t="shared" si="7"/>
        <v>6433.333333333333</v>
      </c>
      <c r="F160" s="178">
        <f>IF(AND('Total income package'!$A$24=TRUE,E160&lt;$I$2),'Program specific data'!$B$119*WIC!$G$2,0)</f>
        <v>0</v>
      </c>
    </row>
    <row r="161" spans="1:6" x14ac:dyDescent="0.25">
      <c r="A161" s="19">
        <v>76500</v>
      </c>
      <c r="B161" s="20">
        <f t="shared" si="8"/>
        <v>6375</v>
      </c>
      <c r="C161" s="20">
        <f t="shared" si="6"/>
        <v>100</v>
      </c>
      <c r="D161" s="20">
        <f>MAX('TANF-VIEW'!L162,'TANF-VIEW'!T162)</f>
        <v>0</v>
      </c>
      <c r="E161" s="20">
        <f t="shared" si="7"/>
        <v>6475</v>
      </c>
      <c r="F161" s="178">
        <f>IF(AND('Total income package'!$A$24=TRUE,E161&lt;$I$2),'Program specific data'!$B$119*WIC!$G$2,0)</f>
        <v>0</v>
      </c>
    </row>
    <row r="162" spans="1:6" x14ac:dyDescent="0.25">
      <c r="A162" s="19">
        <v>77000</v>
      </c>
      <c r="B162" s="20">
        <f t="shared" si="8"/>
        <v>6416.666666666667</v>
      </c>
      <c r="C162" s="20">
        <f t="shared" si="6"/>
        <v>100</v>
      </c>
      <c r="D162" s="20">
        <f>MAX('TANF-VIEW'!L163,'TANF-VIEW'!T163)</f>
        <v>0</v>
      </c>
      <c r="E162" s="20">
        <f t="shared" si="7"/>
        <v>6516.666666666667</v>
      </c>
      <c r="F162" s="178">
        <f>IF(AND('Total income package'!$A$24=TRUE,E162&lt;$I$2),'Program specific data'!$B$119*WIC!$G$2,0)</f>
        <v>0</v>
      </c>
    </row>
    <row r="163" spans="1:6" x14ac:dyDescent="0.25">
      <c r="A163" s="19">
        <v>77500</v>
      </c>
      <c r="B163" s="20">
        <f t="shared" si="8"/>
        <v>6458.333333333333</v>
      </c>
      <c r="C163" s="20">
        <f t="shared" si="6"/>
        <v>100</v>
      </c>
      <c r="D163" s="20">
        <f>MAX('TANF-VIEW'!L164,'TANF-VIEW'!T164)</f>
        <v>0</v>
      </c>
      <c r="E163" s="20">
        <f t="shared" si="7"/>
        <v>6558.333333333333</v>
      </c>
      <c r="F163" s="178">
        <f>IF(AND('Total income package'!$A$24=TRUE,E163&lt;$I$2),'Program specific data'!$B$119*WIC!$G$2,0)</f>
        <v>0</v>
      </c>
    </row>
    <row r="164" spans="1:6" x14ac:dyDescent="0.25">
      <c r="A164" s="19">
        <v>78000</v>
      </c>
      <c r="B164" s="20">
        <f t="shared" si="8"/>
        <v>6500</v>
      </c>
      <c r="C164" s="20">
        <f t="shared" si="6"/>
        <v>100</v>
      </c>
      <c r="D164" s="20">
        <f>MAX('TANF-VIEW'!L165,'TANF-VIEW'!T165)</f>
        <v>0</v>
      </c>
      <c r="E164" s="20">
        <f t="shared" si="7"/>
        <v>6600</v>
      </c>
      <c r="F164" s="178">
        <f>IF(AND('Total income package'!$A$24=TRUE,E164&lt;$I$2),'Program specific data'!$B$119*WIC!$G$2,0)</f>
        <v>0</v>
      </c>
    </row>
    <row r="165" spans="1:6" x14ac:dyDescent="0.25">
      <c r="A165" s="19">
        <v>78500</v>
      </c>
      <c r="B165" s="20">
        <f t="shared" si="8"/>
        <v>6541.666666666667</v>
      </c>
      <c r="C165" s="20">
        <f t="shared" si="6"/>
        <v>100</v>
      </c>
      <c r="D165" s="20">
        <f>MAX('TANF-VIEW'!L166,'TANF-VIEW'!T166)</f>
        <v>0</v>
      </c>
      <c r="E165" s="20">
        <f t="shared" si="7"/>
        <v>6641.666666666667</v>
      </c>
      <c r="F165" s="178">
        <f>IF(AND('Total income package'!$A$24=TRUE,E165&lt;$I$2),'Program specific data'!$B$119*WIC!$G$2,0)</f>
        <v>0</v>
      </c>
    </row>
    <row r="166" spans="1:6" x14ac:dyDescent="0.25">
      <c r="A166" s="19">
        <v>79000</v>
      </c>
      <c r="B166" s="20">
        <f t="shared" si="8"/>
        <v>6583.333333333333</v>
      </c>
      <c r="C166" s="20">
        <f t="shared" si="6"/>
        <v>100</v>
      </c>
      <c r="D166" s="20">
        <f>MAX('TANF-VIEW'!L167,'TANF-VIEW'!T167)</f>
        <v>0</v>
      </c>
      <c r="E166" s="20">
        <f t="shared" si="7"/>
        <v>6683.333333333333</v>
      </c>
      <c r="F166" s="178">
        <f>IF(AND('Total income package'!$A$24=TRUE,E166&lt;$I$2),'Program specific data'!$B$119*WIC!$G$2,0)</f>
        <v>0</v>
      </c>
    </row>
    <row r="167" spans="1:6" x14ac:dyDescent="0.25">
      <c r="A167" s="19">
        <v>79500</v>
      </c>
      <c r="B167" s="20">
        <f t="shared" si="8"/>
        <v>6625</v>
      </c>
      <c r="C167" s="20">
        <f t="shared" si="6"/>
        <v>100</v>
      </c>
      <c r="D167" s="20">
        <f>MAX('TANF-VIEW'!L168,'TANF-VIEW'!T168)</f>
        <v>0</v>
      </c>
      <c r="E167" s="20">
        <f t="shared" si="7"/>
        <v>6725</v>
      </c>
      <c r="F167" s="178">
        <f>IF(AND('Total income package'!$A$24=TRUE,E167&lt;$I$2),'Program specific data'!$B$119*WIC!$G$2,0)</f>
        <v>0</v>
      </c>
    </row>
    <row r="168" spans="1:6" x14ac:dyDescent="0.25">
      <c r="A168" s="19">
        <v>80000</v>
      </c>
      <c r="B168" s="20">
        <f t="shared" si="8"/>
        <v>6666.666666666667</v>
      </c>
      <c r="C168" s="20">
        <f t="shared" si="6"/>
        <v>100</v>
      </c>
      <c r="D168" s="20">
        <f>MAX('TANF-VIEW'!L169,'TANF-VIEW'!T169)</f>
        <v>0</v>
      </c>
      <c r="E168" s="20">
        <f t="shared" si="7"/>
        <v>6766.666666666667</v>
      </c>
      <c r="F168" s="178">
        <f>IF(AND('Total income package'!$A$24=TRUE,E168&lt;$I$2),'Program specific data'!$B$119*WIC!$G$2,0)</f>
        <v>0</v>
      </c>
    </row>
    <row r="169" spans="1:6" x14ac:dyDescent="0.25">
      <c r="A169" s="19">
        <v>80500</v>
      </c>
      <c r="B169" s="20">
        <f t="shared" si="8"/>
        <v>6708.333333333333</v>
      </c>
      <c r="C169" s="20">
        <f t="shared" si="6"/>
        <v>100</v>
      </c>
      <c r="D169" s="20">
        <f>MAX('TANF-VIEW'!L170,'TANF-VIEW'!T170)</f>
        <v>0</v>
      </c>
      <c r="E169" s="20">
        <f t="shared" si="7"/>
        <v>6808.333333333333</v>
      </c>
      <c r="F169" s="178">
        <f>IF(AND('Total income package'!$A$24=TRUE,E169&lt;$I$2),'Program specific data'!$B$119*WIC!$G$2,0)</f>
        <v>0</v>
      </c>
    </row>
    <row r="170" spans="1:6" x14ac:dyDescent="0.25">
      <c r="A170" s="19">
        <v>81000</v>
      </c>
      <c r="B170" s="20">
        <f t="shared" si="8"/>
        <v>6750</v>
      </c>
      <c r="C170" s="20">
        <f t="shared" si="6"/>
        <v>100</v>
      </c>
      <c r="D170" s="20">
        <f>MAX('TANF-VIEW'!L171,'TANF-VIEW'!T171)</f>
        <v>0</v>
      </c>
      <c r="E170" s="20">
        <f t="shared" si="7"/>
        <v>6850</v>
      </c>
      <c r="F170" s="178">
        <f>IF(AND('Total income package'!$A$24=TRUE,E170&lt;$I$2),'Program specific data'!$B$119*WIC!$G$2,0)</f>
        <v>0</v>
      </c>
    </row>
    <row r="171" spans="1:6" x14ac:dyDescent="0.25">
      <c r="A171" s="19">
        <v>81500</v>
      </c>
      <c r="B171" s="20">
        <f t="shared" si="8"/>
        <v>6791.666666666667</v>
      </c>
      <c r="C171" s="20">
        <f t="shared" si="6"/>
        <v>100</v>
      </c>
      <c r="D171" s="20">
        <f>MAX('TANF-VIEW'!L172,'TANF-VIEW'!T172)</f>
        <v>0</v>
      </c>
      <c r="E171" s="20">
        <f t="shared" si="7"/>
        <v>6891.666666666667</v>
      </c>
      <c r="F171" s="178">
        <f>IF(AND('Total income package'!$A$24=TRUE,E171&lt;$I$2),'Program specific data'!$B$119*WIC!$G$2,0)</f>
        <v>0</v>
      </c>
    </row>
    <row r="172" spans="1:6" x14ac:dyDescent="0.25">
      <c r="A172" s="19">
        <v>82000</v>
      </c>
      <c r="B172" s="20">
        <f t="shared" si="8"/>
        <v>6833.333333333333</v>
      </c>
      <c r="C172" s="20">
        <f t="shared" si="6"/>
        <v>100</v>
      </c>
      <c r="D172" s="20">
        <f>MAX('TANF-VIEW'!L173,'TANF-VIEW'!T173)</f>
        <v>0</v>
      </c>
      <c r="E172" s="20">
        <f t="shared" si="7"/>
        <v>6933.333333333333</v>
      </c>
      <c r="F172" s="178">
        <f>IF(AND('Total income package'!$A$24=TRUE,E172&lt;$I$2),'Program specific data'!$B$119*WIC!$G$2,0)</f>
        <v>0</v>
      </c>
    </row>
    <row r="173" spans="1:6" x14ac:dyDescent="0.25">
      <c r="A173" s="19">
        <v>82500</v>
      </c>
      <c r="B173" s="20">
        <f t="shared" si="8"/>
        <v>6875</v>
      </c>
      <c r="C173" s="20">
        <f t="shared" si="6"/>
        <v>100</v>
      </c>
      <c r="D173" s="20">
        <f>MAX('TANF-VIEW'!L174,'TANF-VIEW'!T174)</f>
        <v>0</v>
      </c>
      <c r="E173" s="20">
        <f t="shared" si="7"/>
        <v>6975</v>
      </c>
      <c r="F173" s="178">
        <f>IF(AND('Total income package'!$A$24=TRUE,E173&lt;$I$2),'Program specific data'!$B$119*WIC!$G$2,0)</f>
        <v>0</v>
      </c>
    </row>
    <row r="174" spans="1:6" x14ac:dyDescent="0.25">
      <c r="A174" s="19">
        <v>83000</v>
      </c>
      <c r="B174" s="20">
        <f t="shared" si="8"/>
        <v>6916.666666666667</v>
      </c>
      <c r="C174" s="20">
        <f t="shared" si="6"/>
        <v>100</v>
      </c>
      <c r="D174" s="20">
        <f>MAX('TANF-VIEW'!L175,'TANF-VIEW'!T175)</f>
        <v>0</v>
      </c>
      <c r="E174" s="20">
        <f t="shared" si="7"/>
        <v>7016.666666666667</v>
      </c>
      <c r="F174" s="178">
        <f>IF(AND('Total income package'!$A$24=TRUE,E174&lt;$I$2),'Program specific data'!$B$119*WIC!$G$2,0)</f>
        <v>0</v>
      </c>
    </row>
    <row r="175" spans="1:6" x14ac:dyDescent="0.25">
      <c r="A175" s="19">
        <v>83500</v>
      </c>
      <c r="B175" s="20">
        <f t="shared" si="8"/>
        <v>6958.333333333333</v>
      </c>
      <c r="C175" s="20">
        <f t="shared" si="6"/>
        <v>100</v>
      </c>
      <c r="D175" s="20">
        <f>MAX('TANF-VIEW'!L176,'TANF-VIEW'!T176)</f>
        <v>0</v>
      </c>
      <c r="E175" s="20">
        <f t="shared" si="7"/>
        <v>7058.333333333333</v>
      </c>
      <c r="F175" s="178">
        <f>IF(AND('Total income package'!$A$24=TRUE,E175&lt;$I$2),'Program specific data'!$B$119*WIC!$G$2,0)</f>
        <v>0</v>
      </c>
    </row>
    <row r="176" spans="1:6" x14ac:dyDescent="0.25">
      <c r="A176" s="19">
        <v>84000</v>
      </c>
      <c r="B176" s="20">
        <f t="shared" si="8"/>
        <v>7000</v>
      </c>
      <c r="C176" s="20">
        <f t="shared" si="6"/>
        <v>100</v>
      </c>
      <c r="D176" s="20">
        <f>MAX('TANF-VIEW'!L177,'TANF-VIEW'!T177)</f>
        <v>0</v>
      </c>
      <c r="E176" s="20">
        <f t="shared" si="7"/>
        <v>7100</v>
      </c>
      <c r="F176" s="178">
        <f>IF(AND('Total income package'!$A$24=TRUE,E176&lt;$I$2),'Program specific data'!$B$119*WIC!$G$2,0)</f>
        <v>0</v>
      </c>
    </row>
    <row r="177" spans="1:6" x14ac:dyDescent="0.25">
      <c r="A177" s="19">
        <v>84500</v>
      </c>
      <c r="B177" s="20">
        <f t="shared" si="8"/>
        <v>7041.666666666667</v>
      </c>
      <c r="C177" s="20">
        <f t="shared" si="6"/>
        <v>100</v>
      </c>
      <c r="D177" s="20">
        <f>MAX('TANF-VIEW'!L178,'TANF-VIEW'!T178)</f>
        <v>0</v>
      </c>
      <c r="E177" s="20">
        <f t="shared" si="7"/>
        <v>7141.666666666667</v>
      </c>
      <c r="F177" s="178">
        <f>IF(AND('Total income package'!$A$24=TRUE,E177&lt;$I$2),'Program specific data'!$B$119*WIC!$G$2,0)</f>
        <v>0</v>
      </c>
    </row>
    <row r="178" spans="1:6" x14ac:dyDescent="0.25">
      <c r="A178" s="19">
        <v>85000</v>
      </c>
      <c r="B178" s="20">
        <f t="shared" si="8"/>
        <v>7083.333333333333</v>
      </c>
      <c r="C178" s="20">
        <f t="shared" si="6"/>
        <v>100</v>
      </c>
      <c r="D178" s="20">
        <f>MAX('TANF-VIEW'!L179,'TANF-VIEW'!T179)</f>
        <v>0</v>
      </c>
      <c r="E178" s="20">
        <f t="shared" si="7"/>
        <v>7183.333333333333</v>
      </c>
      <c r="F178" s="178">
        <f>IF(AND('Total income package'!$A$24=TRUE,E178&lt;$I$2),'Program specific data'!$B$119*WIC!$G$2,0)</f>
        <v>0</v>
      </c>
    </row>
    <row r="179" spans="1:6" x14ac:dyDescent="0.25">
      <c r="A179" s="19">
        <v>85500</v>
      </c>
      <c r="B179" s="20">
        <f t="shared" si="8"/>
        <v>7125</v>
      </c>
      <c r="C179" s="20">
        <f t="shared" si="6"/>
        <v>100</v>
      </c>
      <c r="D179" s="20">
        <f>MAX('TANF-VIEW'!L180,'TANF-VIEW'!T180)</f>
        <v>0</v>
      </c>
      <c r="E179" s="20">
        <f t="shared" si="7"/>
        <v>7225</v>
      </c>
      <c r="F179" s="178">
        <f>IF(AND('Total income package'!$A$24=TRUE,E179&lt;$I$2),'Program specific data'!$B$119*WIC!$G$2,0)</f>
        <v>0</v>
      </c>
    </row>
    <row r="180" spans="1:6" x14ac:dyDescent="0.25">
      <c r="A180" s="19">
        <v>86000</v>
      </c>
      <c r="B180" s="20">
        <f t="shared" si="8"/>
        <v>7166.666666666667</v>
      </c>
      <c r="C180" s="20">
        <f t="shared" si="6"/>
        <v>100</v>
      </c>
      <c r="D180" s="20">
        <f>MAX('TANF-VIEW'!L181,'TANF-VIEW'!T181)</f>
        <v>0</v>
      </c>
      <c r="E180" s="20">
        <f t="shared" si="7"/>
        <v>7266.666666666667</v>
      </c>
      <c r="F180" s="178">
        <f>IF(AND('Total income package'!$A$24=TRUE,E180&lt;$I$2),'Program specific data'!$B$119*WIC!$G$2,0)</f>
        <v>0</v>
      </c>
    </row>
    <row r="181" spans="1:6" x14ac:dyDescent="0.25">
      <c r="A181" s="19">
        <v>86500</v>
      </c>
      <c r="B181" s="20">
        <f t="shared" si="8"/>
        <v>7208.333333333333</v>
      </c>
      <c r="C181" s="20">
        <f t="shared" si="6"/>
        <v>100</v>
      </c>
      <c r="D181" s="20">
        <f>MAX('TANF-VIEW'!L182,'TANF-VIEW'!T182)</f>
        <v>0</v>
      </c>
      <c r="E181" s="20">
        <f t="shared" si="7"/>
        <v>7308.333333333333</v>
      </c>
      <c r="F181" s="178">
        <f>IF(AND('Total income package'!$A$24=TRUE,E181&lt;$I$2),'Program specific data'!$B$119*WIC!$G$2,0)</f>
        <v>0</v>
      </c>
    </row>
    <row r="182" spans="1:6" x14ac:dyDescent="0.25">
      <c r="A182" s="19">
        <v>87000</v>
      </c>
      <c r="B182" s="20">
        <f t="shared" si="8"/>
        <v>7250</v>
      </c>
      <c r="C182" s="20">
        <f t="shared" si="6"/>
        <v>100</v>
      </c>
      <c r="D182" s="20">
        <f>MAX('TANF-VIEW'!L183,'TANF-VIEW'!T183)</f>
        <v>0</v>
      </c>
      <c r="E182" s="20">
        <f t="shared" si="7"/>
        <v>7350</v>
      </c>
      <c r="F182" s="178">
        <f>IF(AND('Total income package'!$A$24=TRUE,E182&lt;$I$2),'Program specific data'!$B$119*WIC!$G$2,0)</f>
        <v>0</v>
      </c>
    </row>
    <row r="183" spans="1:6" x14ac:dyDescent="0.25">
      <c r="A183" s="19">
        <v>87500</v>
      </c>
      <c r="B183" s="20">
        <f t="shared" si="8"/>
        <v>7291.666666666667</v>
      </c>
      <c r="C183" s="20">
        <f t="shared" si="6"/>
        <v>100</v>
      </c>
      <c r="D183" s="20">
        <f>MAX('TANF-VIEW'!L184,'TANF-VIEW'!T184)</f>
        <v>0</v>
      </c>
      <c r="E183" s="20">
        <f t="shared" si="7"/>
        <v>7391.666666666667</v>
      </c>
      <c r="F183" s="178">
        <f>IF(AND('Total income package'!$A$24=TRUE,E183&lt;$I$2),'Program specific data'!$B$119*WIC!$G$2,0)</f>
        <v>0</v>
      </c>
    </row>
    <row r="184" spans="1:6" x14ac:dyDescent="0.25">
      <c r="A184" s="19">
        <v>88000</v>
      </c>
      <c r="B184" s="20">
        <f t="shared" si="8"/>
        <v>7333.333333333333</v>
      </c>
      <c r="C184" s="20">
        <f t="shared" si="6"/>
        <v>100</v>
      </c>
      <c r="D184" s="20">
        <f>MAX('TANF-VIEW'!L185,'TANF-VIEW'!T185)</f>
        <v>0</v>
      </c>
      <c r="E184" s="20">
        <f t="shared" si="7"/>
        <v>7433.333333333333</v>
      </c>
      <c r="F184" s="178">
        <f>IF(AND('Total income package'!$A$24=TRUE,E184&lt;$I$2),'Program specific data'!$B$119*WIC!$G$2,0)</f>
        <v>0</v>
      </c>
    </row>
    <row r="185" spans="1:6" x14ac:dyDescent="0.25">
      <c r="A185" s="19">
        <v>88500</v>
      </c>
      <c r="B185" s="20">
        <f t="shared" si="8"/>
        <v>7375</v>
      </c>
      <c r="C185" s="20">
        <f t="shared" si="6"/>
        <v>100</v>
      </c>
      <c r="D185" s="20">
        <f>MAX('TANF-VIEW'!L186,'TANF-VIEW'!T186)</f>
        <v>0</v>
      </c>
      <c r="E185" s="20">
        <f t="shared" si="7"/>
        <v>7475</v>
      </c>
      <c r="F185" s="178">
        <f>IF(AND('Total income package'!$A$24=TRUE,E185&lt;$I$2),'Program specific data'!$B$119*WIC!$G$2,0)</f>
        <v>0</v>
      </c>
    </row>
    <row r="186" spans="1:6" x14ac:dyDescent="0.25">
      <c r="A186" s="19">
        <v>89000</v>
      </c>
      <c r="B186" s="20">
        <f t="shared" si="8"/>
        <v>7416.666666666667</v>
      </c>
      <c r="C186" s="20">
        <f t="shared" si="6"/>
        <v>100</v>
      </c>
      <c r="D186" s="20">
        <f>MAX('TANF-VIEW'!L187,'TANF-VIEW'!T187)</f>
        <v>0</v>
      </c>
      <c r="E186" s="20">
        <f t="shared" si="7"/>
        <v>7516.666666666667</v>
      </c>
      <c r="F186" s="178">
        <f>IF(AND('Total income package'!$A$24=TRUE,E186&lt;$I$2),'Program specific data'!$B$119*WIC!$G$2,0)</f>
        <v>0</v>
      </c>
    </row>
    <row r="187" spans="1:6" x14ac:dyDescent="0.25">
      <c r="A187" s="19">
        <v>89500</v>
      </c>
      <c r="B187" s="20">
        <f t="shared" si="8"/>
        <v>7458.333333333333</v>
      </c>
      <c r="C187" s="20">
        <f t="shared" si="6"/>
        <v>100</v>
      </c>
      <c r="D187" s="20">
        <f>MAX('TANF-VIEW'!L188,'TANF-VIEW'!T188)</f>
        <v>0</v>
      </c>
      <c r="E187" s="20">
        <f t="shared" si="7"/>
        <v>7558.333333333333</v>
      </c>
      <c r="F187" s="178">
        <f>IF(AND('Total income package'!$A$24=TRUE,E187&lt;$I$2),'Program specific data'!$B$119*WIC!$G$2,0)</f>
        <v>0</v>
      </c>
    </row>
    <row r="188" spans="1:6" x14ac:dyDescent="0.25">
      <c r="A188" s="19">
        <v>90000</v>
      </c>
      <c r="B188" s="20">
        <f t="shared" si="8"/>
        <v>7500</v>
      </c>
      <c r="C188" s="20">
        <f t="shared" si="6"/>
        <v>100</v>
      </c>
      <c r="D188" s="20">
        <f>MAX('TANF-VIEW'!L189,'TANF-VIEW'!T189)</f>
        <v>0</v>
      </c>
      <c r="E188" s="20">
        <f t="shared" si="7"/>
        <v>7600</v>
      </c>
      <c r="F188" s="178">
        <f>IF(AND('Total income package'!$A$24=TRUE,E188&lt;$I$2),'Program specific data'!$B$119*WIC!$G$2,0)</f>
        <v>0</v>
      </c>
    </row>
    <row r="189" spans="1:6" x14ac:dyDescent="0.25">
      <c r="A189" s="19">
        <v>90500</v>
      </c>
      <c r="B189" s="20">
        <f t="shared" si="8"/>
        <v>7541.666666666667</v>
      </c>
      <c r="C189" s="20">
        <f t="shared" si="6"/>
        <v>100</v>
      </c>
      <c r="D189" s="20">
        <f>MAX('TANF-VIEW'!L190,'TANF-VIEW'!T190)</f>
        <v>0</v>
      </c>
      <c r="E189" s="20">
        <f t="shared" si="7"/>
        <v>7641.666666666667</v>
      </c>
      <c r="F189" s="178">
        <f>IF(AND('Total income package'!$A$24=TRUE,E189&lt;$I$2),'Program specific data'!$B$119*WIC!$G$2,0)</f>
        <v>0</v>
      </c>
    </row>
    <row r="190" spans="1:6" x14ac:dyDescent="0.25">
      <c r="A190" s="19">
        <v>91000</v>
      </c>
      <c r="B190" s="20">
        <f t="shared" si="8"/>
        <v>7583.333333333333</v>
      </c>
      <c r="C190" s="20">
        <f t="shared" si="6"/>
        <v>100</v>
      </c>
      <c r="D190" s="20">
        <f>MAX('TANF-VIEW'!L191,'TANF-VIEW'!T191)</f>
        <v>0</v>
      </c>
      <c r="E190" s="20">
        <f t="shared" si="7"/>
        <v>7683.333333333333</v>
      </c>
      <c r="F190" s="178">
        <f>IF(AND('Total income package'!$A$24=TRUE,E190&lt;$I$2),'Program specific data'!$B$119*WIC!$G$2,0)</f>
        <v>0</v>
      </c>
    </row>
    <row r="191" spans="1:6" x14ac:dyDescent="0.25">
      <c r="A191" s="19">
        <v>91500</v>
      </c>
      <c r="B191" s="20">
        <f t="shared" si="8"/>
        <v>7625</v>
      </c>
      <c r="C191" s="20">
        <f t="shared" si="6"/>
        <v>100</v>
      </c>
      <c r="D191" s="20">
        <f>MAX('TANF-VIEW'!L192,'TANF-VIEW'!T192)</f>
        <v>0</v>
      </c>
      <c r="E191" s="20">
        <f t="shared" si="7"/>
        <v>7725</v>
      </c>
      <c r="F191" s="178">
        <f>IF(AND('Total income package'!$A$24=TRUE,E191&lt;$I$2),'Program specific data'!$B$119*WIC!$G$2,0)</f>
        <v>0</v>
      </c>
    </row>
    <row r="192" spans="1:6" x14ac:dyDescent="0.25">
      <c r="A192" s="19">
        <v>92000</v>
      </c>
      <c r="B192" s="20">
        <f t="shared" si="8"/>
        <v>7666.666666666667</v>
      </c>
      <c r="C192" s="20">
        <f t="shared" si="6"/>
        <v>100</v>
      </c>
      <c r="D192" s="20">
        <f>MAX('TANF-VIEW'!L193,'TANF-VIEW'!T193)</f>
        <v>0</v>
      </c>
      <c r="E192" s="20">
        <f t="shared" si="7"/>
        <v>7766.666666666667</v>
      </c>
      <c r="F192" s="178">
        <f>IF(AND('Total income package'!$A$24=TRUE,E192&lt;$I$2),'Program specific data'!$B$119*WIC!$G$2,0)</f>
        <v>0</v>
      </c>
    </row>
    <row r="193" spans="1:6" x14ac:dyDescent="0.25">
      <c r="A193" s="19">
        <v>92500</v>
      </c>
      <c r="B193" s="20">
        <f t="shared" si="8"/>
        <v>7708.333333333333</v>
      </c>
      <c r="C193" s="20">
        <f t="shared" si="6"/>
        <v>100</v>
      </c>
      <c r="D193" s="20">
        <f>MAX('TANF-VIEW'!L194,'TANF-VIEW'!T194)</f>
        <v>0</v>
      </c>
      <c r="E193" s="20">
        <f t="shared" si="7"/>
        <v>7808.333333333333</v>
      </c>
      <c r="F193" s="178">
        <f>IF(AND('Total income package'!$A$24=TRUE,E193&lt;$I$2),'Program specific data'!$B$119*WIC!$G$2,0)</f>
        <v>0</v>
      </c>
    </row>
    <row r="194" spans="1:6" x14ac:dyDescent="0.25">
      <c r="A194" s="19">
        <v>93000</v>
      </c>
      <c r="B194" s="20">
        <f t="shared" si="8"/>
        <v>7750</v>
      </c>
      <c r="C194" s="20">
        <f t="shared" si="6"/>
        <v>100</v>
      </c>
      <c r="D194" s="20">
        <f>MAX('TANF-VIEW'!L195,'TANF-VIEW'!T195)</f>
        <v>0</v>
      </c>
      <c r="E194" s="20">
        <f t="shared" si="7"/>
        <v>7850</v>
      </c>
      <c r="F194" s="178">
        <f>IF(AND('Total income package'!$A$24=TRUE,E194&lt;$I$2),'Program specific data'!$B$119*WIC!$G$2,0)</f>
        <v>0</v>
      </c>
    </row>
    <row r="195" spans="1:6" x14ac:dyDescent="0.25">
      <c r="A195" s="19">
        <v>93500</v>
      </c>
      <c r="B195" s="20">
        <f t="shared" si="8"/>
        <v>7791.666666666667</v>
      </c>
      <c r="C195" s="20">
        <f t="shared" si="6"/>
        <v>100</v>
      </c>
      <c r="D195" s="20">
        <f>MAX('TANF-VIEW'!L196,'TANF-VIEW'!T196)</f>
        <v>0</v>
      </c>
      <c r="E195" s="20">
        <f t="shared" si="7"/>
        <v>7891.666666666667</v>
      </c>
      <c r="F195" s="178">
        <f>IF(AND('Total income package'!$A$24=TRUE,E195&lt;$I$2),'Program specific data'!$B$119*WIC!$G$2,0)</f>
        <v>0</v>
      </c>
    </row>
    <row r="196" spans="1:6" x14ac:dyDescent="0.25">
      <c r="A196" s="19">
        <v>94000</v>
      </c>
      <c r="B196" s="20">
        <f t="shared" si="8"/>
        <v>7833.333333333333</v>
      </c>
      <c r="C196" s="20">
        <f t="shared" si="6"/>
        <v>100</v>
      </c>
      <c r="D196" s="20">
        <f>MAX('TANF-VIEW'!L197,'TANF-VIEW'!T197)</f>
        <v>0</v>
      </c>
      <c r="E196" s="20">
        <f t="shared" si="7"/>
        <v>7933.333333333333</v>
      </c>
      <c r="F196" s="178">
        <f>IF(AND('Total income package'!$A$24=TRUE,E196&lt;$I$2),'Program specific data'!$B$119*WIC!$G$2,0)</f>
        <v>0</v>
      </c>
    </row>
    <row r="197" spans="1:6" x14ac:dyDescent="0.25">
      <c r="A197" s="19">
        <v>94500</v>
      </c>
      <c r="B197" s="20">
        <f t="shared" si="8"/>
        <v>7875</v>
      </c>
      <c r="C197" s="20">
        <f t="shared" si="6"/>
        <v>100</v>
      </c>
      <c r="D197" s="20">
        <f>MAX('TANF-VIEW'!L198,'TANF-VIEW'!T198)</f>
        <v>0</v>
      </c>
      <c r="E197" s="20">
        <f t="shared" si="7"/>
        <v>7975</v>
      </c>
      <c r="F197" s="178">
        <f>IF(AND('Total income package'!$A$24=TRUE,E197&lt;$I$2),'Program specific data'!$B$119*WIC!$G$2,0)</f>
        <v>0</v>
      </c>
    </row>
    <row r="198" spans="1:6" x14ac:dyDescent="0.25">
      <c r="A198" s="19">
        <v>95000</v>
      </c>
      <c r="B198" s="20">
        <f t="shared" si="8"/>
        <v>7916.666666666667</v>
      </c>
      <c r="C198" s="20">
        <f t="shared" si="6"/>
        <v>100</v>
      </c>
      <c r="D198" s="20">
        <f>MAX('TANF-VIEW'!L199,'TANF-VIEW'!T199)</f>
        <v>0</v>
      </c>
      <c r="E198" s="20">
        <f t="shared" si="7"/>
        <v>8016.666666666667</v>
      </c>
      <c r="F198" s="178">
        <f>IF(AND('Total income package'!$A$24=TRUE,E198&lt;$I$2),'Program specific data'!$B$119*WIC!$G$2,0)</f>
        <v>0</v>
      </c>
    </row>
    <row r="199" spans="1:6" x14ac:dyDescent="0.25">
      <c r="A199" s="19">
        <v>95500</v>
      </c>
      <c r="B199" s="20">
        <f t="shared" si="8"/>
        <v>7958.333333333333</v>
      </c>
      <c r="C199" s="20">
        <f t="shared" si="6"/>
        <v>100</v>
      </c>
      <c r="D199" s="20">
        <f>MAX('TANF-VIEW'!L200,'TANF-VIEW'!T200)</f>
        <v>0</v>
      </c>
      <c r="E199" s="20">
        <f t="shared" si="7"/>
        <v>8058.333333333333</v>
      </c>
      <c r="F199" s="178">
        <f>IF(AND('Total income package'!$A$24=TRUE,E199&lt;$I$2),'Program specific data'!$B$119*WIC!$G$2,0)</f>
        <v>0</v>
      </c>
    </row>
    <row r="200" spans="1:6" x14ac:dyDescent="0.25">
      <c r="A200" s="19">
        <v>96000</v>
      </c>
      <c r="B200" s="20">
        <f t="shared" si="8"/>
        <v>8000</v>
      </c>
      <c r="C200" s="20">
        <f t="shared" si="6"/>
        <v>100</v>
      </c>
      <c r="D200" s="20">
        <f>MAX('TANF-VIEW'!L201,'TANF-VIEW'!T201)</f>
        <v>0</v>
      </c>
      <c r="E200" s="20">
        <f t="shared" si="7"/>
        <v>8100</v>
      </c>
      <c r="F200" s="178">
        <f>IF(AND('Total income package'!$A$24=TRUE,E200&lt;$I$2),'Program specific data'!$B$119*WIC!$G$2,0)</f>
        <v>0</v>
      </c>
    </row>
    <row r="201" spans="1:6" x14ac:dyDescent="0.25">
      <c r="A201" s="19">
        <v>96500</v>
      </c>
      <c r="B201" s="20">
        <f t="shared" si="8"/>
        <v>8041.666666666667</v>
      </c>
      <c r="C201" s="20">
        <f t="shared" ref="C201:C213" si="9">$H$2</f>
        <v>100</v>
      </c>
      <c r="D201" s="20">
        <f>MAX('TANF-VIEW'!L202,'TANF-VIEW'!T202)</f>
        <v>0</v>
      </c>
      <c r="E201" s="20">
        <f t="shared" ref="E201:E208" si="10">B201+C201+D201</f>
        <v>8141.666666666667</v>
      </c>
      <c r="F201" s="178">
        <f>IF(AND('Total income package'!$A$24=TRUE,E201&lt;$I$2),'Program specific data'!$B$119*WIC!$G$2,0)</f>
        <v>0</v>
      </c>
    </row>
    <row r="202" spans="1:6" x14ac:dyDescent="0.25">
      <c r="A202" s="19">
        <v>97000</v>
      </c>
      <c r="B202" s="20">
        <f t="shared" ref="B202:B208" si="11">A202/12</f>
        <v>8083.333333333333</v>
      </c>
      <c r="C202" s="20">
        <f t="shared" si="9"/>
        <v>100</v>
      </c>
      <c r="D202" s="20">
        <f>MAX('TANF-VIEW'!L203,'TANF-VIEW'!T203)</f>
        <v>0</v>
      </c>
      <c r="E202" s="20">
        <f t="shared" si="10"/>
        <v>8183.333333333333</v>
      </c>
      <c r="F202" s="178">
        <f>IF(AND('Total income package'!$A$24=TRUE,E202&lt;$I$2),'Program specific data'!$B$119*WIC!$G$2,0)</f>
        <v>0</v>
      </c>
    </row>
    <row r="203" spans="1:6" x14ac:dyDescent="0.25">
      <c r="A203" s="19">
        <v>97500</v>
      </c>
      <c r="B203" s="20">
        <f t="shared" si="11"/>
        <v>8125</v>
      </c>
      <c r="C203" s="20">
        <f t="shared" si="9"/>
        <v>100</v>
      </c>
      <c r="D203" s="20">
        <f>MAX('TANF-VIEW'!L204,'TANF-VIEW'!T204)</f>
        <v>0</v>
      </c>
      <c r="E203" s="20">
        <f t="shared" si="10"/>
        <v>8225</v>
      </c>
      <c r="F203" s="178">
        <f>IF(AND('Total income package'!$A$24=TRUE,E203&lt;$I$2),'Program specific data'!$B$119*WIC!$G$2,0)</f>
        <v>0</v>
      </c>
    </row>
    <row r="204" spans="1:6" x14ac:dyDescent="0.25">
      <c r="A204" s="19">
        <v>98000</v>
      </c>
      <c r="B204" s="20">
        <f t="shared" si="11"/>
        <v>8166.666666666667</v>
      </c>
      <c r="C204" s="20">
        <f t="shared" si="9"/>
        <v>100</v>
      </c>
      <c r="D204" s="20">
        <f>MAX('TANF-VIEW'!L205,'TANF-VIEW'!T205)</f>
        <v>0</v>
      </c>
      <c r="E204" s="20">
        <f t="shared" si="10"/>
        <v>8266.6666666666679</v>
      </c>
      <c r="F204" s="178">
        <f>IF(AND('Total income package'!$A$24=TRUE,E204&lt;$I$2),'Program specific data'!$B$119*WIC!$G$2,0)</f>
        <v>0</v>
      </c>
    </row>
    <row r="205" spans="1:6" x14ac:dyDescent="0.25">
      <c r="A205" s="19">
        <v>98500</v>
      </c>
      <c r="B205" s="20">
        <f t="shared" si="11"/>
        <v>8208.3333333333339</v>
      </c>
      <c r="C205" s="20">
        <f t="shared" si="9"/>
        <v>100</v>
      </c>
      <c r="D205" s="20">
        <f>MAX('TANF-VIEW'!L206,'TANF-VIEW'!T206)</f>
        <v>0</v>
      </c>
      <c r="E205" s="20">
        <f t="shared" si="10"/>
        <v>8308.3333333333339</v>
      </c>
      <c r="F205" s="178">
        <f>IF(AND('Total income package'!$A$24=TRUE,E205&lt;$I$2),'Program specific data'!$B$119*WIC!$G$2,0)</f>
        <v>0</v>
      </c>
    </row>
    <row r="206" spans="1:6" x14ac:dyDescent="0.25">
      <c r="A206" s="19">
        <v>99000</v>
      </c>
      <c r="B206" s="20">
        <f t="shared" si="11"/>
        <v>8250</v>
      </c>
      <c r="C206" s="20">
        <f t="shared" si="9"/>
        <v>100</v>
      </c>
      <c r="D206" s="20">
        <f>MAX('TANF-VIEW'!L207,'TANF-VIEW'!T207)</f>
        <v>0</v>
      </c>
      <c r="E206" s="20">
        <f t="shared" si="10"/>
        <v>8350</v>
      </c>
      <c r="F206" s="178">
        <f>IF(AND('Total income package'!$A$24=TRUE,E206&lt;$I$2),'Program specific data'!$B$119*WIC!$G$2,0)</f>
        <v>0</v>
      </c>
    </row>
    <row r="207" spans="1:6" x14ac:dyDescent="0.25">
      <c r="A207" s="19">
        <v>99500</v>
      </c>
      <c r="B207" s="20">
        <f t="shared" si="11"/>
        <v>8291.6666666666661</v>
      </c>
      <c r="C207" s="20">
        <f t="shared" si="9"/>
        <v>100</v>
      </c>
      <c r="D207" s="20">
        <f>MAX('TANF-VIEW'!L208,'TANF-VIEW'!T208)</f>
        <v>0</v>
      </c>
      <c r="E207" s="20">
        <f t="shared" si="10"/>
        <v>8391.6666666666661</v>
      </c>
      <c r="F207" s="178">
        <f>IF(AND('Total income package'!$A$24=TRUE,E207&lt;$I$2),'Program specific data'!$B$119*WIC!$G$2,0)</f>
        <v>0</v>
      </c>
    </row>
    <row r="208" spans="1:6" x14ac:dyDescent="0.25">
      <c r="A208" s="19">
        <v>100000</v>
      </c>
      <c r="B208" s="20">
        <f t="shared" si="11"/>
        <v>8333.3333333333339</v>
      </c>
      <c r="C208" s="20">
        <f t="shared" si="9"/>
        <v>100</v>
      </c>
      <c r="D208" s="20">
        <f>MAX('TANF-VIEW'!L209,'TANF-VIEW'!T209)</f>
        <v>0</v>
      </c>
      <c r="E208" s="20">
        <f t="shared" si="10"/>
        <v>8433.3333333333339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1289</v>
      </c>
      <c r="C211" s="7">
        <f t="shared" si="9"/>
        <v>100</v>
      </c>
      <c r="D211" s="4">
        <f>MAX('TANF-VIEW'!L212,'TANF-VIEW'!T212)</f>
        <v>0</v>
      </c>
      <c r="E211" s="4">
        <f>B211+C211+D211</f>
        <v>1389</v>
      </c>
      <c r="F211" s="179">
        <f>IF(AND('Total income package'!$A$24=TRUE,E211&lt;$I$2),'Program specific data'!$B$119*WIC!$G$2,0)</f>
        <v>0</v>
      </c>
    </row>
    <row r="212" spans="1:6" x14ac:dyDescent="0.25">
      <c r="A212" s="116" t="s">
        <v>303</v>
      </c>
      <c r="B212" s="7"/>
      <c r="C212" s="7"/>
    </row>
    <row r="213" spans="1:6" x14ac:dyDescent="0.25">
      <c r="A213" s="7"/>
      <c r="B213" s="7">
        <f>'Total income package'!$B$91</f>
        <v>1289</v>
      </c>
      <c r="C213" s="7">
        <f t="shared" si="9"/>
        <v>100</v>
      </c>
      <c r="D213" s="4">
        <f>MAX('TANF-VIEW'!L214,'TANF-VIEW'!T214)</f>
        <v>0</v>
      </c>
      <c r="E213" s="4">
        <f>B213+C213+D213</f>
        <v>1389</v>
      </c>
      <c r="F213" s="179">
        <f>IF(AND('Total income package'!$A$24=TRUE,E213&lt;$I$2),'Program specific data'!$B$119*WIC!$G$2,0)</f>
        <v>0</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2026-05-27T19:58:06Z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