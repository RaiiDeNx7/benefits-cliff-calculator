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C:\Users\Break\Desktop\VDSS Programming\benefits-cliff-calculator\"/>
    </mc:Choice>
  </mc:AlternateContent>
  <xr:revisionPtr revIDLastSave="0" documentId="13_ncr:1_{F895059D-3C08-4F88-9389-83E451970DAF}" xr6:coauthVersionLast="47" xr6:coauthVersionMax="47" xr10:uidLastSave="{00000000-0000-0000-0000-000000000000}"/>
  <bookViews>
    <workbookView xWindow="-28920" yWindow="-120" windowWidth="29040" windowHeight="1572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6" l="1"/>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G196" i="13" s="1"/>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177" i="3"/>
  <c r="E151" i="3"/>
  <c r="E132" i="3"/>
  <c r="E114" i="3"/>
  <c r="E16" i="3"/>
  <c r="E76" i="3"/>
  <c r="E96" i="3"/>
  <c r="E116" i="3"/>
  <c r="E136" i="3"/>
  <c r="E156" i="3"/>
  <c r="E176" i="3"/>
  <c r="E37" i="3"/>
  <c r="E77" i="3"/>
  <c r="E157" i="3"/>
  <c r="E19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118" i="13"/>
  <c r="G40" i="13"/>
  <c r="G23" i="13"/>
  <c r="G52" i="13"/>
  <c r="G31" i="13"/>
  <c r="G145" i="13"/>
  <c r="G104" i="13"/>
  <c r="G182" i="13"/>
  <c r="G191" i="13"/>
  <c r="G160" i="13"/>
  <c r="G114"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G150" i="13" l="1"/>
  <c r="G61" i="13"/>
  <c r="G204" i="13"/>
  <c r="G108" i="13"/>
  <c r="G94" i="13"/>
  <c r="G180" i="13"/>
  <c r="G63" i="13"/>
  <c r="G80" i="13"/>
  <c r="G33" i="13"/>
  <c r="G172" i="13"/>
  <c r="G165" i="13"/>
  <c r="G134" i="13"/>
  <c r="G50" i="13"/>
  <c r="G72" i="13"/>
  <c r="G169" i="13"/>
  <c r="G97" i="13"/>
  <c r="G70" i="13"/>
  <c r="G192" i="13"/>
  <c r="G38" i="13"/>
  <c r="G99" i="13"/>
  <c r="G73" i="13"/>
  <c r="G171" i="13"/>
  <c r="G106" i="13"/>
  <c r="G13" i="13"/>
  <c r="G79" i="13"/>
  <c r="G32" i="13"/>
  <c r="G210" i="13"/>
  <c r="G62" i="13"/>
  <c r="G194" i="13"/>
  <c r="G189" i="13"/>
  <c r="G157" i="13"/>
  <c r="G109" i="13"/>
  <c r="G179" i="13"/>
  <c r="G100" i="13"/>
  <c r="G19" i="13"/>
  <c r="G12" i="13"/>
  <c r="G43" i="13"/>
  <c r="G5" i="13"/>
  <c r="G142" i="13"/>
  <c r="G102" i="13"/>
  <c r="G8" i="13"/>
  <c r="G147" i="13"/>
  <c r="E137" i="3"/>
  <c r="G53" i="13"/>
  <c r="G83" i="13"/>
  <c r="G162" i="13"/>
  <c r="G6" i="13"/>
  <c r="G199" i="13"/>
  <c r="G7" i="13"/>
  <c r="G201" i="13"/>
  <c r="G42" i="13"/>
  <c r="G17" i="13"/>
  <c r="G183" i="13"/>
  <c r="G154" i="13"/>
  <c r="G155" i="13"/>
  <c r="G126" i="13"/>
  <c r="G91" i="13"/>
  <c r="G59" i="13"/>
  <c r="G28" i="13"/>
  <c r="G103" i="13"/>
  <c r="G127" i="13"/>
  <c r="E97" i="3"/>
  <c r="E57" i="3"/>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K193" i="3" l="1"/>
  <c r="P201" i="14" s="1"/>
  <c r="F193" i="3"/>
  <c r="L193" i="3"/>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L157" i="14" s="1"/>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V209" i="6" s="1"/>
  <c r="J90" i="10"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181" i="6" l="1"/>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103" i="13" l="1"/>
  <c r="R86" i="13"/>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O106" i="6" l="1"/>
  <c r="J98" i="1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<sst xmlns="http://schemas.openxmlformats.org/spreadsheetml/2006/main" count="1201" uniqueCount="742">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</sst>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11" fillId="19" borderId="0" xfId="0" applyFont="1" applyFill="1" applyAlignment="1" applyProtection="1">
      <alignment horizontal="center" vertic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60" fillId="27" borderId="32" xfId="0" applyFont="1" applyFill="1" applyBorder="1" applyAlignment="1" applyProtection="1">
      <alignment horizont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5" fillId="0" borderId="0" xfId="0" applyFont="1" applyAlignment="1">
      <alignment horizontal="center" vertical="center" wrapText="1"/>
    </xf>
    <xf numFmtId="0" fontId="8"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$1,423.00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6921.1890000000003</c:v>
                </c:pt>
                <c:pt idx="1">
                  <c:v>8344.1890000000003</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$3,000.00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5828.9625491666666</c:v>
                </c:pt>
                <c:pt idx="1">
                  <c:v>8828.9625491666666</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24000</c:v>
                </c:pt>
                <c:pt idx="1">
                  <c:v>23975</c:v>
                </c:pt>
                <c:pt idx="2">
                  <c:v>23950</c:v>
                </c:pt>
                <c:pt idx="3">
                  <c:v>23925</c:v>
                </c:pt>
                <c:pt idx="4">
                  <c:v>23900</c:v>
                </c:pt>
                <c:pt idx="5">
                  <c:v>23875</c:v>
                </c:pt>
                <c:pt idx="6">
                  <c:v>23850</c:v>
                </c:pt>
                <c:pt idx="7">
                  <c:v>23825</c:v>
                </c:pt>
                <c:pt idx="8">
                  <c:v>23800</c:v>
                </c:pt>
                <c:pt idx="9">
                  <c:v>23775</c:v>
                </c:pt>
                <c:pt idx="10">
                  <c:v>23760</c:v>
                </c:pt>
                <c:pt idx="11">
                  <c:v>23760</c:v>
                </c:pt>
                <c:pt idx="12">
                  <c:v>23760</c:v>
                </c:pt>
                <c:pt idx="13">
                  <c:v>23760</c:v>
                </c:pt>
                <c:pt idx="14">
                  <c:v>23760</c:v>
                </c:pt>
                <c:pt idx="15">
                  <c:v>23760</c:v>
                </c:pt>
                <c:pt idx="16">
                  <c:v>23760</c:v>
                </c:pt>
                <c:pt idx="17">
                  <c:v>23760</c:v>
                </c:pt>
                <c:pt idx="18">
                  <c:v>23760</c:v>
                </c:pt>
                <c:pt idx="19">
                  <c:v>23760</c:v>
                </c:pt>
                <c:pt idx="20">
                  <c:v>23760</c:v>
                </c:pt>
                <c:pt idx="21">
                  <c:v>23760</c:v>
                </c:pt>
                <c:pt idx="22">
                  <c:v>23760</c:v>
                </c:pt>
                <c:pt idx="23">
                  <c:v>23760</c:v>
                </c:pt>
                <c:pt idx="24">
                  <c:v>23760</c:v>
                </c:pt>
                <c:pt idx="25">
                  <c:v>23760</c:v>
                </c:pt>
                <c:pt idx="26">
                  <c:v>23760</c:v>
                </c:pt>
                <c:pt idx="27">
                  <c:v>23760</c:v>
                </c:pt>
                <c:pt idx="28">
                  <c:v>23760</c:v>
                </c:pt>
                <c:pt idx="29">
                  <c:v>23760</c:v>
                </c:pt>
                <c:pt idx="30">
                  <c:v>23760</c:v>
                </c:pt>
                <c:pt idx="31">
                  <c:v>23760</c:v>
                </c:pt>
                <c:pt idx="32">
                  <c:v>23760</c:v>
                </c:pt>
                <c:pt idx="33">
                  <c:v>23760</c:v>
                </c:pt>
                <c:pt idx="34">
                  <c:v>23760</c:v>
                </c:pt>
                <c:pt idx="35">
                  <c:v>23760</c:v>
                </c:pt>
                <c:pt idx="36">
                  <c:v>23760</c:v>
                </c:pt>
                <c:pt idx="37">
                  <c:v>23760</c:v>
                </c:pt>
                <c:pt idx="38">
                  <c:v>23760</c:v>
                </c:pt>
                <c:pt idx="39">
                  <c:v>23760</c:v>
                </c:pt>
                <c:pt idx="40">
                  <c:v>23760</c:v>
                </c:pt>
                <c:pt idx="41">
                  <c:v>23760</c:v>
                </c:pt>
                <c:pt idx="42">
                  <c:v>23760</c:v>
                </c:pt>
                <c:pt idx="43">
                  <c:v>23760</c:v>
                </c:pt>
                <c:pt idx="44">
                  <c:v>23760</c:v>
                </c:pt>
                <c:pt idx="45">
                  <c:v>23760</c:v>
                </c:pt>
                <c:pt idx="46">
                  <c:v>23760</c:v>
                </c:pt>
                <c:pt idx="47">
                  <c:v>23760</c:v>
                </c:pt>
                <c:pt idx="48">
                  <c:v>23760</c:v>
                </c:pt>
                <c:pt idx="49">
                  <c:v>23760</c:v>
                </c:pt>
                <c:pt idx="50">
                  <c:v>23760</c:v>
                </c:pt>
                <c:pt idx="51">
                  <c:v>23760</c:v>
                </c:pt>
                <c:pt idx="52">
                  <c:v>23760</c:v>
                </c:pt>
                <c:pt idx="53">
                  <c:v>23760</c:v>
                </c:pt>
                <c:pt idx="54">
                  <c:v>23760</c:v>
                </c:pt>
                <c:pt idx="55">
                  <c:v>23760</c:v>
                </c:pt>
                <c:pt idx="56">
                  <c:v>23760</c:v>
                </c:pt>
                <c:pt idx="57">
                  <c:v>23760</c:v>
                </c:pt>
                <c:pt idx="58">
                  <c:v>23760</c:v>
                </c:pt>
                <c:pt idx="59">
                  <c:v>23760</c:v>
                </c:pt>
                <c:pt idx="60">
                  <c:v>23760</c:v>
                </c:pt>
                <c:pt idx="61">
                  <c:v>23760</c:v>
                </c:pt>
                <c:pt idx="62">
                  <c:v>23760</c:v>
                </c:pt>
                <c:pt idx="63">
                  <c:v>23760</c:v>
                </c:pt>
                <c:pt idx="64">
                  <c:v>23760</c:v>
                </c:pt>
                <c:pt idx="65">
                  <c:v>23760</c:v>
                </c:pt>
                <c:pt idx="66">
                  <c:v>23760</c:v>
                </c:pt>
                <c:pt idx="67">
                  <c:v>23760</c:v>
                </c:pt>
                <c:pt idx="68">
                  <c:v>23760</c:v>
                </c:pt>
                <c:pt idx="69">
                  <c:v>23760</c:v>
                </c:pt>
                <c:pt idx="70">
                  <c:v>23760</c:v>
                </c:pt>
                <c:pt idx="71">
                  <c:v>23760</c:v>
                </c:pt>
                <c:pt idx="72">
                  <c:v>23760</c:v>
                </c:pt>
                <c:pt idx="73">
                  <c:v>23760</c:v>
                </c:pt>
                <c:pt idx="74">
                  <c:v>23760</c:v>
                </c:pt>
                <c:pt idx="75">
                  <c:v>23760</c:v>
                </c:pt>
                <c:pt idx="76">
                  <c:v>23760</c:v>
                </c:pt>
                <c:pt idx="77">
                  <c:v>23760</c:v>
                </c:pt>
                <c:pt idx="78">
                  <c:v>22050</c:v>
                </c:pt>
                <c:pt idx="79">
                  <c:v>22025</c:v>
                </c:pt>
                <c:pt idx="80">
                  <c:v>22000</c:v>
                </c:pt>
                <c:pt idx="81">
                  <c:v>21975</c:v>
                </c:pt>
                <c:pt idx="82">
                  <c:v>21950</c:v>
                </c:pt>
                <c:pt idx="83">
                  <c:v>21925</c:v>
                </c:pt>
                <c:pt idx="84">
                  <c:v>21900</c:v>
                </c:pt>
                <c:pt idx="85">
                  <c:v>21875</c:v>
                </c:pt>
                <c:pt idx="86">
                  <c:v>21850</c:v>
                </c:pt>
                <c:pt idx="87">
                  <c:v>21825</c:v>
                </c:pt>
                <c:pt idx="88">
                  <c:v>21800</c:v>
                </c:pt>
                <c:pt idx="89">
                  <c:v>21775</c:v>
                </c:pt>
                <c:pt idx="90">
                  <c:v>21750</c:v>
                </c:pt>
                <c:pt idx="91">
                  <c:v>21725</c:v>
                </c:pt>
                <c:pt idx="92">
                  <c:v>21700</c:v>
                </c:pt>
                <c:pt idx="93">
                  <c:v>21675</c:v>
                </c:pt>
                <c:pt idx="94">
                  <c:v>21650</c:v>
                </c:pt>
                <c:pt idx="95">
                  <c:v>21625</c:v>
                </c:pt>
                <c:pt idx="96">
                  <c:v>21600</c:v>
                </c:pt>
                <c:pt idx="97">
                  <c:v>21575</c:v>
                </c:pt>
                <c:pt idx="98">
                  <c:v>21550</c:v>
                </c:pt>
                <c:pt idx="99">
                  <c:v>21525</c:v>
                </c:pt>
                <c:pt idx="100">
                  <c:v>21500</c:v>
                </c:pt>
                <c:pt idx="101">
                  <c:v>21475</c:v>
                </c:pt>
                <c:pt idx="102">
                  <c:v>21450</c:v>
                </c:pt>
                <c:pt idx="103">
                  <c:v>21425</c:v>
                </c:pt>
                <c:pt idx="104">
                  <c:v>21400</c:v>
                </c:pt>
                <c:pt idx="105">
                  <c:v>21375</c:v>
                </c:pt>
                <c:pt idx="106">
                  <c:v>21350</c:v>
                </c:pt>
                <c:pt idx="107">
                  <c:v>21325</c:v>
                </c:pt>
                <c:pt idx="108">
                  <c:v>21300</c:v>
                </c:pt>
                <c:pt idx="109">
                  <c:v>21275</c:v>
                </c:pt>
                <c:pt idx="110">
                  <c:v>21250</c:v>
                </c:pt>
                <c:pt idx="111">
                  <c:v>21225</c:v>
                </c:pt>
                <c:pt idx="112">
                  <c:v>21200</c:v>
                </c:pt>
                <c:pt idx="113">
                  <c:v>21175</c:v>
                </c:pt>
                <c:pt idx="114">
                  <c:v>21150</c:v>
                </c:pt>
                <c:pt idx="115">
                  <c:v>21125</c:v>
                </c:pt>
                <c:pt idx="116">
                  <c:v>21100</c:v>
                </c:pt>
                <c:pt idx="117">
                  <c:v>21075</c:v>
                </c:pt>
                <c:pt idx="118">
                  <c:v>21050</c:v>
                </c:pt>
                <c:pt idx="119">
                  <c:v>21025</c:v>
                </c:pt>
                <c:pt idx="120">
                  <c:v>21000</c:v>
                </c:pt>
                <c:pt idx="121">
                  <c:v>20975</c:v>
                </c:pt>
                <c:pt idx="122">
                  <c:v>20950</c:v>
                </c:pt>
                <c:pt idx="123">
                  <c:v>20925</c:v>
                </c:pt>
                <c:pt idx="124">
                  <c:v>20900</c:v>
                </c:pt>
                <c:pt idx="125">
                  <c:v>20875</c:v>
                </c:pt>
                <c:pt idx="126">
                  <c:v>20850</c:v>
                </c:pt>
                <c:pt idx="127">
                  <c:v>20825</c:v>
                </c:pt>
                <c:pt idx="128">
                  <c:v>20800</c:v>
                </c:pt>
                <c:pt idx="129">
                  <c:v>20775</c:v>
                </c:pt>
                <c:pt idx="130">
                  <c:v>20750</c:v>
                </c:pt>
                <c:pt idx="131">
                  <c:v>20725</c:v>
                </c:pt>
                <c:pt idx="132">
                  <c:v>20700</c:v>
                </c:pt>
                <c:pt idx="133">
                  <c:v>20675</c:v>
                </c:pt>
                <c:pt idx="134">
                  <c:v>20650</c:v>
                </c:pt>
                <c:pt idx="135">
                  <c:v>20625</c:v>
                </c:pt>
                <c:pt idx="136">
                  <c:v>20600</c:v>
                </c:pt>
                <c:pt idx="137">
                  <c:v>20575</c:v>
                </c:pt>
                <c:pt idx="138">
                  <c:v>20550</c:v>
                </c:pt>
                <c:pt idx="139">
                  <c:v>20525</c:v>
                </c:pt>
                <c:pt idx="140">
                  <c:v>20500</c:v>
                </c:pt>
                <c:pt idx="141">
                  <c:v>20475</c:v>
                </c:pt>
                <c:pt idx="142">
                  <c:v>20450</c:v>
                </c:pt>
                <c:pt idx="143">
                  <c:v>20425</c:v>
                </c:pt>
                <c:pt idx="144">
                  <c:v>20400</c:v>
                </c:pt>
                <c:pt idx="145">
                  <c:v>20375</c:v>
                </c:pt>
                <c:pt idx="146">
                  <c:v>20350</c:v>
                </c:pt>
                <c:pt idx="147">
                  <c:v>20325</c:v>
                </c:pt>
                <c:pt idx="148">
                  <c:v>20300</c:v>
                </c:pt>
                <c:pt idx="149">
                  <c:v>20275</c:v>
                </c:pt>
                <c:pt idx="150">
                  <c:v>20250</c:v>
                </c:pt>
                <c:pt idx="151">
                  <c:v>20225</c:v>
                </c:pt>
                <c:pt idx="152">
                  <c:v>20200</c:v>
                </c:pt>
                <c:pt idx="153">
                  <c:v>20175</c:v>
                </c:pt>
                <c:pt idx="154">
                  <c:v>20150</c:v>
                </c:pt>
                <c:pt idx="155">
                  <c:v>20125</c:v>
                </c:pt>
                <c:pt idx="156">
                  <c:v>20100</c:v>
                </c:pt>
                <c:pt idx="157">
                  <c:v>20075</c:v>
                </c:pt>
                <c:pt idx="158">
                  <c:v>20050</c:v>
                </c:pt>
                <c:pt idx="159">
                  <c:v>20025</c:v>
                </c:pt>
                <c:pt idx="160">
                  <c:v>20000</c:v>
                </c:pt>
                <c:pt idx="161">
                  <c:v>19975</c:v>
                </c:pt>
                <c:pt idx="162">
                  <c:v>19950</c:v>
                </c:pt>
                <c:pt idx="163">
                  <c:v>19925</c:v>
                </c:pt>
                <c:pt idx="164">
                  <c:v>19900</c:v>
                </c:pt>
                <c:pt idx="165">
                  <c:v>19875</c:v>
                </c:pt>
                <c:pt idx="166">
                  <c:v>19850</c:v>
                </c:pt>
                <c:pt idx="167">
                  <c:v>19825</c:v>
                </c:pt>
                <c:pt idx="168">
                  <c:v>19800</c:v>
                </c:pt>
                <c:pt idx="169">
                  <c:v>19775</c:v>
                </c:pt>
                <c:pt idx="170">
                  <c:v>19750</c:v>
                </c:pt>
                <c:pt idx="171">
                  <c:v>19725</c:v>
                </c:pt>
                <c:pt idx="172">
                  <c:v>19700</c:v>
                </c:pt>
                <c:pt idx="173">
                  <c:v>19675</c:v>
                </c:pt>
                <c:pt idx="174">
                  <c:v>19650</c:v>
                </c:pt>
                <c:pt idx="175">
                  <c:v>19625</c:v>
                </c:pt>
                <c:pt idx="176">
                  <c:v>19600</c:v>
                </c:pt>
                <c:pt idx="177">
                  <c:v>19575</c:v>
                </c:pt>
                <c:pt idx="178">
                  <c:v>19550</c:v>
                </c:pt>
                <c:pt idx="179">
                  <c:v>19525</c:v>
                </c:pt>
                <c:pt idx="180">
                  <c:v>19500</c:v>
                </c:pt>
                <c:pt idx="181">
                  <c:v>19475</c:v>
                </c:pt>
                <c:pt idx="182">
                  <c:v>19450</c:v>
                </c:pt>
                <c:pt idx="183">
                  <c:v>19425</c:v>
                </c:pt>
                <c:pt idx="184">
                  <c:v>19400</c:v>
                </c:pt>
                <c:pt idx="185">
                  <c:v>19375</c:v>
                </c:pt>
                <c:pt idx="186">
                  <c:v>19350</c:v>
                </c:pt>
                <c:pt idx="187">
                  <c:v>19325</c:v>
                </c:pt>
                <c:pt idx="188">
                  <c:v>19300</c:v>
                </c:pt>
                <c:pt idx="189">
                  <c:v>19275</c:v>
                </c:pt>
                <c:pt idx="190">
                  <c:v>19250</c:v>
                </c:pt>
                <c:pt idx="191">
                  <c:v>19225</c:v>
                </c:pt>
                <c:pt idx="192">
                  <c:v>19200</c:v>
                </c:pt>
                <c:pt idx="193">
                  <c:v>19175</c:v>
                </c:pt>
                <c:pt idx="194">
                  <c:v>19150</c:v>
                </c:pt>
                <c:pt idx="195">
                  <c:v>19125</c:v>
                </c:pt>
                <c:pt idx="196">
                  <c:v>19100</c:v>
                </c:pt>
                <c:pt idx="197">
                  <c:v>19075</c:v>
                </c:pt>
                <c:pt idx="198">
                  <c:v>19050</c:v>
                </c:pt>
                <c:pt idx="199">
                  <c:v>19025</c:v>
                </c:pt>
                <c:pt idx="200">
                  <c:v>17000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4620</c:v>
                </c:pt>
                <c:pt idx="1">
                  <c:v>4620</c:v>
                </c:pt>
                <c:pt idx="2">
                  <c:v>4620</c:v>
                </c:pt>
                <c:pt idx="3">
                  <c:v>4620</c:v>
                </c:pt>
                <c:pt idx="4">
                  <c:v>4620</c:v>
                </c:pt>
                <c:pt idx="5">
                  <c:v>4620</c:v>
                </c:pt>
                <c:pt idx="6">
                  <c:v>4226.3999999999996</c:v>
                </c:pt>
                <c:pt idx="7">
                  <c:v>3826.4</c:v>
                </c:pt>
                <c:pt idx="8">
                  <c:v>3426.4000000000005</c:v>
                </c:pt>
                <c:pt idx="9">
                  <c:v>3026.3999999999996</c:v>
                </c:pt>
                <c:pt idx="10">
                  <c:v>2626.3999999999996</c:v>
                </c:pt>
                <c:pt idx="11">
                  <c:v>2226.4000000000005</c:v>
                </c:pt>
                <c:pt idx="12">
                  <c:v>1826.3999999999999</c:v>
                </c:pt>
                <c:pt idx="13">
                  <c:v>1426.4</c:v>
                </c:pt>
                <c:pt idx="14">
                  <c:v>1026.3999999999996</c:v>
                </c:pt>
                <c:pt idx="15">
                  <c:v>626.39999999999986</c:v>
                </c:pt>
                <c:pt idx="16">
                  <c:v>226.40000000000009</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14196</c:v>
                </c:pt>
                <c:pt idx="1">
                  <c:v>14196</c:v>
                </c:pt>
                <c:pt idx="2">
                  <c:v>14196</c:v>
                </c:pt>
                <c:pt idx="3">
                  <c:v>14196</c:v>
                </c:pt>
                <c:pt idx="4">
                  <c:v>14196</c:v>
                </c:pt>
                <c:pt idx="5">
                  <c:v>14196</c:v>
                </c:pt>
                <c:pt idx="6">
                  <c:v>14196</c:v>
                </c:pt>
                <c:pt idx="7">
                  <c:v>14196</c:v>
                </c:pt>
                <c:pt idx="8">
                  <c:v>14196</c:v>
                </c:pt>
                <c:pt idx="9">
                  <c:v>14196</c:v>
                </c:pt>
                <c:pt idx="10">
                  <c:v>14196</c:v>
                </c:pt>
                <c:pt idx="11">
                  <c:v>14196</c:v>
                </c:pt>
                <c:pt idx="12">
                  <c:v>14196</c:v>
                </c:pt>
                <c:pt idx="13">
                  <c:v>14196</c:v>
                </c:pt>
                <c:pt idx="14">
                  <c:v>14196</c:v>
                </c:pt>
                <c:pt idx="15">
                  <c:v>14196</c:v>
                </c:pt>
                <c:pt idx="16">
                  <c:v>14196</c:v>
                </c:pt>
                <c:pt idx="17">
                  <c:v>14196</c:v>
                </c:pt>
                <c:pt idx="18">
                  <c:v>14196</c:v>
                </c:pt>
                <c:pt idx="19">
                  <c:v>14196</c:v>
                </c:pt>
                <c:pt idx="20">
                  <c:v>14196</c:v>
                </c:pt>
                <c:pt idx="21">
                  <c:v>14196</c:v>
                </c:pt>
                <c:pt idx="22">
                  <c:v>14196</c:v>
                </c:pt>
                <c:pt idx="23">
                  <c:v>14196</c:v>
                </c:pt>
                <c:pt idx="24">
                  <c:v>14196</c:v>
                </c:pt>
                <c:pt idx="25">
                  <c:v>14064</c:v>
                </c:pt>
                <c:pt idx="26">
                  <c:v>13884</c:v>
                </c:pt>
                <c:pt idx="27">
                  <c:v>13704</c:v>
                </c:pt>
                <c:pt idx="28">
                  <c:v>13524</c:v>
                </c:pt>
                <c:pt idx="29">
                  <c:v>13344</c:v>
                </c:pt>
                <c:pt idx="30">
                  <c:v>13164</c:v>
                </c:pt>
                <c:pt idx="31">
                  <c:v>12984</c:v>
                </c:pt>
                <c:pt idx="32">
                  <c:v>12804</c:v>
                </c:pt>
                <c:pt idx="33">
                  <c:v>12624</c:v>
                </c:pt>
                <c:pt idx="34">
                  <c:v>12444</c:v>
                </c:pt>
                <c:pt idx="35">
                  <c:v>12264</c:v>
                </c:pt>
                <c:pt idx="36">
                  <c:v>12084</c:v>
                </c:pt>
                <c:pt idx="37">
                  <c:v>11904</c:v>
                </c:pt>
                <c:pt idx="38">
                  <c:v>11724</c:v>
                </c:pt>
                <c:pt idx="39">
                  <c:v>11544</c:v>
                </c:pt>
                <c:pt idx="40">
                  <c:v>11364</c:v>
                </c:pt>
                <c:pt idx="41">
                  <c:v>11184</c:v>
                </c:pt>
                <c:pt idx="42">
                  <c:v>11004</c:v>
                </c:pt>
                <c:pt idx="43">
                  <c:v>10824</c:v>
                </c:pt>
                <c:pt idx="44">
                  <c:v>10644</c:v>
                </c:pt>
                <c:pt idx="45">
                  <c:v>10464</c:v>
                </c:pt>
                <c:pt idx="46">
                  <c:v>10284</c:v>
                </c:pt>
                <c:pt idx="47">
                  <c:v>10104</c:v>
                </c:pt>
                <c:pt idx="48">
                  <c:v>9924</c:v>
                </c:pt>
                <c:pt idx="49">
                  <c:v>9744</c:v>
                </c:pt>
                <c:pt idx="50">
                  <c:v>9564</c:v>
                </c:pt>
                <c:pt idx="51">
                  <c:v>9384</c:v>
                </c:pt>
                <c:pt idx="52">
                  <c:v>9204</c:v>
                </c:pt>
                <c:pt idx="53">
                  <c:v>9024</c:v>
                </c:pt>
                <c:pt idx="54">
                  <c:v>8844</c:v>
                </c:pt>
                <c:pt idx="55">
                  <c:v>8664</c:v>
                </c:pt>
                <c:pt idx="56">
                  <c:v>8484</c:v>
                </c:pt>
                <c:pt idx="57">
                  <c:v>8304</c:v>
                </c:pt>
                <c:pt idx="58">
                  <c:v>8124</c:v>
                </c:pt>
                <c:pt idx="59">
                  <c:v>7944</c:v>
                </c:pt>
                <c:pt idx="60">
                  <c:v>7764</c:v>
                </c:pt>
                <c:pt idx="61">
                  <c:v>7584</c:v>
                </c:pt>
                <c:pt idx="62">
                  <c:v>7404</c:v>
                </c:pt>
                <c:pt idx="63">
                  <c:v>7224</c:v>
                </c:pt>
                <c:pt idx="64">
                  <c:v>7044</c:v>
                </c:pt>
                <c:pt idx="65">
                  <c:v>6864</c:v>
                </c:pt>
                <c:pt idx="66">
                  <c:v>6684</c:v>
                </c:pt>
                <c:pt idx="67">
                  <c:v>6504</c:v>
                </c:pt>
                <c:pt idx="68">
                  <c:v>6324</c:v>
                </c:pt>
                <c:pt idx="69">
                  <c:v>6144</c:v>
                </c:pt>
                <c:pt idx="70">
                  <c:v>5964</c:v>
                </c:pt>
                <c:pt idx="71">
                  <c:v>5784</c:v>
                </c:pt>
                <c:pt idx="72">
                  <c:v>5604</c:v>
                </c:pt>
                <c:pt idx="73">
                  <c:v>5472</c:v>
                </c:pt>
                <c:pt idx="74">
                  <c:v>5352</c:v>
                </c:pt>
                <c:pt idx="75">
                  <c:v>5232</c:v>
                </c:pt>
                <c:pt idx="76">
                  <c:v>5112</c:v>
                </c:pt>
                <c:pt idx="77">
                  <c:v>4992</c:v>
                </c:pt>
                <c:pt idx="78">
                  <c:v>4872</c:v>
                </c:pt>
                <c:pt idx="79">
                  <c:v>4752</c:v>
                </c:pt>
                <c:pt idx="80">
                  <c:v>4632</c:v>
                </c:pt>
                <c:pt idx="81">
                  <c:v>4512</c:v>
                </c:pt>
                <c:pt idx="82">
                  <c:v>4392</c:v>
                </c:pt>
                <c:pt idx="83">
                  <c:v>4272</c:v>
                </c:pt>
                <c:pt idx="84">
                  <c:v>4152</c:v>
                </c:pt>
                <c:pt idx="85">
                  <c:v>4032</c:v>
                </c:pt>
                <c:pt idx="86">
                  <c:v>3912</c:v>
                </c:pt>
                <c:pt idx="87">
                  <c:v>3792</c:v>
                </c:pt>
                <c:pt idx="88">
                  <c:v>3672</c:v>
                </c:pt>
                <c:pt idx="89">
                  <c:v>3552</c:v>
                </c:pt>
                <c:pt idx="90">
                  <c:v>3432</c:v>
                </c:pt>
                <c:pt idx="91">
                  <c:v>3312</c:v>
                </c:pt>
                <c:pt idx="92">
                  <c:v>3192</c:v>
                </c:pt>
                <c:pt idx="93">
                  <c:v>3072</c:v>
                </c:pt>
                <c:pt idx="94">
                  <c:v>2952</c:v>
                </c:pt>
                <c:pt idx="95">
                  <c:v>2832</c:v>
                </c:pt>
                <c:pt idx="96">
                  <c:v>2712</c:v>
                </c:pt>
                <c:pt idx="97">
                  <c:v>2592</c:v>
                </c:pt>
                <c:pt idx="98">
                  <c:v>2472</c:v>
                </c:pt>
                <c:pt idx="99">
                  <c:v>2352</c:v>
                </c:pt>
                <c:pt idx="100">
                  <c:v>2232</c:v>
                </c:pt>
                <c:pt idx="101">
                  <c:v>2112</c:v>
                </c:pt>
                <c:pt idx="102">
                  <c:v>1992</c:v>
                </c:pt>
                <c:pt idx="103">
                  <c:v>1872</c:v>
                </c:pt>
                <c:pt idx="104">
                  <c:v>1752</c:v>
                </c:pt>
                <c:pt idx="105">
                  <c:v>1632</c:v>
                </c:pt>
                <c:pt idx="106">
                  <c:v>1512</c:v>
                </c:pt>
                <c:pt idx="107">
                  <c:v>1392</c:v>
                </c:pt>
                <c:pt idx="108">
                  <c:v>1272</c:v>
                </c:pt>
                <c:pt idx="109">
                  <c:v>1152</c:v>
                </c:pt>
                <c:pt idx="110">
                  <c:v>1032</c:v>
                </c:pt>
                <c:pt idx="111">
                  <c:v>912</c:v>
                </c:pt>
                <c:pt idx="112">
                  <c:v>792</c:v>
                </c:pt>
                <c:pt idx="113">
                  <c:v>672</c:v>
                </c:pt>
                <c:pt idx="114">
                  <c:v>552</c:v>
                </c:pt>
                <c:pt idx="115">
                  <c:v>432</c:v>
                </c:pt>
                <c:pt idx="116">
                  <c:v>312</c:v>
                </c:pt>
                <c:pt idx="117">
                  <c:v>288</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441.12</c:v>
                </c:pt>
                <c:pt idx="1">
                  <c:v>441.12</c:v>
                </c:pt>
                <c:pt idx="2">
                  <c:v>441.12</c:v>
                </c:pt>
                <c:pt idx="3">
                  <c:v>441.12</c:v>
                </c:pt>
                <c:pt idx="4">
                  <c:v>441.12</c:v>
                </c:pt>
                <c:pt idx="5">
                  <c:v>441.12</c:v>
                </c:pt>
                <c:pt idx="6">
                  <c:v>441.12</c:v>
                </c:pt>
                <c:pt idx="7">
                  <c:v>441.12</c:v>
                </c:pt>
                <c:pt idx="8">
                  <c:v>441.12</c:v>
                </c:pt>
                <c:pt idx="9">
                  <c:v>441.12</c:v>
                </c:pt>
                <c:pt idx="10">
                  <c:v>441.12</c:v>
                </c:pt>
                <c:pt idx="11">
                  <c:v>441.12</c:v>
                </c:pt>
                <c:pt idx="12">
                  <c:v>441.12</c:v>
                </c:pt>
                <c:pt idx="13">
                  <c:v>441.12</c:v>
                </c:pt>
                <c:pt idx="14">
                  <c:v>441.12</c:v>
                </c:pt>
                <c:pt idx="15">
                  <c:v>441.12</c:v>
                </c:pt>
                <c:pt idx="16">
                  <c:v>441.12</c:v>
                </c:pt>
                <c:pt idx="17">
                  <c:v>441.12</c:v>
                </c:pt>
                <c:pt idx="18">
                  <c:v>441.12</c:v>
                </c:pt>
                <c:pt idx="19">
                  <c:v>441.12</c:v>
                </c:pt>
                <c:pt idx="20">
                  <c:v>441.12</c:v>
                </c:pt>
                <c:pt idx="21">
                  <c:v>441.12</c:v>
                </c:pt>
                <c:pt idx="22">
                  <c:v>441.12</c:v>
                </c:pt>
                <c:pt idx="23">
                  <c:v>441.12</c:v>
                </c:pt>
                <c:pt idx="24">
                  <c:v>441.12</c:v>
                </c:pt>
                <c:pt idx="25">
                  <c:v>441.12</c:v>
                </c:pt>
                <c:pt idx="26">
                  <c:v>441.12</c:v>
                </c:pt>
                <c:pt idx="27">
                  <c:v>441.12</c:v>
                </c:pt>
                <c:pt idx="28">
                  <c:v>441.12</c:v>
                </c:pt>
                <c:pt idx="29">
                  <c:v>441.12</c:v>
                </c:pt>
                <c:pt idx="30">
                  <c:v>441.12</c:v>
                </c:pt>
                <c:pt idx="31">
                  <c:v>441.12</c:v>
                </c:pt>
                <c:pt idx="32">
                  <c:v>441.12</c:v>
                </c:pt>
                <c:pt idx="33">
                  <c:v>441.12</c:v>
                </c:pt>
                <c:pt idx="34">
                  <c:v>441.12</c:v>
                </c:pt>
                <c:pt idx="35">
                  <c:v>441.12</c:v>
                </c:pt>
                <c:pt idx="36">
                  <c:v>441.12</c:v>
                </c:pt>
                <c:pt idx="37">
                  <c:v>441.12</c:v>
                </c:pt>
                <c:pt idx="38">
                  <c:v>441.12</c:v>
                </c:pt>
                <c:pt idx="39">
                  <c:v>441.12</c:v>
                </c:pt>
                <c:pt idx="40">
                  <c:v>441.12</c:v>
                </c:pt>
                <c:pt idx="41">
                  <c:v>441.12</c:v>
                </c:pt>
                <c:pt idx="42">
                  <c:v>441.12</c:v>
                </c:pt>
                <c:pt idx="43">
                  <c:v>441.12</c:v>
                </c:pt>
                <c:pt idx="44">
                  <c:v>441.12</c:v>
                </c:pt>
                <c:pt idx="45">
                  <c:v>441.12</c:v>
                </c:pt>
                <c:pt idx="46">
                  <c:v>441.12</c:v>
                </c:pt>
                <c:pt idx="47">
                  <c:v>441.12</c:v>
                </c:pt>
                <c:pt idx="48">
                  <c:v>441.12</c:v>
                </c:pt>
                <c:pt idx="49">
                  <c:v>441.12</c:v>
                </c:pt>
                <c:pt idx="50">
                  <c:v>441.12</c:v>
                </c:pt>
                <c:pt idx="51">
                  <c:v>441.12</c:v>
                </c:pt>
                <c:pt idx="52">
                  <c:v>441.12</c:v>
                </c:pt>
                <c:pt idx="53">
                  <c:v>441.12</c:v>
                </c:pt>
                <c:pt idx="54">
                  <c:v>441.12</c:v>
                </c:pt>
                <c:pt idx="55">
                  <c:v>441.12</c:v>
                </c:pt>
                <c:pt idx="56">
                  <c:v>441.12</c:v>
                </c:pt>
                <c:pt idx="57">
                  <c:v>441.12</c:v>
                </c:pt>
                <c:pt idx="58">
                  <c:v>441.12</c:v>
                </c:pt>
                <c:pt idx="59">
                  <c:v>441.12</c:v>
                </c:pt>
                <c:pt idx="60">
                  <c:v>441.12</c:v>
                </c:pt>
                <c:pt idx="61">
                  <c:v>441.12</c:v>
                </c:pt>
                <c:pt idx="62">
                  <c:v>441.12</c:v>
                </c:pt>
                <c:pt idx="63">
                  <c:v>441.12</c:v>
                </c:pt>
                <c:pt idx="64">
                  <c:v>441.12</c:v>
                </c:pt>
                <c:pt idx="65">
                  <c:v>441.12</c:v>
                </c:pt>
                <c:pt idx="66">
                  <c:v>441.12</c:v>
                </c:pt>
                <c:pt idx="67">
                  <c:v>441.12</c:v>
                </c:pt>
                <c:pt idx="68">
                  <c:v>441.12</c:v>
                </c:pt>
                <c:pt idx="69">
                  <c:v>441.12</c:v>
                </c:pt>
                <c:pt idx="70">
                  <c:v>441.12</c:v>
                </c:pt>
                <c:pt idx="71">
                  <c:v>441.12</c:v>
                </c:pt>
                <c:pt idx="72">
                  <c:v>441.12</c:v>
                </c:pt>
                <c:pt idx="73">
                  <c:v>441.12</c:v>
                </c:pt>
                <c:pt idx="74">
                  <c:v>441.12</c:v>
                </c:pt>
                <c:pt idx="75">
                  <c:v>441.12</c:v>
                </c:pt>
                <c:pt idx="76">
                  <c:v>441.12</c:v>
                </c:pt>
                <c:pt idx="77">
                  <c:v>441.12</c:v>
                </c:pt>
                <c:pt idx="78">
                  <c:v>441.12</c:v>
                </c:pt>
                <c:pt idx="79">
                  <c:v>441.12</c:v>
                </c:pt>
                <c:pt idx="80">
                  <c:v>441.12</c:v>
                </c:pt>
                <c:pt idx="81">
                  <c:v>441.12</c:v>
                </c:pt>
                <c:pt idx="82">
                  <c:v>441.12</c:v>
                </c:pt>
                <c:pt idx="83">
                  <c:v>441.12</c:v>
                </c:pt>
                <c:pt idx="84">
                  <c:v>441.12</c:v>
                </c:pt>
                <c:pt idx="85">
                  <c:v>441.12</c:v>
                </c:pt>
                <c:pt idx="86">
                  <c:v>441.12</c:v>
                </c:pt>
                <c:pt idx="87">
                  <c:v>441.12</c:v>
                </c:pt>
                <c:pt idx="88">
                  <c:v>441.12</c:v>
                </c:pt>
                <c:pt idx="89">
                  <c:v>441.12</c:v>
                </c:pt>
                <c:pt idx="90">
                  <c:v>441.12</c:v>
                </c:pt>
                <c:pt idx="91">
                  <c:v>441.12</c:v>
                </c:pt>
                <c:pt idx="92">
                  <c:v>441.12</c:v>
                </c:pt>
                <c:pt idx="93">
                  <c:v>441.12</c:v>
                </c:pt>
                <c:pt idx="94">
                  <c:v>441.12</c:v>
                </c:pt>
                <c:pt idx="95">
                  <c:v>441.12</c:v>
                </c:pt>
                <c:pt idx="96">
                  <c:v>441.12</c:v>
                </c:pt>
                <c:pt idx="97">
                  <c:v>441.12</c:v>
                </c:pt>
                <c:pt idx="98">
                  <c:v>441.12</c:v>
                </c:pt>
                <c:pt idx="99">
                  <c:v>441.12</c:v>
                </c:pt>
                <c:pt idx="100">
                  <c:v>441.12</c:v>
                </c:pt>
                <c:pt idx="101">
                  <c:v>441.12</c:v>
                </c:pt>
                <c:pt idx="102">
                  <c:v>441.12</c:v>
                </c:pt>
                <c:pt idx="103">
                  <c:v>441.12</c:v>
                </c:pt>
                <c:pt idx="104">
                  <c:v>441.12</c:v>
                </c:pt>
                <c:pt idx="105">
                  <c:v>441.12</c:v>
                </c:pt>
                <c:pt idx="106">
                  <c:v>441.12</c:v>
                </c:pt>
                <c:pt idx="107">
                  <c:v>441.12</c:v>
                </c:pt>
                <c:pt idx="108">
                  <c:v>441.12</c:v>
                </c:pt>
                <c:pt idx="109">
                  <c:v>441.12</c:v>
                </c:pt>
                <c:pt idx="110">
                  <c:v>441.12</c:v>
                </c:pt>
                <c:pt idx="111">
                  <c:v>441.12</c:v>
                </c:pt>
                <c:pt idx="112">
                  <c:v>441.12</c:v>
                </c:pt>
                <c:pt idx="113">
                  <c:v>441.12</c:v>
                </c:pt>
                <c:pt idx="114">
                  <c:v>441.12</c:v>
                </c:pt>
                <c:pt idx="115">
                  <c:v>441.12</c:v>
                </c:pt>
                <c:pt idx="116">
                  <c:v>441.12</c:v>
                </c:pt>
                <c:pt idx="117">
                  <c:v>441.12</c:v>
                </c:pt>
                <c:pt idx="118">
                  <c:v>441.12</c:v>
                </c:pt>
                <c:pt idx="119">
                  <c:v>441.12</c:v>
                </c:pt>
                <c:pt idx="120">
                  <c:v>441.12</c:v>
                </c:pt>
                <c:pt idx="121">
                  <c:v>441.12</c:v>
                </c:pt>
                <c:pt idx="122">
                  <c:v>441.12</c:v>
                </c:pt>
                <c:pt idx="123">
                  <c:v>441.12</c:v>
                </c:pt>
                <c:pt idx="124">
                  <c:v>441.12</c:v>
                </c:pt>
                <c:pt idx="125">
                  <c:v>441.12</c:v>
                </c:pt>
                <c:pt idx="126">
                  <c:v>441.12</c:v>
                </c:pt>
                <c:pt idx="127">
                  <c:v>441.12</c:v>
                </c:pt>
                <c:pt idx="128">
                  <c:v>441.12</c:v>
                </c:pt>
                <c:pt idx="129">
                  <c:v>441.12</c:v>
                </c:pt>
                <c:pt idx="130">
                  <c:v>441.12</c:v>
                </c:pt>
                <c:pt idx="131">
                  <c:v>441.12</c:v>
                </c:pt>
                <c:pt idx="132">
                  <c:v>441.12</c:v>
                </c:pt>
                <c:pt idx="133">
                  <c:v>441.12</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16049.988000000001</c:v>
                </c:pt>
                <c:pt idx="1">
                  <c:v>15899.988000000001</c:v>
                </c:pt>
                <c:pt idx="2">
                  <c:v>15749.988000000001</c:v>
                </c:pt>
                <c:pt idx="3">
                  <c:v>15599.988000000001</c:v>
                </c:pt>
                <c:pt idx="4">
                  <c:v>15449.988000000001</c:v>
                </c:pt>
                <c:pt idx="5">
                  <c:v>15299.988000000001</c:v>
                </c:pt>
                <c:pt idx="6">
                  <c:v>15268.067999999999</c:v>
                </c:pt>
                <c:pt idx="7">
                  <c:v>15238.067999999999</c:v>
                </c:pt>
                <c:pt idx="8">
                  <c:v>15208.067999999999</c:v>
                </c:pt>
                <c:pt idx="9">
                  <c:v>15178.067999999999</c:v>
                </c:pt>
                <c:pt idx="10">
                  <c:v>15148.067999999999</c:v>
                </c:pt>
                <c:pt idx="11">
                  <c:v>15118.067999999999</c:v>
                </c:pt>
                <c:pt idx="12">
                  <c:v>15088.067999999999</c:v>
                </c:pt>
                <c:pt idx="13">
                  <c:v>15058.067999999999</c:v>
                </c:pt>
                <c:pt idx="14">
                  <c:v>15028.067999999999</c:v>
                </c:pt>
                <c:pt idx="15">
                  <c:v>14998.067999999999</c:v>
                </c:pt>
                <c:pt idx="16">
                  <c:v>14968.067999999999</c:v>
                </c:pt>
                <c:pt idx="17">
                  <c:v>14885.988000000001</c:v>
                </c:pt>
                <c:pt idx="18">
                  <c:v>14735.988000000001</c:v>
                </c:pt>
                <c:pt idx="19">
                  <c:v>14585.988000000001</c:v>
                </c:pt>
                <c:pt idx="20">
                  <c:v>14435.988000000001</c:v>
                </c:pt>
                <c:pt idx="21">
                  <c:v>14285.988000000001</c:v>
                </c:pt>
                <c:pt idx="22">
                  <c:v>14135.988000000001</c:v>
                </c:pt>
                <c:pt idx="23">
                  <c:v>13985.988000000001</c:v>
                </c:pt>
                <c:pt idx="24">
                  <c:v>13835.988000000001</c:v>
                </c:pt>
                <c:pt idx="25">
                  <c:v>13685.988000000001</c:v>
                </c:pt>
                <c:pt idx="26">
                  <c:v>13535.988000000001</c:v>
                </c:pt>
                <c:pt idx="27">
                  <c:v>13385.988000000001</c:v>
                </c:pt>
                <c:pt idx="28">
                  <c:v>13235.988000000001</c:v>
                </c:pt>
                <c:pt idx="29">
                  <c:v>13085.988000000001</c:v>
                </c:pt>
                <c:pt idx="30">
                  <c:v>12935.988000000001</c:v>
                </c:pt>
                <c:pt idx="31">
                  <c:v>12785.988000000001</c:v>
                </c:pt>
                <c:pt idx="32">
                  <c:v>12635.988000000001</c:v>
                </c:pt>
                <c:pt idx="33">
                  <c:v>12485.988000000001</c:v>
                </c:pt>
                <c:pt idx="34">
                  <c:v>12335.988000000001</c:v>
                </c:pt>
                <c:pt idx="35">
                  <c:v>12185.988000000001</c:v>
                </c:pt>
                <c:pt idx="36">
                  <c:v>12035.988000000001</c:v>
                </c:pt>
                <c:pt idx="37">
                  <c:v>11885.988000000001</c:v>
                </c:pt>
                <c:pt idx="38">
                  <c:v>11735.988000000001</c:v>
                </c:pt>
                <c:pt idx="39">
                  <c:v>11585.988000000001</c:v>
                </c:pt>
                <c:pt idx="40">
                  <c:v>11435.988000000001</c:v>
                </c:pt>
                <c:pt idx="41">
                  <c:v>11285.988000000001</c:v>
                </c:pt>
                <c:pt idx="42">
                  <c:v>11135.988000000001</c:v>
                </c:pt>
                <c:pt idx="43">
                  <c:v>10985.988000000001</c:v>
                </c:pt>
                <c:pt idx="44">
                  <c:v>10835.988000000001</c:v>
                </c:pt>
                <c:pt idx="45">
                  <c:v>10685.988000000001</c:v>
                </c:pt>
                <c:pt idx="46">
                  <c:v>10535.987999999999</c:v>
                </c:pt>
                <c:pt idx="47">
                  <c:v>10385.988000000001</c:v>
                </c:pt>
                <c:pt idx="48">
                  <c:v>10235.988000000001</c:v>
                </c:pt>
                <c:pt idx="49">
                  <c:v>10085.987999999999</c:v>
                </c:pt>
                <c:pt idx="50">
                  <c:v>9935.9879999999994</c:v>
                </c:pt>
                <c:pt idx="51">
                  <c:v>9785.9880000000012</c:v>
                </c:pt>
                <c:pt idx="52">
                  <c:v>9635.9880000000012</c:v>
                </c:pt>
                <c:pt idx="53">
                  <c:v>9485.9879999999994</c:v>
                </c:pt>
                <c:pt idx="54">
                  <c:v>9335.9880000000012</c:v>
                </c:pt>
                <c:pt idx="55">
                  <c:v>9185.9880000000012</c:v>
                </c:pt>
                <c:pt idx="56">
                  <c:v>9035.9879999999994</c:v>
                </c:pt>
                <c:pt idx="57">
                  <c:v>8885.9880000000012</c:v>
                </c:pt>
                <c:pt idx="58">
                  <c:v>8735.9880000000012</c:v>
                </c:pt>
                <c:pt idx="59">
                  <c:v>8585.9879999999994</c:v>
                </c:pt>
                <c:pt idx="60">
                  <c:v>8435.9880000000012</c:v>
                </c:pt>
                <c:pt idx="61">
                  <c:v>8285.9880000000012</c:v>
                </c:pt>
                <c:pt idx="62">
                  <c:v>8135.9879999999994</c:v>
                </c:pt>
                <c:pt idx="63">
                  <c:v>7985.9880000000003</c:v>
                </c:pt>
                <c:pt idx="64">
                  <c:v>7835.9880000000003</c:v>
                </c:pt>
                <c:pt idx="65">
                  <c:v>7685.9879999999994</c:v>
                </c:pt>
                <c:pt idx="66">
                  <c:v>7535.9880000000003</c:v>
                </c:pt>
                <c:pt idx="67">
                  <c:v>7385.9880000000003</c:v>
                </c:pt>
                <c:pt idx="68">
                  <c:v>7235.9879999999994</c:v>
                </c:pt>
                <c:pt idx="69">
                  <c:v>7085.9880000000003</c:v>
                </c:pt>
                <c:pt idx="70">
                  <c:v>6935.9880000000003</c:v>
                </c:pt>
                <c:pt idx="71">
                  <c:v>6785.9880000000003</c:v>
                </c:pt>
                <c:pt idx="72">
                  <c:v>6635.9880000000003</c:v>
                </c:pt>
                <c:pt idx="73">
                  <c:v>6485.9880000000003</c:v>
                </c:pt>
                <c:pt idx="74">
                  <c:v>6335.9880000000003</c:v>
                </c:pt>
                <c:pt idx="75">
                  <c:v>6185.9880000000003</c:v>
                </c:pt>
                <c:pt idx="76">
                  <c:v>6035.9880000000003</c:v>
                </c:pt>
                <c:pt idx="77">
                  <c:v>5885.9880000000003</c:v>
                </c:pt>
                <c:pt idx="78">
                  <c:v>5735.9880000000003</c:v>
                </c:pt>
                <c:pt idx="79">
                  <c:v>5585.9880000000003</c:v>
                </c:pt>
                <c:pt idx="80">
                  <c:v>5435.9880000000003</c:v>
                </c:pt>
                <c:pt idx="81">
                  <c:v>5285.9880000000003</c:v>
                </c:pt>
                <c:pt idx="82">
                  <c:v>5135.9880000000003</c:v>
                </c:pt>
                <c:pt idx="83">
                  <c:v>4985.9880000000003</c:v>
                </c:pt>
                <c:pt idx="84">
                  <c:v>4835.9880000000003</c:v>
                </c:pt>
                <c:pt idx="85">
                  <c:v>4685.9880000000003</c:v>
                </c:pt>
                <c:pt idx="86">
                  <c:v>4535.9880000000003</c:v>
                </c:pt>
                <c:pt idx="87">
                  <c:v>4385.9880000000003</c:v>
                </c:pt>
                <c:pt idx="88">
                  <c:v>4235.9880000000003</c:v>
                </c:pt>
                <c:pt idx="89">
                  <c:v>4085.9880000000003</c:v>
                </c:pt>
                <c:pt idx="90">
                  <c:v>3935.9880000000003</c:v>
                </c:pt>
                <c:pt idx="91">
                  <c:v>3785.9880000000003</c:v>
                </c:pt>
                <c:pt idx="92">
                  <c:v>3635.9880000000003</c:v>
                </c:pt>
                <c:pt idx="93">
                  <c:v>3485.9880000000003</c:v>
                </c:pt>
                <c:pt idx="94">
                  <c:v>3335.988000000003</c:v>
                </c:pt>
                <c:pt idx="95">
                  <c:v>3185.9879999999976</c:v>
                </c:pt>
                <c:pt idx="96">
                  <c:v>3035.9880000000003</c:v>
                </c:pt>
                <c:pt idx="97">
                  <c:v>2885.988000000003</c:v>
                </c:pt>
                <c:pt idx="98">
                  <c:v>2735.9879999999976</c:v>
                </c:pt>
                <c:pt idx="99">
                  <c:v>2585.9880000000003</c:v>
                </c:pt>
                <c:pt idx="100">
                  <c:v>2435.9880000000003</c:v>
                </c:pt>
                <c:pt idx="101">
                  <c:v>2285.9880000000003</c:v>
                </c:pt>
                <c:pt idx="102">
                  <c:v>2135.9880000000003</c:v>
                </c:pt>
                <c:pt idx="103">
                  <c:v>1985.9880000000003</c:v>
                </c:pt>
                <c:pt idx="104">
                  <c:v>1835.9880000000003</c:v>
                </c:pt>
                <c:pt idx="105">
                  <c:v>1685.9880000000003</c:v>
                </c:pt>
                <c:pt idx="106">
                  <c:v>1535.9880000000003</c:v>
                </c:pt>
                <c:pt idx="107">
                  <c:v>1385.9880000000003</c:v>
                </c:pt>
                <c:pt idx="108">
                  <c:v>1235.9880000000003</c:v>
                </c:pt>
                <c:pt idx="109">
                  <c:v>1085.9880000000003</c:v>
                </c:pt>
                <c:pt idx="110">
                  <c:v>935.98800000000028</c:v>
                </c:pt>
                <c:pt idx="111">
                  <c:v>785.98800000000028</c:v>
                </c:pt>
                <c:pt idx="112">
                  <c:v>635.98800000000028</c:v>
                </c:pt>
                <c:pt idx="113">
                  <c:v>485.98800000000028</c:v>
                </c:pt>
                <c:pt idx="114">
                  <c:v>335.98800000000028</c:v>
                </c:pt>
                <c:pt idx="115">
                  <c:v>185.98800000000028</c:v>
                </c:pt>
                <c:pt idx="116">
                  <c:v>35.988000000000284</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8779.2000000000007</c:v>
                </c:pt>
                <c:pt idx="49">
                  <c:v>8779.2000000000007</c:v>
                </c:pt>
                <c:pt idx="50">
                  <c:v>8779.2000000000007</c:v>
                </c:pt>
                <c:pt idx="51">
                  <c:v>8779.2000000000007</c:v>
                </c:pt>
                <c:pt idx="52">
                  <c:v>8779.2000000000007</c:v>
                </c:pt>
                <c:pt idx="53">
                  <c:v>8779.2000000000007</c:v>
                </c:pt>
                <c:pt idx="54">
                  <c:v>8779.2000000000007</c:v>
                </c:pt>
                <c:pt idx="55">
                  <c:v>8779.2000000000007</c:v>
                </c:pt>
                <c:pt idx="56">
                  <c:v>8779.2000000000007</c:v>
                </c:pt>
                <c:pt idx="57">
                  <c:v>8779.2000000000007</c:v>
                </c:pt>
                <c:pt idx="58">
                  <c:v>8779.2000000000007</c:v>
                </c:pt>
                <c:pt idx="59">
                  <c:v>8779.2000000000007</c:v>
                </c:pt>
                <c:pt idx="60">
                  <c:v>8779.2000000000007</c:v>
                </c:pt>
                <c:pt idx="61">
                  <c:v>8779.2000000000007</c:v>
                </c:pt>
                <c:pt idx="62">
                  <c:v>8779.2000000000007</c:v>
                </c:pt>
                <c:pt idx="63">
                  <c:v>8693.5279200000004</c:v>
                </c:pt>
                <c:pt idx="64">
                  <c:v>8567.1679199999999</c:v>
                </c:pt>
                <c:pt idx="65">
                  <c:v>8440.8079199999993</c:v>
                </c:pt>
                <c:pt idx="66">
                  <c:v>8314.4479199999987</c:v>
                </c:pt>
                <c:pt idx="67">
                  <c:v>8188.0879199999999</c:v>
                </c:pt>
                <c:pt idx="68">
                  <c:v>8061.7279200000003</c:v>
                </c:pt>
                <c:pt idx="69">
                  <c:v>7935.3679199999997</c:v>
                </c:pt>
                <c:pt idx="70">
                  <c:v>7809.00792</c:v>
                </c:pt>
                <c:pt idx="71">
                  <c:v>7682.6479199999994</c:v>
                </c:pt>
                <c:pt idx="72">
                  <c:v>7556.2879200000007</c:v>
                </c:pt>
                <c:pt idx="73">
                  <c:v>7429.9279200000001</c:v>
                </c:pt>
                <c:pt idx="74">
                  <c:v>7303.5679199999995</c:v>
                </c:pt>
                <c:pt idx="75">
                  <c:v>7177.2079199999998</c:v>
                </c:pt>
                <c:pt idx="76">
                  <c:v>7050.8479199999992</c:v>
                </c:pt>
                <c:pt idx="77">
                  <c:v>6924.4879200000005</c:v>
                </c:pt>
                <c:pt idx="78">
                  <c:v>6798.1279199999999</c:v>
                </c:pt>
                <c:pt idx="79">
                  <c:v>6671.7679200000002</c:v>
                </c:pt>
                <c:pt idx="80">
                  <c:v>6545.4079199999996</c:v>
                </c:pt>
                <c:pt idx="81">
                  <c:v>6419.0479199999991</c:v>
                </c:pt>
                <c:pt idx="82">
                  <c:v>6292.6879200000003</c:v>
                </c:pt>
                <c:pt idx="83">
                  <c:v>6166.3279199999997</c:v>
                </c:pt>
                <c:pt idx="84">
                  <c:v>6039.96792</c:v>
                </c:pt>
                <c:pt idx="85">
                  <c:v>5913.6079199999995</c:v>
                </c:pt>
                <c:pt idx="86">
                  <c:v>5787.2479199999998</c:v>
                </c:pt>
                <c:pt idx="87">
                  <c:v>5660.8879200000001</c:v>
                </c:pt>
                <c:pt idx="88">
                  <c:v>5534.5279200000004</c:v>
                </c:pt>
                <c:pt idx="89">
                  <c:v>5408.1679199999999</c:v>
                </c:pt>
                <c:pt idx="90">
                  <c:v>5281.8079199999993</c:v>
                </c:pt>
                <c:pt idx="91">
                  <c:v>5155.4479199999996</c:v>
                </c:pt>
                <c:pt idx="92">
                  <c:v>5029.0879199999999</c:v>
                </c:pt>
                <c:pt idx="93">
                  <c:v>4902.7279200000003</c:v>
                </c:pt>
                <c:pt idx="94">
                  <c:v>4776.3679199999997</c:v>
                </c:pt>
                <c:pt idx="95">
                  <c:v>4650.00792</c:v>
                </c:pt>
                <c:pt idx="96">
                  <c:v>4523.6479200000003</c:v>
                </c:pt>
                <c:pt idx="97">
                  <c:v>4397.2879199999998</c:v>
                </c:pt>
                <c:pt idx="98">
                  <c:v>4270.9279200000001</c:v>
                </c:pt>
                <c:pt idx="99">
                  <c:v>4144.5679199999995</c:v>
                </c:pt>
                <c:pt idx="100">
                  <c:v>4018.2079199999998</c:v>
                </c:pt>
                <c:pt idx="101">
                  <c:v>3891.8479200000002</c:v>
                </c:pt>
                <c:pt idx="102">
                  <c:v>3765.4879200000005</c:v>
                </c:pt>
                <c:pt idx="103">
                  <c:v>3639.1279199999999</c:v>
                </c:pt>
                <c:pt idx="104">
                  <c:v>3512.7679199999998</c:v>
                </c:pt>
                <c:pt idx="105">
                  <c:v>3386.4079199999996</c:v>
                </c:pt>
                <c:pt idx="106">
                  <c:v>3260.0479199999995</c:v>
                </c:pt>
                <c:pt idx="107">
                  <c:v>3133.6879199999994</c:v>
                </c:pt>
                <c:pt idx="108">
                  <c:v>3007.3279200000002</c:v>
                </c:pt>
                <c:pt idx="109">
                  <c:v>2880.96792</c:v>
                </c:pt>
                <c:pt idx="110">
                  <c:v>2754.6079199999995</c:v>
                </c:pt>
                <c:pt idx="111">
                  <c:v>2628.2479199999993</c:v>
                </c:pt>
                <c:pt idx="112">
                  <c:v>2501.8879199999992</c:v>
                </c:pt>
                <c:pt idx="113">
                  <c:v>2375.52792</c:v>
                </c:pt>
                <c:pt idx="114">
                  <c:v>2249.1679199999999</c:v>
                </c:pt>
                <c:pt idx="115">
                  <c:v>2122.8079199999997</c:v>
                </c:pt>
                <c:pt idx="116">
                  <c:v>1996.4479199999994</c:v>
                </c:pt>
                <c:pt idx="117">
                  <c:v>1870.0879199999993</c:v>
                </c:pt>
                <c:pt idx="118">
                  <c:v>1743.72792</c:v>
                </c:pt>
                <c:pt idx="119">
                  <c:v>1617.3679199999999</c:v>
                </c:pt>
                <c:pt idx="120">
                  <c:v>1491.0079199999996</c:v>
                </c:pt>
                <c:pt idx="121">
                  <c:v>1364.6479199999994</c:v>
                </c:pt>
                <c:pt idx="122">
                  <c:v>1238.2879199999993</c:v>
                </c:pt>
                <c:pt idx="123">
                  <c:v>1111.9279200000001</c:v>
                </c:pt>
                <c:pt idx="124">
                  <c:v>985.56791999999984</c:v>
                </c:pt>
                <c:pt idx="125">
                  <c:v>859.2079199999996</c:v>
                </c:pt>
                <c:pt idx="126">
                  <c:v>732.84791999999948</c:v>
                </c:pt>
                <c:pt idx="127">
                  <c:v>606.48791999999924</c:v>
                </c:pt>
                <c:pt idx="128">
                  <c:v>480.12792000000007</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26265</c:v>
                </c:pt>
                <c:pt idx="1">
                  <c:v>26265</c:v>
                </c:pt>
                <c:pt idx="2">
                  <c:v>26265</c:v>
                </c:pt>
                <c:pt idx="3">
                  <c:v>26265</c:v>
                </c:pt>
                <c:pt idx="4">
                  <c:v>26265</c:v>
                </c:pt>
                <c:pt idx="5">
                  <c:v>26265</c:v>
                </c:pt>
                <c:pt idx="6">
                  <c:v>26265</c:v>
                </c:pt>
                <c:pt idx="7">
                  <c:v>26265</c:v>
                </c:pt>
                <c:pt idx="8">
                  <c:v>26265</c:v>
                </c:pt>
                <c:pt idx="9">
                  <c:v>26265</c:v>
                </c:pt>
                <c:pt idx="10">
                  <c:v>26265</c:v>
                </c:pt>
                <c:pt idx="11">
                  <c:v>26265</c:v>
                </c:pt>
                <c:pt idx="12">
                  <c:v>26265</c:v>
                </c:pt>
                <c:pt idx="13">
                  <c:v>26265</c:v>
                </c:pt>
                <c:pt idx="14">
                  <c:v>26265</c:v>
                </c:pt>
                <c:pt idx="15">
                  <c:v>26265</c:v>
                </c:pt>
                <c:pt idx="16">
                  <c:v>26265</c:v>
                </c:pt>
                <c:pt idx="17">
                  <c:v>26265</c:v>
                </c:pt>
                <c:pt idx="18">
                  <c:v>26265</c:v>
                </c:pt>
                <c:pt idx="19">
                  <c:v>26265</c:v>
                </c:pt>
                <c:pt idx="20">
                  <c:v>26265</c:v>
                </c:pt>
                <c:pt idx="21">
                  <c:v>26265</c:v>
                </c:pt>
                <c:pt idx="22">
                  <c:v>26265</c:v>
                </c:pt>
                <c:pt idx="23">
                  <c:v>26265</c:v>
                </c:pt>
                <c:pt idx="24">
                  <c:v>26265</c:v>
                </c:pt>
                <c:pt idx="25">
                  <c:v>26265</c:v>
                </c:pt>
                <c:pt idx="26">
                  <c:v>26265</c:v>
                </c:pt>
                <c:pt idx="27">
                  <c:v>26265</c:v>
                </c:pt>
                <c:pt idx="28">
                  <c:v>26265</c:v>
                </c:pt>
                <c:pt idx="29">
                  <c:v>26265</c:v>
                </c:pt>
                <c:pt idx="30">
                  <c:v>26265</c:v>
                </c:pt>
                <c:pt idx="31">
                  <c:v>26265</c:v>
                </c:pt>
                <c:pt idx="32">
                  <c:v>26265</c:v>
                </c:pt>
                <c:pt idx="33">
                  <c:v>26265</c:v>
                </c:pt>
                <c:pt idx="34">
                  <c:v>26265</c:v>
                </c:pt>
                <c:pt idx="35">
                  <c:v>26265</c:v>
                </c:pt>
                <c:pt idx="36">
                  <c:v>26265</c:v>
                </c:pt>
                <c:pt idx="37">
                  <c:v>26265</c:v>
                </c:pt>
                <c:pt idx="38">
                  <c:v>26265</c:v>
                </c:pt>
                <c:pt idx="39">
                  <c:v>26265</c:v>
                </c:pt>
                <c:pt idx="40">
                  <c:v>26265</c:v>
                </c:pt>
                <c:pt idx="41">
                  <c:v>26265</c:v>
                </c:pt>
                <c:pt idx="42">
                  <c:v>26265</c:v>
                </c:pt>
                <c:pt idx="43">
                  <c:v>26265</c:v>
                </c:pt>
                <c:pt idx="44">
                  <c:v>26265</c:v>
                </c:pt>
                <c:pt idx="45">
                  <c:v>26265</c:v>
                </c:pt>
                <c:pt idx="46">
                  <c:v>26265</c:v>
                </c:pt>
                <c:pt idx="47">
                  <c:v>26265</c:v>
                </c:pt>
                <c:pt idx="48">
                  <c:v>26265</c:v>
                </c:pt>
                <c:pt idx="49">
                  <c:v>26265</c:v>
                </c:pt>
                <c:pt idx="50">
                  <c:v>26265</c:v>
                </c:pt>
                <c:pt idx="51">
                  <c:v>26265</c:v>
                </c:pt>
                <c:pt idx="52">
                  <c:v>26265</c:v>
                </c:pt>
                <c:pt idx="53">
                  <c:v>26265</c:v>
                </c:pt>
                <c:pt idx="54">
                  <c:v>26265</c:v>
                </c:pt>
                <c:pt idx="55">
                  <c:v>26265</c:v>
                </c:pt>
                <c:pt idx="56">
                  <c:v>26265</c:v>
                </c:pt>
                <c:pt idx="57">
                  <c:v>26265</c:v>
                </c:pt>
                <c:pt idx="58">
                  <c:v>26265</c:v>
                </c:pt>
                <c:pt idx="59">
                  <c:v>26265</c:v>
                </c:pt>
                <c:pt idx="60">
                  <c:v>26265</c:v>
                </c:pt>
                <c:pt idx="61">
                  <c:v>26265</c:v>
                </c:pt>
                <c:pt idx="62">
                  <c:v>26265</c:v>
                </c:pt>
                <c:pt idx="63">
                  <c:v>26265</c:v>
                </c:pt>
                <c:pt idx="64">
                  <c:v>26265</c:v>
                </c:pt>
                <c:pt idx="65">
                  <c:v>26265</c:v>
                </c:pt>
                <c:pt idx="66">
                  <c:v>26265</c:v>
                </c:pt>
                <c:pt idx="67">
                  <c:v>26265</c:v>
                </c:pt>
                <c:pt idx="68">
                  <c:v>26265</c:v>
                </c:pt>
                <c:pt idx="69">
                  <c:v>26265</c:v>
                </c:pt>
                <c:pt idx="70">
                  <c:v>26265</c:v>
                </c:pt>
                <c:pt idx="71">
                  <c:v>26265</c:v>
                </c:pt>
                <c:pt idx="72">
                  <c:v>26265</c:v>
                </c:pt>
                <c:pt idx="73">
                  <c:v>26265</c:v>
                </c:pt>
                <c:pt idx="74">
                  <c:v>26265</c:v>
                </c:pt>
                <c:pt idx="75">
                  <c:v>26265</c:v>
                </c:pt>
                <c:pt idx="76">
                  <c:v>26265</c:v>
                </c:pt>
                <c:pt idx="77">
                  <c:v>26265</c:v>
                </c:pt>
                <c:pt idx="78">
                  <c:v>26265</c:v>
                </c:pt>
                <c:pt idx="79">
                  <c:v>26265</c:v>
                </c:pt>
                <c:pt idx="80">
                  <c:v>26265</c:v>
                </c:pt>
                <c:pt idx="81">
                  <c:v>26265</c:v>
                </c:pt>
                <c:pt idx="82">
                  <c:v>26265</c:v>
                </c:pt>
                <c:pt idx="83">
                  <c:v>26265</c:v>
                </c:pt>
                <c:pt idx="84">
                  <c:v>26265</c:v>
                </c:pt>
                <c:pt idx="85">
                  <c:v>26265</c:v>
                </c:pt>
                <c:pt idx="86">
                  <c:v>26265</c:v>
                </c:pt>
                <c:pt idx="87">
                  <c:v>26265</c:v>
                </c:pt>
                <c:pt idx="88">
                  <c:v>26265</c:v>
                </c:pt>
                <c:pt idx="89">
                  <c:v>26265</c:v>
                </c:pt>
                <c:pt idx="90">
                  <c:v>26265</c:v>
                </c:pt>
                <c:pt idx="91">
                  <c:v>26265</c:v>
                </c:pt>
                <c:pt idx="92">
                  <c:v>26265</c:v>
                </c:pt>
                <c:pt idx="93">
                  <c:v>26265</c:v>
                </c:pt>
                <c:pt idx="94">
                  <c:v>26265</c:v>
                </c:pt>
                <c:pt idx="95">
                  <c:v>26265</c:v>
                </c:pt>
                <c:pt idx="96">
                  <c:v>26265</c:v>
                </c:pt>
                <c:pt idx="97">
                  <c:v>26265</c:v>
                </c:pt>
                <c:pt idx="98">
                  <c:v>26265</c:v>
                </c:pt>
                <c:pt idx="99">
                  <c:v>26265</c:v>
                </c:pt>
                <c:pt idx="100">
                  <c:v>26265</c:v>
                </c:pt>
                <c:pt idx="101">
                  <c:v>26265</c:v>
                </c:pt>
                <c:pt idx="102">
                  <c:v>26265</c:v>
                </c:pt>
                <c:pt idx="103">
                  <c:v>26265</c:v>
                </c:pt>
                <c:pt idx="104">
                  <c:v>26265</c:v>
                </c:pt>
                <c:pt idx="105">
                  <c:v>26265</c:v>
                </c:pt>
                <c:pt idx="106">
                  <c:v>26265</c:v>
                </c:pt>
                <c:pt idx="107">
                  <c:v>7644</c:v>
                </c:pt>
                <c:pt idx="108">
                  <c:v>7644</c:v>
                </c:pt>
                <c:pt idx="109">
                  <c:v>7644</c:v>
                </c:pt>
                <c:pt idx="110">
                  <c:v>7644</c:v>
                </c:pt>
                <c:pt idx="111">
                  <c:v>7644</c:v>
                </c:pt>
                <c:pt idx="112">
                  <c:v>7644</c:v>
                </c:pt>
                <c:pt idx="113">
                  <c:v>7644</c:v>
                </c:pt>
                <c:pt idx="114">
                  <c:v>7644</c:v>
                </c:pt>
                <c:pt idx="115">
                  <c:v>7644</c:v>
                </c:pt>
                <c:pt idx="116">
                  <c:v>7644</c:v>
                </c:pt>
                <c:pt idx="117">
                  <c:v>7644</c:v>
                </c:pt>
                <c:pt idx="118">
                  <c:v>7644</c:v>
                </c:pt>
                <c:pt idx="119">
                  <c:v>7644</c:v>
                </c:pt>
                <c:pt idx="120">
                  <c:v>7644</c:v>
                </c:pt>
                <c:pt idx="121">
                  <c:v>7644</c:v>
                </c:pt>
                <c:pt idx="122">
                  <c:v>7644</c:v>
                </c:pt>
                <c:pt idx="123">
                  <c:v>7644</c:v>
                </c:pt>
                <c:pt idx="124">
                  <c:v>7644</c:v>
                </c:pt>
                <c:pt idx="125">
                  <c:v>7644</c:v>
                </c:pt>
                <c:pt idx="126">
                  <c:v>7644</c:v>
                </c:pt>
                <c:pt idx="127">
                  <c:v>7644</c:v>
                </c:pt>
                <c:pt idx="128">
                  <c:v>7644</c:v>
                </c:pt>
                <c:pt idx="129">
                  <c:v>7644</c:v>
                </c:pt>
                <c:pt idx="130">
                  <c:v>7644</c:v>
                </c:pt>
                <c:pt idx="131">
                  <c:v>7644</c:v>
                </c:pt>
                <c:pt idx="132">
                  <c:v>7644</c:v>
                </c:pt>
                <c:pt idx="133">
                  <c:v>7644</c:v>
                </c:pt>
                <c:pt idx="134">
                  <c:v>7644</c:v>
                </c:pt>
                <c:pt idx="135">
                  <c:v>7644</c:v>
                </c:pt>
                <c:pt idx="136">
                  <c:v>7644</c:v>
                </c:pt>
                <c:pt idx="137">
                  <c:v>7644</c:v>
                </c:pt>
                <c:pt idx="138">
                  <c:v>7644</c:v>
                </c:pt>
                <c:pt idx="139">
                  <c:v>7644</c:v>
                </c:pt>
                <c:pt idx="140">
                  <c:v>7644</c:v>
                </c:pt>
                <c:pt idx="141">
                  <c:v>7644</c:v>
                </c:pt>
                <c:pt idx="142">
                  <c:v>7644</c:v>
                </c:pt>
                <c:pt idx="143">
                  <c:v>7644</c:v>
                </c:pt>
                <c:pt idx="144">
                  <c:v>7644</c:v>
                </c:pt>
                <c:pt idx="145">
                  <c:v>7644</c:v>
                </c:pt>
                <c:pt idx="146">
                  <c:v>7644</c:v>
                </c:pt>
                <c:pt idx="147">
                  <c:v>7644</c:v>
                </c:pt>
                <c:pt idx="148">
                  <c:v>7644</c:v>
                </c:pt>
                <c:pt idx="149">
                  <c:v>7644</c:v>
                </c:pt>
                <c:pt idx="150">
                  <c:v>7644</c:v>
                </c:pt>
                <c:pt idx="151">
                  <c:v>7644</c:v>
                </c:pt>
                <c:pt idx="152">
                  <c:v>7644</c:v>
                </c:pt>
                <c:pt idx="153">
                  <c:v>7644</c:v>
                </c:pt>
                <c:pt idx="154">
                  <c:v>7644</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85572.108000000007</c:v>
                      </c:pt>
                      <c:pt idx="1">
                        <c:v>85637.108000000007</c:v>
                      </c:pt>
                      <c:pt idx="2">
                        <c:v>85702.108000000007</c:v>
                      </c:pt>
                      <c:pt idx="3">
                        <c:v>85767.108000000007</c:v>
                      </c:pt>
                      <c:pt idx="4">
                        <c:v>85832.108000000007</c:v>
                      </c:pt>
                      <c:pt idx="5">
                        <c:v>85897.108000000007</c:v>
                      </c:pt>
                      <c:pt idx="6">
                        <c:v>85686.588000000003</c:v>
                      </c:pt>
                      <c:pt idx="7">
                        <c:v>85471.588000000003</c:v>
                      </c:pt>
                      <c:pt idx="8">
                        <c:v>85256.588000000003</c:v>
                      </c:pt>
                      <c:pt idx="9">
                        <c:v>85041.588000000003</c:v>
                      </c:pt>
                      <c:pt idx="10">
                        <c:v>84836.588000000003</c:v>
                      </c:pt>
                      <c:pt idx="11">
                        <c:v>84646.588000000003</c:v>
                      </c:pt>
                      <c:pt idx="12">
                        <c:v>84456.588000000003</c:v>
                      </c:pt>
                      <c:pt idx="13">
                        <c:v>84266.588000000003</c:v>
                      </c:pt>
                      <c:pt idx="14">
                        <c:v>84076.588000000003</c:v>
                      </c:pt>
                      <c:pt idx="15">
                        <c:v>83886.588000000003</c:v>
                      </c:pt>
                      <c:pt idx="16">
                        <c:v>83696.588000000003</c:v>
                      </c:pt>
                      <c:pt idx="17">
                        <c:v>83628.108000000007</c:v>
                      </c:pt>
                      <c:pt idx="18">
                        <c:v>83718.108000000007</c:v>
                      </c:pt>
                      <c:pt idx="19">
                        <c:v>83808.108000000007</c:v>
                      </c:pt>
                      <c:pt idx="20">
                        <c:v>83898.108000000007</c:v>
                      </c:pt>
                      <c:pt idx="21">
                        <c:v>83988.108000000007</c:v>
                      </c:pt>
                      <c:pt idx="22">
                        <c:v>84078.108000000007</c:v>
                      </c:pt>
                      <c:pt idx="23">
                        <c:v>84168.108000000007</c:v>
                      </c:pt>
                      <c:pt idx="24">
                        <c:v>84258.108000000007</c:v>
                      </c:pt>
                      <c:pt idx="25">
                        <c:v>84216.108000000007</c:v>
                      </c:pt>
                      <c:pt idx="26">
                        <c:v>84126.108000000007</c:v>
                      </c:pt>
                      <c:pt idx="27">
                        <c:v>84036.108000000007</c:v>
                      </c:pt>
                      <c:pt idx="28">
                        <c:v>83946.108000000007</c:v>
                      </c:pt>
                      <c:pt idx="29">
                        <c:v>83856.108000000007</c:v>
                      </c:pt>
                      <c:pt idx="30">
                        <c:v>83766.108000000007</c:v>
                      </c:pt>
                      <c:pt idx="31">
                        <c:v>83676.108000000007</c:v>
                      </c:pt>
                      <c:pt idx="32">
                        <c:v>83586.108000000007</c:v>
                      </c:pt>
                      <c:pt idx="33">
                        <c:v>83496.108000000007</c:v>
                      </c:pt>
                      <c:pt idx="34">
                        <c:v>83406.108000000007</c:v>
                      </c:pt>
                      <c:pt idx="35">
                        <c:v>83316.108000000007</c:v>
                      </c:pt>
                      <c:pt idx="36">
                        <c:v>83226.108000000007</c:v>
                      </c:pt>
                      <c:pt idx="37">
                        <c:v>83035.308000000005</c:v>
                      </c:pt>
                      <c:pt idx="38">
                        <c:v>82705.308000000005</c:v>
                      </c:pt>
                      <c:pt idx="39">
                        <c:v>82375.308000000005</c:v>
                      </c:pt>
                      <c:pt idx="40">
                        <c:v>82045.308000000005</c:v>
                      </c:pt>
                      <c:pt idx="41">
                        <c:v>81715.308000000005</c:v>
                      </c:pt>
                      <c:pt idx="42">
                        <c:v>81385.308000000005</c:v>
                      </c:pt>
                      <c:pt idx="43">
                        <c:v>81055.308000000005</c:v>
                      </c:pt>
                      <c:pt idx="44">
                        <c:v>80725.308000000005</c:v>
                      </c:pt>
                      <c:pt idx="45">
                        <c:v>80395.308000000005</c:v>
                      </c:pt>
                      <c:pt idx="46">
                        <c:v>80065.308000000005</c:v>
                      </c:pt>
                      <c:pt idx="47">
                        <c:v>79735.308000000005</c:v>
                      </c:pt>
                      <c:pt idx="48">
                        <c:v>79405.308000000005</c:v>
                      </c:pt>
                      <c:pt idx="49">
                        <c:v>79075.308000000005</c:v>
                      </c:pt>
                      <c:pt idx="50">
                        <c:v>78745.308000000005</c:v>
                      </c:pt>
                      <c:pt idx="51">
                        <c:v>78415.308000000005</c:v>
                      </c:pt>
                      <c:pt idx="52">
                        <c:v>78085.308000000005</c:v>
                      </c:pt>
                      <c:pt idx="53">
                        <c:v>77755.308000000005</c:v>
                      </c:pt>
                      <c:pt idx="54">
                        <c:v>77425.308000000005</c:v>
                      </c:pt>
                      <c:pt idx="55">
                        <c:v>77095.308000000005</c:v>
                      </c:pt>
                      <c:pt idx="56">
                        <c:v>76765.308000000005</c:v>
                      </c:pt>
                      <c:pt idx="57">
                        <c:v>76435.308000000005</c:v>
                      </c:pt>
                      <c:pt idx="58">
                        <c:v>76105.308000000005</c:v>
                      </c:pt>
                      <c:pt idx="59">
                        <c:v>75775.308000000005</c:v>
                      </c:pt>
                      <c:pt idx="60">
                        <c:v>75445.308000000005</c:v>
                      </c:pt>
                      <c:pt idx="61">
                        <c:v>75115.308000000005</c:v>
                      </c:pt>
                      <c:pt idx="62">
                        <c:v>74785.308000000005</c:v>
                      </c:pt>
                      <c:pt idx="63">
                        <c:v>74369.635920000001</c:v>
                      </c:pt>
                      <c:pt idx="64">
                        <c:v>73913.27592</c:v>
                      </c:pt>
                      <c:pt idx="65">
                        <c:v>73456.915919999999</c:v>
                      </c:pt>
                      <c:pt idx="66">
                        <c:v>73000.555919999999</c:v>
                      </c:pt>
                      <c:pt idx="67">
                        <c:v>72544.195919999998</c:v>
                      </c:pt>
                      <c:pt idx="68">
                        <c:v>72087.835919999998</c:v>
                      </c:pt>
                      <c:pt idx="69">
                        <c:v>71631.475919999997</c:v>
                      </c:pt>
                      <c:pt idx="70">
                        <c:v>71175.115919999997</c:v>
                      </c:pt>
                      <c:pt idx="71">
                        <c:v>70718.755919999996</c:v>
                      </c:pt>
                      <c:pt idx="72">
                        <c:v>70262.39592000001</c:v>
                      </c:pt>
                      <c:pt idx="73">
                        <c:v>69854.035919999995</c:v>
                      </c:pt>
                      <c:pt idx="74">
                        <c:v>69457.675920000009</c:v>
                      </c:pt>
                      <c:pt idx="75">
                        <c:v>69061.315919999994</c:v>
                      </c:pt>
                      <c:pt idx="76">
                        <c:v>68664.955920000008</c:v>
                      </c:pt>
                      <c:pt idx="77">
                        <c:v>68268.595919999992</c:v>
                      </c:pt>
                      <c:pt idx="78">
                        <c:v>66162.235920000006</c:v>
                      </c:pt>
                      <c:pt idx="79">
                        <c:v>65740.875919999991</c:v>
                      </c:pt>
                      <c:pt idx="80">
                        <c:v>65319.515919999998</c:v>
                      </c:pt>
                      <c:pt idx="81">
                        <c:v>64898.155919999997</c:v>
                      </c:pt>
                      <c:pt idx="82">
                        <c:v>64476.795920000004</c:v>
                      </c:pt>
                      <c:pt idx="83">
                        <c:v>64055.435920000004</c:v>
                      </c:pt>
                      <c:pt idx="84">
                        <c:v>63634.075920000003</c:v>
                      </c:pt>
                      <c:pt idx="85">
                        <c:v>63212.715920000002</c:v>
                      </c:pt>
                      <c:pt idx="86">
                        <c:v>62791.355920000002</c:v>
                      </c:pt>
                      <c:pt idx="87">
                        <c:v>62369.995920000001</c:v>
                      </c:pt>
                      <c:pt idx="88">
                        <c:v>61948.635920000001</c:v>
                      </c:pt>
                      <c:pt idx="89">
                        <c:v>61527.27592</c:v>
                      </c:pt>
                      <c:pt idx="90">
                        <c:v>61105.915919999999</c:v>
                      </c:pt>
                      <c:pt idx="91">
                        <c:v>60684.555919999999</c:v>
                      </c:pt>
                      <c:pt idx="92">
                        <c:v>60263.195919999998</c:v>
                      </c:pt>
                      <c:pt idx="93">
                        <c:v>59841.835919999998</c:v>
                      </c:pt>
                      <c:pt idx="94">
                        <c:v>59420.475919999997</c:v>
                      </c:pt>
                      <c:pt idx="95">
                        <c:v>58999.115919999997</c:v>
                      </c:pt>
                      <c:pt idx="96">
                        <c:v>58577.755919999996</c:v>
                      </c:pt>
                      <c:pt idx="97">
                        <c:v>58156.395919999995</c:v>
                      </c:pt>
                      <c:pt idx="98">
                        <c:v>57735.035919999995</c:v>
                      </c:pt>
                      <c:pt idx="99">
                        <c:v>57313.675920000001</c:v>
                      </c:pt>
                      <c:pt idx="100">
                        <c:v>56892.315920000001</c:v>
                      </c:pt>
                      <c:pt idx="101">
                        <c:v>56470.95592</c:v>
                      </c:pt>
                      <c:pt idx="102">
                        <c:v>56049.59592</c:v>
                      </c:pt>
                      <c:pt idx="103">
                        <c:v>55628.235919999999</c:v>
                      </c:pt>
                      <c:pt idx="104">
                        <c:v>55206.875919999999</c:v>
                      </c:pt>
                      <c:pt idx="105">
                        <c:v>54785.515919999998</c:v>
                      </c:pt>
                      <c:pt idx="106">
                        <c:v>54364.155920000005</c:v>
                      </c:pt>
                      <c:pt idx="107">
                        <c:v>35321.795920000004</c:v>
                      </c:pt>
                      <c:pt idx="108">
                        <c:v>34900.435920000004</c:v>
                      </c:pt>
                      <c:pt idx="109">
                        <c:v>34479.075920000003</c:v>
                      </c:pt>
                      <c:pt idx="110">
                        <c:v>34057.715920000002</c:v>
                      </c:pt>
                      <c:pt idx="111">
                        <c:v>33636.355920000002</c:v>
                      </c:pt>
                      <c:pt idx="112">
                        <c:v>33214.995920000001</c:v>
                      </c:pt>
                      <c:pt idx="113">
                        <c:v>32793.635920000001</c:v>
                      </c:pt>
                      <c:pt idx="114">
                        <c:v>32372.27592</c:v>
                      </c:pt>
                      <c:pt idx="115">
                        <c:v>31950.915919999999</c:v>
                      </c:pt>
                      <c:pt idx="116">
                        <c:v>31529.555919999999</c:v>
                      </c:pt>
                      <c:pt idx="117">
                        <c:v>31318.207919999997</c:v>
                      </c:pt>
                      <c:pt idx="118">
                        <c:v>30878.84792</c:v>
                      </c:pt>
                      <c:pt idx="119">
                        <c:v>30727.48792</c:v>
                      </c:pt>
                      <c:pt idx="120">
                        <c:v>30576.127919999999</c:v>
                      </c:pt>
                      <c:pt idx="121">
                        <c:v>30424.767919999998</c:v>
                      </c:pt>
                      <c:pt idx="122">
                        <c:v>30273.407919999998</c:v>
                      </c:pt>
                      <c:pt idx="123">
                        <c:v>30122.047919999997</c:v>
                      </c:pt>
                      <c:pt idx="124">
                        <c:v>29970.68792</c:v>
                      </c:pt>
                      <c:pt idx="125">
                        <c:v>29819.32792</c:v>
                      </c:pt>
                      <c:pt idx="126">
                        <c:v>29667.967919999999</c:v>
                      </c:pt>
                      <c:pt idx="127">
                        <c:v>29516.607919999999</c:v>
                      </c:pt>
                      <c:pt idx="128">
                        <c:v>29365.247919999998</c:v>
                      </c:pt>
                      <c:pt idx="129">
                        <c:v>28860.12</c:v>
                      </c:pt>
                      <c:pt idx="130">
                        <c:v>28835.119999999999</c:v>
                      </c:pt>
                      <c:pt idx="131">
                        <c:v>28810.12</c:v>
                      </c:pt>
                      <c:pt idx="132">
                        <c:v>28785.119999999999</c:v>
                      </c:pt>
                      <c:pt idx="133">
                        <c:v>28760.12</c:v>
                      </c:pt>
                      <c:pt idx="134">
                        <c:v>28294</c:v>
                      </c:pt>
                      <c:pt idx="135">
                        <c:v>28269</c:v>
                      </c:pt>
                      <c:pt idx="136">
                        <c:v>28244</c:v>
                      </c:pt>
                      <c:pt idx="137">
                        <c:v>28219</c:v>
                      </c:pt>
                      <c:pt idx="138">
                        <c:v>28194</c:v>
                      </c:pt>
                      <c:pt idx="139">
                        <c:v>28169</c:v>
                      </c:pt>
                      <c:pt idx="140">
                        <c:v>28144</c:v>
                      </c:pt>
                      <c:pt idx="141">
                        <c:v>28119</c:v>
                      </c:pt>
                      <c:pt idx="142">
                        <c:v>28094</c:v>
                      </c:pt>
                      <c:pt idx="143">
                        <c:v>28069</c:v>
                      </c:pt>
                      <c:pt idx="144">
                        <c:v>28044</c:v>
                      </c:pt>
                      <c:pt idx="145">
                        <c:v>28019</c:v>
                      </c:pt>
                      <c:pt idx="146">
                        <c:v>27994</c:v>
                      </c:pt>
                      <c:pt idx="147">
                        <c:v>27969</c:v>
                      </c:pt>
                      <c:pt idx="148">
                        <c:v>27944</c:v>
                      </c:pt>
                      <c:pt idx="149">
                        <c:v>27919</c:v>
                      </c:pt>
                      <c:pt idx="150">
                        <c:v>27894</c:v>
                      </c:pt>
                      <c:pt idx="151">
                        <c:v>27869</c:v>
                      </c:pt>
                      <c:pt idx="152">
                        <c:v>27844</c:v>
                      </c:pt>
                      <c:pt idx="153">
                        <c:v>27819</c:v>
                      </c:pt>
                      <c:pt idx="154">
                        <c:v>27794</c:v>
                      </c:pt>
                      <c:pt idx="155">
                        <c:v>20125</c:v>
                      </c:pt>
                      <c:pt idx="156">
                        <c:v>20100</c:v>
                      </c:pt>
                      <c:pt idx="157">
                        <c:v>20075</c:v>
                      </c:pt>
                      <c:pt idx="158">
                        <c:v>20050</c:v>
                      </c:pt>
                      <c:pt idx="159">
                        <c:v>20025</c:v>
                      </c:pt>
                      <c:pt idx="160">
                        <c:v>20000</c:v>
                      </c:pt>
                      <c:pt idx="161">
                        <c:v>19975</c:v>
                      </c:pt>
                      <c:pt idx="162">
                        <c:v>19950</c:v>
                      </c:pt>
                      <c:pt idx="163">
                        <c:v>19925</c:v>
                      </c:pt>
                      <c:pt idx="164">
                        <c:v>19900</c:v>
                      </c:pt>
                      <c:pt idx="165">
                        <c:v>19875</c:v>
                      </c:pt>
                      <c:pt idx="166">
                        <c:v>19850</c:v>
                      </c:pt>
                      <c:pt idx="167">
                        <c:v>19825</c:v>
                      </c:pt>
                      <c:pt idx="168">
                        <c:v>19800</c:v>
                      </c:pt>
                      <c:pt idx="169">
                        <c:v>19775</c:v>
                      </c:pt>
                      <c:pt idx="170">
                        <c:v>19750</c:v>
                      </c:pt>
                      <c:pt idx="171">
                        <c:v>19725</c:v>
                      </c:pt>
                      <c:pt idx="172">
                        <c:v>19700</c:v>
                      </c:pt>
                      <c:pt idx="173">
                        <c:v>19675</c:v>
                      </c:pt>
                      <c:pt idx="174">
                        <c:v>19650</c:v>
                      </c:pt>
                      <c:pt idx="175">
                        <c:v>19625</c:v>
                      </c:pt>
                      <c:pt idx="176">
                        <c:v>19600</c:v>
                      </c:pt>
                      <c:pt idx="177">
                        <c:v>19575</c:v>
                      </c:pt>
                      <c:pt idx="178">
                        <c:v>19550</c:v>
                      </c:pt>
                      <c:pt idx="179">
                        <c:v>19525</c:v>
                      </c:pt>
                      <c:pt idx="180">
                        <c:v>19500</c:v>
                      </c:pt>
                      <c:pt idx="181">
                        <c:v>19475</c:v>
                      </c:pt>
                      <c:pt idx="182">
                        <c:v>19450</c:v>
                      </c:pt>
                      <c:pt idx="183">
                        <c:v>19425</c:v>
                      </c:pt>
                      <c:pt idx="184">
                        <c:v>19400</c:v>
                      </c:pt>
                      <c:pt idx="185">
                        <c:v>19375</c:v>
                      </c:pt>
                      <c:pt idx="186">
                        <c:v>19350</c:v>
                      </c:pt>
                      <c:pt idx="187">
                        <c:v>19325</c:v>
                      </c:pt>
                      <c:pt idx="188">
                        <c:v>19300</c:v>
                      </c:pt>
                      <c:pt idx="189">
                        <c:v>19275</c:v>
                      </c:pt>
                      <c:pt idx="190">
                        <c:v>19250</c:v>
                      </c:pt>
                      <c:pt idx="191">
                        <c:v>19225</c:v>
                      </c:pt>
                      <c:pt idx="192">
                        <c:v>19200</c:v>
                      </c:pt>
                      <c:pt idx="193">
                        <c:v>19175</c:v>
                      </c:pt>
                      <c:pt idx="194">
                        <c:v>19150</c:v>
                      </c:pt>
                      <c:pt idx="195">
                        <c:v>19125</c:v>
                      </c:pt>
                      <c:pt idx="196">
                        <c:v>19100</c:v>
                      </c:pt>
                      <c:pt idx="197">
                        <c:v>19075</c:v>
                      </c:pt>
                      <c:pt idx="198">
                        <c:v>19050</c:v>
                      </c:pt>
                      <c:pt idx="199">
                        <c:v>19025</c:v>
                      </c:pt>
                      <c:pt idx="200">
                        <c:v>17000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85572.108000000007</c:v>
                      </c:pt>
                      <c:pt idx="1">
                        <c:v>86137.108000000007</c:v>
                      </c:pt>
                      <c:pt idx="2">
                        <c:v>86702.108000000007</c:v>
                      </c:pt>
                      <c:pt idx="3">
                        <c:v>87267.108000000007</c:v>
                      </c:pt>
                      <c:pt idx="4">
                        <c:v>87832.108000000007</c:v>
                      </c:pt>
                      <c:pt idx="5">
                        <c:v>88397.108000000007</c:v>
                      </c:pt>
                      <c:pt idx="6">
                        <c:v>88686.588000000003</c:v>
                      </c:pt>
                      <c:pt idx="7">
                        <c:v>88971.588000000003</c:v>
                      </c:pt>
                      <c:pt idx="8">
                        <c:v>89256.588000000003</c:v>
                      </c:pt>
                      <c:pt idx="9">
                        <c:v>89541.588000000003</c:v>
                      </c:pt>
                      <c:pt idx="10">
                        <c:v>89836.588000000003</c:v>
                      </c:pt>
                      <c:pt idx="11">
                        <c:v>90146.588000000003</c:v>
                      </c:pt>
                      <c:pt idx="12">
                        <c:v>90456.588000000003</c:v>
                      </c:pt>
                      <c:pt idx="13">
                        <c:v>90766.588000000003</c:v>
                      </c:pt>
                      <c:pt idx="14">
                        <c:v>91076.588000000003</c:v>
                      </c:pt>
                      <c:pt idx="15">
                        <c:v>91386.588000000003</c:v>
                      </c:pt>
                      <c:pt idx="16">
                        <c:v>91696.588000000003</c:v>
                      </c:pt>
                      <c:pt idx="17">
                        <c:v>92128.108000000007</c:v>
                      </c:pt>
                      <c:pt idx="18">
                        <c:v>92718.108000000007</c:v>
                      </c:pt>
                      <c:pt idx="19">
                        <c:v>93308.108000000007</c:v>
                      </c:pt>
                      <c:pt idx="20">
                        <c:v>93898.108000000007</c:v>
                      </c:pt>
                      <c:pt idx="21">
                        <c:v>94488.108000000007</c:v>
                      </c:pt>
                      <c:pt idx="22">
                        <c:v>95078.108000000007</c:v>
                      </c:pt>
                      <c:pt idx="23">
                        <c:v>95668.108000000007</c:v>
                      </c:pt>
                      <c:pt idx="24">
                        <c:v>96258.108000000007</c:v>
                      </c:pt>
                      <c:pt idx="25">
                        <c:v>96716.108000000007</c:v>
                      </c:pt>
                      <c:pt idx="26">
                        <c:v>97126.108000000007</c:v>
                      </c:pt>
                      <c:pt idx="27">
                        <c:v>97536.108000000007</c:v>
                      </c:pt>
                      <c:pt idx="28">
                        <c:v>97946.108000000007</c:v>
                      </c:pt>
                      <c:pt idx="29">
                        <c:v>98356.108000000007</c:v>
                      </c:pt>
                      <c:pt idx="30">
                        <c:v>98766.108000000007</c:v>
                      </c:pt>
                      <c:pt idx="31">
                        <c:v>99176.108000000007</c:v>
                      </c:pt>
                      <c:pt idx="32">
                        <c:v>99586.108000000007</c:v>
                      </c:pt>
                      <c:pt idx="33">
                        <c:v>99996.108000000007</c:v>
                      </c:pt>
                      <c:pt idx="34">
                        <c:v>100406.10800000001</c:v>
                      </c:pt>
                      <c:pt idx="35">
                        <c:v>100816.10800000001</c:v>
                      </c:pt>
                      <c:pt idx="36">
                        <c:v>101226.10800000001</c:v>
                      </c:pt>
                      <c:pt idx="37">
                        <c:v>101535.308</c:v>
                      </c:pt>
                      <c:pt idx="38">
                        <c:v>101705.308</c:v>
                      </c:pt>
                      <c:pt idx="39">
                        <c:v>101875.308</c:v>
                      </c:pt>
                      <c:pt idx="40">
                        <c:v>102045.308</c:v>
                      </c:pt>
                      <c:pt idx="41">
                        <c:v>102215.308</c:v>
                      </c:pt>
                      <c:pt idx="42">
                        <c:v>102385.308</c:v>
                      </c:pt>
                      <c:pt idx="43">
                        <c:v>102555.308</c:v>
                      </c:pt>
                      <c:pt idx="44">
                        <c:v>102725.308</c:v>
                      </c:pt>
                      <c:pt idx="45">
                        <c:v>102895.308</c:v>
                      </c:pt>
                      <c:pt idx="46">
                        <c:v>103065.308</c:v>
                      </c:pt>
                      <c:pt idx="47">
                        <c:v>103235.308</c:v>
                      </c:pt>
                      <c:pt idx="48">
                        <c:v>103405.308</c:v>
                      </c:pt>
                      <c:pt idx="49">
                        <c:v>103575.308</c:v>
                      </c:pt>
                      <c:pt idx="50">
                        <c:v>103745.308</c:v>
                      </c:pt>
                      <c:pt idx="51">
                        <c:v>103915.308</c:v>
                      </c:pt>
                      <c:pt idx="52">
                        <c:v>104085.308</c:v>
                      </c:pt>
                      <c:pt idx="53">
                        <c:v>104255.308</c:v>
                      </c:pt>
                      <c:pt idx="54">
                        <c:v>104425.308</c:v>
                      </c:pt>
                      <c:pt idx="55">
                        <c:v>104595.308</c:v>
                      </c:pt>
                      <c:pt idx="56">
                        <c:v>104765.308</c:v>
                      </c:pt>
                      <c:pt idx="57">
                        <c:v>104935.308</c:v>
                      </c:pt>
                      <c:pt idx="58">
                        <c:v>105105.308</c:v>
                      </c:pt>
                      <c:pt idx="59">
                        <c:v>105275.308</c:v>
                      </c:pt>
                      <c:pt idx="60">
                        <c:v>105445.308</c:v>
                      </c:pt>
                      <c:pt idx="61">
                        <c:v>105615.308</c:v>
                      </c:pt>
                      <c:pt idx="62">
                        <c:v>105785.308</c:v>
                      </c:pt>
                      <c:pt idx="63">
                        <c:v>105869.63592</c:v>
                      </c:pt>
                      <c:pt idx="64">
                        <c:v>105913.27592</c:v>
                      </c:pt>
                      <c:pt idx="65">
                        <c:v>105956.91592</c:v>
                      </c:pt>
                      <c:pt idx="66">
                        <c:v>106000.55592</c:v>
                      </c:pt>
                      <c:pt idx="67">
                        <c:v>106044.19592</c:v>
                      </c:pt>
                      <c:pt idx="68">
                        <c:v>106087.83592</c:v>
                      </c:pt>
                      <c:pt idx="69">
                        <c:v>106131.47592</c:v>
                      </c:pt>
                      <c:pt idx="70">
                        <c:v>106175.11592</c:v>
                      </c:pt>
                      <c:pt idx="71">
                        <c:v>106218.75592</c:v>
                      </c:pt>
                      <c:pt idx="72">
                        <c:v>106262.39592000001</c:v>
                      </c:pt>
                      <c:pt idx="73">
                        <c:v>106354.03591999999</c:v>
                      </c:pt>
                      <c:pt idx="74">
                        <c:v>106457.67592000001</c:v>
                      </c:pt>
                      <c:pt idx="75">
                        <c:v>106561.31591999999</c:v>
                      </c:pt>
                      <c:pt idx="76">
                        <c:v>106664.95592000001</c:v>
                      </c:pt>
                      <c:pt idx="77">
                        <c:v>106768.59591999999</c:v>
                      </c:pt>
                      <c:pt idx="78">
                        <c:v>105162.23592000001</c:v>
                      </c:pt>
                      <c:pt idx="79">
                        <c:v>105240.87591999999</c:v>
                      </c:pt>
                      <c:pt idx="80">
                        <c:v>105319.51592000001</c:v>
                      </c:pt>
                      <c:pt idx="81">
                        <c:v>105398.15591999999</c:v>
                      </c:pt>
                      <c:pt idx="82">
                        <c:v>105476.79592</c:v>
                      </c:pt>
                      <c:pt idx="83">
                        <c:v>105555.43592</c:v>
                      </c:pt>
                      <c:pt idx="84">
                        <c:v>105634.07592</c:v>
                      </c:pt>
                      <c:pt idx="85">
                        <c:v>105712.71592</c:v>
                      </c:pt>
                      <c:pt idx="86">
                        <c:v>105791.35592</c:v>
                      </c:pt>
                      <c:pt idx="87">
                        <c:v>105869.99592</c:v>
                      </c:pt>
                      <c:pt idx="88">
                        <c:v>105948.63592</c:v>
                      </c:pt>
                      <c:pt idx="89">
                        <c:v>106027.27592</c:v>
                      </c:pt>
                      <c:pt idx="90">
                        <c:v>106105.91592</c:v>
                      </c:pt>
                      <c:pt idx="91">
                        <c:v>106184.55592</c:v>
                      </c:pt>
                      <c:pt idx="92">
                        <c:v>106263.19592</c:v>
                      </c:pt>
                      <c:pt idx="93">
                        <c:v>106341.83592</c:v>
                      </c:pt>
                      <c:pt idx="94">
                        <c:v>106420.47592</c:v>
                      </c:pt>
                      <c:pt idx="95">
                        <c:v>106499.11592</c:v>
                      </c:pt>
                      <c:pt idx="96">
                        <c:v>106577.75592</c:v>
                      </c:pt>
                      <c:pt idx="97">
                        <c:v>106656.39592</c:v>
                      </c:pt>
                      <c:pt idx="98">
                        <c:v>106735.03591999999</c:v>
                      </c:pt>
                      <c:pt idx="99">
                        <c:v>106813.67592000001</c:v>
                      </c:pt>
                      <c:pt idx="100">
                        <c:v>106892.31591999999</c:v>
                      </c:pt>
                      <c:pt idx="101">
                        <c:v>106970.95592000001</c:v>
                      </c:pt>
                      <c:pt idx="102">
                        <c:v>107049.59591999999</c:v>
                      </c:pt>
                      <c:pt idx="103">
                        <c:v>107128.23592000001</c:v>
                      </c:pt>
                      <c:pt idx="104">
                        <c:v>107206.87591999999</c:v>
                      </c:pt>
                      <c:pt idx="105">
                        <c:v>107285.51592000001</c:v>
                      </c:pt>
                      <c:pt idx="106">
                        <c:v>107364.15592</c:v>
                      </c:pt>
                      <c:pt idx="107">
                        <c:v>88821.795920000004</c:v>
                      </c:pt>
                      <c:pt idx="108">
                        <c:v>88900.435920000004</c:v>
                      </c:pt>
                      <c:pt idx="109">
                        <c:v>88979.075920000003</c:v>
                      </c:pt>
                      <c:pt idx="110">
                        <c:v>89057.715920000002</c:v>
                      </c:pt>
                      <c:pt idx="111">
                        <c:v>89136.355920000002</c:v>
                      </c:pt>
                      <c:pt idx="112">
                        <c:v>89214.995920000001</c:v>
                      </c:pt>
                      <c:pt idx="113">
                        <c:v>89293.635920000001</c:v>
                      </c:pt>
                      <c:pt idx="114">
                        <c:v>89372.27592</c:v>
                      </c:pt>
                      <c:pt idx="115">
                        <c:v>89450.915919999999</c:v>
                      </c:pt>
                      <c:pt idx="116">
                        <c:v>89529.555919999999</c:v>
                      </c:pt>
                      <c:pt idx="117">
                        <c:v>89818.207920000001</c:v>
                      </c:pt>
                      <c:pt idx="118">
                        <c:v>89878.84792</c:v>
                      </c:pt>
                      <c:pt idx="119">
                        <c:v>90227.48792</c:v>
                      </c:pt>
                      <c:pt idx="120">
                        <c:v>90576.127919999999</c:v>
                      </c:pt>
                      <c:pt idx="121">
                        <c:v>90924.767919999998</c:v>
                      </c:pt>
                      <c:pt idx="122">
                        <c:v>91273.407919999998</c:v>
                      </c:pt>
                      <c:pt idx="123">
                        <c:v>91622.047919999997</c:v>
                      </c:pt>
                      <c:pt idx="124">
                        <c:v>91970.687919999997</c:v>
                      </c:pt>
                      <c:pt idx="125">
                        <c:v>92319.327919999996</c:v>
                      </c:pt>
                      <c:pt idx="126">
                        <c:v>92667.967919999996</c:v>
                      </c:pt>
                      <c:pt idx="127">
                        <c:v>93016.607919999995</c:v>
                      </c:pt>
                      <c:pt idx="128">
                        <c:v>93365.247919999994</c:v>
                      </c:pt>
                      <c:pt idx="129">
                        <c:v>93360.12</c:v>
                      </c:pt>
                      <c:pt idx="130">
                        <c:v>93835.12</c:v>
                      </c:pt>
                      <c:pt idx="131">
                        <c:v>94310.12</c:v>
                      </c:pt>
                      <c:pt idx="132">
                        <c:v>94785.12</c:v>
                      </c:pt>
                      <c:pt idx="133">
                        <c:v>95260.12</c:v>
                      </c:pt>
                      <c:pt idx="134">
                        <c:v>95294</c:v>
                      </c:pt>
                      <c:pt idx="135">
                        <c:v>95769</c:v>
                      </c:pt>
                      <c:pt idx="136">
                        <c:v>96244</c:v>
                      </c:pt>
                      <c:pt idx="137">
                        <c:v>96719</c:v>
                      </c:pt>
                      <c:pt idx="138">
                        <c:v>97194</c:v>
                      </c:pt>
                      <c:pt idx="139">
                        <c:v>97669</c:v>
                      </c:pt>
                      <c:pt idx="140">
                        <c:v>98144</c:v>
                      </c:pt>
                      <c:pt idx="141">
                        <c:v>98619</c:v>
                      </c:pt>
                      <c:pt idx="142">
                        <c:v>99094</c:v>
                      </c:pt>
                      <c:pt idx="143">
                        <c:v>99569</c:v>
                      </c:pt>
                      <c:pt idx="144">
                        <c:v>100044</c:v>
                      </c:pt>
                      <c:pt idx="145">
                        <c:v>100519</c:v>
                      </c:pt>
                      <c:pt idx="146">
                        <c:v>100994</c:v>
                      </c:pt>
                      <c:pt idx="147">
                        <c:v>101469</c:v>
                      </c:pt>
                      <c:pt idx="148">
                        <c:v>101944</c:v>
                      </c:pt>
                      <c:pt idx="149">
                        <c:v>102419</c:v>
                      </c:pt>
                      <c:pt idx="150">
                        <c:v>102894</c:v>
                      </c:pt>
                      <c:pt idx="151">
                        <c:v>103369</c:v>
                      </c:pt>
                      <c:pt idx="152">
                        <c:v>103844</c:v>
                      </c:pt>
                      <c:pt idx="153">
                        <c:v>104319</c:v>
                      </c:pt>
                      <c:pt idx="154">
                        <c:v>104794</c:v>
                      </c:pt>
                      <c:pt idx="155">
                        <c:v>97625</c:v>
                      </c:pt>
                      <c:pt idx="156">
                        <c:v>98100</c:v>
                      </c:pt>
                      <c:pt idx="157">
                        <c:v>98575</c:v>
                      </c:pt>
                      <c:pt idx="158">
                        <c:v>99050</c:v>
                      </c:pt>
                      <c:pt idx="159">
                        <c:v>99525</c:v>
                      </c:pt>
                      <c:pt idx="160">
                        <c:v>100000</c:v>
                      </c:pt>
                      <c:pt idx="161">
                        <c:v>100475</c:v>
                      </c:pt>
                      <c:pt idx="162">
                        <c:v>100950</c:v>
                      </c:pt>
                      <c:pt idx="163">
                        <c:v>101425</c:v>
                      </c:pt>
                      <c:pt idx="164">
                        <c:v>101900</c:v>
                      </c:pt>
                      <c:pt idx="165">
                        <c:v>102375</c:v>
                      </c:pt>
                      <c:pt idx="166">
                        <c:v>102850</c:v>
                      </c:pt>
                      <c:pt idx="167">
                        <c:v>103325</c:v>
                      </c:pt>
                      <c:pt idx="168">
                        <c:v>103800</c:v>
                      </c:pt>
                      <c:pt idx="169">
                        <c:v>104275</c:v>
                      </c:pt>
                      <c:pt idx="170">
                        <c:v>104750</c:v>
                      </c:pt>
                      <c:pt idx="171">
                        <c:v>105225</c:v>
                      </c:pt>
                      <c:pt idx="172">
                        <c:v>105700</c:v>
                      </c:pt>
                      <c:pt idx="173">
                        <c:v>106175</c:v>
                      </c:pt>
                      <c:pt idx="174">
                        <c:v>106650</c:v>
                      </c:pt>
                      <c:pt idx="175">
                        <c:v>107125</c:v>
                      </c:pt>
                      <c:pt idx="176">
                        <c:v>107600</c:v>
                      </c:pt>
                      <c:pt idx="177">
                        <c:v>108075</c:v>
                      </c:pt>
                      <c:pt idx="178">
                        <c:v>108550</c:v>
                      </c:pt>
                      <c:pt idx="179">
                        <c:v>109025</c:v>
                      </c:pt>
                      <c:pt idx="180">
                        <c:v>109500</c:v>
                      </c:pt>
                      <c:pt idx="181">
                        <c:v>109975</c:v>
                      </c:pt>
                      <c:pt idx="182">
                        <c:v>110450</c:v>
                      </c:pt>
                      <c:pt idx="183">
                        <c:v>110925</c:v>
                      </c:pt>
                      <c:pt idx="184">
                        <c:v>111400</c:v>
                      </c:pt>
                      <c:pt idx="185">
                        <c:v>111875</c:v>
                      </c:pt>
                      <c:pt idx="186">
                        <c:v>112350</c:v>
                      </c:pt>
                      <c:pt idx="187">
                        <c:v>112825</c:v>
                      </c:pt>
                      <c:pt idx="188">
                        <c:v>113300</c:v>
                      </c:pt>
                      <c:pt idx="189">
                        <c:v>113775</c:v>
                      </c:pt>
                      <c:pt idx="190">
                        <c:v>114250</c:v>
                      </c:pt>
                      <c:pt idx="191">
                        <c:v>114725</c:v>
                      </c:pt>
                      <c:pt idx="192">
                        <c:v>115200</c:v>
                      </c:pt>
                      <c:pt idx="193">
                        <c:v>115675</c:v>
                      </c:pt>
                      <c:pt idx="194">
                        <c:v>116150</c:v>
                      </c:pt>
                      <c:pt idx="195">
                        <c:v>116625</c:v>
                      </c:pt>
                      <c:pt idx="196">
                        <c:v>117100</c:v>
                      </c:pt>
                      <c:pt idx="197">
                        <c:v>117575</c:v>
                      </c:pt>
                      <c:pt idx="198">
                        <c:v>118050</c:v>
                      </c:pt>
                      <c:pt idx="199">
                        <c:v>118525</c:v>
                      </c:pt>
                      <c:pt idx="200">
                        <c:v>117000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24000</c:v>
                </c:pt>
                <c:pt idx="1">
                  <c:v>23975</c:v>
                </c:pt>
                <c:pt idx="2">
                  <c:v>23950</c:v>
                </c:pt>
                <c:pt idx="3">
                  <c:v>23925</c:v>
                </c:pt>
                <c:pt idx="4">
                  <c:v>23900</c:v>
                </c:pt>
                <c:pt idx="5">
                  <c:v>23875</c:v>
                </c:pt>
                <c:pt idx="6">
                  <c:v>23850</c:v>
                </c:pt>
                <c:pt idx="7">
                  <c:v>23825</c:v>
                </c:pt>
                <c:pt idx="8">
                  <c:v>23800</c:v>
                </c:pt>
                <c:pt idx="9">
                  <c:v>23775</c:v>
                </c:pt>
                <c:pt idx="10">
                  <c:v>23760</c:v>
                </c:pt>
                <c:pt idx="11">
                  <c:v>23760</c:v>
                </c:pt>
                <c:pt idx="12">
                  <c:v>23760</c:v>
                </c:pt>
                <c:pt idx="13">
                  <c:v>23760</c:v>
                </c:pt>
                <c:pt idx="14">
                  <c:v>23760</c:v>
                </c:pt>
                <c:pt idx="15">
                  <c:v>23760</c:v>
                </c:pt>
                <c:pt idx="16">
                  <c:v>23760</c:v>
                </c:pt>
                <c:pt idx="17">
                  <c:v>23760</c:v>
                </c:pt>
                <c:pt idx="18">
                  <c:v>23760</c:v>
                </c:pt>
                <c:pt idx="19">
                  <c:v>23760</c:v>
                </c:pt>
                <c:pt idx="20">
                  <c:v>23760</c:v>
                </c:pt>
                <c:pt idx="21">
                  <c:v>23760</c:v>
                </c:pt>
                <c:pt idx="22">
                  <c:v>23760</c:v>
                </c:pt>
                <c:pt idx="23">
                  <c:v>23760</c:v>
                </c:pt>
                <c:pt idx="24">
                  <c:v>23760</c:v>
                </c:pt>
                <c:pt idx="25">
                  <c:v>23760</c:v>
                </c:pt>
                <c:pt idx="26">
                  <c:v>23760</c:v>
                </c:pt>
                <c:pt idx="27">
                  <c:v>23760</c:v>
                </c:pt>
                <c:pt idx="28">
                  <c:v>23760</c:v>
                </c:pt>
                <c:pt idx="29">
                  <c:v>23760</c:v>
                </c:pt>
                <c:pt idx="30">
                  <c:v>23760</c:v>
                </c:pt>
                <c:pt idx="31">
                  <c:v>23760</c:v>
                </c:pt>
                <c:pt idx="32">
                  <c:v>23760</c:v>
                </c:pt>
                <c:pt idx="33">
                  <c:v>23760</c:v>
                </c:pt>
                <c:pt idx="34">
                  <c:v>23760</c:v>
                </c:pt>
                <c:pt idx="35">
                  <c:v>23760</c:v>
                </c:pt>
                <c:pt idx="36">
                  <c:v>23760</c:v>
                </c:pt>
                <c:pt idx="37">
                  <c:v>23760</c:v>
                </c:pt>
                <c:pt idx="38">
                  <c:v>23760</c:v>
                </c:pt>
                <c:pt idx="39">
                  <c:v>23760</c:v>
                </c:pt>
                <c:pt idx="40">
                  <c:v>23760</c:v>
                </c:pt>
                <c:pt idx="41">
                  <c:v>23760</c:v>
                </c:pt>
                <c:pt idx="42">
                  <c:v>23760</c:v>
                </c:pt>
                <c:pt idx="43">
                  <c:v>23760</c:v>
                </c:pt>
                <c:pt idx="44">
                  <c:v>23760</c:v>
                </c:pt>
                <c:pt idx="45">
                  <c:v>23760</c:v>
                </c:pt>
                <c:pt idx="46">
                  <c:v>23760</c:v>
                </c:pt>
                <c:pt idx="47">
                  <c:v>23760</c:v>
                </c:pt>
                <c:pt idx="48">
                  <c:v>23760</c:v>
                </c:pt>
                <c:pt idx="49">
                  <c:v>23760</c:v>
                </c:pt>
                <c:pt idx="50">
                  <c:v>23760</c:v>
                </c:pt>
                <c:pt idx="51">
                  <c:v>23760</c:v>
                </c:pt>
                <c:pt idx="52">
                  <c:v>23760</c:v>
                </c:pt>
                <c:pt idx="53">
                  <c:v>23760</c:v>
                </c:pt>
                <c:pt idx="54">
                  <c:v>23760</c:v>
                </c:pt>
                <c:pt idx="55">
                  <c:v>23760</c:v>
                </c:pt>
                <c:pt idx="56">
                  <c:v>23760</c:v>
                </c:pt>
                <c:pt idx="57">
                  <c:v>23760</c:v>
                </c:pt>
                <c:pt idx="58">
                  <c:v>23760</c:v>
                </c:pt>
                <c:pt idx="59">
                  <c:v>23760</c:v>
                </c:pt>
                <c:pt idx="60">
                  <c:v>23760</c:v>
                </c:pt>
                <c:pt idx="61">
                  <c:v>23760</c:v>
                </c:pt>
                <c:pt idx="62">
                  <c:v>23760</c:v>
                </c:pt>
                <c:pt idx="63">
                  <c:v>23760</c:v>
                </c:pt>
                <c:pt idx="64">
                  <c:v>23760</c:v>
                </c:pt>
                <c:pt idx="65">
                  <c:v>23760</c:v>
                </c:pt>
                <c:pt idx="66">
                  <c:v>23760</c:v>
                </c:pt>
                <c:pt idx="67">
                  <c:v>23760</c:v>
                </c:pt>
                <c:pt idx="68">
                  <c:v>23760</c:v>
                </c:pt>
                <c:pt idx="69">
                  <c:v>23760</c:v>
                </c:pt>
                <c:pt idx="70">
                  <c:v>23760</c:v>
                </c:pt>
                <c:pt idx="71">
                  <c:v>23760</c:v>
                </c:pt>
                <c:pt idx="72">
                  <c:v>23760</c:v>
                </c:pt>
                <c:pt idx="73">
                  <c:v>23760</c:v>
                </c:pt>
                <c:pt idx="74">
                  <c:v>23760</c:v>
                </c:pt>
                <c:pt idx="75">
                  <c:v>23760</c:v>
                </c:pt>
                <c:pt idx="76">
                  <c:v>23760</c:v>
                </c:pt>
                <c:pt idx="77">
                  <c:v>23760</c:v>
                </c:pt>
                <c:pt idx="78">
                  <c:v>22050</c:v>
                </c:pt>
                <c:pt idx="79">
                  <c:v>22025</c:v>
                </c:pt>
                <c:pt idx="80">
                  <c:v>22000</c:v>
                </c:pt>
                <c:pt idx="81">
                  <c:v>21975</c:v>
                </c:pt>
                <c:pt idx="82">
                  <c:v>21950</c:v>
                </c:pt>
                <c:pt idx="83">
                  <c:v>21925</c:v>
                </c:pt>
                <c:pt idx="84">
                  <c:v>21900</c:v>
                </c:pt>
                <c:pt idx="85">
                  <c:v>21875</c:v>
                </c:pt>
                <c:pt idx="86">
                  <c:v>21850</c:v>
                </c:pt>
                <c:pt idx="87">
                  <c:v>21825</c:v>
                </c:pt>
                <c:pt idx="88">
                  <c:v>21800</c:v>
                </c:pt>
                <c:pt idx="89">
                  <c:v>21775</c:v>
                </c:pt>
                <c:pt idx="90">
                  <c:v>21750</c:v>
                </c:pt>
                <c:pt idx="91">
                  <c:v>21725</c:v>
                </c:pt>
                <c:pt idx="92">
                  <c:v>21700</c:v>
                </c:pt>
                <c:pt idx="93">
                  <c:v>21675</c:v>
                </c:pt>
                <c:pt idx="94">
                  <c:v>21650</c:v>
                </c:pt>
                <c:pt idx="95">
                  <c:v>21625</c:v>
                </c:pt>
                <c:pt idx="96">
                  <c:v>21600</c:v>
                </c:pt>
                <c:pt idx="97">
                  <c:v>21575</c:v>
                </c:pt>
                <c:pt idx="98">
                  <c:v>21550</c:v>
                </c:pt>
                <c:pt idx="99">
                  <c:v>21525</c:v>
                </c:pt>
                <c:pt idx="100">
                  <c:v>21500</c:v>
                </c:pt>
                <c:pt idx="101">
                  <c:v>21475</c:v>
                </c:pt>
                <c:pt idx="102">
                  <c:v>21450</c:v>
                </c:pt>
                <c:pt idx="103">
                  <c:v>21425</c:v>
                </c:pt>
                <c:pt idx="104">
                  <c:v>21400</c:v>
                </c:pt>
                <c:pt idx="105">
                  <c:v>21375</c:v>
                </c:pt>
                <c:pt idx="106">
                  <c:v>21350</c:v>
                </c:pt>
                <c:pt idx="107">
                  <c:v>21325</c:v>
                </c:pt>
                <c:pt idx="108">
                  <c:v>21300</c:v>
                </c:pt>
                <c:pt idx="109">
                  <c:v>21275</c:v>
                </c:pt>
                <c:pt idx="110">
                  <c:v>21250</c:v>
                </c:pt>
                <c:pt idx="111">
                  <c:v>21225</c:v>
                </c:pt>
                <c:pt idx="112">
                  <c:v>21200</c:v>
                </c:pt>
                <c:pt idx="113">
                  <c:v>21175</c:v>
                </c:pt>
                <c:pt idx="114">
                  <c:v>21150</c:v>
                </c:pt>
                <c:pt idx="115">
                  <c:v>21125</c:v>
                </c:pt>
                <c:pt idx="116">
                  <c:v>21100</c:v>
                </c:pt>
                <c:pt idx="117">
                  <c:v>21075</c:v>
                </c:pt>
                <c:pt idx="118">
                  <c:v>21050</c:v>
                </c:pt>
                <c:pt idx="119">
                  <c:v>21025</c:v>
                </c:pt>
                <c:pt idx="120">
                  <c:v>21000</c:v>
                </c:pt>
                <c:pt idx="121">
                  <c:v>20975</c:v>
                </c:pt>
                <c:pt idx="122">
                  <c:v>20950</c:v>
                </c:pt>
                <c:pt idx="123">
                  <c:v>20925</c:v>
                </c:pt>
                <c:pt idx="124">
                  <c:v>20900</c:v>
                </c:pt>
                <c:pt idx="125">
                  <c:v>20875</c:v>
                </c:pt>
                <c:pt idx="126">
                  <c:v>20850</c:v>
                </c:pt>
                <c:pt idx="127">
                  <c:v>20825</c:v>
                </c:pt>
                <c:pt idx="128">
                  <c:v>20800</c:v>
                </c:pt>
                <c:pt idx="129">
                  <c:v>20775</c:v>
                </c:pt>
                <c:pt idx="130">
                  <c:v>20750</c:v>
                </c:pt>
                <c:pt idx="131">
                  <c:v>20725</c:v>
                </c:pt>
                <c:pt idx="132">
                  <c:v>20700</c:v>
                </c:pt>
                <c:pt idx="133">
                  <c:v>20675</c:v>
                </c:pt>
                <c:pt idx="134">
                  <c:v>20650</c:v>
                </c:pt>
                <c:pt idx="135">
                  <c:v>20625</c:v>
                </c:pt>
                <c:pt idx="136">
                  <c:v>20600</c:v>
                </c:pt>
                <c:pt idx="137">
                  <c:v>20575</c:v>
                </c:pt>
                <c:pt idx="138">
                  <c:v>20550</c:v>
                </c:pt>
                <c:pt idx="139">
                  <c:v>20525</c:v>
                </c:pt>
                <c:pt idx="140">
                  <c:v>20500</c:v>
                </c:pt>
                <c:pt idx="141">
                  <c:v>20475</c:v>
                </c:pt>
                <c:pt idx="142">
                  <c:v>20450</c:v>
                </c:pt>
                <c:pt idx="143">
                  <c:v>20425</c:v>
                </c:pt>
                <c:pt idx="144">
                  <c:v>20400</c:v>
                </c:pt>
                <c:pt idx="145">
                  <c:v>20375</c:v>
                </c:pt>
                <c:pt idx="146">
                  <c:v>20350</c:v>
                </c:pt>
                <c:pt idx="147">
                  <c:v>20325</c:v>
                </c:pt>
                <c:pt idx="148">
                  <c:v>20300</c:v>
                </c:pt>
                <c:pt idx="149">
                  <c:v>20275</c:v>
                </c:pt>
                <c:pt idx="150">
                  <c:v>20250</c:v>
                </c:pt>
                <c:pt idx="151">
                  <c:v>20225</c:v>
                </c:pt>
                <c:pt idx="152">
                  <c:v>20200</c:v>
                </c:pt>
                <c:pt idx="153">
                  <c:v>20175</c:v>
                </c:pt>
                <c:pt idx="154">
                  <c:v>20150</c:v>
                </c:pt>
                <c:pt idx="155">
                  <c:v>20125</c:v>
                </c:pt>
                <c:pt idx="156">
                  <c:v>20100</c:v>
                </c:pt>
                <c:pt idx="157">
                  <c:v>20075</c:v>
                </c:pt>
                <c:pt idx="158">
                  <c:v>20050</c:v>
                </c:pt>
                <c:pt idx="159">
                  <c:v>20025</c:v>
                </c:pt>
                <c:pt idx="160">
                  <c:v>20000</c:v>
                </c:pt>
                <c:pt idx="161">
                  <c:v>19975</c:v>
                </c:pt>
                <c:pt idx="162">
                  <c:v>19950</c:v>
                </c:pt>
                <c:pt idx="163">
                  <c:v>19925</c:v>
                </c:pt>
                <c:pt idx="164">
                  <c:v>19900</c:v>
                </c:pt>
                <c:pt idx="165">
                  <c:v>19875</c:v>
                </c:pt>
                <c:pt idx="166">
                  <c:v>19850</c:v>
                </c:pt>
                <c:pt idx="167">
                  <c:v>19825</c:v>
                </c:pt>
                <c:pt idx="168">
                  <c:v>19800</c:v>
                </c:pt>
                <c:pt idx="169">
                  <c:v>19775</c:v>
                </c:pt>
                <c:pt idx="170">
                  <c:v>19750</c:v>
                </c:pt>
                <c:pt idx="171">
                  <c:v>19725</c:v>
                </c:pt>
                <c:pt idx="172">
                  <c:v>19700</c:v>
                </c:pt>
                <c:pt idx="173">
                  <c:v>19675</c:v>
                </c:pt>
                <c:pt idx="174">
                  <c:v>19650</c:v>
                </c:pt>
                <c:pt idx="175">
                  <c:v>19625</c:v>
                </c:pt>
                <c:pt idx="176">
                  <c:v>19600</c:v>
                </c:pt>
                <c:pt idx="177">
                  <c:v>19575</c:v>
                </c:pt>
                <c:pt idx="178">
                  <c:v>19550</c:v>
                </c:pt>
                <c:pt idx="179">
                  <c:v>19525</c:v>
                </c:pt>
                <c:pt idx="180">
                  <c:v>19500</c:v>
                </c:pt>
                <c:pt idx="181">
                  <c:v>19475</c:v>
                </c:pt>
                <c:pt idx="182">
                  <c:v>19450</c:v>
                </c:pt>
                <c:pt idx="183">
                  <c:v>19425</c:v>
                </c:pt>
                <c:pt idx="184">
                  <c:v>19400</c:v>
                </c:pt>
                <c:pt idx="185">
                  <c:v>19375</c:v>
                </c:pt>
                <c:pt idx="186">
                  <c:v>19350</c:v>
                </c:pt>
                <c:pt idx="187">
                  <c:v>19325</c:v>
                </c:pt>
                <c:pt idx="188">
                  <c:v>19300</c:v>
                </c:pt>
                <c:pt idx="189">
                  <c:v>19275</c:v>
                </c:pt>
                <c:pt idx="190">
                  <c:v>19250</c:v>
                </c:pt>
                <c:pt idx="191">
                  <c:v>19225</c:v>
                </c:pt>
                <c:pt idx="192">
                  <c:v>19200</c:v>
                </c:pt>
                <c:pt idx="193">
                  <c:v>19175</c:v>
                </c:pt>
                <c:pt idx="194">
                  <c:v>19150</c:v>
                </c:pt>
                <c:pt idx="195">
                  <c:v>19125</c:v>
                </c:pt>
                <c:pt idx="196">
                  <c:v>19100</c:v>
                </c:pt>
                <c:pt idx="197">
                  <c:v>19075</c:v>
                </c:pt>
                <c:pt idx="198">
                  <c:v>19050</c:v>
                </c:pt>
                <c:pt idx="199">
                  <c:v>19025</c:v>
                </c:pt>
                <c:pt idx="200">
                  <c:v>17000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4620</c:v>
                </c:pt>
                <c:pt idx="1">
                  <c:v>4620</c:v>
                </c:pt>
                <c:pt idx="2">
                  <c:v>4620</c:v>
                </c:pt>
                <c:pt idx="3">
                  <c:v>4620</c:v>
                </c:pt>
                <c:pt idx="4">
                  <c:v>4620</c:v>
                </c:pt>
                <c:pt idx="5">
                  <c:v>4620</c:v>
                </c:pt>
                <c:pt idx="6">
                  <c:v>4226.3999999999996</c:v>
                </c:pt>
                <c:pt idx="7">
                  <c:v>3826.4</c:v>
                </c:pt>
                <c:pt idx="8">
                  <c:v>3426.4000000000005</c:v>
                </c:pt>
                <c:pt idx="9">
                  <c:v>3026.3999999999996</c:v>
                </c:pt>
                <c:pt idx="10">
                  <c:v>2626.3999999999996</c:v>
                </c:pt>
                <c:pt idx="11">
                  <c:v>2226.4000000000005</c:v>
                </c:pt>
                <c:pt idx="12">
                  <c:v>1826.3999999999999</c:v>
                </c:pt>
                <c:pt idx="13">
                  <c:v>1426.4</c:v>
                </c:pt>
                <c:pt idx="14">
                  <c:v>1026.3999999999996</c:v>
                </c:pt>
                <c:pt idx="15">
                  <c:v>626.39999999999986</c:v>
                </c:pt>
                <c:pt idx="16">
                  <c:v>226.40000000000009</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14196</c:v>
                </c:pt>
                <c:pt idx="1">
                  <c:v>14196</c:v>
                </c:pt>
                <c:pt idx="2">
                  <c:v>14196</c:v>
                </c:pt>
                <c:pt idx="3">
                  <c:v>14196</c:v>
                </c:pt>
                <c:pt idx="4">
                  <c:v>14196</c:v>
                </c:pt>
                <c:pt idx="5">
                  <c:v>14196</c:v>
                </c:pt>
                <c:pt idx="6">
                  <c:v>14196</c:v>
                </c:pt>
                <c:pt idx="7">
                  <c:v>14196</c:v>
                </c:pt>
                <c:pt idx="8">
                  <c:v>14196</c:v>
                </c:pt>
                <c:pt idx="9">
                  <c:v>14196</c:v>
                </c:pt>
                <c:pt idx="10">
                  <c:v>14196</c:v>
                </c:pt>
                <c:pt idx="11">
                  <c:v>14196</c:v>
                </c:pt>
                <c:pt idx="12">
                  <c:v>14196</c:v>
                </c:pt>
                <c:pt idx="13">
                  <c:v>14196</c:v>
                </c:pt>
                <c:pt idx="14">
                  <c:v>14196</c:v>
                </c:pt>
                <c:pt idx="15">
                  <c:v>14196</c:v>
                </c:pt>
                <c:pt idx="16">
                  <c:v>14196</c:v>
                </c:pt>
                <c:pt idx="17">
                  <c:v>14196</c:v>
                </c:pt>
                <c:pt idx="18">
                  <c:v>14196</c:v>
                </c:pt>
                <c:pt idx="19">
                  <c:v>14196</c:v>
                </c:pt>
                <c:pt idx="20">
                  <c:v>14196</c:v>
                </c:pt>
                <c:pt idx="21">
                  <c:v>14196</c:v>
                </c:pt>
                <c:pt idx="22">
                  <c:v>14196</c:v>
                </c:pt>
                <c:pt idx="23">
                  <c:v>14196</c:v>
                </c:pt>
                <c:pt idx="24">
                  <c:v>14196</c:v>
                </c:pt>
                <c:pt idx="25">
                  <c:v>14064</c:v>
                </c:pt>
                <c:pt idx="26">
                  <c:v>13884</c:v>
                </c:pt>
                <c:pt idx="27">
                  <c:v>13704</c:v>
                </c:pt>
                <c:pt idx="28">
                  <c:v>13524</c:v>
                </c:pt>
                <c:pt idx="29">
                  <c:v>13344</c:v>
                </c:pt>
                <c:pt idx="30">
                  <c:v>13164</c:v>
                </c:pt>
                <c:pt idx="31">
                  <c:v>12984</c:v>
                </c:pt>
                <c:pt idx="32">
                  <c:v>12804</c:v>
                </c:pt>
                <c:pt idx="33">
                  <c:v>12624</c:v>
                </c:pt>
                <c:pt idx="34">
                  <c:v>12444</c:v>
                </c:pt>
                <c:pt idx="35">
                  <c:v>12264</c:v>
                </c:pt>
                <c:pt idx="36">
                  <c:v>12084</c:v>
                </c:pt>
                <c:pt idx="37">
                  <c:v>11904</c:v>
                </c:pt>
                <c:pt idx="38">
                  <c:v>11724</c:v>
                </c:pt>
                <c:pt idx="39">
                  <c:v>11544</c:v>
                </c:pt>
                <c:pt idx="40">
                  <c:v>11364</c:v>
                </c:pt>
                <c:pt idx="41">
                  <c:v>11184</c:v>
                </c:pt>
                <c:pt idx="42">
                  <c:v>11004</c:v>
                </c:pt>
                <c:pt idx="43">
                  <c:v>10824</c:v>
                </c:pt>
                <c:pt idx="44">
                  <c:v>10644</c:v>
                </c:pt>
                <c:pt idx="45">
                  <c:v>10464</c:v>
                </c:pt>
                <c:pt idx="46">
                  <c:v>10284</c:v>
                </c:pt>
                <c:pt idx="47">
                  <c:v>10104</c:v>
                </c:pt>
                <c:pt idx="48">
                  <c:v>9924</c:v>
                </c:pt>
                <c:pt idx="49">
                  <c:v>9744</c:v>
                </c:pt>
                <c:pt idx="50">
                  <c:v>9564</c:v>
                </c:pt>
                <c:pt idx="51">
                  <c:v>9384</c:v>
                </c:pt>
                <c:pt idx="52">
                  <c:v>9204</c:v>
                </c:pt>
                <c:pt idx="53">
                  <c:v>9024</c:v>
                </c:pt>
                <c:pt idx="54">
                  <c:v>8844</c:v>
                </c:pt>
                <c:pt idx="55">
                  <c:v>8664</c:v>
                </c:pt>
                <c:pt idx="56">
                  <c:v>8484</c:v>
                </c:pt>
                <c:pt idx="57">
                  <c:v>8304</c:v>
                </c:pt>
                <c:pt idx="58">
                  <c:v>8124</c:v>
                </c:pt>
                <c:pt idx="59">
                  <c:v>7944</c:v>
                </c:pt>
                <c:pt idx="60">
                  <c:v>7764</c:v>
                </c:pt>
                <c:pt idx="61">
                  <c:v>7584</c:v>
                </c:pt>
                <c:pt idx="62">
                  <c:v>7404</c:v>
                </c:pt>
                <c:pt idx="63">
                  <c:v>7224</c:v>
                </c:pt>
                <c:pt idx="64">
                  <c:v>7044</c:v>
                </c:pt>
                <c:pt idx="65">
                  <c:v>6864</c:v>
                </c:pt>
                <c:pt idx="66">
                  <c:v>6684</c:v>
                </c:pt>
                <c:pt idx="67">
                  <c:v>6504</c:v>
                </c:pt>
                <c:pt idx="68">
                  <c:v>6324</c:v>
                </c:pt>
                <c:pt idx="69">
                  <c:v>6144</c:v>
                </c:pt>
                <c:pt idx="70">
                  <c:v>5964</c:v>
                </c:pt>
                <c:pt idx="71">
                  <c:v>5784</c:v>
                </c:pt>
                <c:pt idx="72">
                  <c:v>5604</c:v>
                </c:pt>
                <c:pt idx="73">
                  <c:v>5472</c:v>
                </c:pt>
                <c:pt idx="74">
                  <c:v>5352</c:v>
                </c:pt>
                <c:pt idx="75">
                  <c:v>5232</c:v>
                </c:pt>
                <c:pt idx="76">
                  <c:v>5112</c:v>
                </c:pt>
                <c:pt idx="77">
                  <c:v>4992</c:v>
                </c:pt>
                <c:pt idx="78">
                  <c:v>4872</c:v>
                </c:pt>
                <c:pt idx="79">
                  <c:v>4752</c:v>
                </c:pt>
                <c:pt idx="80">
                  <c:v>4632</c:v>
                </c:pt>
                <c:pt idx="81">
                  <c:v>4512</c:v>
                </c:pt>
                <c:pt idx="82">
                  <c:v>4392</c:v>
                </c:pt>
                <c:pt idx="83">
                  <c:v>4272</c:v>
                </c:pt>
                <c:pt idx="84">
                  <c:v>4152</c:v>
                </c:pt>
                <c:pt idx="85">
                  <c:v>4032</c:v>
                </c:pt>
                <c:pt idx="86">
                  <c:v>3912</c:v>
                </c:pt>
                <c:pt idx="87">
                  <c:v>3792</c:v>
                </c:pt>
                <c:pt idx="88">
                  <c:v>3672</c:v>
                </c:pt>
                <c:pt idx="89">
                  <c:v>3552</c:v>
                </c:pt>
                <c:pt idx="90">
                  <c:v>3432</c:v>
                </c:pt>
                <c:pt idx="91">
                  <c:v>3312</c:v>
                </c:pt>
                <c:pt idx="92">
                  <c:v>3192</c:v>
                </c:pt>
                <c:pt idx="93">
                  <c:v>3072</c:v>
                </c:pt>
                <c:pt idx="94">
                  <c:v>2952</c:v>
                </c:pt>
                <c:pt idx="95">
                  <c:v>2832</c:v>
                </c:pt>
                <c:pt idx="96">
                  <c:v>2712</c:v>
                </c:pt>
                <c:pt idx="97">
                  <c:v>2592</c:v>
                </c:pt>
                <c:pt idx="98">
                  <c:v>2472</c:v>
                </c:pt>
                <c:pt idx="99">
                  <c:v>2352</c:v>
                </c:pt>
                <c:pt idx="100">
                  <c:v>2232</c:v>
                </c:pt>
                <c:pt idx="101">
                  <c:v>2112</c:v>
                </c:pt>
                <c:pt idx="102">
                  <c:v>1992</c:v>
                </c:pt>
                <c:pt idx="103">
                  <c:v>1872</c:v>
                </c:pt>
                <c:pt idx="104">
                  <c:v>1752</c:v>
                </c:pt>
                <c:pt idx="105">
                  <c:v>1632</c:v>
                </c:pt>
                <c:pt idx="106">
                  <c:v>1512</c:v>
                </c:pt>
                <c:pt idx="107">
                  <c:v>1392</c:v>
                </c:pt>
                <c:pt idx="108">
                  <c:v>1272</c:v>
                </c:pt>
                <c:pt idx="109">
                  <c:v>1152</c:v>
                </c:pt>
                <c:pt idx="110">
                  <c:v>1032</c:v>
                </c:pt>
                <c:pt idx="111">
                  <c:v>912</c:v>
                </c:pt>
                <c:pt idx="112">
                  <c:v>792</c:v>
                </c:pt>
                <c:pt idx="113">
                  <c:v>672</c:v>
                </c:pt>
                <c:pt idx="114">
                  <c:v>552</c:v>
                </c:pt>
                <c:pt idx="115">
                  <c:v>432</c:v>
                </c:pt>
                <c:pt idx="116">
                  <c:v>312</c:v>
                </c:pt>
                <c:pt idx="117">
                  <c:v>288</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441.12</c:v>
                </c:pt>
                <c:pt idx="1">
                  <c:v>441.12</c:v>
                </c:pt>
                <c:pt idx="2">
                  <c:v>441.12</c:v>
                </c:pt>
                <c:pt idx="3">
                  <c:v>441.12</c:v>
                </c:pt>
                <c:pt idx="4">
                  <c:v>441.12</c:v>
                </c:pt>
                <c:pt idx="5">
                  <c:v>441.12</c:v>
                </c:pt>
                <c:pt idx="6">
                  <c:v>441.12</c:v>
                </c:pt>
                <c:pt idx="7">
                  <c:v>441.12</c:v>
                </c:pt>
                <c:pt idx="8">
                  <c:v>441.12</c:v>
                </c:pt>
                <c:pt idx="9">
                  <c:v>441.12</c:v>
                </c:pt>
                <c:pt idx="10">
                  <c:v>441.12</c:v>
                </c:pt>
                <c:pt idx="11">
                  <c:v>441.12</c:v>
                </c:pt>
                <c:pt idx="12">
                  <c:v>441.12</c:v>
                </c:pt>
                <c:pt idx="13">
                  <c:v>441.12</c:v>
                </c:pt>
                <c:pt idx="14">
                  <c:v>441.12</c:v>
                </c:pt>
                <c:pt idx="15">
                  <c:v>441.12</c:v>
                </c:pt>
                <c:pt idx="16">
                  <c:v>441.12</c:v>
                </c:pt>
                <c:pt idx="17">
                  <c:v>441.12</c:v>
                </c:pt>
                <c:pt idx="18">
                  <c:v>441.12</c:v>
                </c:pt>
                <c:pt idx="19">
                  <c:v>441.12</c:v>
                </c:pt>
                <c:pt idx="20">
                  <c:v>441.12</c:v>
                </c:pt>
                <c:pt idx="21">
                  <c:v>441.12</c:v>
                </c:pt>
                <c:pt idx="22">
                  <c:v>441.12</c:v>
                </c:pt>
                <c:pt idx="23">
                  <c:v>441.12</c:v>
                </c:pt>
                <c:pt idx="24">
                  <c:v>441.12</c:v>
                </c:pt>
                <c:pt idx="25">
                  <c:v>441.12</c:v>
                </c:pt>
                <c:pt idx="26">
                  <c:v>441.12</c:v>
                </c:pt>
                <c:pt idx="27">
                  <c:v>441.12</c:v>
                </c:pt>
                <c:pt idx="28">
                  <c:v>441.12</c:v>
                </c:pt>
                <c:pt idx="29">
                  <c:v>441.12</c:v>
                </c:pt>
                <c:pt idx="30">
                  <c:v>441.12</c:v>
                </c:pt>
                <c:pt idx="31">
                  <c:v>441.12</c:v>
                </c:pt>
                <c:pt idx="32">
                  <c:v>441.12</c:v>
                </c:pt>
                <c:pt idx="33">
                  <c:v>441.12</c:v>
                </c:pt>
                <c:pt idx="34">
                  <c:v>441.12</c:v>
                </c:pt>
                <c:pt idx="35">
                  <c:v>441.12</c:v>
                </c:pt>
                <c:pt idx="36">
                  <c:v>441.12</c:v>
                </c:pt>
                <c:pt idx="37">
                  <c:v>441.12</c:v>
                </c:pt>
                <c:pt idx="38">
                  <c:v>441.12</c:v>
                </c:pt>
                <c:pt idx="39">
                  <c:v>441.12</c:v>
                </c:pt>
                <c:pt idx="40">
                  <c:v>441.12</c:v>
                </c:pt>
                <c:pt idx="41">
                  <c:v>441.12</c:v>
                </c:pt>
                <c:pt idx="42">
                  <c:v>441.12</c:v>
                </c:pt>
                <c:pt idx="43">
                  <c:v>441.12</c:v>
                </c:pt>
                <c:pt idx="44">
                  <c:v>441.12</c:v>
                </c:pt>
                <c:pt idx="45">
                  <c:v>441.12</c:v>
                </c:pt>
                <c:pt idx="46">
                  <c:v>441.12</c:v>
                </c:pt>
                <c:pt idx="47">
                  <c:v>441.12</c:v>
                </c:pt>
                <c:pt idx="48">
                  <c:v>441.12</c:v>
                </c:pt>
                <c:pt idx="49">
                  <c:v>441.12</c:v>
                </c:pt>
                <c:pt idx="50">
                  <c:v>441.12</c:v>
                </c:pt>
                <c:pt idx="51">
                  <c:v>441.12</c:v>
                </c:pt>
                <c:pt idx="52">
                  <c:v>441.12</c:v>
                </c:pt>
                <c:pt idx="53">
                  <c:v>441.12</c:v>
                </c:pt>
                <c:pt idx="54">
                  <c:v>441.12</c:v>
                </c:pt>
                <c:pt idx="55">
                  <c:v>441.12</c:v>
                </c:pt>
                <c:pt idx="56">
                  <c:v>441.12</c:v>
                </c:pt>
                <c:pt idx="57">
                  <c:v>441.12</c:v>
                </c:pt>
                <c:pt idx="58">
                  <c:v>441.12</c:v>
                </c:pt>
                <c:pt idx="59">
                  <c:v>441.12</c:v>
                </c:pt>
                <c:pt idx="60">
                  <c:v>441.12</c:v>
                </c:pt>
                <c:pt idx="61">
                  <c:v>441.12</c:v>
                </c:pt>
                <c:pt idx="62">
                  <c:v>441.12</c:v>
                </c:pt>
                <c:pt idx="63">
                  <c:v>441.12</c:v>
                </c:pt>
                <c:pt idx="64">
                  <c:v>441.12</c:v>
                </c:pt>
                <c:pt idx="65">
                  <c:v>441.12</c:v>
                </c:pt>
                <c:pt idx="66">
                  <c:v>441.12</c:v>
                </c:pt>
                <c:pt idx="67">
                  <c:v>441.12</c:v>
                </c:pt>
                <c:pt idx="68">
                  <c:v>441.12</c:v>
                </c:pt>
                <c:pt idx="69">
                  <c:v>441.12</c:v>
                </c:pt>
                <c:pt idx="70">
                  <c:v>441.12</c:v>
                </c:pt>
                <c:pt idx="71">
                  <c:v>441.12</c:v>
                </c:pt>
                <c:pt idx="72">
                  <c:v>441.12</c:v>
                </c:pt>
                <c:pt idx="73">
                  <c:v>441.12</c:v>
                </c:pt>
                <c:pt idx="74">
                  <c:v>441.12</c:v>
                </c:pt>
                <c:pt idx="75">
                  <c:v>441.12</c:v>
                </c:pt>
                <c:pt idx="76">
                  <c:v>441.12</c:v>
                </c:pt>
                <c:pt idx="77">
                  <c:v>441.12</c:v>
                </c:pt>
                <c:pt idx="78">
                  <c:v>441.12</c:v>
                </c:pt>
                <c:pt idx="79">
                  <c:v>441.12</c:v>
                </c:pt>
                <c:pt idx="80">
                  <c:v>441.12</c:v>
                </c:pt>
                <c:pt idx="81">
                  <c:v>441.12</c:v>
                </c:pt>
                <c:pt idx="82">
                  <c:v>441.12</c:v>
                </c:pt>
                <c:pt idx="83">
                  <c:v>441.12</c:v>
                </c:pt>
                <c:pt idx="84">
                  <c:v>441.12</c:v>
                </c:pt>
                <c:pt idx="85">
                  <c:v>441.12</c:v>
                </c:pt>
                <c:pt idx="86">
                  <c:v>441.12</c:v>
                </c:pt>
                <c:pt idx="87">
                  <c:v>441.12</c:v>
                </c:pt>
                <c:pt idx="88">
                  <c:v>441.12</c:v>
                </c:pt>
                <c:pt idx="89">
                  <c:v>441.12</c:v>
                </c:pt>
                <c:pt idx="90">
                  <c:v>441.12</c:v>
                </c:pt>
                <c:pt idx="91">
                  <c:v>441.12</c:v>
                </c:pt>
                <c:pt idx="92">
                  <c:v>441.12</c:v>
                </c:pt>
                <c:pt idx="93">
                  <c:v>441.12</c:v>
                </c:pt>
                <c:pt idx="94">
                  <c:v>441.12</c:v>
                </c:pt>
                <c:pt idx="95">
                  <c:v>441.12</c:v>
                </c:pt>
                <c:pt idx="96">
                  <c:v>441.12</c:v>
                </c:pt>
                <c:pt idx="97">
                  <c:v>441.12</c:v>
                </c:pt>
                <c:pt idx="98">
                  <c:v>441.12</c:v>
                </c:pt>
                <c:pt idx="99">
                  <c:v>441.12</c:v>
                </c:pt>
                <c:pt idx="100">
                  <c:v>441.12</c:v>
                </c:pt>
                <c:pt idx="101">
                  <c:v>441.12</c:v>
                </c:pt>
                <c:pt idx="102">
                  <c:v>441.12</c:v>
                </c:pt>
                <c:pt idx="103">
                  <c:v>441.12</c:v>
                </c:pt>
                <c:pt idx="104">
                  <c:v>441.12</c:v>
                </c:pt>
                <c:pt idx="105">
                  <c:v>441.12</c:v>
                </c:pt>
                <c:pt idx="106">
                  <c:v>441.12</c:v>
                </c:pt>
                <c:pt idx="107">
                  <c:v>441.12</c:v>
                </c:pt>
                <c:pt idx="108">
                  <c:v>441.12</c:v>
                </c:pt>
                <c:pt idx="109">
                  <c:v>441.12</c:v>
                </c:pt>
                <c:pt idx="110">
                  <c:v>441.12</c:v>
                </c:pt>
                <c:pt idx="111">
                  <c:v>441.12</c:v>
                </c:pt>
                <c:pt idx="112">
                  <c:v>441.12</c:v>
                </c:pt>
                <c:pt idx="113">
                  <c:v>441.12</c:v>
                </c:pt>
                <c:pt idx="114">
                  <c:v>441.12</c:v>
                </c:pt>
                <c:pt idx="115">
                  <c:v>441.12</c:v>
                </c:pt>
                <c:pt idx="116">
                  <c:v>441.12</c:v>
                </c:pt>
                <c:pt idx="117">
                  <c:v>441.12</c:v>
                </c:pt>
                <c:pt idx="118">
                  <c:v>441.12</c:v>
                </c:pt>
                <c:pt idx="119">
                  <c:v>441.12</c:v>
                </c:pt>
                <c:pt idx="120">
                  <c:v>441.12</c:v>
                </c:pt>
                <c:pt idx="121">
                  <c:v>441.12</c:v>
                </c:pt>
                <c:pt idx="122">
                  <c:v>441.12</c:v>
                </c:pt>
                <c:pt idx="123">
                  <c:v>441.12</c:v>
                </c:pt>
                <c:pt idx="124">
                  <c:v>441.12</c:v>
                </c:pt>
                <c:pt idx="125">
                  <c:v>441.12</c:v>
                </c:pt>
                <c:pt idx="126">
                  <c:v>441.12</c:v>
                </c:pt>
                <c:pt idx="127">
                  <c:v>441.12</c:v>
                </c:pt>
                <c:pt idx="128">
                  <c:v>441.12</c:v>
                </c:pt>
                <c:pt idx="129">
                  <c:v>441.12</c:v>
                </c:pt>
                <c:pt idx="130">
                  <c:v>441.12</c:v>
                </c:pt>
                <c:pt idx="131">
                  <c:v>441.12</c:v>
                </c:pt>
                <c:pt idx="132">
                  <c:v>441.12</c:v>
                </c:pt>
                <c:pt idx="133">
                  <c:v>441.12</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16049.988000000001</c:v>
                </c:pt>
                <c:pt idx="1">
                  <c:v>15899.988000000001</c:v>
                </c:pt>
                <c:pt idx="2">
                  <c:v>15749.988000000001</c:v>
                </c:pt>
                <c:pt idx="3">
                  <c:v>15599.988000000001</c:v>
                </c:pt>
                <c:pt idx="4">
                  <c:v>15449.988000000001</c:v>
                </c:pt>
                <c:pt idx="5">
                  <c:v>15299.988000000001</c:v>
                </c:pt>
                <c:pt idx="6">
                  <c:v>15268.067999999999</c:v>
                </c:pt>
                <c:pt idx="7">
                  <c:v>15238.067999999999</c:v>
                </c:pt>
                <c:pt idx="8">
                  <c:v>15208.067999999999</c:v>
                </c:pt>
                <c:pt idx="9">
                  <c:v>15178.067999999999</c:v>
                </c:pt>
                <c:pt idx="10">
                  <c:v>15148.067999999999</c:v>
                </c:pt>
                <c:pt idx="11">
                  <c:v>15118.067999999999</c:v>
                </c:pt>
                <c:pt idx="12">
                  <c:v>15088.067999999999</c:v>
                </c:pt>
                <c:pt idx="13">
                  <c:v>15058.067999999999</c:v>
                </c:pt>
                <c:pt idx="14">
                  <c:v>15028.067999999999</c:v>
                </c:pt>
                <c:pt idx="15">
                  <c:v>14998.067999999999</c:v>
                </c:pt>
                <c:pt idx="16">
                  <c:v>14968.067999999999</c:v>
                </c:pt>
                <c:pt idx="17">
                  <c:v>14885.988000000001</c:v>
                </c:pt>
                <c:pt idx="18">
                  <c:v>14735.988000000001</c:v>
                </c:pt>
                <c:pt idx="19">
                  <c:v>14585.988000000001</c:v>
                </c:pt>
                <c:pt idx="20">
                  <c:v>14435.988000000001</c:v>
                </c:pt>
                <c:pt idx="21">
                  <c:v>14285.988000000001</c:v>
                </c:pt>
                <c:pt idx="22">
                  <c:v>14135.988000000001</c:v>
                </c:pt>
                <c:pt idx="23">
                  <c:v>13985.988000000001</c:v>
                </c:pt>
                <c:pt idx="24">
                  <c:v>13835.988000000001</c:v>
                </c:pt>
                <c:pt idx="25">
                  <c:v>13685.988000000001</c:v>
                </c:pt>
                <c:pt idx="26">
                  <c:v>13535.988000000001</c:v>
                </c:pt>
                <c:pt idx="27">
                  <c:v>13385.988000000001</c:v>
                </c:pt>
                <c:pt idx="28">
                  <c:v>13235.988000000001</c:v>
                </c:pt>
                <c:pt idx="29">
                  <c:v>13085.988000000001</c:v>
                </c:pt>
                <c:pt idx="30">
                  <c:v>12935.988000000001</c:v>
                </c:pt>
                <c:pt idx="31">
                  <c:v>12785.988000000001</c:v>
                </c:pt>
                <c:pt idx="32">
                  <c:v>12635.988000000001</c:v>
                </c:pt>
                <c:pt idx="33">
                  <c:v>12485.988000000001</c:v>
                </c:pt>
                <c:pt idx="34">
                  <c:v>12335.988000000001</c:v>
                </c:pt>
                <c:pt idx="35">
                  <c:v>12185.988000000001</c:v>
                </c:pt>
                <c:pt idx="36">
                  <c:v>12035.988000000001</c:v>
                </c:pt>
                <c:pt idx="37">
                  <c:v>11885.988000000001</c:v>
                </c:pt>
                <c:pt idx="38">
                  <c:v>11735.988000000001</c:v>
                </c:pt>
                <c:pt idx="39">
                  <c:v>11585.988000000001</c:v>
                </c:pt>
                <c:pt idx="40">
                  <c:v>11435.988000000001</c:v>
                </c:pt>
                <c:pt idx="41">
                  <c:v>11285.988000000001</c:v>
                </c:pt>
                <c:pt idx="42">
                  <c:v>11135.988000000001</c:v>
                </c:pt>
                <c:pt idx="43">
                  <c:v>10985.988000000001</c:v>
                </c:pt>
                <c:pt idx="44">
                  <c:v>10835.988000000001</c:v>
                </c:pt>
                <c:pt idx="45">
                  <c:v>10685.988000000001</c:v>
                </c:pt>
                <c:pt idx="46">
                  <c:v>10535.987999999999</c:v>
                </c:pt>
                <c:pt idx="47">
                  <c:v>10385.988000000001</c:v>
                </c:pt>
                <c:pt idx="48">
                  <c:v>10235.988000000001</c:v>
                </c:pt>
                <c:pt idx="49">
                  <c:v>10085.987999999999</c:v>
                </c:pt>
                <c:pt idx="50">
                  <c:v>9935.9879999999994</c:v>
                </c:pt>
                <c:pt idx="51">
                  <c:v>9785.9880000000012</c:v>
                </c:pt>
                <c:pt idx="52">
                  <c:v>9635.9880000000012</c:v>
                </c:pt>
                <c:pt idx="53">
                  <c:v>9485.9879999999994</c:v>
                </c:pt>
                <c:pt idx="54">
                  <c:v>9335.9880000000012</c:v>
                </c:pt>
                <c:pt idx="55">
                  <c:v>9185.9880000000012</c:v>
                </c:pt>
                <c:pt idx="56">
                  <c:v>9035.9879999999994</c:v>
                </c:pt>
                <c:pt idx="57">
                  <c:v>8885.9880000000012</c:v>
                </c:pt>
                <c:pt idx="58">
                  <c:v>8735.9880000000012</c:v>
                </c:pt>
                <c:pt idx="59">
                  <c:v>8585.9879999999994</c:v>
                </c:pt>
                <c:pt idx="60">
                  <c:v>8435.9880000000012</c:v>
                </c:pt>
                <c:pt idx="61">
                  <c:v>8285.9880000000012</c:v>
                </c:pt>
                <c:pt idx="62">
                  <c:v>8135.9879999999994</c:v>
                </c:pt>
                <c:pt idx="63">
                  <c:v>7985.9880000000003</c:v>
                </c:pt>
                <c:pt idx="64">
                  <c:v>7835.9880000000003</c:v>
                </c:pt>
                <c:pt idx="65">
                  <c:v>7685.9879999999994</c:v>
                </c:pt>
                <c:pt idx="66">
                  <c:v>7535.9880000000003</c:v>
                </c:pt>
                <c:pt idx="67">
                  <c:v>7385.9880000000003</c:v>
                </c:pt>
                <c:pt idx="68">
                  <c:v>7235.9879999999994</c:v>
                </c:pt>
                <c:pt idx="69">
                  <c:v>7085.9880000000003</c:v>
                </c:pt>
                <c:pt idx="70">
                  <c:v>6935.9880000000003</c:v>
                </c:pt>
                <c:pt idx="71">
                  <c:v>6785.9880000000003</c:v>
                </c:pt>
                <c:pt idx="72">
                  <c:v>6635.9880000000003</c:v>
                </c:pt>
                <c:pt idx="73">
                  <c:v>6485.9880000000003</c:v>
                </c:pt>
                <c:pt idx="74">
                  <c:v>6335.9880000000003</c:v>
                </c:pt>
                <c:pt idx="75">
                  <c:v>6185.9880000000003</c:v>
                </c:pt>
                <c:pt idx="76">
                  <c:v>6035.9880000000003</c:v>
                </c:pt>
                <c:pt idx="77">
                  <c:v>5885.9880000000003</c:v>
                </c:pt>
                <c:pt idx="78">
                  <c:v>5735.9880000000003</c:v>
                </c:pt>
                <c:pt idx="79">
                  <c:v>5585.9880000000003</c:v>
                </c:pt>
                <c:pt idx="80">
                  <c:v>5435.9880000000003</c:v>
                </c:pt>
                <c:pt idx="81">
                  <c:v>5285.9880000000003</c:v>
                </c:pt>
                <c:pt idx="82">
                  <c:v>5135.9880000000003</c:v>
                </c:pt>
                <c:pt idx="83">
                  <c:v>4985.9880000000003</c:v>
                </c:pt>
                <c:pt idx="84">
                  <c:v>4835.9880000000003</c:v>
                </c:pt>
                <c:pt idx="85">
                  <c:v>4685.9880000000003</c:v>
                </c:pt>
                <c:pt idx="86">
                  <c:v>4535.9880000000003</c:v>
                </c:pt>
                <c:pt idx="87">
                  <c:v>4385.9880000000003</c:v>
                </c:pt>
                <c:pt idx="88">
                  <c:v>4235.9880000000003</c:v>
                </c:pt>
                <c:pt idx="89">
                  <c:v>4085.9880000000003</c:v>
                </c:pt>
                <c:pt idx="90">
                  <c:v>3935.9880000000003</c:v>
                </c:pt>
                <c:pt idx="91">
                  <c:v>3785.9880000000003</c:v>
                </c:pt>
                <c:pt idx="92">
                  <c:v>3635.9880000000003</c:v>
                </c:pt>
                <c:pt idx="93">
                  <c:v>3485.9880000000003</c:v>
                </c:pt>
                <c:pt idx="94">
                  <c:v>3335.988000000003</c:v>
                </c:pt>
                <c:pt idx="95">
                  <c:v>3185.9879999999976</c:v>
                </c:pt>
                <c:pt idx="96">
                  <c:v>3035.9880000000003</c:v>
                </c:pt>
                <c:pt idx="97">
                  <c:v>2885.988000000003</c:v>
                </c:pt>
                <c:pt idx="98">
                  <c:v>2735.9879999999976</c:v>
                </c:pt>
                <c:pt idx="99">
                  <c:v>2585.9880000000003</c:v>
                </c:pt>
                <c:pt idx="100">
                  <c:v>2435.9880000000003</c:v>
                </c:pt>
                <c:pt idx="101">
                  <c:v>2285.9880000000003</c:v>
                </c:pt>
                <c:pt idx="102">
                  <c:v>2135.9880000000003</c:v>
                </c:pt>
                <c:pt idx="103">
                  <c:v>1985.9880000000003</c:v>
                </c:pt>
                <c:pt idx="104">
                  <c:v>1835.9880000000003</c:v>
                </c:pt>
                <c:pt idx="105">
                  <c:v>1685.9880000000003</c:v>
                </c:pt>
                <c:pt idx="106">
                  <c:v>1535.9880000000003</c:v>
                </c:pt>
                <c:pt idx="107">
                  <c:v>1385.9880000000003</c:v>
                </c:pt>
                <c:pt idx="108">
                  <c:v>1235.9880000000003</c:v>
                </c:pt>
                <c:pt idx="109">
                  <c:v>1085.9880000000003</c:v>
                </c:pt>
                <c:pt idx="110">
                  <c:v>935.98800000000028</c:v>
                </c:pt>
                <c:pt idx="111">
                  <c:v>785.98800000000028</c:v>
                </c:pt>
                <c:pt idx="112">
                  <c:v>635.98800000000028</c:v>
                </c:pt>
                <c:pt idx="113">
                  <c:v>485.98800000000028</c:v>
                </c:pt>
                <c:pt idx="114">
                  <c:v>335.98800000000028</c:v>
                </c:pt>
                <c:pt idx="115">
                  <c:v>185.98800000000028</c:v>
                </c:pt>
                <c:pt idx="116">
                  <c:v>35.988000000000284</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8779.2000000000007</c:v>
                </c:pt>
                <c:pt idx="49">
                  <c:v>8779.2000000000007</c:v>
                </c:pt>
                <c:pt idx="50">
                  <c:v>8779.2000000000007</c:v>
                </c:pt>
                <c:pt idx="51">
                  <c:v>8779.2000000000007</c:v>
                </c:pt>
                <c:pt idx="52">
                  <c:v>8779.2000000000007</c:v>
                </c:pt>
                <c:pt idx="53">
                  <c:v>8779.2000000000007</c:v>
                </c:pt>
                <c:pt idx="54">
                  <c:v>8779.2000000000007</c:v>
                </c:pt>
                <c:pt idx="55">
                  <c:v>8779.2000000000007</c:v>
                </c:pt>
                <c:pt idx="56">
                  <c:v>8779.2000000000007</c:v>
                </c:pt>
                <c:pt idx="57">
                  <c:v>8779.2000000000007</c:v>
                </c:pt>
                <c:pt idx="58">
                  <c:v>8779.2000000000007</c:v>
                </c:pt>
                <c:pt idx="59">
                  <c:v>8779.2000000000007</c:v>
                </c:pt>
                <c:pt idx="60">
                  <c:v>8779.2000000000007</c:v>
                </c:pt>
                <c:pt idx="61">
                  <c:v>8779.2000000000007</c:v>
                </c:pt>
                <c:pt idx="62">
                  <c:v>8779.2000000000007</c:v>
                </c:pt>
                <c:pt idx="63">
                  <c:v>8693.5279200000004</c:v>
                </c:pt>
                <c:pt idx="64">
                  <c:v>8567.1679199999999</c:v>
                </c:pt>
                <c:pt idx="65">
                  <c:v>8440.8079199999993</c:v>
                </c:pt>
                <c:pt idx="66">
                  <c:v>8314.4479199999987</c:v>
                </c:pt>
                <c:pt idx="67">
                  <c:v>8188.0879199999999</c:v>
                </c:pt>
                <c:pt idx="68">
                  <c:v>8061.7279200000003</c:v>
                </c:pt>
                <c:pt idx="69">
                  <c:v>7935.3679199999997</c:v>
                </c:pt>
                <c:pt idx="70">
                  <c:v>7809.00792</c:v>
                </c:pt>
                <c:pt idx="71">
                  <c:v>7682.6479199999994</c:v>
                </c:pt>
                <c:pt idx="72">
                  <c:v>7556.2879200000007</c:v>
                </c:pt>
                <c:pt idx="73">
                  <c:v>7429.9279200000001</c:v>
                </c:pt>
                <c:pt idx="74">
                  <c:v>7303.5679199999995</c:v>
                </c:pt>
                <c:pt idx="75">
                  <c:v>7177.2079199999998</c:v>
                </c:pt>
                <c:pt idx="76">
                  <c:v>7050.8479199999992</c:v>
                </c:pt>
                <c:pt idx="77">
                  <c:v>6924.4879200000005</c:v>
                </c:pt>
                <c:pt idx="78">
                  <c:v>6798.1279199999999</c:v>
                </c:pt>
                <c:pt idx="79">
                  <c:v>6671.7679200000002</c:v>
                </c:pt>
                <c:pt idx="80">
                  <c:v>6545.4079199999996</c:v>
                </c:pt>
                <c:pt idx="81">
                  <c:v>6419.0479199999991</c:v>
                </c:pt>
                <c:pt idx="82">
                  <c:v>6292.6879200000003</c:v>
                </c:pt>
                <c:pt idx="83">
                  <c:v>6166.3279199999997</c:v>
                </c:pt>
                <c:pt idx="84">
                  <c:v>6039.96792</c:v>
                </c:pt>
                <c:pt idx="85">
                  <c:v>5913.6079199999995</c:v>
                </c:pt>
                <c:pt idx="86">
                  <c:v>5787.2479199999998</c:v>
                </c:pt>
                <c:pt idx="87">
                  <c:v>5660.8879200000001</c:v>
                </c:pt>
                <c:pt idx="88">
                  <c:v>5534.5279200000004</c:v>
                </c:pt>
                <c:pt idx="89">
                  <c:v>5408.1679199999999</c:v>
                </c:pt>
                <c:pt idx="90">
                  <c:v>5281.8079199999993</c:v>
                </c:pt>
                <c:pt idx="91">
                  <c:v>5155.4479199999996</c:v>
                </c:pt>
                <c:pt idx="92">
                  <c:v>5029.0879199999999</c:v>
                </c:pt>
                <c:pt idx="93">
                  <c:v>4902.7279200000003</c:v>
                </c:pt>
                <c:pt idx="94">
                  <c:v>4776.3679199999997</c:v>
                </c:pt>
                <c:pt idx="95">
                  <c:v>4650.00792</c:v>
                </c:pt>
                <c:pt idx="96">
                  <c:v>4523.6479200000003</c:v>
                </c:pt>
                <c:pt idx="97">
                  <c:v>4397.2879199999998</c:v>
                </c:pt>
                <c:pt idx="98">
                  <c:v>4270.9279200000001</c:v>
                </c:pt>
                <c:pt idx="99">
                  <c:v>4144.5679199999995</c:v>
                </c:pt>
                <c:pt idx="100">
                  <c:v>4018.2079199999998</c:v>
                </c:pt>
                <c:pt idx="101">
                  <c:v>3891.8479200000002</c:v>
                </c:pt>
                <c:pt idx="102">
                  <c:v>3765.4879200000005</c:v>
                </c:pt>
                <c:pt idx="103">
                  <c:v>3639.1279199999999</c:v>
                </c:pt>
                <c:pt idx="104">
                  <c:v>3512.7679199999998</c:v>
                </c:pt>
                <c:pt idx="105">
                  <c:v>3386.4079199999996</c:v>
                </c:pt>
                <c:pt idx="106">
                  <c:v>3260.0479199999995</c:v>
                </c:pt>
                <c:pt idx="107">
                  <c:v>3133.6879199999994</c:v>
                </c:pt>
                <c:pt idx="108">
                  <c:v>3007.3279200000002</c:v>
                </c:pt>
                <c:pt idx="109">
                  <c:v>2880.96792</c:v>
                </c:pt>
                <c:pt idx="110">
                  <c:v>2754.6079199999995</c:v>
                </c:pt>
                <c:pt idx="111">
                  <c:v>2628.2479199999993</c:v>
                </c:pt>
                <c:pt idx="112">
                  <c:v>2501.8879199999992</c:v>
                </c:pt>
                <c:pt idx="113">
                  <c:v>2375.52792</c:v>
                </c:pt>
                <c:pt idx="114">
                  <c:v>2249.1679199999999</c:v>
                </c:pt>
                <c:pt idx="115">
                  <c:v>2122.8079199999997</c:v>
                </c:pt>
                <c:pt idx="116">
                  <c:v>1996.4479199999994</c:v>
                </c:pt>
                <c:pt idx="117">
                  <c:v>1870.0879199999993</c:v>
                </c:pt>
                <c:pt idx="118">
                  <c:v>1743.72792</c:v>
                </c:pt>
                <c:pt idx="119">
                  <c:v>1617.3679199999999</c:v>
                </c:pt>
                <c:pt idx="120">
                  <c:v>1491.0079199999996</c:v>
                </c:pt>
                <c:pt idx="121">
                  <c:v>1364.6479199999994</c:v>
                </c:pt>
                <c:pt idx="122">
                  <c:v>1238.2879199999993</c:v>
                </c:pt>
                <c:pt idx="123">
                  <c:v>1111.9279200000001</c:v>
                </c:pt>
                <c:pt idx="124">
                  <c:v>985.56791999999984</c:v>
                </c:pt>
                <c:pt idx="125">
                  <c:v>859.2079199999996</c:v>
                </c:pt>
                <c:pt idx="126">
                  <c:v>732.84791999999948</c:v>
                </c:pt>
                <c:pt idx="127">
                  <c:v>606.48791999999924</c:v>
                </c:pt>
                <c:pt idx="128">
                  <c:v>480.12792000000007</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26265</c:v>
                </c:pt>
                <c:pt idx="1">
                  <c:v>26265</c:v>
                </c:pt>
                <c:pt idx="2">
                  <c:v>26265</c:v>
                </c:pt>
                <c:pt idx="3">
                  <c:v>26265</c:v>
                </c:pt>
                <c:pt idx="4">
                  <c:v>26265</c:v>
                </c:pt>
                <c:pt idx="5">
                  <c:v>26265</c:v>
                </c:pt>
                <c:pt idx="6">
                  <c:v>26265</c:v>
                </c:pt>
                <c:pt idx="7">
                  <c:v>26265</c:v>
                </c:pt>
                <c:pt idx="8">
                  <c:v>26265</c:v>
                </c:pt>
                <c:pt idx="9">
                  <c:v>26265</c:v>
                </c:pt>
                <c:pt idx="10">
                  <c:v>26265</c:v>
                </c:pt>
                <c:pt idx="11">
                  <c:v>26265</c:v>
                </c:pt>
                <c:pt idx="12">
                  <c:v>26265</c:v>
                </c:pt>
                <c:pt idx="13">
                  <c:v>26265</c:v>
                </c:pt>
                <c:pt idx="14">
                  <c:v>26265</c:v>
                </c:pt>
                <c:pt idx="15">
                  <c:v>26265</c:v>
                </c:pt>
                <c:pt idx="16">
                  <c:v>26265</c:v>
                </c:pt>
                <c:pt idx="17">
                  <c:v>26265</c:v>
                </c:pt>
                <c:pt idx="18">
                  <c:v>26265</c:v>
                </c:pt>
                <c:pt idx="19">
                  <c:v>26265</c:v>
                </c:pt>
                <c:pt idx="20">
                  <c:v>26265</c:v>
                </c:pt>
                <c:pt idx="21">
                  <c:v>26265</c:v>
                </c:pt>
                <c:pt idx="22">
                  <c:v>26265</c:v>
                </c:pt>
                <c:pt idx="23">
                  <c:v>26265</c:v>
                </c:pt>
                <c:pt idx="24">
                  <c:v>26265</c:v>
                </c:pt>
                <c:pt idx="25">
                  <c:v>26265</c:v>
                </c:pt>
                <c:pt idx="26">
                  <c:v>26265</c:v>
                </c:pt>
                <c:pt idx="27">
                  <c:v>26265</c:v>
                </c:pt>
                <c:pt idx="28">
                  <c:v>26265</c:v>
                </c:pt>
                <c:pt idx="29">
                  <c:v>26265</c:v>
                </c:pt>
                <c:pt idx="30">
                  <c:v>26265</c:v>
                </c:pt>
                <c:pt idx="31">
                  <c:v>26265</c:v>
                </c:pt>
                <c:pt idx="32">
                  <c:v>26265</c:v>
                </c:pt>
                <c:pt idx="33">
                  <c:v>26265</c:v>
                </c:pt>
                <c:pt idx="34">
                  <c:v>26265</c:v>
                </c:pt>
                <c:pt idx="35">
                  <c:v>26265</c:v>
                </c:pt>
                <c:pt idx="36">
                  <c:v>26265</c:v>
                </c:pt>
                <c:pt idx="37">
                  <c:v>26265</c:v>
                </c:pt>
                <c:pt idx="38">
                  <c:v>26265</c:v>
                </c:pt>
                <c:pt idx="39">
                  <c:v>26265</c:v>
                </c:pt>
                <c:pt idx="40">
                  <c:v>26265</c:v>
                </c:pt>
                <c:pt idx="41">
                  <c:v>26265</c:v>
                </c:pt>
                <c:pt idx="42">
                  <c:v>26265</c:v>
                </c:pt>
                <c:pt idx="43">
                  <c:v>26265</c:v>
                </c:pt>
                <c:pt idx="44">
                  <c:v>26265</c:v>
                </c:pt>
                <c:pt idx="45">
                  <c:v>26265</c:v>
                </c:pt>
                <c:pt idx="46">
                  <c:v>26265</c:v>
                </c:pt>
                <c:pt idx="47">
                  <c:v>26265</c:v>
                </c:pt>
                <c:pt idx="48">
                  <c:v>26265</c:v>
                </c:pt>
                <c:pt idx="49">
                  <c:v>26265</c:v>
                </c:pt>
                <c:pt idx="50">
                  <c:v>26265</c:v>
                </c:pt>
                <c:pt idx="51">
                  <c:v>26265</c:v>
                </c:pt>
                <c:pt idx="52">
                  <c:v>26265</c:v>
                </c:pt>
                <c:pt idx="53">
                  <c:v>26265</c:v>
                </c:pt>
                <c:pt idx="54">
                  <c:v>26265</c:v>
                </c:pt>
                <c:pt idx="55">
                  <c:v>26265</c:v>
                </c:pt>
                <c:pt idx="56">
                  <c:v>26265</c:v>
                </c:pt>
                <c:pt idx="57">
                  <c:v>26265</c:v>
                </c:pt>
                <c:pt idx="58">
                  <c:v>26265</c:v>
                </c:pt>
                <c:pt idx="59">
                  <c:v>26265</c:v>
                </c:pt>
                <c:pt idx="60">
                  <c:v>26265</c:v>
                </c:pt>
                <c:pt idx="61">
                  <c:v>26265</c:v>
                </c:pt>
                <c:pt idx="62">
                  <c:v>26265</c:v>
                </c:pt>
                <c:pt idx="63">
                  <c:v>26265</c:v>
                </c:pt>
                <c:pt idx="64">
                  <c:v>26265</c:v>
                </c:pt>
                <c:pt idx="65">
                  <c:v>26265</c:v>
                </c:pt>
                <c:pt idx="66">
                  <c:v>26265</c:v>
                </c:pt>
                <c:pt idx="67">
                  <c:v>26265</c:v>
                </c:pt>
                <c:pt idx="68">
                  <c:v>26265</c:v>
                </c:pt>
                <c:pt idx="69">
                  <c:v>26265</c:v>
                </c:pt>
                <c:pt idx="70">
                  <c:v>26265</c:v>
                </c:pt>
                <c:pt idx="71">
                  <c:v>26265</c:v>
                </c:pt>
                <c:pt idx="72">
                  <c:v>26265</c:v>
                </c:pt>
                <c:pt idx="73">
                  <c:v>26265</c:v>
                </c:pt>
                <c:pt idx="74">
                  <c:v>26265</c:v>
                </c:pt>
                <c:pt idx="75">
                  <c:v>26265</c:v>
                </c:pt>
                <c:pt idx="76">
                  <c:v>26265</c:v>
                </c:pt>
                <c:pt idx="77">
                  <c:v>26265</c:v>
                </c:pt>
                <c:pt idx="78">
                  <c:v>26265</c:v>
                </c:pt>
                <c:pt idx="79">
                  <c:v>26265</c:v>
                </c:pt>
                <c:pt idx="80">
                  <c:v>26265</c:v>
                </c:pt>
                <c:pt idx="81">
                  <c:v>26265</c:v>
                </c:pt>
                <c:pt idx="82">
                  <c:v>26265</c:v>
                </c:pt>
                <c:pt idx="83">
                  <c:v>26265</c:v>
                </c:pt>
                <c:pt idx="84">
                  <c:v>26265</c:v>
                </c:pt>
                <c:pt idx="85">
                  <c:v>26265</c:v>
                </c:pt>
                <c:pt idx="86">
                  <c:v>26265</c:v>
                </c:pt>
                <c:pt idx="87">
                  <c:v>26265</c:v>
                </c:pt>
                <c:pt idx="88">
                  <c:v>26265</c:v>
                </c:pt>
                <c:pt idx="89">
                  <c:v>26265</c:v>
                </c:pt>
                <c:pt idx="90">
                  <c:v>26265</c:v>
                </c:pt>
                <c:pt idx="91">
                  <c:v>26265</c:v>
                </c:pt>
                <c:pt idx="92">
                  <c:v>26265</c:v>
                </c:pt>
                <c:pt idx="93">
                  <c:v>26265</c:v>
                </c:pt>
                <c:pt idx="94">
                  <c:v>26265</c:v>
                </c:pt>
                <c:pt idx="95">
                  <c:v>26265</c:v>
                </c:pt>
                <c:pt idx="96">
                  <c:v>26265</c:v>
                </c:pt>
                <c:pt idx="97">
                  <c:v>26265</c:v>
                </c:pt>
                <c:pt idx="98">
                  <c:v>26265</c:v>
                </c:pt>
                <c:pt idx="99">
                  <c:v>26265</c:v>
                </c:pt>
                <c:pt idx="100">
                  <c:v>26265</c:v>
                </c:pt>
                <c:pt idx="101">
                  <c:v>26265</c:v>
                </c:pt>
                <c:pt idx="102">
                  <c:v>26265</c:v>
                </c:pt>
                <c:pt idx="103">
                  <c:v>26265</c:v>
                </c:pt>
                <c:pt idx="104">
                  <c:v>26265</c:v>
                </c:pt>
                <c:pt idx="105">
                  <c:v>26265</c:v>
                </c:pt>
                <c:pt idx="106">
                  <c:v>26265</c:v>
                </c:pt>
                <c:pt idx="107">
                  <c:v>7644</c:v>
                </c:pt>
                <c:pt idx="108">
                  <c:v>7644</c:v>
                </c:pt>
                <c:pt idx="109">
                  <c:v>7644</c:v>
                </c:pt>
                <c:pt idx="110">
                  <c:v>7644</c:v>
                </c:pt>
                <c:pt idx="111">
                  <c:v>7644</c:v>
                </c:pt>
                <c:pt idx="112">
                  <c:v>7644</c:v>
                </c:pt>
                <c:pt idx="113">
                  <c:v>7644</c:v>
                </c:pt>
                <c:pt idx="114">
                  <c:v>7644</c:v>
                </c:pt>
                <c:pt idx="115">
                  <c:v>7644</c:v>
                </c:pt>
                <c:pt idx="116">
                  <c:v>7644</c:v>
                </c:pt>
                <c:pt idx="117">
                  <c:v>7644</c:v>
                </c:pt>
                <c:pt idx="118">
                  <c:v>7644</c:v>
                </c:pt>
                <c:pt idx="119">
                  <c:v>7644</c:v>
                </c:pt>
                <c:pt idx="120">
                  <c:v>7644</c:v>
                </c:pt>
                <c:pt idx="121">
                  <c:v>7644</c:v>
                </c:pt>
                <c:pt idx="122">
                  <c:v>7644</c:v>
                </c:pt>
                <c:pt idx="123">
                  <c:v>7644</c:v>
                </c:pt>
                <c:pt idx="124">
                  <c:v>7644</c:v>
                </c:pt>
                <c:pt idx="125">
                  <c:v>7644</c:v>
                </c:pt>
                <c:pt idx="126">
                  <c:v>7644</c:v>
                </c:pt>
                <c:pt idx="127">
                  <c:v>7644</c:v>
                </c:pt>
                <c:pt idx="128">
                  <c:v>7644</c:v>
                </c:pt>
                <c:pt idx="129">
                  <c:v>7644</c:v>
                </c:pt>
                <c:pt idx="130">
                  <c:v>7644</c:v>
                </c:pt>
                <c:pt idx="131">
                  <c:v>7644</c:v>
                </c:pt>
                <c:pt idx="132">
                  <c:v>7644</c:v>
                </c:pt>
                <c:pt idx="133">
                  <c:v>7644</c:v>
                </c:pt>
                <c:pt idx="134">
                  <c:v>7644</c:v>
                </c:pt>
                <c:pt idx="135">
                  <c:v>7644</c:v>
                </c:pt>
                <c:pt idx="136">
                  <c:v>7644</c:v>
                </c:pt>
                <c:pt idx="137">
                  <c:v>7644</c:v>
                </c:pt>
                <c:pt idx="138">
                  <c:v>7644</c:v>
                </c:pt>
                <c:pt idx="139">
                  <c:v>7644</c:v>
                </c:pt>
                <c:pt idx="140">
                  <c:v>7644</c:v>
                </c:pt>
                <c:pt idx="141">
                  <c:v>7644</c:v>
                </c:pt>
                <c:pt idx="142">
                  <c:v>7644</c:v>
                </c:pt>
                <c:pt idx="143">
                  <c:v>7644</c:v>
                </c:pt>
                <c:pt idx="144">
                  <c:v>7644</c:v>
                </c:pt>
                <c:pt idx="145">
                  <c:v>7644</c:v>
                </c:pt>
                <c:pt idx="146">
                  <c:v>7644</c:v>
                </c:pt>
                <c:pt idx="147">
                  <c:v>7644</c:v>
                </c:pt>
                <c:pt idx="148">
                  <c:v>7644</c:v>
                </c:pt>
                <c:pt idx="149">
                  <c:v>7644</c:v>
                </c:pt>
                <c:pt idx="150">
                  <c:v>7644</c:v>
                </c:pt>
                <c:pt idx="151">
                  <c:v>7644</c:v>
                </c:pt>
                <c:pt idx="152">
                  <c:v>7644</c:v>
                </c:pt>
                <c:pt idx="153">
                  <c:v>7644</c:v>
                </c:pt>
                <c:pt idx="154">
                  <c:v>7644</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85572.108000000007</c:v>
                      </c:pt>
                      <c:pt idx="1">
                        <c:v>85637.108000000007</c:v>
                      </c:pt>
                      <c:pt idx="2">
                        <c:v>85702.108000000007</c:v>
                      </c:pt>
                      <c:pt idx="3">
                        <c:v>85767.108000000007</c:v>
                      </c:pt>
                      <c:pt idx="4">
                        <c:v>85832.108000000007</c:v>
                      </c:pt>
                      <c:pt idx="5">
                        <c:v>85897.108000000007</c:v>
                      </c:pt>
                      <c:pt idx="6">
                        <c:v>85686.588000000003</c:v>
                      </c:pt>
                      <c:pt idx="7">
                        <c:v>85471.588000000003</c:v>
                      </c:pt>
                      <c:pt idx="8">
                        <c:v>85256.588000000003</c:v>
                      </c:pt>
                      <c:pt idx="9">
                        <c:v>85041.588000000003</c:v>
                      </c:pt>
                      <c:pt idx="10">
                        <c:v>84836.588000000003</c:v>
                      </c:pt>
                      <c:pt idx="11">
                        <c:v>84646.588000000003</c:v>
                      </c:pt>
                      <c:pt idx="12">
                        <c:v>84456.588000000003</c:v>
                      </c:pt>
                      <c:pt idx="13">
                        <c:v>84266.588000000003</c:v>
                      </c:pt>
                      <c:pt idx="14">
                        <c:v>84076.588000000003</c:v>
                      </c:pt>
                      <c:pt idx="15">
                        <c:v>83886.588000000003</c:v>
                      </c:pt>
                      <c:pt idx="16">
                        <c:v>83696.588000000003</c:v>
                      </c:pt>
                      <c:pt idx="17">
                        <c:v>83628.108000000007</c:v>
                      </c:pt>
                      <c:pt idx="18">
                        <c:v>83718.108000000007</c:v>
                      </c:pt>
                      <c:pt idx="19">
                        <c:v>83808.108000000007</c:v>
                      </c:pt>
                      <c:pt idx="20">
                        <c:v>83898.108000000007</c:v>
                      </c:pt>
                      <c:pt idx="21">
                        <c:v>83988.108000000007</c:v>
                      </c:pt>
                      <c:pt idx="22">
                        <c:v>84078.108000000007</c:v>
                      </c:pt>
                      <c:pt idx="23">
                        <c:v>84168.108000000007</c:v>
                      </c:pt>
                      <c:pt idx="24">
                        <c:v>84258.108000000007</c:v>
                      </c:pt>
                      <c:pt idx="25">
                        <c:v>84216.108000000007</c:v>
                      </c:pt>
                      <c:pt idx="26">
                        <c:v>84126.108000000007</c:v>
                      </c:pt>
                      <c:pt idx="27">
                        <c:v>84036.108000000007</c:v>
                      </c:pt>
                      <c:pt idx="28">
                        <c:v>83946.108000000007</c:v>
                      </c:pt>
                      <c:pt idx="29">
                        <c:v>83856.108000000007</c:v>
                      </c:pt>
                      <c:pt idx="30">
                        <c:v>83766.108000000007</c:v>
                      </c:pt>
                      <c:pt idx="31">
                        <c:v>83676.108000000007</c:v>
                      </c:pt>
                      <c:pt idx="32">
                        <c:v>83586.108000000007</c:v>
                      </c:pt>
                      <c:pt idx="33">
                        <c:v>83496.108000000007</c:v>
                      </c:pt>
                      <c:pt idx="34">
                        <c:v>83406.108000000007</c:v>
                      </c:pt>
                      <c:pt idx="35">
                        <c:v>83316.108000000007</c:v>
                      </c:pt>
                      <c:pt idx="36">
                        <c:v>83226.108000000007</c:v>
                      </c:pt>
                      <c:pt idx="37">
                        <c:v>83035.308000000005</c:v>
                      </c:pt>
                      <c:pt idx="38">
                        <c:v>82705.308000000005</c:v>
                      </c:pt>
                      <c:pt idx="39">
                        <c:v>82375.308000000005</c:v>
                      </c:pt>
                      <c:pt idx="40">
                        <c:v>82045.308000000005</c:v>
                      </c:pt>
                      <c:pt idx="41">
                        <c:v>81715.308000000005</c:v>
                      </c:pt>
                      <c:pt idx="42">
                        <c:v>81385.308000000005</c:v>
                      </c:pt>
                      <c:pt idx="43">
                        <c:v>81055.308000000005</c:v>
                      </c:pt>
                      <c:pt idx="44">
                        <c:v>80725.308000000005</c:v>
                      </c:pt>
                      <c:pt idx="45">
                        <c:v>80395.308000000005</c:v>
                      </c:pt>
                      <c:pt idx="46">
                        <c:v>80065.308000000005</c:v>
                      </c:pt>
                      <c:pt idx="47">
                        <c:v>79735.308000000005</c:v>
                      </c:pt>
                      <c:pt idx="48">
                        <c:v>79405.308000000005</c:v>
                      </c:pt>
                      <c:pt idx="49">
                        <c:v>79075.308000000005</c:v>
                      </c:pt>
                      <c:pt idx="50">
                        <c:v>78745.308000000005</c:v>
                      </c:pt>
                      <c:pt idx="51">
                        <c:v>78415.308000000005</c:v>
                      </c:pt>
                      <c:pt idx="52">
                        <c:v>78085.308000000005</c:v>
                      </c:pt>
                      <c:pt idx="53">
                        <c:v>77755.308000000005</c:v>
                      </c:pt>
                      <c:pt idx="54">
                        <c:v>77425.308000000005</c:v>
                      </c:pt>
                      <c:pt idx="55">
                        <c:v>77095.308000000005</c:v>
                      </c:pt>
                      <c:pt idx="56">
                        <c:v>76765.308000000005</c:v>
                      </c:pt>
                      <c:pt idx="57">
                        <c:v>76435.308000000005</c:v>
                      </c:pt>
                      <c:pt idx="58">
                        <c:v>76105.308000000005</c:v>
                      </c:pt>
                      <c:pt idx="59">
                        <c:v>75775.308000000005</c:v>
                      </c:pt>
                      <c:pt idx="60">
                        <c:v>75445.308000000005</c:v>
                      </c:pt>
                      <c:pt idx="61">
                        <c:v>75115.308000000005</c:v>
                      </c:pt>
                      <c:pt idx="62">
                        <c:v>74785.308000000005</c:v>
                      </c:pt>
                      <c:pt idx="63">
                        <c:v>74369.635920000001</c:v>
                      </c:pt>
                      <c:pt idx="64">
                        <c:v>73913.27592</c:v>
                      </c:pt>
                      <c:pt idx="65">
                        <c:v>73456.915919999999</c:v>
                      </c:pt>
                      <c:pt idx="66">
                        <c:v>73000.555919999999</c:v>
                      </c:pt>
                      <c:pt idx="67">
                        <c:v>72544.195919999998</c:v>
                      </c:pt>
                      <c:pt idx="68">
                        <c:v>72087.835919999998</c:v>
                      </c:pt>
                      <c:pt idx="69">
                        <c:v>71631.475919999997</c:v>
                      </c:pt>
                      <c:pt idx="70">
                        <c:v>71175.115919999997</c:v>
                      </c:pt>
                      <c:pt idx="71">
                        <c:v>70718.755919999996</c:v>
                      </c:pt>
                      <c:pt idx="72">
                        <c:v>70262.39592000001</c:v>
                      </c:pt>
                      <c:pt idx="73">
                        <c:v>69854.035919999995</c:v>
                      </c:pt>
                      <c:pt idx="74">
                        <c:v>69457.675920000009</c:v>
                      </c:pt>
                      <c:pt idx="75">
                        <c:v>69061.315919999994</c:v>
                      </c:pt>
                      <c:pt idx="76">
                        <c:v>68664.955920000008</c:v>
                      </c:pt>
                      <c:pt idx="77">
                        <c:v>68268.595919999992</c:v>
                      </c:pt>
                      <c:pt idx="78">
                        <c:v>66162.235920000006</c:v>
                      </c:pt>
                      <c:pt idx="79">
                        <c:v>65740.875919999991</c:v>
                      </c:pt>
                      <c:pt idx="80">
                        <c:v>65319.515919999998</c:v>
                      </c:pt>
                      <c:pt idx="81">
                        <c:v>64898.155919999997</c:v>
                      </c:pt>
                      <c:pt idx="82">
                        <c:v>64476.795920000004</c:v>
                      </c:pt>
                      <c:pt idx="83">
                        <c:v>64055.435920000004</c:v>
                      </c:pt>
                      <c:pt idx="84">
                        <c:v>63634.075920000003</c:v>
                      </c:pt>
                      <c:pt idx="85">
                        <c:v>63212.715920000002</c:v>
                      </c:pt>
                      <c:pt idx="86">
                        <c:v>62791.355920000002</c:v>
                      </c:pt>
                      <c:pt idx="87">
                        <c:v>62369.995920000001</c:v>
                      </c:pt>
                      <c:pt idx="88">
                        <c:v>61948.635920000001</c:v>
                      </c:pt>
                      <c:pt idx="89">
                        <c:v>61527.27592</c:v>
                      </c:pt>
                      <c:pt idx="90">
                        <c:v>61105.915919999999</c:v>
                      </c:pt>
                      <c:pt idx="91">
                        <c:v>60684.555919999999</c:v>
                      </c:pt>
                      <c:pt idx="92">
                        <c:v>60263.195919999998</c:v>
                      </c:pt>
                      <c:pt idx="93">
                        <c:v>59841.835919999998</c:v>
                      </c:pt>
                      <c:pt idx="94">
                        <c:v>59420.475919999997</c:v>
                      </c:pt>
                      <c:pt idx="95">
                        <c:v>58999.115919999997</c:v>
                      </c:pt>
                      <c:pt idx="96">
                        <c:v>58577.755919999996</c:v>
                      </c:pt>
                      <c:pt idx="97">
                        <c:v>58156.395919999995</c:v>
                      </c:pt>
                      <c:pt idx="98">
                        <c:v>57735.035919999995</c:v>
                      </c:pt>
                      <c:pt idx="99">
                        <c:v>57313.675920000001</c:v>
                      </c:pt>
                      <c:pt idx="100">
                        <c:v>56892.315920000001</c:v>
                      </c:pt>
                      <c:pt idx="101">
                        <c:v>56470.95592</c:v>
                      </c:pt>
                      <c:pt idx="102">
                        <c:v>56049.59592</c:v>
                      </c:pt>
                      <c:pt idx="103">
                        <c:v>55628.235919999999</c:v>
                      </c:pt>
                      <c:pt idx="104">
                        <c:v>55206.875919999999</c:v>
                      </c:pt>
                      <c:pt idx="105">
                        <c:v>54785.515919999998</c:v>
                      </c:pt>
                      <c:pt idx="106">
                        <c:v>54364.155920000005</c:v>
                      </c:pt>
                      <c:pt idx="107">
                        <c:v>35321.795920000004</c:v>
                      </c:pt>
                      <c:pt idx="108">
                        <c:v>34900.435920000004</c:v>
                      </c:pt>
                      <c:pt idx="109">
                        <c:v>34479.075920000003</c:v>
                      </c:pt>
                      <c:pt idx="110">
                        <c:v>34057.715920000002</c:v>
                      </c:pt>
                      <c:pt idx="111">
                        <c:v>33636.355920000002</c:v>
                      </c:pt>
                      <c:pt idx="112">
                        <c:v>33214.995920000001</c:v>
                      </c:pt>
                      <c:pt idx="113">
                        <c:v>32793.635920000001</c:v>
                      </c:pt>
                      <c:pt idx="114">
                        <c:v>32372.27592</c:v>
                      </c:pt>
                      <c:pt idx="115">
                        <c:v>31950.915919999999</c:v>
                      </c:pt>
                      <c:pt idx="116">
                        <c:v>31529.555919999999</c:v>
                      </c:pt>
                      <c:pt idx="117">
                        <c:v>31318.207919999997</c:v>
                      </c:pt>
                      <c:pt idx="118">
                        <c:v>30878.84792</c:v>
                      </c:pt>
                      <c:pt idx="119">
                        <c:v>30727.48792</c:v>
                      </c:pt>
                      <c:pt idx="120">
                        <c:v>30576.127919999999</c:v>
                      </c:pt>
                      <c:pt idx="121">
                        <c:v>30424.767919999998</c:v>
                      </c:pt>
                      <c:pt idx="122">
                        <c:v>30273.407919999998</c:v>
                      </c:pt>
                      <c:pt idx="123">
                        <c:v>30122.047919999997</c:v>
                      </c:pt>
                      <c:pt idx="124">
                        <c:v>29970.68792</c:v>
                      </c:pt>
                      <c:pt idx="125">
                        <c:v>29819.32792</c:v>
                      </c:pt>
                      <c:pt idx="126">
                        <c:v>29667.967919999999</c:v>
                      </c:pt>
                      <c:pt idx="127">
                        <c:v>29516.607919999999</c:v>
                      </c:pt>
                      <c:pt idx="128">
                        <c:v>29365.247919999998</c:v>
                      </c:pt>
                      <c:pt idx="129">
                        <c:v>28860.12</c:v>
                      </c:pt>
                      <c:pt idx="130">
                        <c:v>28835.119999999999</c:v>
                      </c:pt>
                      <c:pt idx="131">
                        <c:v>28810.12</c:v>
                      </c:pt>
                      <c:pt idx="132">
                        <c:v>28785.119999999999</c:v>
                      </c:pt>
                      <c:pt idx="133">
                        <c:v>28760.12</c:v>
                      </c:pt>
                      <c:pt idx="134">
                        <c:v>28294</c:v>
                      </c:pt>
                      <c:pt idx="135">
                        <c:v>28269</c:v>
                      </c:pt>
                      <c:pt idx="136">
                        <c:v>28244</c:v>
                      </c:pt>
                      <c:pt idx="137">
                        <c:v>28219</c:v>
                      </c:pt>
                      <c:pt idx="138">
                        <c:v>28194</c:v>
                      </c:pt>
                      <c:pt idx="139">
                        <c:v>28169</c:v>
                      </c:pt>
                      <c:pt idx="140">
                        <c:v>28144</c:v>
                      </c:pt>
                      <c:pt idx="141">
                        <c:v>28119</c:v>
                      </c:pt>
                      <c:pt idx="142">
                        <c:v>28094</c:v>
                      </c:pt>
                      <c:pt idx="143">
                        <c:v>28069</c:v>
                      </c:pt>
                      <c:pt idx="144">
                        <c:v>28044</c:v>
                      </c:pt>
                      <c:pt idx="145">
                        <c:v>28019</c:v>
                      </c:pt>
                      <c:pt idx="146">
                        <c:v>27994</c:v>
                      </c:pt>
                      <c:pt idx="147">
                        <c:v>27969</c:v>
                      </c:pt>
                      <c:pt idx="148">
                        <c:v>27944</c:v>
                      </c:pt>
                      <c:pt idx="149">
                        <c:v>27919</c:v>
                      </c:pt>
                      <c:pt idx="150">
                        <c:v>27894</c:v>
                      </c:pt>
                      <c:pt idx="151">
                        <c:v>27869</c:v>
                      </c:pt>
                      <c:pt idx="152">
                        <c:v>27844</c:v>
                      </c:pt>
                      <c:pt idx="153">
                        <c:v>27819</c:v>
                      </c:pt>
                      <c:pt idx="154">
                        <c:v>27794</c:v>
                      </c:pt>
                      <c:pt idx="155">
                        <c:v>20125</c:v>
                      </c:pt>
                      <c:pt idx="156">
                        <c:v>20100</c:v>
                      </c:pt>
                      <c:pt idx="157">
                        <c:v>20075</c:v>
                      </c:pt>
                      <c:pt idx="158">
                        <c:v>20050</c:v>
                      </c:pt>
                      <c:pt idx="159">
                        <c:v>20025</c:v>
                      </c:pt>
                      <c:pt idx="160">
                        <c:v>20000</c:v>
                      </c:pt>
                      <c:pt idx="161">
                        <c:v>19975</c:v>
                      </c:pt>
                      <c:pt idx="162">
                        <c:v>19950</c:v>
                      </c:pt>
                      <c:pt idx="163">
                        <c:v>19925</c:v>
                      </c:pt>
                      <c:pt idx="164">
                        <c:v>19900</c:v>
                      </c:pt>
                      <c:pt idx="165">
                        <c:v>19875</c:v>
                      </c:pt>
                      <c:pt idx="166">
                        <c:v>19850</c:v>
                      </c:pt>
                      <c:pt idx="167">
                        <c:v>19825</c:v>
                      </c:pt>
                      <c:pt idx="168">
                        <c:v>19800</c:v>
                      </c:pt>
                      <c:pt idx="169">
                        <c:v>19775</c:v>
                      </c:pt>
                      <c:pt idx="170">
                        <c:v>19750</c:v>
                      </c:pt>
                      <c:pt idx="171">
                        <c:v>19725</c:v>
                      </c:pt>
                      <c:pt idx="172">
                        <c:v>19700</c:v>
                      </c:pt>
                      <c:pt idx="173">
                        <c:v>19675</c:v>
                      </c:pt>
                      <c:pt idx="174">
                        <c:v>19650</c:v>
                      </c:pt>
                      <c:pt idx="175">
                        <c:v>19625</c:v>
                      </c:pt>
                      <c:pt idx="176">
                        <c:v>19600</c:v>
                      </c:pt>
                      <c:pt idx="177">
                        <c:v>19575</c:v>
                      </c:pt>
                      <c:pt idx="178">
                        <c:v>19550</c:v>
                      </c:pt>
                      <c:pt idx="179">
                        <c:v>19525</c:v>
                      </c:pt>
                      <c:pt idx="180">
                        <c:v>19500</c:v>
                      </c:pt>
                      <c:pt idx="181">
                        <c:v>19475</c:v>
                      </c:pt>
                      <c:pt idx="182">
                        <c:v>19450</c:v>
                      </c:pt>
                      <c:pt idx="183">
                        <c:v>19425</c:v>
                      </c:pt>
                      <c:pt idx="184">
                        <c:v>19400</c:v>
                      </c:pt>
                      <c:pt idx="185">
                        <c:v>19375</c:v>
                      </c:pt>
                      <c:pt idx="186">
                        <c:v>19350</c:v>
                      </c:pt>
                      <c:pt idx="187">
                        <c:v>19325</c:v>
                      </c:pt>
                      <c:pt idx="188">
                        <c:v>19300</c:v>
                      </c:pt>
                      <c:pt idx="189">
                        <c:v>19275</c:v>
                      </c:pt>
                      <c:pt idx="190">
                        <c:v>19250</c:v>
                      </c:pt>
                      <c:pt idx="191">
                        <c:v>19225</c:v>
                      </c:pt>
                      <c:pt idx="192">
                        <c:v>19200</c:v>
                      </c:pt>
                      <c:pt idx="193">
                        <c:v>19175</c:v>
                      </c:pt>
                      <c:pt idx="194">
                        <c:v>19150</c:v>
                      </c:pt>
                      <c:pt idx="195">
                        <c:v>19125</c:v>
                      </c:pt>
                      <c:pt idx="196">
                        <c:v>19100</c:v>
                      </c:pt>
                      <c:pt idx="197">
                        <c:v>19075</c:v>
                      </c:pt>
                      <c:pt idx="198">
                        <c:v>19050</c:v>
                      </c:pt>
                      <c:pt idx="199">
                        <c:v>19025</c:v>
                      </c:pt>
                      <c:pt idx="200">
                        <c:v>17000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85572.108000000007</c:v>
                      </c:pt>
                      <c:pt idx="1">
                        <c:v>86137.108000000007</c:v>
                      </c:pt>
                      <c:pt idx="2">
                        <c:v>86702.108000000007</c:v>
                      </c:pt>
                      <c:pt idx="3">
                        <c:v>87267.108000000007</c:v>
                      </c:pt>
                      <c:pt idx="4">
                        <c:v>87832.108000000007</c:v>
                      </c:pt>
                      <c:pt idx="5">
                        <c:v>88397.108000000007</c:v>
                      </c:pt>
                      <c:pt idx="6">
                        <c:v>88686.588000000003</c:v>
                      </c:pt>
                      <c:pt idx="7">
                        <c:v>88971.588000000003</c:v>
                      </c:pt>
                      <c:pt idx="8">
                        <c:v>89256.588000000003</c:v>
                      </c:pt>
                      <c:pt idx="9">
                        <c:v>89541.588000000003</c:v>
                      </c:pt>
                      <c:pt idx="10">
                        <c:v>89836.588000000003</c:v>
                      </c:pt>
                      <c:pt idx="11">
                        <c:v>90146.588000000003</c:v>
                      </c:pt>
                      <c:pt idx="12">
                        <c:v>90456.588000000003</c:v>
                      </c:pt>
                      <c:pt idx="13">
                        <c:v>90766.588000000003</c:v>
                      </c:pt>
                      <c:pt idx="14">
                        <c:v>91076.588000000003</c:v>
                      </c:pt>
                      <c:pt idx="15">
                        <c:v>91386.588000000003</c:v>
                      </c:pt>
                      <c:pt idx="16">
                        <c:v>91696.588000000003</c:v>
                      </c:pt>
                      <c:pt idx="17">
                        <c:v>92128.108000000007</c:v>
                      </c:pt>
                      <c:pt idx="18">
                        <c:v>92718.108000000007</c:v>
                      </c:pt>
                      <c:pt idx="19">
                        <c:v>93308.108000000007</c:v>
                      </c:pt>
                      <c:pt idx="20">
                        <c:v>93898.108000000007</c:v>
                      </c:pt>
                      <c:pt idx="21">
                        <c:v>94488.108000000007</c:v>
                      </c:pt>
                      <c:pt idx="22">
                        <c:v>95078.108000000007</c:v>
                      </c:pt>
                      <c:pt idx="23">
                        <c:v>95668.108000000007</c:v>
                      </c:pt>
                      <c:pt idx="24">
                        <c:v>96258.108000000007</c:v>
                      </c:pt>
                      <c:pt idx="25">
                        <c:v>96716.108000000007</c:v>
                      </c:pt>
                      <c:pt idx="26">
                        <c:v>97126.108000000007</c:v>
                      </c:pt>
                      <c:pt idx="27">
                        <c:v>97536.108000000007</c:v>
                      </c:pt>
                      <c:pt idx="28">
                        <c:v>97946.108000000007</c:v>
                      </c:pt>
                      <c:pt idx="29">
                        <c:v>98356.108000000007</c:v>
                      </c:pt>
                      <c:pt idx="30">
                        <c:v>98766.108000000007</c:v>
                      </c:pt>
                      <c:pt idx="31">
                        <c:v>99176.108000000007</c:v>
                      </c:pt>
                      <c:pt idx="32">
                        <c:v>99586.108000000007</c:v>
                      </c:pt>
                      <c:pt idx="33">
                        <c:v>99996.108000000007</c:v>
                      </c:pt>
                      <c:pt idx="34">
                        <c:v>100406.10800000001</c:v>
                      </c:pt>
                      <c:pt idx="35">
                        <c:v>100816.10800000001</c:v>
                      </c:pt>
                      <c:pt idx="36">
                        <c:v>101226.10800000001</c:v>
                      </c:pt>
                      <c:pt idx="37">
                        <c:v>101535.308</c:v>
                      </c:pt>
                      <c:pt idx="38">
                        <c:v>101705.308</c:v>
                      </c:pt>
                      <c:pt idx="39">
                        <c:v>101875.308</c:v>
                      </c:pt>
                      <c:pt idx="40">
                        <c:v>102045.308</c:v>
                      </c:pt>
                      <c:pt idx="41">
                        <c:v>102215.308</c:v>
                      </c:pt>
                      <c:pt idx="42">
                        <c:v>102385.308</c:v>
                      </c:pt>
                      <c:pt idx="43">
                        <c:v>102555.308</c:v>
                      </c:pt>
                      <c:pt idx="44">
                        <c:v>102725.308</c:v>
                      </c:pt>
                      <c:pt idx="45">
                        <c:v>102895.308</c:v>
                      </c:pt>
                      <c:pt idx="46">
                        <c:v>103065.308</c:v>
                      </c:pt>
                      <c:pt idx="47">
                        <c:v>103235.308</c:v>
                      </c:pt>
                      <c:pt idx="48">
                        <c:v>103405.308</c:v>
                      </c:pt>
                      <c:pt idx="49">
                        <c:v>103575.308</c:v>
                      </c:pt>
                      <c:pt idx="50">
                        <c:v>103745.308</c:v>
                      </c:pt>
                      <c:pt idx="51">
                        <c:v>103915.308</c:v>
                      </c:pt>
                      <c:pt idx="52">
                        <c:v>104085.308</c:v>
                      </c:pt>
                      <c:pt idx="53">
                        <c:v>104255.308</c:v>
                      </c:pt>
                      <c:pt idx="54">
                        <c:v>104425.308</c:v>
                      </c:pt>
                      <c:pt idx="55">
                        <c:v>104595.308</c:v>
                      </c:pt>
                      <c:pt idx="56">
                        <c:v>104765.308</c:v>
                      </c:pt>
                      <c:pt idx="57">
                        <c:v>104935.308</c:v>
                      </c:pt>
                      <c:pt idx="58">
                        <c:v>105105.308</c:v>
                      </c:pt>
                      <c:pt idx="59">
                        <c:v>105275.308</c:v>
                      </c:pt>
                      <c:pt idx="60">
                        <c:v>105445.308</c:v>
                      </c:pt>
                      <c:pt idx="61">
                        <c:v>105615.308</c:v>
                      </c:pt>
                      <c:pt idx="62">
                        <c:v>105785.308</c:v>
                      </c:pt>
                      <c:pt idx="63">
                        <c:v>105869.63592</c:v>
                      </c:pt>
                      <c:pt idx="64">
                        <c:v>105913.27592</c:v>
                      </c:pt>
                      <c:pt idx="65">
                        <c:v>105956.91592</c:v>
                      </c:pt>
                      <c:pt idx="66">
                        <c:v>106000.55592</c:v>
                      </c:pt>
                      <c:pt idx="67">
                        <c:v>106044.19592</c:v>
                      </c:pt>
                      <c:pt idx="68">
                        <c:v>106087.83592</c:v>
                      </c:pt>
                      <c:pt idx="69">
                        <c:v>106131.47592</c:v>
                      </c:pt>
                      <c:pt idx="70">
                        <c:v>106175.11592</c:v>
                      </c:pt>
                      <c:pt idx="71">
                        <c:v>106218.75592</c:v>
                      </c:pt>
                      <c:pt idx="72">
                        <c:v>106262.39592000001</c:v>
                      </c:pt>
                      <c:pt idx="73">
                        <c:v>106354.03591999999</c:v>
                      </c:pt>
                      <c:pt idx="74">
                        <c:v>106457.67592000001</c:v>
                      </c:pt>
                      <c:pt idx="75">
                        <c:v>106561.31591999999</c:v>
                      </c:pt>
                      <c:pt idx="76">
                        <c:v>106664.95592000001</c:v>
                      </c:pt>
                      <c:pt idx="77">
                        <c:v>106768.59591999999</c:v>
                      </c:pt>
                      <c:pt idx="78">
                        <c:v>105162.23592000001</c:v>
                      </c:pt>
                      <c:pt idx="79">
                        <c:v>105240.87591999999</c:v>
                      </c:pt>
                      <c:pt idx="80">
                        <c:v>105319.51592000001</c:v>
                      </c:pt>
                      <c:pt idx="81">
                        <c:v>105398.15591999999</c:v>
                      </c:pt>
                      <c:pt idx="82">
                        <c:v>105476.79592</c:v>
                      </c:pt>
                      <c:pt idx="83">
                        <c:v>105555.43592</c:v>
                      </c:pt>
                      <c:pt idx="84">
                        <c:v>105634.07592</c:v>
                      </c:pt>
                      <c:pt idx="85">
                        <c:v>105712.71592</c:v>
                      </c:pt>
                      <c:pt idx="86">
                        <c:v>105791.35592</c:v>
                      </c:pt>
                      <c:pt idx="87">
                        <c:v>105869.99592</c:v>
                      </c:pt>
                      <c:pt idx="88">
                        <c:v>105948.63592</c:v>
                      </c:pt>
                      <c:pt idx="89">
                        <c:v>106027.27592</c:v>
                      </c:pt>
                      <c:pt idx="90">
                        <c:v>106105.91592</c:v>
                      </c:pt>
                      <c:pt idx="91">
                        <c:v>106184.55592</c:v>
                      </c:pt>
                      <c:pt idx="92">
                        <c:v>106263.19592</c:v>
                      </c:pt>
                      <c:pt idx="93">
                        <c:v>106341.83592</c:v>
                      </c:pt>
                      <c:pt idx="94">
                        <c:v>106420.47592</c:v>
                      </c:pt>
                      <c:pt idx="95">
                        <c:v>106499.11592</c:v>
                      </c:pt>
                      <c:pt idx="96">
                        <c:v>106577.75592</c:v>
                      </c:pt>
                      <c:pt idx="97">
                        <c:v>106656.39592</c:v>
                      </c:pt>
                      <c:pt idx="98">
                        <c:v>106735.03591999999</c:v>
                      </c:pt>
                      <c:pt idx="99">
                        <c:v>106813.67592000001</c:v>
                      </c:pt>
                      <c:pt idx="100">
                        <c:v>106892.31591999999</c:v>
                      </c:pt>
                      <c:pt idx="101">
                        <c:v>106970.95592000001</c:v>
                      </c:pt>
                      <c:pt idx="102">
                        <c:v>107049.59591999999</c:v>
                      </c:pt>
                      <c:pt idx="103">
                        <c:v>107128.23592000001</c:v>
                      </c:pt>
                      <c:pt idx="104">
                        <c:v>107206.87591999999</c:v>
                      </c:pt>
                      <c:pt idx="105">
                        <c:v>107285.51592000001</c:v>
                      </c:pt>
                      <c:pt idx="106">
                        <c:v>107364.15592</c:v>
                      </c:pt>
                      <c:pt idx="107">
                        <c:v>88821.795920000004</c:v>
                      </c:pt>
                      <c:pt idx="108">
                        <c:v>88900.435920000004</c:v>
                      </c:pt>
                      <c:pt idx="109">
                        <c:v>88979.075920000003</c:v>
                      </c:pt>
                      <c:pt idx="110">
                        <c:v>89057.715920000002</c:v>
                      </c:pt>
                      <c:pt idx="111">
                        <c:v>89136.355920000002</c:v>
                      </c:pt>
                      <c:pt idx="112">
                        <c:v>89214.995920000001</c:v>
                      </c:pt>
                      <c:pt idx="113">
                        <c:v>89293.635920000001</c:v>
                      </c:pt>
                      <c:pt idx="114">
                        <c:v>89372.27592</c:v>
                      </c:pt>
                      <c:pt idx="115">
                        <c:v>89450.915919999999</c:v>
                      </c:pt>
                      <c:pt idx="116">
                        <c:v>89529.555919999999</c:v>
                      </c:pt>
                      <c:pt idx="117">
                        <c:v>89818.207920000001</c:v>
                      </c:pt>
                      <c:pt idx="118">
                        <c:v>89878.84792</c:v>
                      </c:pt>
                      <c:pt idx="119">
                        <c:v>90227.48792</c:v>
                      </c:pt>
                      <c:pt idx="120">
                        <c:v>90576.127919999999</c:v>
                      </c:pt>
                      <c:pt idx="121">
                        <c:v>90924.767919999998</c:v>
                      </c:pt>
                      <c:pt idx="122">
                        <c:v>91273.407919999998</c:v>
                      </c:pt>
                      <c:pt idx="123">
                        <c:v>91622.047919999997</c:v>
                      </c:pt>
                      <c:pt idx="124">
                        <c:v>91970.687919999997</c:v>
                      </c:pt>
                      <c:pt idx="125">
                        <c:v>92319.327919999996</c:v>
                      </c:pt>
                      <c:pt idx="126">
                        <c:v>92667.967919999996</c:v>
                      </c:pt>
                      <c:pt idx="127">
                        <c:v>93016.607919999995</c:v>
                      </c:pt>
                      <c:pt idx="128">
                        <c:v>93365.247919999994</c:v>
                      </c:pt>
                      <c:pt idx="129">
                        <c:v>93360.12</c:v>
                      </c:pt>
                      <c:pt idx="130">
                        <c:v>93835.12</c:v>
                      </c:pt>
                      <c:pt idx="131">
                        <c:v>94310.12</c:v>
                      </c:pt>
                      <c:pt idx="132">
                        <c:v>94785.12</c:v>
                      </c:pt>
                      <c:pt idx="133">
                        <c:v>95260.12</c:v>
                      </c:pt>
                      <c:pt idx="134">
                        <c:v>95294</c:v>
                      </c:pt>
                      <c:pt idx="135">
                        <c:v>95769</c:v>
                      </c:pt>
                      <c:pt idx="136">
                        <c:v>96244</c:v>
                      </c:pt>
                      <c:pt idx="137">
                        <c:v>96719</c:v>
                      </c:pt>
                      <c:pt idx="138">
                        <c:v>97194</c:v>
                      </c:pt>
                      <c:pt idx="139">
                        <c:v>97669</c:v>
                      </c:pt>
                      <c:pt idx="140">
                        <c:v>98144</c:v>
                      </c:pt>
                      <c:pt idx="141">
                        <c:v>98619</c:v>
                      </c:pt>
                      <c:pt idx="142">
                        <c:v>99094</c:v>
                      </c:pt>
                      <c:pt idx="143">
                        <c:v>99569</c:v>
                      </c:pt>
                      <c:pt idx="144">
                        <c:v>100044</c:v>
                      </c:pt>
                      <c:pt idx="145">
                        <c:v>100519</c:v>
                      </c:pt>
                      <c:pt idx="146">
                        <c:v>100994</c:v>
                      </c:pt>
                      <c:pt idx="147">
                        <c:v>101469</c:v>
                      </c:pt>
                      <c:pt idx="148">
                        <c:v>101944</c:v>
                      </c:pt>
                      <c:pt idx="149">
                        <c:v>102419</c:v>
                      </c:pt>
                      <c:pt idx="150">
                        <c:v>102894</c:v>
                      </c:pt>
                      <c:pt idx="151">
                        <c:v>103369</c:v>
                      </c:pt>
                      <c:pt idx="152">
                        <c:v>103844</c:v>
                      </c:pt>
                      <c:pt idx="153">
                        <c:v>104319</c:v>
                      </c:pt>
                      <c:pt idx="154">
                        <c:v>104794</c:v>
                      </c:pt>
                      <c:pt idx="155">
                        <c:v>97625</c:v>
                      </c:pt>
                      <c:pt idx="156">
                        <c:v>98100</c:v>
                      </c:pt>
                      <c:pt idx="157">
                        <c:v>98575</c:v>
                      </c:pt>
                      <c:pt idx="158">
                        <c:v>99050</c:v>
                      </c:pt>
                      <c:pt idx="159">
                        <c:v>99525</c:v>
                      </c:pt>
                      <c:pt idx="160">
                        <c:v>100000</c:v>
                      </c:pt>
                      <c:pt idx="161">
                        <c:v>100475</c:v>
                      </c:pt>
                      <c:pt idx="162">
                        <c:v>100950</c:v>
                      </c:pt>
                      <c:pt idx="163">
                        <c:v>101425</c:v>
                      </c:pt>
                      <c:pt idx="164">
                        <c:v>101900</c:v>
                      </c:pt>
                      <c:pt idx="165">
                        <c:v>102375</c:v>
                      </c:pt>
                      <c:pt idx="166">
                        <c:v>102850</c:v>
                      </c:pt>
                      <c:pt idx="167">
                        <c:v>103325</c:v>
                      </c:pt>
                      <c:pt idx="168">
                        <c:v>103800</c:v>
                      </c:pt>
                      <c:pt idx="169">
                        <c:v>104275</c:v>
                      </c:pt>
                      <c:pt idx="170">
                        <c:v>104750</c:v>
                      </c:pt>
                      <c:pt idx="171">
                        <c:v>105225</c:v>
                      </c:pt>
                      <c:pt idx="172">
                        <c:v>105700</c:v>
                      </c:pt>
                      <c:pt idx="173">
                        <c:v>106175</c:v>
                      </c:pt>
                      <c:pt idx="174">
                        <c:v>106650</c:v>
                      </c:pt>
                      <c:pt idx="175">
                        <c:v>107125</c:v>
                      </c:pt>
                      <c:pt idx="176">
                        <c:v>107600</c:v>
                      </c:pt>
                      <c:pt idx="177">
                        <c:v>108075</c:v>
                      </c:pt>
                      <c:pt idx="178">
                        <c:v>108550</c:v>
                      </c:pt>
                      <c:pt idx="179">
                        <c:v>109025</c:v>
                      </c:pt>
                      <c:pt idx="180">
                        <c:v>109500</c:v>
                      </c:pt>
                      <c:pt idx="181">
                        <c:v>109975</c:v>
                      </c:pt>
                      <c:pt idx="182">
                        <c:v>110450</c:v>
                      </c:pt>
                      <c:pt idx="183">
                        <c:v>110925</c:v>
                      </c:pt>
                      <c:pt idx="184">
                        <c:v>111400</c:v>
                      </c:pt>
                      <c:pt idx="185">
                        <c:v>111875</c:v>
                      </c:pt>
                      <c:pt idx="186">
                        <c:v>112350</c:v>
                      </c:pt>
                      <c:pt idx="187">
                        <c:v>112825</c:v>
                      </c:pt>
                      <c:pt idx="188">
                        <c:v>113300</c:v>
                      </c:pt>
                      <c:pt idx="189">
                        <c:v>113775</c:v>
                      </c:pt>
                      <c:pt idx="190">
                        <c:v>114250</c:v>
                      </c:pt>
                      <c:pt idx="191">
                        <c:v>114725</c:v>
                      </c:pt>
                      <c:pt idx="192">
                        <c:v>115200</c:v>
                      </c:pt>
                      <c:pt idx="193">
                        <c:v>115675</c:v>
                      </c:pt>
                      <c:pt idx="194">
                        <c:v>116150</c:v>
                      </c:pt>
                      <c:pt idx="195">
                        <c:v>116625</c:v>
                      </c:pt>
                      <c:pt idx="196">
                        <c:v>117100</c:v>
                      </c:pt>
                      <c:pt idx="197">
                        <c:v>117575</c:v>
                      </c:pt>
                      <c:pt idx="198">
                        <c:v>118050</c:v>
                      </c:pt>
                      <c:pt idx="199">
                        <c:v>118525</c:v>
                      </c:pt>
                      <c:pt idx="200">
                        <c:v>117000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83820</xdr:colOff>
          <xdr:row>10</xdr:row>
          <xdr:rowOff>30480</xdr:rowOff>
        </xdr:from>
        <xdr:to>
          <xdr:col>1</xdr:col>
          <xdr:colOff>1123950</xdr:colOff>
          <xdr:row>11</xdr:row>
          <xdr:rowOff>91440</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83820</xdr:colOff>
          <xdr:row>6</xdr:row>
          <xdr:rowOff>83820</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83820</xdr:colOff>
          <xdr:row>12</xdr:row>
          <xdr:rowOff>30480</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83820</xdr:colOff>
          <xdr:row>14</xdr:row>
          <xdr:rowOff>38100</xdr:rowOff>
        </xdr:from>
        <xdr:to>
          <xdr:col>1</xdr:col>
          <xdr:colOff>1123950</xdr:colOff>
          <xdr:row>15</xdr:row>
          <xdr:rowOff>93345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83820</xdr:colOff>
          <xdr:row>8</xdr:row>
          <xdr:rowOff>22860</xdr:rowOff>
        </xdr:from>
        <xdr:to>
          <xdr:col>1</xdr:col>
          <xdr:colOff>1123950</xdr:colOff>
          <xdr:row>9</xdr:row>
          <xdr:rowOff>129540</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83820</xdr:colOff>
          <xdr:row>16</xdr:row>
          <xdr:rowOff>45720</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83820</xdr:colOff>
          <xdr:row>18</xdr:row>
          <xdr:rowOff>60960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83820</xdr:colOff>
          <xdr:row>22</xdr:row>
          <xdr:rowOff>60960</xdr:rowOff>
        </xdr:from>
        <xdr:to>
          <xdr:col>1</xdr:col>
          <xdr:colOff>1123950</xdr:colOff>
          <xdr:row>23</xdr:row>
          <xdr:rowOff>129540</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83820</xdr:colOff>
          <xdr:row>20</xdr:row>
          <xdr:rowOff>60960</xdr:rowOff>
        </xdr:from>
        <xdr:to>
          <xdr:col>1</xdr:col>
          <xdr:colOff>1123950</xdr:colOff>
          <xdr:row>21</xdr:row>
          <xdr:rowOff>129540</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4.4" x14ac:dyDescent="0.3"/>
  <cols>
    <col min="1" max="1" width="176.88671875" customWidth="1"/>
  </cols>
  <sheetData>
    <row r="1" spans="1:1" x14ac:dyDescent="0.3">
      <c r="A1" s="81" t="s">
        <v>0</v>
      </c>
    </row>
    <row r="2" spans="1:1" ht="28.8" x14ac:dyDescent="0.3">
      <c r="A2" s="24" t="s">
        <v>1</v>
      </c>
    </row>
    <row r="4" spans="1:1" ht="23.25" customHeight="1" x14ac:dyDescent="0.3">
      <c r="A4" s="84" t="s">
        <v>2</v>
      </c>
    </row>
    <row r="5" spans="1:1" ht="388.8" x14ac:dyDescent="0.3">
      <c r="A5" s="82" t="s">
        <v>689</v>
      </c>
    </row>
    <row r="7" spans="1:1" x14ac:dyDescent="0.3">
      <c r="A7" s="83" t="s">
        <v>3</v>
      </c>
    </row>
    <row r="8" spans="1:1" x14ac:dyDescent="0.3">
      <c r="A8" s="24" t="s">
        <v>740</v>
      </c>
    </row>
    <row r="10" spans="1:1" x14ac:dyDescent="0.3">
      <c r="A10" s="81" t="s">
        <v>4</v>
      </c>
    </row>
    <row r="11" spans="1:1" ht="28.8" x14ac:dyDescent="0.3">
      <c r="A11" s="24" t="s">
        <v>5</v>
      </c>
    </row>
    <row r="12" spans="1:1" s="75" customFormat="1" x14ac:dyDescent="0.3">
      <c r="A12" s="86" t="s">
        <v>6</v>
      </c>
    </row>
    <row r="13" spans="1:1" x14ac:dyDescent="0.3">
      <c r="A13" t="s">
        <v>7</v>
      </c>
    </row>
    <row r="14" spans="1:1" ht="72" x14ac:dyDescent="0.3">
      <c r="A14" s="24" t="s">
        <v>8</v>
      </c>
    </row>
    <row r="15" spans="1:1" ht="28.8" x14ac:dyDescent="0.3">
      <c r="A15" s="24" t="s">
        <v>9</v>
      </c>
    </row>
    <row r="16" spans="1:1" x14ac:dyDescent="0.3">
      <c r="A16" t="s">
        <v>10</v>
      </c>
    </row>
    <row r="17" spans="1:1" x14ac:dyDescent="0.3">
      <c r="A17" t="s">
        <v>11</v>
      </c>
    </row>
    <row r="18" spans="1:1" x14ac:dyDescent="0.3">
      <c r="A18" t="s">
        <v>12</v>
      </c>
    </row>
    <row r="19" spans="1:1" x14ac:dyDescent="0.3">
      <c r="A19" t="s">
        <v>13</v>
      </c>
    </row>
    <row r="20" spans="1:1" x14ac:dyDescent="0.3">
      <c r="A20" t="s">
        <v>703</v>
      </c>
    </row>
    <row r="21" spans="1:1" x14ac:dyDescent="0.3">
      <c r="A21" t="s">
        <v>14</v>
      </c>
    </row>
    <row r="22" spans="1:1" x14ac:dyDescent="0.3">
      <c r="A22" t="s">
        <v>15</v>
      </c>
    </row>
    <row r="23" spans="1:1" x14ac:dyDescent="0.3">
      <c r="A23" t="s">
        <v>16</v>
      </c>
    </row>
    <row r="24" spans="1:1" x14ac:dyDescent="0.3">
      <c r="A24" t="s">
        <v>17</v>
      </c>
    </row>
    <row r="25" spans="1:1" x14ac:dyDescent="0.3">
      <c r="A25" t="s">
        <v>18</v>
      </c>
    </row>
    <row r="26" spans="1:1" x14ac:dyDescent="0.3">
      <c r="A26" t="s">
        <v>19</v>
      </c>
    </row>
    <row r="27" spans="1:1" x14ac:dyDescent="0.3">
      <c r="A27" t="s">
        <v>20</v>
      </c>
    </row>
    <row r="28" spans="1:1" x14ac:dyDescent="0.3">
      <c r="A28" t="s">
        <v>21</v>
      </c>
    </row>
    <row r="29" spans="1:1" x14ac:dyDescent="0.3">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82" zoomScale="85" zoomScaleNormal="85" workbookViewId="0">
      <selection activeCell="G84" sqref="G84"/>
    </sheetView>
  </sheetViews>
  <sheetFormatPr defaultColWidth="9.109375" defaultRowHeight="15.6" x14ac:dyDescent="0.3"/>
  <cols>
    <col min="1" max="1" width="40.33203125" style="149" customWidth="1"/>
    <col min="2" max="2" width="27" style="149" customWidth="1"/>
    <col min="3" max="3" width="39.109375" style="149" customWidth="1"/>
    <col min="4" max="4" width="18.88671875" style="149" customWidth="1"/>
    <col min="5" max="5" width="26.88671875" style="149" customWidth="1"/>
    <col min="6" max="6" width="11.6640625" style="149" customWidth="1"/>
    <col min="7" max="7" width="27.44140625" style="149" customWidth="1"/>
    <col min="8" max="8" width="13.33203125" style="149" customWidth="1"/>
    <col min="9" max="9" width="13.109375" style="149" customWidth="1"/>
    <col min="10" max="10" width="21.109375" style="149" customWidth="1"/>
    <col min="11" max="11" width="10.88671875" style="149" customWidth="1"/>
    <col min="12" max="12" width="13" style="149" customWidth="1"/>
    <col min="13" max="13" width="12.33203125" style="149" customWidth="1"/>
    <col min="14" max="14" width="8.5546875" style="149" customWidth="1"/>
    <col min="15" max="15" width="15.6640625" style="149" customWidth="1"/>
    <col min="16" max="16" width="10.88671875" style="149" customWidth="1"/>
    <col min="17" max="17" width="14.109375" style="149" customWidth="1"/>
    <col min="18" max="21" width="13.44140625" style="149" customWidth="1"/>
    <col min="22" max="22" width="9.109375" style="149"/>
    <col min="23" max="24" width="12.33203125" style="215" customWidth="1"/>
    <col min="25" max="25" width="13" style="149" customWidth="1"/>
    <col min="26" max="26" width="12.33203125" style="149" customWidth="1"/>
    <col min="27" max="27" width="12.6640625" style="215" customWidth="1"/>
    <col min="28" max="28" width="13.88671875" style="215" customWidth="1"/>
    <col min="29" max="29" width="14.5546875" style="215" customWidth="1"/>
    <col min="30" max="30" width="14.5546875" style="216" customWidth="1"/>
    <col min="31" max="16384" width="9.109375" style="149"/>
  </cols>
  <sheetData>
    <row r="1" spans="1:30" ht="16.2" thickBot="1" x14ac:dyDescent="0.35">
      <c r="A1" s="395" t="s">
        <v>23</v>
      </c>
      <c r="B1" s="395"/>
    </row>
    <row r="2" spans="1:30" ht="31.2" x14ac:dyDescent="0.3">
      <c r="A2" s="396" t="s">
        <v>24</v>
      </c>
      <c r="B2" s="320" t="s">
        <v>25</v>
      </c>
    </row>
    <row r="3" spans="1:30" ht="27.75" customHeight="1" x14ac:dyDescent="0.3">
      <c r="A3" s="397"/>
      <c r="B3" s="321" t="s">
        <v>152</v>
      </c>
      <c r="O3" s="217"/>
      <c r="P3" s="218"/>
      <c r="Q3" s="218"/>
      <c r="R3" s="218"/>
      <c r="S3" s="218"/>
      <c r="T3" s="218"/>
      <c r="U3" s="219"/>
      <c r="V3" s="219"/>
      <c r="W3" s="220"/>
      <c r="X3" s="221"/>
      <c r="Y3" s="218"/>
      <c r="Z3" s="218"/>
      <c r="AA3" s="220"/>
      <c r="AB3" s="220"/>
      <c r="AC3" s="220"/>
      <c r="AD3" s="222"/>
    </row>
    <row r="4" spans="1:30" ht="8.25" customHeight="1" thickBot="1" x14ac:dyDescent="0.35">
      <c r="O4" s="223"/>
      <c r="P4" s="220"/>
      <c r="Q4" s="216"/>
      <c r="R4" s="216"/>
      <c r="S4" s="216"/>
      <c r="T4" s="215"/>
      <c r="U4" s="224"/>
      <c r="V4" s="215"/>
      <c r="Y4" s="224"/>
      <c r="Z4" s="224"/>
    </row>
    <row r="5" spans="1:30" ht="21" customHeight="1" thickBot="1" x14ac:dyDescent="0.35">
      <c r="A5" s="393" t="s">
        <v>27</v>
      </c>
      <c r="B5" s="394"/>
      <c r="O5" s="225"/>
      <c r="P5" s="224"/>
      <c r="Q5" s="216"/>
      <c r="R5" s="216"/>
      <c r="S5" s="216"/>
      <c r="T5" s="215"/>
      <c r="U5" s="224"/>
      <c r="V5" s="215"/>
      <c r="Y5" s="224"/>
      <c r="Z5" s="224"/>
    </row>
    <row r="6" spans="1:30" ht="45" customHeight="1" x14ac:dyDescent="0.3">
      <c r="A6" s="400" t="s">
        <v>28</v>
      </c>
      <c r="B6" s="401"/>
      <c r="C6" s="226"/>
      <c r="O6" s="225"/>
      <c r="P6" s="224"/>
      <c r="Q6" s="216"/>
      <c r="R6" s="216"/>
      <c r="S6" s="216"/>
      <c r="T6" s="215"/>
      <c r="U6" s="224"/>
      <c r="V6" s="215"/>
      <c r="Y6" s="224"/>
      <c r="Z6" s="224"/>
    </row>
    <row r="7" spans="1:30" ht="21.75" customHeight="1" x14ac:dyDescent="0.3">
      <c r="A7" s="111"/>
      <c r="B7" s="60"/>
      <c r="C7" s="114"/>
      <c r="O7" s="225"/>
      <c r="P7" s="224"/>
      <c r="Q7" s="216"/>
      <c r="R7" s="216"/>
      <c r="S7" s="216"/>
      <c r="T7" s="215"/>
      <c r="U7" s="224"/>
      <c r="V7" s="215"/>
      <c r="Y7" s="224"/>
      <c r="Z7" s="224"/>
    </row>
    <row r="8" spans="1:30" x14ac:dyDescent="0.3">
      <c r="A8" s="112" t="b">
        <v>1</v>
      </c>
      <c r="B8" s="61"/>
      <c r="C8" s="115"/>
      <c r="O8" s="225"/>
      <c r="P8" s="224"/>
      <c r="Q8" s="216"/>
      <c r="R8" s="216"/>
      <c r="S8" s="216"/>
      <c r="T8" s="215"/>
      <c r="U8" s="224"/>
      <c r="V8" s="215"/>
      <c r="Y8" s="224"/>
      <c r="Z8" s="224"/>
    </row>
    <row r="9" spans="1:30" ht="12.75" customHeight="1" x14ac:dyDescent="0.3">
      <c r="A9" s="112"/>
      <c r="B9" s="61"/>
      <c r="C9" s="414" t="s">
        <v>682</v>
      </c>
      <c r="D9" s="415"/>
      <c r="O9" s="225"/>
      <c r="P9" s="224"/>
      <c r="Q9" s="216"/>
      <c r="R9" s="216"/>
      <c r="S9" s="216"/>
      <c r="T9" s="215"/>
      <c r="U9" s="224"/>
      <c r="V9" s="215"/>
      <c r="Y9" s="224"/>
      <c r="Z9" s="224"/>
    </row>
    <row r="10" spans="1:30" x14ac:dyDescent="0.3">
      <c r="A10" s="112" t="b">
        <v>1</v>
      </c>
      <c r="B10" s="61"/>
      <c r="C10" s="414"/>
      <c r="D10" s="415"/>
      <c r="O10" s="225"/>
      <c r="P10" s="224"/>
      <c r="Q10" s="216"/>
      <c r="R10" s="216"/>
      <c r="S10" s="216"/>
      <c r="T10" s="215"/>
      <c r="U10" s="224"/>
      <c r="V10" s="215"/>
      <c r="Y10" s="224"/>
      <c r="Z10" s="224"/>
    </row>
    <row r="11" spans="1:30" x14ac:dyDescent="0.3">
      <c r="A11" s="112"/>
      <c r="B11" s="61"/>
      <c r="C11" s="414"/>
      <c r="D11" s="415"/>
      <c r="O11" s="225"/>
      <c r="P11" s="224"/>
      <c r="Q11" s="216"/>
      <c r="R11" s="216"/>
      <c r="S11" s="216"/>
      <c r="T11" s="215"/>
      <c r="U11" s="224"/>
      <c r="V11" s="215"/>
      <c r="Y11" s="224"/>
      <c r="Z11" s="224"/>
    </row>
    <row r="12" spans="1:30" x14ac:dyDescent="0.3">
      <c r="A12" s="112" t="b">
        <v>1</v>
      </c>
      <c r="B12" s="61"/>
      <c r="C12" s="115"/>
      <c r="O12" s="225"/>
      <c r="P12" s="224"/>
      <c r="Q12" s="216"/>
      <c r="R12" s="216"/>
      <c r="S12" s="216"/>
      <c r="T12" s="215"/>
      <c r="U12" s="224"/>
      <c r="V12" s="215"/>
      <c r="Y12" s="224"/>
      <c r="Z12" s="224"/>
    </row>
    <row r="13" spans="1:30" ht="15.75" customHeight="1" x14ac:dyDescent="0.3">
      <c r="A13" s="112"/>
      <c r="B13" s="61"/>
      <c r="C13" s="416" t="s">
        <v>29</v>
      </c>
      <c r="D13" s="417">
        <v>4</v>
      </c>
      <c r="E13" s="392" t="s">
        <v>741</v>
      </c>
      <c r="F13" s="392"/>
      <c r="G13" s="392"/>
      <c r="H13" s="330"/>
      <c r="O13" s="225"/>
      <c r="P13" s="224"/>
      <c r="Q13" s="216"/>
      <c r="R13" s="216"/>
      <c r="S13" s="216"/>
      <c r="T13" s="215"/>
      <c r="U13" s="224"/>
      <c r="V13" s="215"/>
      <c r="Y13" s="224"/>
      <c r="Z13" s="224"/>
    </row>
    <row r="14" spans="1:30" x14ac:dyDescent="0.3">
      <c r="A14" s="112" t="b">
        <v>1</v>
      </c>
      <c r="B14" s="61"/>
      <c r="C14" s="416"/>
      <c r="D14" s="417"/>
      <c r="E14" s="392"/>
      <c r="F14" s="392"/>
      <c r="G14" s="392"/>
      <c r="H14" s="330"/>
      <c r="O14" s="225"/>
      <c r="P14" s="224"/>
      <c r="Q14" s="216"/>
      <c r="R14" s="216"/>
      <c r="S14" s="216"/>
      <c r="T14" s="215"/>
      <c r="U14" s="224"/>
      <c r="V14" s="215"/>
      <c r="Y14" s="224"/>
      <c r="Z14" s="224"/>
    </row>
    <row r="15" spans="1:30" x14ac:dyDescent="0.3">
      <c r="A15" s="112"/>
      <c r="B15" s="61"/>
      <c r="C15" s="416"/>
      <c r="D15" s="417"/>
      <c r="E15" s="392"/>
      <c r="F15" s="392"/>
      <c r="G15" s="392"/>
      <c r="H15" s="330"/>
      <c r="O15" s="225"/>
      <c r="P15" s="224"/>
      <c r="Q15" s="216"/>
      <c r="R15" s="216"/>
      <c r="S15" s="216"/>
      <c r="T15" s="215"/>
      <c r="U15" s="224"/>
      <c r="V15" s="215"/>
      <c r="Y15" s="224"/>
      <c r="Z15" s="224"/>
    </row>
    <row r="16" spans="1:30" x14ac:dyDescent="0.3">
      <c r="A16" s="112" t="b">
        <v>1</v>
      </c>
      <c r="B16" s="61"/>
      <c r="C16" s="115"/>
      <c r="O16" s="225"/>
      <c r="P16" s="224"/>
      <c r="Q16" s="216"/>
      <c r="R16" s="216"/>
      <c r="S16" s="216"/>
      <c r="T16" s="215"/>
      <c r="U16" s="224"/>
      <c r="V16" s="215"/>
      <c r="Y16" s="224"/>
      <c r="Z16" s="224"/>
    </row>
    <row r="17" spans="1:26" x14ac:dyDescent="0.3">
      <c r="A17" s="112"/>
      <c r="B17" s="61"/>
      <c r="C17" s="115"/>
      <c r="O17" s="225"/>
      <c r="P17" s="224"/>
      <c r="Q17" s="216"/>
      <c r="R17" s="216"/>
      <c r="S17" s="216"/>
      <c r="T17" s="215"/>
      <c r="U17" s="224"/>
      <c r="V17" s="215"/>
      <c r="Y17" s="224"/>
      <c r="Z17" s="224"/>
    </row>
    <row r="18" spans="1:26" x14ac:dyDescent="0.3">
      <c r="A18" s="112" t="b">
        <v>1</v>
      </c>
      <c r="B18" s="61"/>
      <c r="C18" s="115"/>
      <c r="O18" s="225"/>
      <c r="P18" s="224"/>
      <c r="Q18" s="216"/>
      <c r="R18" s="216"/>
      <c r="S18" s="216"/>
      <c r="T18" s="215"/>
      <c r="U18" s="224"/>
      <c r="V18" s="215"/>
      <c r="Y18" s="224"/>
      <c r="Z18" s="224"/>
    </row>
    <row r="19" spans="1:26" ht="15.75" customHeight="1" x14ac:dyDescent="0.3">
      <c r="A19" s="112"/>
      <c r="B19" s="132"/>
      <c r="C19" s="392" t="s">
        <v>30</v>
      </c>
      <c r="D19" s="392"/>
      <c r="O19" s="225"/>
      <c r="P19" s="224"/>
      <c r="Q19" s="216"/>
      <c r="R19" s="216"/>
      <c r="S19" s="216"/>
      <c r="T19" s="215"/>
      <c r="U19" s="224"/>
      <c r="V19" s="215"/>
      <c r="Y19" s="224"/>
      <c r="Z19" s="224"/>
    </row>
    <row r="20" spans="1:26" x14ac:dyDescent="0.3">
      <c r="A20" s="112" t="b">
        <v>1</v>
      </c>
      <c r="B20" s="132"/>
      <c r="C20" s="392"/>
      <c r="D20" s="392"/>
      <c r="O20" s="225"/>
      <c r="P20" s="224"/>
      <c r="Q20" s="216"/>
      <c r="R20" s="216"/>
      <c r="S20" s="216"/>
      <c r="T20" s="215"/>
      <c r="U20" s="224"/>
      <c r="V20" s="215"/>
      <c r="Y20" s="224"/>
      <c r="Z20" s="224"/>
    </row>
    <row r="21" spans="1:26" x14ac:dyDescent="0.3">
      <c r="A21" s="112"/>
      <c r="B21" s="132"/>
      <c r="C21" s="392"/>
      <c r="D21" s="392"/>
      <c r="O21" s="225"/>
      <c r="P21" s="224"/>
      <c r="Q21" s="216"/>
      <c r="R21" s="216"/>
      <c r="S21" s="216"/>
      <c r="T21" s="215"/>
      <c r="U21" s="224"/>
      <c r="V21" s="215"/>
      <c r="Y21" s="224"/>
      <c r="Z21" s="224"/>
    </row>
    <row r="22" spans="1:26" ht="16.5" customHeight="1" x14ac:dyDescent="0.3">
      <c r="A22" s="227" t="b">
        <v>0</v>
      </c>
      <c r="B22" s="132"/>
      <c r="C22" s="392"/>
      <c r="D22" s="392"/>
      <c r="O22" s="225"/>
      <c r="P22" s="224"/>
      <c r="Q22" s="216"/>
      <c r="R22" s="216"/>
      <c r="S22" s="216"/>
      <c r="T22" s="215"/>
      <c r="U22" s="224"/>
      <c r="V22" s="215"/>
      <c r="Y22" s="224"/>
      <c r="Z22" s="224"/>
    </row>
    <row r="23" spans="1:26" x14ac:dyDescent="0.3">
      <c r="A23" s="112"/>
      <c r="B23" s="132"/>
      <c r="O23" s="225"/>
      <c r="P23" s="224"/>
      <c r="Q23" s="216"/>
      <c r="R23" s="216"/>
      <c r="S23" s="216"/>
      <c r="T23" s="215"/>
      <c r="U23" s="224"/>
      <c r="V23" s="215"/>
      <c r="Y23" s="224"/>
      <c r="Z23" s="224"/>
    </row>
    <row r="24" spans="1:26" ht="15.75" customHeight="1" thickBot="1" x14ac:dyDescent="0.35">
      <c r="A24" s="113" t="b">
        <v>1</v>
      </c>
      <c r="B24" s="133"/>
      <c r="C24" s="228"/>
      <c r="O24" s="225"/>
      <c r="P24" s="224"/>
      <c r="Q24" s="216"/>
      <c r="R24" s="216"/>
      <c r="S24" s="216"/>
      <c r="T24" s="215"/>
      <c r="U24" s="224"/>
      <c r="V24" s="215"/>
      <c r="Y24" s="224"/>
      <c r="Z24" s="224"/>
    </row>
    <row r="25" spans="1:26" ht="9" customHeight="1" thickBot="1" x14ac:dyDescent="0.35">
      <c r="A25" s="322"/>
      <c r="B25" s="323"/>
      <c r="C25" s="228"/>
      <c r="O25" s="225"/>
      <c r="P25" s="224"/>
      <c r="Q25" s="216"/>
      <c r="R25" s="216"/>
      <c r="S25" s="216"/>
      <c r="T25" s="215"/>
      <c r="U25" s="224"/>
      <c r="V25" s="215"/>
      <c r="Y25" s="224"/>
      <c r="Z25" s="224"/>
    </row>
    <row r="26" spans="1:26" ht="27" customHeight="1" thickBot="1" x14ac:dyDescent="0.35">
      <c r="A26" s="393" t="s">
        <v>31</v>
      </c>
      <c r="B26" s="394"/>
      <c r="O26" s="225"/>
      <c r="P26" s="224"/>
      <c r="Q26" s="216"/>
      <c r="R26" s="216"/>
      <c r="S26" s="216"/>
      <c r="T26" s="215"/>
      <c r="U26" s="224"/>
      <c r="V26" s="215"/>
      <c r="Y26" s="224"/>
      <c r="Z26" s="224"/>
    </row>
    <row r="27" spans="1:26" ht="15" customHeight="1" x14ac:dyDescent="0.3">
      <c r="A27" s="402" t="s">
        <v>32</v>
      </c>
      <c r="B27" s="403"/>
      <c r="O27" s="225"/>
      <c r="P27" s="224"/>
      <c r="Q27" s="216"/>
      <c r="R27" s="216"/>
      <c r="S27" s="216"/>
      <c r="T27" s="215"/>
      <c r="U27" s="224"/>
      <c r="V27" s="215"/>
      <c r="Y27" s="224"/>
      <c r="Z27" s="224"/>
    </row>
    <row r="28" spans="1:26" x14ac:dyDescent="0.3">
      <c r="A28" s="404"/>
      <c r="B28" s="405"/>
      <c r="O28" s="225"/>
      <c r="P28" s="224"/>
      <c r="Q28" s="216"/>
      <c r="R28" s="216"/>
      <c r="S28" s="216"/>
      <c r="T28" s="215"/>
      <c r="U28" s="224"/>
      <c r="V28" s="215"/>
      <c r="Y28" s="224"/>
      <c r="Z28" s="224"/>
    </row>
    <row r="29" spans="1:26" ht="27" customHeight="1" x14ac:dyDescent="0.3">
      <c r="A29" s="406"/>
      <c r="B29" s="407"/>
      <c r="C29" s="228"/>
      <c r="O29" s="225"/>
      <c r="P29" s="224"/>
      <c r="Q29" s="216"/>
      <c r="R29" s="216"/>
      <c r="S29" s="216"/>
      <c r="T29" s="215"/>
      <c r="U29" s="224"/>
      <c r="V29" s="215"/>
      <c r="Y29" s="224"/>
      <c r="Z29" s="224"/>
    </row>
    <row r="30" spans="1:26" ht="27" customHeight="1" x14ac:dyDescent="0.3">
      <c r="A30" s="229" t="s">
        <v>33</v>
      </c>
      <c r="B30" s="230">
        <v>3</v>
      </c>
      <c r="C30" s="423" t="s">
        <v>34</v>
      </c>
      <c r="D30" s="424"/>
      <c r="O30" s="225"/>
      <c r="P30" s="224"/>
      <c r="Q30" s="216"/>
      <c r="R30" s="216"/>
      <c r="S30" s="216"/>
      <c r="T30" s="215"/>
      <c r="U30" s="224"/>
      <c r="V30" s="215"/>
      <c r="Y30" s="224"/>
      <c r="Z30" s="224"/>
    </row>
    <row r="31" spans="1:26" ht="23.25" customHeight="1" x14ac:dyDescent="0.3">
      <c r="A31" s="229" t="s">
        <v>35</v>
      </c>
      <c r="B31" s="230">
        <v>2</v>
      </c>
      <c r="C31" s="423"/>
      <c r="D31" s="424"/>
      <c r="E31" s="232"/>
      <c r="F31" s="232"/>
      <c r="G31" s="232"/>
      <c r="H31" s="232"/>
      <c r="I31" s="232"/>
      <c r="J31" s="232"/>
      <c r="K31" s="232"/>
      <c r="L31" s="232"/>
      <c r="M31" s="232"/>
      <c r="N31" s="232"/>
      <c r="O31" s="225"/>
      <c r="P31" s="224"/>
      <c r="Q31" s="216"/>
      <c r="R31" s="216"/>
      <c r="S31" s="216"/>
      <c r="T31" s="215"/>
      <c r="U31" s="224"/>
      <c r="V31" s="215"/>
      <c r="Y31" s="224"/>
      <c r="Z31" s="224"/>
    </row>
    <row r="32" spans="1:26" ht="31.8" thickBot="1" x14ac:dyDescent="0.35">
      <c r="A32" s="231" t="s">
        <v>36</v>
      </c>
      <c r="B32" s="291">
        <f>IF(B30+B31&gt;8,"Only valid for up to 8 people",B30+B31)</f>
        <v>5</v>
      </c>
      <c r="O32" s="225"/>
      <c r="P32" s="224"/>
      <c r="Q32" s="216"/>
      <c r="R32" s="216"/>
      <c r="S32" s="216"/>
      <c r="T32" s="215"/>
      <c r="U32" s="224"/>
      <c r="V32" s="215"/>
      <c r="Y32" s="224"/>
      <c r="Z32" s="224"/>
    </row>
    <row r="33" spans="1:26" ht="5.25" customHeight="1" x14ac:dyDescent="0.3">
      <c r="O33" s="225"/>
      <c r="P33" s="224"/>
      <c r="Q33" s="216"/>
      <c r="R33" s="216"/>
      <c r="S33" s="216"/>
      <c r="T33" s="215"/>
      <c r="U33" s="224"/>
      <c r="V33" s="215"/>
      <c r="Y33" s="224"/>
      <c r="Z33" s="224"/>
    </row>
    <row r="34" spans="1:26" ht="3.75" customHeight="1" thickBot="1" x14ac:dyDescent="0.35">
      <c r="O34" s="225"/>
      <c r="P34" s="224"/>
      <c r="Q34" s="216"/>
      <c r="R34" s="216"/>
      <c r="S34" s="216"/>
      <c r="T34" s="215"/>
      <c r="U34" s="224"/>
      <c r="V34" s="215"/>
      <c r="Y34" s="224"/>
      <c r="Z34" s="224"/>
    </row>
    <row r="35" spans="1:26" ht="15.75" customHeight="1" x14ac:dyDescent="0.3">
      <c r="A35" s="412" t="s">
        <v>37</v>
      </c>
      <c r="B35" s="413"/>
      <c r="O35" s="225"/>
      <c r="P35" s="224"/>
      <c r="Q35" s="216"/>
      <c r="R35" s="216"/>
      <c r="S35" s="216"/>
      <c r="T35" s="215"/>
      <c r="U35" s="224"/>
      <c r="V35" s="215"/>
      <c r="Y35" s="224"/>
      <c r="Z35" s="224"/>
    </row>
    <row r="36" spans="1:26" ht="16.2" thickBot="1" x14ac:dyDescent="0.35">
      <c r="A36" s="233" t="s">
        <v>38</v>
      </c>
      <c r="B36" s="234" t="s">
        <v>39</v>
      </c>
      <c r="O36" s="225"/>
      <c r="P36" s="224"/>
      <c r="Q36" s="216"/>
      <c r="R36" s="216"/>
      <c r="S36" s="216"/>
      <c r="T36" s="215"/>
      <c r="U36" s="224"/>
      <c r="V36" s="215"/>
      <c r="Y36" s="224"/>
      <c r="Z36" s="224"/>
    </row>
    <row r="37" spans="1:26" ht="14.25" customHeight="1" x14ac:dyDescent="0.3">
      <c r="A37" s="235" t="s">
        <v>40</v>
      </c>
      <c r="B37" s="236">
        <v>34</v>
      </c>
      <c r="C37" s="425" t="s">
        <v>679</v>
      </c>
      <c r="D37" s="426"/>
      <c r="E37" s="376" t="s">
        <v>67</v>
      </c>
      <c r="O37" s="225"/>
      <c r="P37" s="224"/>
      <c r="Q37" s="216"/>
      <c r="R37" s="216"/>
      <c r="S37" s="216"/>
      <c r="T37" s="215"/>
      <c r="U37" s="224"/>
      <c r="V37" s="215"/>
      <c r="Y37" s="224"/>
      <c r="Z37" s="224"/>
    </row>
    <row r="38" spans="1:26" ht="14.25" customHeight="1" x14ac:dyDescent="0.3">
      <c r="A38" s="235" t="s">
        <v>41</v>
      </c>
      <c r="B38" s="236">
        <v>28</v>
      </c>
      <c r="C38" s="427" t="s">
        <v>679</v>
      </c>
      <c r="D38" s="428"/>
      <c r="E38" s="377" t="s">
        <v>67</v>
      </c>
      <c r="O38" s="225"/>
      <c r="P38" s="224"/>
      <c r="Q38" s="216"/>
      <c r="R38" s="216"/>
      <c r="S38" s="216"/>
      <c r="T38" s="215"/>
      <c r="U38" s="224"/>
      <c r="V38" s="215"/>
      <c r="Y38" s="224"/>
      <c r="Z38" s="224"/>
    </row>
    <row r="39" spans="1:26" ht="14.25" customHeight="1" x14ac:dyDescent="0.3">
      <c r="A39" s="235" t="s">
        <v>42</v>
      </c>
      <c r="B39" s="236">
        <v>80</v>
      </c>
      <c r="C39" s="427" t="s">
        <v>679</v>
      </c>
      <c r="D39" s="428"/>
      <c r="E39" s="377" t="s">
        <v>62</v>
      </c>
      <c r="O39" s="225"/>
      <c r="P39" s="224"/>
      <c r="Q39" s="216"/>
      <c r="R39" s="216"/>
      <c r="S39" s="216"/>
      <c r="T39" s="215"/>
      <c r="U39" s="224"/>
      <c r="V39" s="215"/>
      <c r="Y39" s="224"/>
      <c r="Z39" s="224"/>
    </row>
    <row r="40" spans="1:26" ht="14.25" customHeight="1" x14ac:dyDescent="0.3">
      <c r="A40" s="235" t="s">
        <v>43</v>
      </c>
      <c r="B40" s="236"/>
      <c r="C40" s="427" t="s">
        <v>679</v>
      </c>
      <c r="D40" s="428"/>
      <c r="E40" s="377" t="s">
        <v>62</v>
      </c>
      <c r="O40" s="216"/>
      <c r="P40" s="216"/>
      <c r="Q40" s="216"/>
      <c r="R40" s="216"/>
      <c r="S40" s="216"/>
      <c r="T40" s="215"/>
      <c r="U40" s="224"/>
      <c r="V40" s="215"/>
      <c r="Y40" s="224"/>
      <c r="Z40" s="224"/>
    </row>
    <row r="41" spans="1:26" ht="14.25" customHeight="1" x14ac:dyDescent="0.3">
      <c r="A41" s="235" t="s">
        <v>44</v>
      </c>
      <c r="B41" s="236"/>
      <c r="C41" s="427" t="s">
        <v>679</v>
      </c>
      <c r="D41" s="428"/>
      <c r="E41" s="377"/>
      <c r="O41" s="216"/>
      <c r="P41" s="216"/>
      <c r="Q41" s="216"/>
      <c r="R41" s="216"/>
      <c r="S41" s="216"/>
      <c r="T41" s="215"/>
      <c r="U41" s="224"/>
      <c r="V41" s="215"/>
      <c r="Y41" s="224"/>
      <c r="Z41" s="224"/>
    </row>
    <row r="42" spans="1:26" ht="14.25" customHeight="1" x14ac:dyDescent="0.3">
      <c r="A42" s="235" t="s">
        <v>45</v>
      </c>
      <c r="B42" s="236"/>
      <c r="C42" s="427" t="s">
        <v>679</v>
      </c>
      <c r="D42" s="428"/>
      <c r="E42" s="377"/>
      <c r="O42" s="216"/>
      <c r="P42" s="216"/>
      <c r="Q42" s="216"/>
      <c r="R42" s="216"/>
      <c r="S42" s="216"/>
      <c r="T42" s="215"/>
      <c r="U42" s="224"/>
      <c r="V42" s="215"/>
      <c r="Y42" s="224"/>
      <c r="Z42" s="224"/>
    </row>
    <row r="43" spans="1:26" ht="14.25" customHeight="1" x14ac:dyDescent="0.3">
      <c r="A43" s="235" t="s">
        <v>46</v>
      </c>
      <c r="B43" s="236"/>
      <c r="C43" s="427" t="s">
        <v>679</v>
      </c>
      <c r="D43" s="428"/>
      <c r="E43" s="377"/>
      <c r="O43" s="216"/>
      <c r="P43" s="216"/>
      <c r="Q43" s="216"/>
      <c r="R43" s="216"/>
      <c r="S43" s="216"/>
      <c r="T43" s="215"/>
      <c r="U43" s="224"/>
      <c r="V43" s="215"/>
      <c r="Y43" s="224"/>
      <c r="Z43" s="224"/>
    </row>
    <row r="44" spans="1:26" ht="14.25" customHeight="1" thickBot="1" x14ac:dyDescent="0.35">
      <c r="A44" s="237" t="s">
        <v>47</v>
      </c>
      <c r="B44" s="236"/>
      <c r="C44" s="434" t="s">
        <v>679</v>
      </c>
      <c r="D44" s="435"/>
      <c r="E44" s="378"/>
      <c r="O44" s="216"/>
      <c r="P44" s="216"/>
      <c r="Q44" s="216"/>
      <c r="R44" s="216"/>
      <c r="S44" s="216"/>
      <c r="T44" s="215"/>
      <c r="U44" s="224"/>
      <c r="V44" s="215"/>
      <c r="Y44" s="224"/>
      <c r="Z44" s="224"/>
    </row>
    <row r="45" spans="1:26" s="324" customFormat="1" ht="16.2" thickBot="1" x14ac:dyDescent="0.35"/>
    <row r="46" spans="1:26" ht="60" customHeight="1" x14ac:dyDescent="0.3">
      <c r="A46" s="430" t="s">
        <v>48</v>
      </c>
      <c r="B46" s="432" t="s">
        <v>25</v>
      </c>
      <c r="C46" s="408" t="s">
        <v>49</v>
      </c>
      <c r="O46" s="216"/>
      <c r="P46" s="216"/>
      <c r="Q46" s="216"/>
      <c r="R46" s="216"/>
      <c r="S46" s="216"/>
      <c r="T46" s="215"/>
      <c r="U46" s="224"/>
      <c r="V46" s="215"/>
      <c r="Y46" s="224"/>
      <c r="Z46" s="224"/>
    </row>
    <row r="47" spans="1:26" ht="21.75" customHeight="1" x14ac:dyDescent="0.3">
      <c r="A47" s="431"/>
      <c r="B47" s="433"/>
      <c r="C47" s="409"/>
      <c r="O47" s="216"/>
      <c r="P47" s="216"/>
      <c r="Q47" s="216"/>
      <c r="R47" s="216"/>
      <c r="S47" s="216"/>
      <c r="T47" s="215"/>
      <c r="U47" s="224"/>
      <c r="V47" s="215"/>
      <c r="Y47" s="224"/>
      <c r="Z47" s="224"/>
    </row>
    <row r="48" spans="1:26" ht="14.25" customHeight="1" x14ac:dyDescent="0.3">
      <c r="A48" s="235" t="s">
        <v>50</v>
      </c>
      <c r="B48" s="300" t="s">
        <v>51</v>
      </c>
      <c r="C48" s="410"/>
      <c r="O48" s="216"/>
      <c r="P48" s="216"/>
      <c r="Q48" s="216"/>
      <c r="R48" s="216"/>
      <c r="S48" s="216"/>
      <c r="T48" s="215"/>
      <c r="U48" s="224"/>
      <c r="V48" s="215"/>
      <c r="Y48" s="224"/>
      <c r="Z48" s="224"/>
    </row>
    <row r="49" spans="1:30" ht="14.25" customHeight="1" x14ac:dyDescent="0.3">
      <c r="A49" s="235" t="s">
        <v>52</v>
      </c>
      <c r="B49" s="300" t="s">
        <v>120</v>
      </c>
      <c r="C49" s="410"/>
      <c r="O49" s="216"/>
      <c r="P49" s="216"/>
      <c r="Q49" s="216"/>
      <c r="R49" s="216"/>
      <c r="S49" s="216"/>
      <c r="T49" s="215"/>
      <c r="U49" s="224"/>
      <c r="V49" s="215"/>
      <c r="Y49" s="224"/>
      <c r="Z49" s="224"/>
    </row>
    <row r="50" spans="1:30" ht="14.25" customHeight="1" x14ac:dyDescent="0.3">
      <c r="A50" s="235" t="s">
        <v>53</v>
      </c>
      <c r="B50" s="300"/>
      <c r="C50" s="410"/>
      <c r="E50" s="215"/>
      <c r="O50" s="216"/>
      <c r="P50" s="216"/>
      <c r="Q50" s="216"/>
      <c r="R50" s="216"/>
      <c r="S50" s="216"/>
      <c r="T50" s="215"/>
      <c r="U50" s="224"/>
      <c r="V50" s="215"/>
      <c r="Y50" s="224"/>
      <c r="Z50" s="224"/>
    </row>
    <row r="51" spans="1:30" ht="14.25" customHeight="1" x14ac:dyDescent="0.3">
      <c r="A51" s="235" t="s">
        <v>54</v>
      </c>
      <c r="B51" s="300"/>
      <c r="C51" s="410"/>
      <c r="O51" s="216"/>
      <c r="P51" s="216"/>
      <c r="Q51" s="216"/>
      <c r="R51" s="216"/>
      <c r="S51" s="216"/>
      <c r="T51" s="215"/>
      <c r="U51" s="224"/>
      <c r="V51" s="215"/>
      <c r="Y51" s="224"/>
      <c r="Z51" s="224"/>
    </row>
    <row r="52" spans="1:30" ht="14.25" customHeight="1" x14ac:dyDescent="0.3">
      <c r="A52" s="235" t="s">
        <v>55</v>
      </c>
      <c r="B52" s="300"/>
      <c r="C52" s="410"/>
      <c r="O52" s="216"/>
      <c r="P52" s="216"/>
      <c r="Q52" s="216"/>
      <c r="R52" s="216"/>
      <c r="S52" s="216"/>
      <c r="T52" s="215"/>
      <c r="U52" s="224"/>
      <c r="V52" s="215"/>
      <c r="Y52" s="224"/>
      <c r="Z52" s="224"/>
    </row>
    <row r="53" spans="1:30" ht="14.25" customHeight="1" x14ac:dyDescent="0.3">
      <c r="A53" s="235" t="s">
        <v>56</v>
      </c>
      <c r="B53" s="300"/>
      <c r="C53" s="410"/>
      <c r="O53" s="216"/>
      <c r="P53" s="216"/>
      <c r="Q53" s="216"/>
      <c r="R53" s="216"/>
      <c r="S53" s="216"/>
      <c r="T53" s="215"/>
      <c r="U53" s="224"/>
      <c r="V53" s="215"/>
      <c r="Y53" s="224"/>
      <c r="Z53" s="224"/>
    </row>
    <row r="54" spans="1:30" ht="14.25" customHeight="1" thickBot="1" x14ac:dyDescent="0.35">
      <c r="A54" s="237" t="s">
        <v>57</v>
      </c>
      <c r="B54" s="327"/>
      <c r="C54" s="411"/>
      <c r="O54" s="225"/>
      <c r="P54" s="224"/>
      <c r="Q54" s="216"/>
      <c r="R54" s="216"/>
      <c r="S54" s="216"/>
      <c r="T54" s="215"/>
      <c r="U54" s="224"/>
      <c r="V54" s="215"/>
      <c r="Y54" s="224"/>
      <c r="Z54" s="224"/>
    </row>
    <row r="55" spans="1:30" ht="14.25" customHeight="1" x14ac:dyDescent="0.3">
      <c r="A55" s="328"/>
      <c r="B55" s="240"/>
      <c r="C55" s="240"/>
      <c r="O55" s="225"/>
      <c r="P55" s="224"/>
      <c r="Q55" s="216"/>
      <c r="R55" s="216"/>
      <c r="S55" s="216"/>
      <c r="T55" s="215"/>
      <c r="U55" s="224"/>
      <c r="V55" s="215"/>
      <c r="Y55" s="224"/>
      <c r="Z55" s="224"/>
    </row>
    <row r="56" spans="1:30" ht="14.25" customHeight="1" thickBot="1" x14ac:dyDescent="0.35">
      <c r="C56" s="240"/>
      <c r="O56" s="225"/>
      <c r="P56" s="224"/>
      <c r="Q56" s="216"/>
      <c r="R56" s="216"/>
      <c r="S56" s="216"/>
      <c r="T56" s="215"/>
      <c r="U56" s="224"/>
      <c r="V56" s="215"/>
      <c r="Y56" s="224"/>
      <c r="Z56" s="224"/>
    </row>
    <row r="57" spans="1:30" ht="26.25" customHeight="1" thickBot="1" x14ac:dyDescent="0.35">
      <c r="A57" s="393" t="s">
        <v>58</v>
      </c>
      <c r="B57" s="394"/>
      <c r="C57" s="240"/>
      <c r="O57" s="216"/>
      <c r="P57" s="216"/>
      <c r="Q57" s="216"/>
      <c r="R57" s="216"/>
      <c r="S57" s="216"/>
      <c r="T57" s="215"/>
      <c r="U57" s="224"/>
      <c r="V57" s="215"/>
      <c r="Y57" s="224"/>
      <c r="Z57" s="224"/>
    </row>
    <row r="58" spans="1:30" ht="34.5" customHeight="1" thickBot="1" x14ac:dyDescent="0.35">
      <c r="A58" s="412" t="s">
        <v>59</v>
      </c>
      <c r="B58" s="413"/>
      <c r="C58" s="436" t="s">
        <v>60</v>
      </c>
      <c r="D58" s="437"/>
      <c r="E58" s="437"/>
      <c r="F58" s="437"/>
      <c r="G58" s="437"/>
      <c r="H58" s="438"/>
      <c r="O58" s="216"/>
      <c r="P58" s="216"/>
      <c r="Q58" s="216"/>
      <c r="R58" s="216"/>
      <c r="S58" s="216"/>
      <c r="T58" s="215"/>
      <c r="U58" s="224"/>
      <c r="V58" s="215"/>
      <c r="Y58" s="224"/>
      <c r="Z58" s="224"/>
    </row>
    <row r="59" spans="1:30" ht="62.25" customHeight="1" thickBot="1" x14ac:dyDescent="0.35">
      <c r="A59" s="292" t="s">
        <v>61</v>
      </c>
      <c r="B59" s="334" t="s">
        <v>67</v>
      </c>
      <c r="C59" s="331" t="s">
        <v>64</v>
      </c>
      <c r="D59" s="341">
        <v>1</v>
      </c>
      <c r="E59" s="331" t="s">
        <v>63</v>
      </c>
      <c r="F59" s="341"/>
      <c r="G59" s="381" t="s">
        <v>65</v>
      </c>
      <c r="H59" s="342">
        <v>1</v>
      </c>
      <c r="O59" s="216"/>
      <c r="P59" s="216"/>
      <c r="Q59" s="216"/>
      <c r="R59" s="216"/>
      <c r="S59" s="216"/>
      <c r="T59" s="215"/>
      <c r="U59" s="224"/>
      <c r="V59" s="215"/>
      <c r="Y59" s="224"/>
      <c r="Z59" s="224"/>
    </row>
    <row r="60" spans="1:30" ht="9" customHeight="1" thickBot="1" x14ac:dyDescent="0.35">
      <c r="A60" s="306"/>
      <c r="B60" s="335"/>
      <c r="O60" s="225"/>
      <c r="P60" s="224"/>
      <c r="Q60" s="216"/>
      <c r="R60" s="216"/>
      <c r="S60" s="216"/>
      <c r="T60" s="215"/>
      <c r="U60" s="224"/>
      <c r="V60" s="215"/>
      <c r="Y60" s="224"/>
      <c r="Z60" s="224"/>
    </row>
    <row r="61" spans="1:30" ht="57.75" customHeight="1" thickBot="1" x14ac:dyDescent="0.35">
      <c r="A61" s="307" t="s">
        <v>66</v>
      </c>
      <c r="B61" s="336" t="s">
        <v>67</v>
      </c>
      <c r="C61" s="379" t="s">
        <v>681</v>
      </c>
      <c r="D61" s="380">
        <v>1</v>
      </c>
      <c r="E61" s="307" t="s">
        <v>68</v>
      </c>
      <c r="F61" s="343">
        <v>1</v>
      </c>
      <c r="G61" s="333" t="s">
        <v>69</v>
      </c>
      <c r="H61" s="332">
        <v>200</v>
      </c>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5">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5">
      <c r="A63" s="412" t="s">
        <v>70</v>
      </c>
      <c r="B63" s="413"/>
      <c r="K63" s="225"/>
      <c r="L63" s="224"/>
      <c r="M63" s="216"/>
      <c r="N63" s="216"/>
      <c r="P63" s="215"/>
      <c r="Q63" s="224"/>
      <c r="R63" s="215"/>
      <c r="S63" s="215"/>
      <c r="T63" s="215"/>
      <c r="U63" s="224"/>
      <c r="V63" s="224"/>
      <c r="Y63" s="215"/>
      <c r="Z63" s="216"/>
      <c r="AA63" s="149"/>
      <c r="AB63" s="149"/>
      <c r="AC63" s="149"/>
      <c r="AD63" s="149"/>
    </row>
    <row r="64" spans="1:30" ht="39.75" customHeight="1" thickBot="1" x14ac:dyDescent="0.35">
      <c r="A64" s="319" t="s">
        <v>71</v>
      </c>
      <c r="B64" s="238" t="s">
        <v>67</v>
      </c>
      <c r="C64" s="331" t="s">
        <v>72</v>
      </c>
      <c r="D64" s="342">
        <v>1</v>
      </c>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5">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5">
      <c r="A66" s="307" t="s">
        <v>73</v>
      </c>
      <c r="B66" s="317" t="s">
        <v>67</v>
      </c>
      <c r="C66" s="373" t="s">
        <v>74</v>
      </c>
      <c r="D66" s="372">
        <v>1</v>
      </c>
      <c r="E66" s="318" t="s">
        <v>75</v>
      </c>
      <c r="F66" s="303">
        <v>50</v>
      </c>
      <c r="O66" s="225"/>
      <c r="P66" s="224"/>
      <c r="Q66" s="216"/>
      <c r="R66" s="216"/>
      <c r="S66" s="216"/>
      <c r="T66" s="215"/>
      <c r="U66" s="224"/>
      <c r="V66" s="215"/>
      <c r="Y66" s="224"/>
      <c r="Z66" s="224"/>
    </row>
    <row r="67" spans="1:30" ht="12.75" customHeight="1" thickBot="1" x14ac:dyDescent="0.35">
      <c r="A67" s="352"/>
      <c r="B67" s="353"/>
      <c r="C67" s="240"/>
      <c r="O67" s="225"/>
      <c r="P67" s="224"/>
      <c r="Q67" s="216"/>
      <c r="R67" s="216"/>
      <c r="S67" s="216"/>
      <c r="T67" s="215"/>
      <c r="U67" s="224"/>
      <c r="V67" s="215"/>
      <c r="Y67" s="224"/>
      <c r="Z67" s="224"/>
    </row>
    <row r="68" spans="1:30" ht="23.25" customHeight="1" thickBot="1" x14ac:dyDescent="0.35">
      <c r="A68" s="420" t="s">
        <v>76</v>
      </c>
      <c r="B68" s="421"/>
      <c r="C68" s="421"/>
      <c r="D68" s="422"/>
      <c r="O68" s="225"/>
      <c r="P68" s="224"/>
      <c r="Q68" s="216"/>
      <c r="R68" s="216"/>
      <c r="S68" s="216"/>
      <c r="T68" s="215"/>
      <c r="U68" s="224"/>
      <c r="V68" s="215"/>
      <c r="Y68" s="224"/>
      <c r="Z68" s="224"/>
    </row>
    <row r="69" spans="1:30" ht="48" customHeight="1" thickBot="1" x14ac:dyDescent="0.35">
      <c r="A69" s="354" t="s">
        <v>77</v>
      </c>
      <c r="B69" s="355">
        <v>500</v>
      </c>
      <c r="C69" s="418" t="s">
        <v>78</v>
      </c>
      <c r="D69" s="419"/>
      <c r="O69" s="225"/>
      <c r="P69" s="224"/>
      <c r="Q69" s="216"/>
      <c r="R69" s="216"/>
      <c r="S69" s="216"/>
      <c r="T69" s="215"/>
      <c r="U69" s="224"/>
      <c r="V69" s="215"/>
      <c r="Y69" s="224"/>
      <c r="Z69" s="224"/>
    </row>
    <row r="70" spans="1:30" ht="56.25" customHeight="1" thickBot="1" x14ac:dyDescent="0.35">
      <c r="A70" s="374" t="s">
        <v>673</v>
      </c>
      <c r="B70" s="375" t="s">
        <v>672</v>
      </c>
      <c r="C70" s="241" t="s">
        <v>674</v>
      </c>
      <c r="D70" s="356">
        <v>700</v>
      </c>
      <c r="O70" s="225"/>
      <c r="P70" s="224"/>
      <c r="Q70" s="216"/>
      <c r="R70" s="216"/>
      <c r="S70" s="216"/>
      <c r="T70" s="215"/>
      <c r="U70" s="224"/>
      <c r="V70" s="215"/>
      <c r="Y70" s="224"/>
      <c r="Z70" s="224"/>
    </row>
    <row r="71" spans="1:30" ht="14.25" customHeight="1" thickBot="1" x14ac:dyDescent="0.35">
      <c r="A71" s="239"/>
      <c r="O71" s="225"/>
      <c r="P71" s="224"/>
      <c r="Q71" s="216"/>
      <c r="R71" s="216"/>
      <c r="S71" s="216"/>
      <c r="T71" s="215"/>
      <c r="U71" s="224"/>
      <c r="V71" s="215"/>
      <c r="Y71" s="224"/>
      <c r="Z71" s="224"/>
    </row>
    <row r="72" spans="1:30" ht="33" customHeight="1" thickBot="1" x14ac:dyDescent="0.35">
      <c r="A72" s="241" t="s">
        <v>79</v>
      </c>
      <c r="B72" s="375" t="s">
        <v>620</v>
      </c>
      <c r="C72" s="326" t="s">
        <v>80</v>
      </c>
      <c r="O72" s="225"/>
      <c r="P72" s="224"/>
      <c r="Q72" s="216"/>
      <c r="R72" s="216"/>
      <c r="S72" s="216"/>
      <c r="T72" s="215"/>
      <c r="U72" s="224"/>
      <c r="V72" s="215"/>
      <c r="Y72" s="224"/>
      <c r="Z72" s="224"/>
    </row>
    <row r="73" spans="1:30" ht="16.2" thickBot="1" x14ac:dyDescent="0.35">
      <c r="A73" s="240"/>
      <c r="B73" s="240"/>
    </row>
    <row r="74" spans="1:30" ht="33.75" customHeight="1" x14ac:dyDescent="0.3">
      <c r="A74" s="297" t="s">
        <v>81</v>
      </c>
      <c r="B74" s="294"/>
      <c r="O74" s="225"/>
      <c r="P74" s="224"/>
      <c r="Q74" s="216"/>
      <c r="R74" s="216"/>
      <c r="S74" s="216"/>
      <c r="T74" s="215"/>
      <c r="U74" s="224"/>
      <c r="V74" s="215"/>
      <c r="Y74" s="224"/>
      <c r="Z74" s="224"/>
    </row>
    <row r="75" spans="1:30" ht="33.75" customHeight="1" x14ac:dyDescent="0.3">
      <c r="A75" s="388"/>
      <c r="B75" s="253"/>
      <c r="O75" s="225"/>
      <c r="P75" s="224"/>
      <c r="Q75" s="216"/>
      <c r="R75" s="216"/>
      <c r="S75" s="216"/>
      <c r="T75" s="215"/>
      <c r="U75" s="224"/>
      <c r="V75" s="215"/>
      <c r="Y75" s="224"/>
      <c r="Z75" s="224"/>
    </row>
    <row r="76" spans="1:30" ht="32.25" customHeight="1" thickBot="1" x14ac:dyDescent="0.45">
      <c r="A76" s="429" t="s">
        <v>695</v>
      </c>
      <c r="B76" s="429"/>
      <c r="C76" s="429"/>
      <c r="O76" s="225"/>
      <c r="P76" s="224"/>
      <c r="Q76" s="216"/>
      <c r="R76" s="216"/>
      <c r="S76" s="216"/>
      <c r="T76" s="215"/>
      <c r="U76" s="224"/>
      <c r="V76" s="215"/>
      <c r="Y76" s="224"/>
      <c r="Z76" s="224"/>
    </row>
    <row r="77" spans="1:30" ht="32.25" customHeight="1" thickBot="1" x14ac:dyDescent="0.35">
      <c r="A77" s="295" t="s">
        <v>82</v>
      </c>
      <c r="B77" s="296">
        <v>1423</v>
      </c>
      <c r="C77" s="305" t="s">
        <v>83</v>
      </c>
      <c r="D77" s="387" t="s">
        <v>694</v>
      </c>
      <c r="O77" s="225"/>
      <c r="P77" s="224"/>
      <c r="Q77" s="216"/>
      <c r="R77" s="216"/>
      <c r="S77" s="216"/>
      <c r="T77" s="215"/>
      <c r="U77" s="224"/>
      <c r="V77" s="215"/>
      <c r="Y77" s="224"/>
      <c r="Z77" s="224"/>
    </row>
    <row r="78" spans="1:30" ht="35.25" customHeight="1" thickBot="1" x14ac:dyDescent="0.35">
      <c r="A78" s="295" t="s">
        <v>84</v>
      </c>
      <c r="B78" s="296">
        <v>3000</v>
      </c>
      <c r="C78" s="305" t="s">
        <v>83</v>
      </c>
      <c r="O78" s="225"/>
      <c r="P78" s="224"/>
      <c r="Q78" s="216"/>
      <c r="R78" s="216"/>
      <c r="S78" s="216"/>
      <c r="T78" s="215"/>
      <c r="U78" s="224"/>
      <c r="V78" s="215"/>
      <c r="Y78" s="224"/>
      <c r="Z78" s="224"/>
    </row>
    <row r="79" spans="1:30" ht="0.75" customHeight="1" thickBot="1" x14ac:dyDescent="0.35">
      <c r="O79" s="225"/>
      <c r="P79" s="224"/>
      <c r="Q79" s="216"/>
      <c r="R79" s="216"/>
      <c r="S79" s="216"/>
      <c r="T79" s="215"/>
      <c r="U79" s="224"/>
      <c r="V79" s="215"/>
      <c r="Y79" s="224"/>
      <c r="Z79" s="224"/>
    </row>
    <row r="80" spans="1:30" ht="51.75" customHeight="1" thickBot="1" x14ac:dyDescent="0.35">
      <c r="A80" s="357" t="s">
        <v>85</v>
      </c>
      <c r="B80" s="358" t="s">
        <v>67</v>
      </c>
      <c r="C80" s="357" t="s">
        <v>697</v>
      </c>
      <c r="D80" s="359">
        <v>0</v>
      </c>
      <c r="O80" s="225"/>
      <c r="P80" s="224"/>
      <c r="Q80" s="216"/>
      <c r="R80" s="216"/>
      <c r="S80" s="216"/>
      <c r="T80" s="215"/>
      <c r="U80" s="224"/>
      <c r="V80" s="215"/>
      <c r="Y80" s="224"/>
      <c r="Z80" s="224"/>
    </row>
    <row r="81" spans="1:30" ht="14.25" customHeight="1" x14ac:dyDescent="0.3">
      <c r="B81" s="253"/>
      <c r="O81" s="225"/>
      <c r="P81" s="224"/>
      <c r="Q81" s="216"/>
      <c r="R81" s="216"/>
      <c r="S81" s="216"/>
      <c r="T81" s="215"/>
      <c r="U81" s="224"/>
      <c r="V81" s="215"/>
      <c r="Y81" s="224"/>
      <c r="Z81" s="224"/>
    </row>
    <row r="82" spans="1:30" ht="32.25" customHeight="1" thickBot="1" x14ac:dyDescent="0.45">
      <c r="A82" s="429" t="s">
        <v>696</v>
      </c>
      <c r="B82" s="429"/>
      <c r="C82" s="429"/>
      <c r="O82" s="225"/>
      <c r="P82" s="224"/>
      <c r="Q82" s="216"/>
      <c r="R82" s="216"/>
      <c r="S82" s="216"/>
      <c r="T82" s="215"/>
      <c r="U82" s="224"/>
      <c r="V82" s="215"/>
      <c r="Y82" s="224"/>
      <c r="Z82" s="224"/>
    </row>
    <row r="83" spans="1:30" ht="32.25" customHeight="1" thickBot="1" x14ac:dyDescent="0.35">
      <c r="A83" s="295" t="s">
        <v>82</v>
      </c>
      <c r="B83" s="296"/>
      <c r="C83" s="305" t="s">
        <v>83</v>
      </c>
      <c r="D83" s="387" t="s">
        <v>694</v>
      </c>
      <c r="O83" s="225"/>
      <c r="P83" s="224"/>
      <c r="Q83" s="216"/>
      <c r="R83" s="216"/>
      <c r="S83" s="216"/>
      <c r="T83" s="215"/>
      <c r="U83" s="224"/>
      <c r="V83" s="215"/>
      <c r="Y83" s="224"/>
      <c r="Z83" s="224"/>
    </row>
    <row r="84" spans="1:30" ht="35.25" customHeight="1" thickBot="1" x14ac:dyDescent="0.35">
      <c r="A84" s="295" t="s">
        <v>84</v>
      </c>
      <c r="B84" s="296"/>
      <c r="C84" s="305" t="s">
        <v>83</v>
      </c>
      <c r="O84" s="225"/>
      <c r="P84" s="224"/>
      <c r="Q84" s="216"/>
      <c r="R84" s="216"/>
      <c r="S84" s="216"/>
      <c r="T84" s="215"/>
      <c r="U84" s="224"/>
      <c r="V84" s="215"/>
      <c r="Y84" s="224"/>
      <c r="Z84" s="224"/>
    </row>
    <row r="85" spans="1:30" ht="0.75" customHeight="1" thickBot="1" x14ac:dyDescent="0.35">
      <c r="O85" s="225"/>
      <c r="P85" s="224"/>
      <c r="Q85" s="216"/>
      <c r="R85" s="216"/>
      <c r="S85" s="216"/>
      <c r="T85" s="215"/>
      <c r="U85" s="224"/>
      <c r="V85" s="215"/>
      <c r="Y85" s="224"/>
      <c r="Z85" s="224"/>
    </row>
    <row r="86" spans="1:30" ht="48.75" customHeight="1" thickBot="1" x14ac:dyDescent="0.35">
      <c r="A86" s="357" t="s">
        <v>85</v>
      </c>
      <c r="B86" s="358" t="s">
        <v>62</v>
      </c>
      <c r="C86" s="357" t="s">
        <v>698</v>
      </c>
      <c r="D86" s="359">
        <v>0</v>
      </c>
      <c r="O86" s="225"/>
      <c r="P86" s="224"/>
      <c r="Q86" s="216"/>
      <c r="R86" s="216"/>
      <c r="S86" s="216"/>
      <c r="T86" s="215"/>
      <c r="U86" s="224"/>
      <c r="V86" s="215"/>
      <c r="Y86" s="224"/>
      <c r="Z86" s="224"/>
    </row>
    <row r="87" spans="1:30" ht="4.5" customHeight="1" x14ac:dyDescent="0.3">
      <c r="B87" s="253"/>
      <c r="O87" s="225"/>
      <c r="P87" s="224"/>
      <c r="Q87" s="216"/>
      <c r="R87" s="216"/>
      <c r="S87" s="216"/>
      <c r="T87" s="215"/>
      <c r="U87" s="224"/>
      <c r="V87" s="215"/>
      <c r="Y87" s="224"/>
      <c r="Z87" s="224"/>
    </row>
    <row r="88" spans="1:30" ht="14.25" customHeight="1" thickBot="1" x14ac:dyDescent="0.35">
      <c r="A88" s="253"/>
      <c r="B88" s="253"/>
      <c r="P88" s="224"/>
      <c r="Q88" s="216"/>
      <c r="R88" s="216"/>
      <c r="S88" s="216"/>
      <c r="T88" s="215"/>
      <c r="U88" s="224"/>
      <c r="V88" s="215"/>
      <c r="Y88" s="224"/>
      <c r="Z88" s="224"/>
    </row>
    <row r="89" spans="1:30" s="273" customFormat="1" ht="55.5" customHeight="1" thickBot="1" x14ac:dyDescent="0.35">
      <c r="A89" s="398" t="s">
        <v>97</v>
      </c>
      <c r="B89" s="399"/>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3">
      <c r="A90" s="265" t="s">
        <v>99</v>
      </c>
      <c r="B90" s="266">
        <f>B77+B83</f>
        <v>1423</v>
      </c>
      <c r="C90" s="270">
        <f>SUM(E90:M90)</f>
        <v>6921.1890000000003</v>
      </c>
      <c r="D90" s="271">
        <f>SUM(E90:M90)+B90</f>
        <v>8344.1890000000003</v>
      </c>
      <c r="E90" s="267">
        <f>'Child care subsidy'!S208</f>
        <v>1980</v>
      </c>
      <c r="F90" s="268">
        <f>EITC!E208/12</f>
        <v>654.58000000000004</v>
      </c>
      <c r="G90" s="268">
        <f>'Health insurance subsidy '!L220</f>
        <v>0</v>
      </c>
      <c r="H90" s="268">
        <f>'Housing Voucher'!Q209</f>
        <v>1026.0989999999999</v>
      </c>
      <c r="I90" s="268">
        <f>Medicaid!N212</f>
        <v>2188.75</v>
      </c>
      <c r="J90" s="268">
        <f>SNAP!V209</f>
        <v>1035</v>
      </c>
      <c r="K90" s="268">
        <f>MAX('TANF-VIEW'!L212,'TANF-VIEW'!T212)</f>
        <v>0</v>
      </c>
      <c r="L90" s="268">
        <f>'TANF-VIEW'!T212</f>
        <v>0</v>
      </c>
      <c r="M90" s="269">
        <f>WIC!F211</f>
        <v>36.76</v>
      </c>
      <c r="N90" s="272" t="s">
        <v>98</v>
      </c>
      <c r="P90" s="279"/>
      <c r="Q90" s="280"/>
      <c r="R90" s="280"/>
      <c r="S90" s="280"/>
      <c r="T90" s="281"/>
      <c r="U90" s="279"/>
      <c r="V90" s="281"/>
      <c r="W90" s="281"/>
      <c r="X90" s="281"/>
      <c r="Y90" s="279"/>
      <c r="Z90" s="279"/>
      <c r="AA90" s="281"/>
      <c r="AB90" s="281"/>
      <c r="AC90" s="281"/>
      <c r="AD90" s="280"/>
    </row>
    <row r="91" spans="1:30" ht="37.5" customHeight="1" thickBot="1" x14ac:dyDescent="0.35">
      <c r="A91" s="288" t="s">
        <v>101</v>
      </c>
      <c r="B91" s="287">
        <f>B78+B84</f>
        <v>3000</v>
      </c>
      <c r="C91" s="270">
        <f>SUM(E91:M91)</f>
        <v>5828.9625491666666</v>
      </c>
      <c r="D91" s="271">
        <f>SUM(E91:M91)+B91</f>
        <v>8828.9625491666666</v>
      </c>
      <c r="E91" s="282">
        <f>'Child care subsidy'!S210</f>
        <v>1980</v>
      </c>
      <c r="F91" s="283">
        <f>EITC!E210/12</f>
        <v>603.45354916666668</v>
      </c>
      <c r="G91" s="283">
        <f>'Health insurance subsidy '!L222</f>
        <v>0</v>
      </c>
      <c r="H91" s="283">
        <f>'Housing Voucher'!Q211</f>
        <v>552.99900000000002</v>
      </c>
      <c r="I91" s="283">
        <f>Medicaid!N214</f>
        <v>2188.75</v>
      </c>
      <c r="J91" s="283">
        <f>SNAP!V211</f>
        <v>467</v>
      </c>
      <c r="K91" s="283">
        <f>MAX('TANF-VIEW'!L214,'TANF-VIEW'!T214)</f>
        <v>0</v>
      </c>
      <c r="L91" s="283">
        <f>'TANF-VIEW'!T214</f>
        <v>0</v>
      </c>
      <c r="M91" s="284">
        <f>WIC!F213</f>
        <v>36.76</v>
      </c>
      <c r="N91" s="277" t="s">
        <v>100</v>
      </c>
      <c r="O91" s="225"/>
      <c r="P91" s="224"/>
      <c r="Q91" s="216"/>
      <c r="R91" s="216"/>
      <c r="S91" s="216"/>
      <c r="T91" s="215"/>
      <c r="U91" s="224"/>
      <c r="V91" s="215"/>
      <c r="Y91" s="224"/>
      <c r="Z91" s="224"/>
    </row>
    <row r="92" spans="1:30" ht="30" customHeight="1" thickBot="1" x14ac:dyDescent="0.35">
      <c r="B92" s="250" t="s">
        <v>102</v>
      </c>
      <c r="C92" s="285">
        <f>C91-C90</f>
        <v>-1092.2264508333337</v>
      </c>
      <c r="D92" s="286">
        <f>D91-D90</f>
        <v>484.77354916666627</v>
      </c>
      <c r="J92" s="215"/>
      <c r="O92" s="225"/>
      <c r="P92" s="224"/>
      <c r="Q92" s="216"/>
      <c r="R92" s="216"/>
      <c r="S92" s="216"/>
      <c r="T92" s="215"/>
      <c r="U92" s="224"/>
      <c r="V92" s="215"/>
      <c r="Y92" s="224"/>
      <c r="Z92" s="224"/>
    </row>
    <row r="93" spans="1:30" ht="14.25" customHeight="1" x14ac:dyDescent="0.3">
      <c r="O93" s="225"/>
      <c r="P93" s="224"/>
      <c r="Q93" s="216"/>
      <c r="R93" s="216"/>
      <c r="S93" s="216"/>
      <c r="T93" s="215"/>
      <c r="U93" s="224"/>
      <c r="V93" s="215"/>
      <c r="Y93" s="224"/>
      <c r="Z93" s="224"/>
    </row>
    <row r="97" spans="1:26" x14ac:dyDescent="0.3">
      <c r="F97" s="215"/>
    </row>
    <row r="98" spans="1:26" ht="15.75" customHeight="1" x14ac:dyDescent="0.3">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3">
      <c r="A99" s="223"/>
      <c r="B99" s="220"/>
      <c r="C99" s="251"/>
      <c r="O99" s="225"/>
      <c r="P99" s="224"/>
      <c r="Q99" s="216"/>
      <c r="R99" s="216"/>
      <c r="S99" s="216"/>
      <c r="T99" s="215"/>
      <c r="U99" s="224"/>
      <c r="V99" s="215"/>
      <c r="Y99" s="224"/>
      <c r="Z99" s="224"/>
    </row>
    <row r="100" spans="1:26" x14ac:dyDescent="0.3">
      <c r="F100" s="215"/>
      <c r="O100" s="225"/>
      <c r="P100" s="224"/>
      <c r="Q100" s="216"/>
      <c r="R100" s="216"/>
      <c r="S100" s="216"/>
      <c r="T100" s="215"/>
      <c r="U100" s="224"/>
      <c r="V100" s="215"/>
      <c r="Y100" s="224"/>
      <c r="Z100" s="224"/>
    </row>
    <row r="101" spans="1:26" x14ac:dyDescent="0.3">
      <c r="O101" s="225"/>
      <c r="P101" s="224"/>
      <c r="Q101" s="216"/>
      <c r="R101" s="216"/>
      <c r="S101" s="216"/>
      <c r="T101" s="215"/>
      <c r="U101" s="224"/>
      <c r="V101" s="215"/>
      <c r="Y101" s="224"/>
      <c r="Z101" s="224"/>
    </row>
    <row r="102" spans="1:26" x14ac:dyDescent="0.3">
      <c r="O102" s="225"/>
      <c r="P102" s="224"/>
      <c r="Q102" s="216"/>
      <c r="R102" s="216"/>
      <c r="S102" s="216"/>
      <c r="T102" s="215"/>
      <c r="U102" s="224"/>
      <c r="V102" s="215"/>
      <c r="Y102" s="224"/>
      <c r="Z102" s="224"/>
    </row>
    <row r="103" spans="1:26" x14ac:dyDescent="0.3">
      <c r="O103" s="225"/>
      <c r="P103" s="224"/>
      <c r="Q103" s="216"/>
      <c r="R103" s="216"/>
      <c r="S103" s="216"/>
      <c r="T103" s="215"/>
      <c r="U103" s="224"/>
      <c r="V103" s="215"/>
      <c r="Y103" s="224"/>
      <c r="Z103" s="224"/>
    </row>
    <row r="104" spans="1:26" x14ac:dyDescent="0.3">
      <c r="A104" s="252"/>
      <c r="O104" s="225"/>
      <c r="P104" s="224"/>
      <c r="Q104" s="216"/>
      <c r="R104" s="216"/>
      <c r="S104" s="216"/>
      <c r="T104" s="215"/>
      <c r="U104" s="224"/>
      <c r="V104" s="215"/>
      <c r="Y104" s="224"/>
      <c r="Z104" s="224"/>
    </row>
    <row r="105" spans="1:26" x14ac:dyDescent="0.3">
      <c r="A105" s="252"/>
      <c r="O105" s="225"/>
      <c r="P105" s="224"/>
      <c r="Q105" s="216"/>
      <c r="R105" s="216"/>
      <c r="S105" s="216"/>
      <c r="T105" s="215"/>
      <c r="U105" s="224"/>
      <c r="V105" s="215"/>
      <c r="Y105" s="224"/>
      <c r="Z105" s="224"/>
    </row>
    <row r="106" spans="1:26" x14ac:dyDescent="0.3">
      <c r="O106" s="225"/>
      <c r="P106" s="224"/>
      <c r="Q106" s="216"/>
      <c r="R106" s="216"/>
      <c r="S106" s="216"/>
      <c r="T106" s="215"/>
      <c r="U106" s="224"/>
      <c r="V106" s="215"/>
      <c r="Y106" s="224"/>
      <c r="Z106" s="224"/>
    </row>
    <row r="107" spans="1:26" x14ac:dyDescent="0.3">
      <c r="B107" s="251"/>
      <c r="O107" s="225"/>
      <c r="P107" s="224"/>
      <c r="Q107" s="216"/>
      <c r="R107" s="216"/>
      <c r="S107" s="216"/>
      <c r="T107" s="215"/>
      <c r="U107" s="224"/>
      <c r="V107" s="215"/>
      <c r="Y107" s="224"/>
      <c r="Z107" s="224"/>
    </row>
    <row r="108" spans="1:26" x14ac:dyDescent="0.3">
      <c r="B108" s="251"/>
      <c r="O108" s="225"/>
      <c r="P108" s="224"/>
      <c r="Q108" s="216"/>
      <c r="R108" s="216"/>
      <c r="S108" s="216"/>
      <c r="T108" s="215"/>
      <c r="U108" s="224"/>
      <c r="V108" s="215"/>
      <c r="Y108" s="224"/>
      <c r="Z108" s="224"/>
    </row>
    <row r="109" spans="1:26" x14ac:dyDescent="0.3">
      <c r="O109" s="225"/>
      <c r="P109" s="224"/>
      <c r="Q109" s="216"/>
      <c r="R109" s="216"/>
      <c r="S109" s="216"/>
      <c r="T109" s="215"/>
      <c r="U109" s="224"/>
      <c r="V109" s="215"/>
      <c r="Y109" s="224"/>
      <c r="Z109" s="224"/>
    </row>
    <row r="110" spans="1:26" x14ac:dyDescent="0.3">
      <c r="O110" s="225"/>
      <c r="P110" s="224"/>
      <c r="Q110" s="216"/>
      <c r="R110" s="216"/>
      <c r="S110" s="216"/>
      <c r="T110" s="215"/>
      <c r="U110" s="224"/>
      <c r="V110" s="215"/>
      <c r="Y110" s="224"/>
      <c r="Z110" s="224"/>
    </row>
    <row r="111" spans="1:26" x14ac:dyDescent="0.3">
      <c r="O111" s="225"/>
      <c r="P111" s="224"/>
      <c r="Q111" s="216"/>
      <c r="R111" s="216"/>
      <c r="S111" s="216"/>
      <c r="T111" s="215"/>
      <c r="U111" s="224"/>
      <c r="V111" s="215"/>
      <c r="Y111" s="224"/>
      <c r="Z111" s="224"/>
    </row>
    <row r="112" spans="1:26" x14ac:dyDescent="0.3">
      <c r="O112" s="225"/>
      <c r="P112" s="224"/>
      <c r="Q112" s="216"/>
      <c r="R112" s="216"/>
      <c r="S112" s="216"/>
      <c r="T112" s="215"/>
      <c r="U112" s="224"/>
      <c r="V112" s="215"/>
      <c r="Y112" s="224"/>
      <c r="Z112" s="224"/>
    </row>
    <row r="113" spans="1:26" x14ac:dyDescent="0.3">
      <c r="O113" s="225"/>
      <c r="P113" s="224"/>
      <c r="Q113" s="216"/>
      <c r="R113" s="216"/>
      <c r="S113" s="216"/>
      <c r="T113" s="215"/>
      <c r="U113" s="224"/>
      <c r="V113" s="215"/>
      <c r="Y113" s="224"/>
      <c r="Z113" s="224"/>
    </row>
    <row r="114" spans="1:26" x14ac:dyDescent="0.3">
      <c r="O114" s="225"/>
      <c r="P114" s="224"/>
      <c r="Q114" s="216"/>
      <c r="R114" s="216"/>
      <c r="S114" s="216"/>
      <c r="T114" s="215"/>
      <c r="U114" s="224"/>
      <c r="V114" s="215"/>
      <c r="Y114" s="224"/>
      <c r="Z114" s="224"/>
    </row>
    <row r="119" spans="1:26" x14ac:dyDescent="0.3">
      <c r="A119" s="252"/>
      <c r="B119" s="252" t="s">
        <v>103</v>
      </c>
    </row>
  </sheetData>
  <mergeCells count="33">
    <mergeCell ref="A82:C82"/>
    <mergeCell ref="C42:D42"/>
    <mergeCell ref="C43:D43"/>
    <mergeCell ref="C44:D44"/>
    <mergeCell ref="C58:H58"/>
    <mergeCell ref="C38:D38"/>
    <mergeCell ref="C39:D39"/>
    <mergeCell ref="C40:D40"/>
    <mergeCell ref="C41:D41"/>
    <mergeCell ref="A76:C76"/>
    <mergeCell ref="A46:A47"/>
    <mergeCell ref="B46:B47"/>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E13:G15"/>
    <mergeCell ref="A26:B26"/>
    <mergeCell ref="A1:B1"/>
    <mergeCell ref="A5:B5"/>
    <mergeCell ref="A2:A3"/>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57" r:id="rId4" name="CheckBox1">
          <controlPr defaultSize="0" autoLine="0" linkedCell="A12" r:id="rId5">
            <anchor moveWithCells="1">
              <from>
                <xdr:col>0</xdr:col>
                <xdr:colOff>83820</xdr:colOff>
                <xdr:row>10</xdr:row>
                <xdr:rowOff>30480</xdr:rowOff>
              </from>
              <to>
                <xdr:col>1</xdr:col>
                <xdr:colOff>1127760</xdr:colOff>
                <xdr:row>11</xdr:row>
                <xdr:rowOff>83820</xdr:rowOff>
              </to>
            </anchor>
          </controlPr>
        </control>
      </mc:Choice>
      <mc:Fallback>
        <control shapeId="10257" r:id="rId4" name="CheckBox1"/>
      </mc:Fallback>
    </mc:AlternateContent>
    <mc:AlternateContent xmlns:mc="http://schemas.openxmlformats.org/markup-compatibility/2006">
      <mc:Choice Requires="x14">
        <control shapeId="10258" r:id="rId6" name="CheckBox2">
          <controlPr defaultSize="0" autoLine="0" linkedCell="A8" r:id="rId7">
            <anchor moveWithCells="1">
              <from>
                <xdr:col>0</xdr:col>
                <xdr:colOff>83820</xdr:colOff>
                <xdr:row>6</xdr:row>
                <xdr:rowOff>83820</xdr:rowOff>
              </from>
              <to>
                <xdr:col>1</xdr:col>
                <xdr:colOff>1127760</xdr:colOff>
                <xdr:row>7</xdr:row>
                <xdr:rowOff>76200</xdr:rowOff>
              </to>
            </anchor>
          </controlPr>
        </control>
      </mc:Choice>
      <mc:Fallback>
        <control shapeId="10258" r:id="rId6" name="CheckBox2"/>
      </mc:Fallback>
    </mc:AlternateContent>
    <mc:AlternateContent xmlns:mc="http://schemas.openxmlformats.org/markup-compatibility/2006">
      <mc:Choice Requires="x14">
        <control shapeId="10259" r:id="rId8" name="CheckBox3">
          <controlPr defaultSize="0" autoLine="0" linkedCell="A14" r:id="rId9">
            <anchor moveWithCells="1">
              <from>
                <xdr:col>0</xdr:col>
                <xdr:colOff>83820</xdr:colOff>
                <xdr:row>12</xdr:row>
                <xdr:rowOff>30480</xdr:rowOff>
              </from>
              <to>
                <xdr:col>1</xdr:col>
                <xdr:colOff>1127760</xdr:colOff>
                <xdr:row>13</xdr:row>
                <xdr:rowOff>99060</xdr:rowOff>
              </to>
            </anchor>
          </controlPr>
        </control>
      </mc:Choice>
      <mc:Fallback>
        <control shapeId="10259" r:id="rId8" name="CheckBox3"/>
      </mc:Fallback>
    </mc:AlternateContent>
    <mc:AlternateContent xmlns:mc="http://schemas.openxmlformats.org/markup-compatibility/2006">
      <mc:Choice Requires="x14">
        <control shapeId="10260" r:id="rId10" name="CheckBox4">
          <controlPr defaultSize="0" autoLine="0" linkedCell="A16" r:id="rId11">
            <anchor moveWithCells="1">
              <from>
                <xdr:col>0</xdr:col>
                <xdr:colOff>83820</xdr:colOff>
                <xdr:row>14</xdr:row>
                <xdr:rowOff>38100</xdr:rowOff>
              </from>
              <to>
                <xdr:col>1</xdr:col>
                <xdr:colOff>1127760</xdr:colOff>
                <xdr:row>15</xdr:row>
                <xdr:rowOff>106680</xdr:rowOff>
              </to>
            </anchor>
          </controlPr>
        </control>
      </mc:Choice>
      <mc:Fallback>
        <control shapeId="10260" r:id="rId10" name="CheckBox4"/>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83820</xdr:colOff>
                <xdr:row>8</xdr:row>
                <xdr:rowOff>22860</xdr:rowOff>
              </from>
              <to>
                <xdr:col>1</xdr:col>
                <xdr:colOff>1127760</xdr:colOff>
                <xdr:row>9</xdr:row>
                <xdr:rowOff>121920</xdr:rowOff>
              </to>
            </anchor>
          </controlPr>
        </control>
      </mc:Choice>
      <mc:Fallback>
        <control shapeId="10261" r:id="rId12" name="CheckBox5"/>
      </mc:Fallback>
    </mc:AlternateContent>
    <mc:AlternateContent xmlns:mc="http://schemas.openxmlformats.org/markup-compatibility/2006">
      <mc:Choice Requires="x14">
        <control shapeId="10262" r:id="rId14" name="CheckBox6">
          <controlPr defaultSize="0" autoLine="0" linkedCell="A18" r:id="rId15">
            <anchor moveWithCells="1">
              <from>
                <xdr:col>0</xdr:col>
                <xdr:colOff>83820</xdr:colOff>
                <xdr:row>16</xdr:row>
                <xdr:rowOff>45720</xdr:rowOff>
              </from>
              <to>
                <xdr:col>1</xdr:col>
                <xdr:colOff>1127760</xdr:colOff>
                <xdr:row>17</xdr:row>
                <xdr:rowOff>114300</xdr:rowOff>
              </to>
            </anchor>
          </controlPr>
        </control>
      </mc:Choice>
      <mc:Fallback>
        <control shapeId="10262" r:id="rId14" name="CheckBox6"/>
      </mc:Fallback>
    </mc:AlternateContent>
    <mc:AlternateContent xmlns:mc="http://schemas.openxmlformats.org/markup-compatibility/2006">
      <mc:Choice Requires="x14">
        <control shapeId="10263" r:id="rId16" name="CheckBox7">
          <controlPr defaultSize="0" autoLine="0" linkedCell="A20" r:id="rId17">
            <anchor moveWithCells="1">
              <from>
                <xdr:col>0</xdr:col>
                <xdr:colOff>83820</xdr:colOff>
                <xdr:row>18</xdr:row>
                <xdr:rowOff>60960</xdr:rowOff>
              </from>
              <to>
                <xdr:col>1</xdr:col>
                <xdr:colOff>1127760</xdr:colOff>
                <xdr:row>19</xdr:row>
                <xdr:rowOff>114300</xdr:rowOff>
              </to>
            </anchor>
          </controlPr>
        </control>
      </mc:Choice>
      <mc:Fallback>
        <control shapeId="10263" r:id="rId16" name="CheckBox7"/>
      </mc:Fallback>
    </mc:AlternateContent>
    <mc:AlternateContent xmlns:mc="http://schemas.openxmlformats.org/markup-compatibility/2006">
      <mc:Choice Requires="x14">
        <control shapeId="10264" r:id="rId18" name="CheckBox8">
          <controlPr defaultSize="0" autoLine="0" linkedCell="A24" r:id="rId19">
            <anchor moveWithCells="1">
              <from>
                <xdr:col>0</xdr:col>
                <xdr:colOff>83820</xdr:colOff>
                <xdr:row>22</xdr:row>
                <xdr:rowOff>60960</xdr:rowOff>
              </from>
              <to>
                <xdr:col>1</xdr:col>
                <xdr:colOff>1127760</xdr:colOff>
                <xdr:row>23</xdr:row>
                <xdr:rowOff>121920</xdr:rowOff>
              </to>
            </anchor>
          </controlPr>
        </control>
      </mc:Choice>
      <mc:Fallback>
        <control shapeId="10264" r:id="rId18" name="CheckBox8"/>
      </mc:Fallback>
    </mc:AlternateContent>
    <mc:AlternateContent xmlns:mc="http://schemas.openxmlformats.org/markup-compatibility/2006">
      <mc:Choice Requires="x14">
        <control shapeId="10266" r:id="rId20" name="CheckBox9">
          <controlPr defaultSize="0" autoLine="0" linkedCell="A22" r:id="rId21">
            <anchor moveWithCells="1">
              <from>
                <xdr:col>0</xdr:col>
                <xdr:colOff>83820</xdr:colOff>
                <xdr:row>20</xdr:row>
                <xdr:rowOff>60960</xdr:rowOff>
              </from>
              <to>
                <xdr:col>1</xdr:col>
                <xdr:colOff>1127760</xdr:colOff>
                <xdr:row>21</xdr:row>
                <xdr:rowOff>121920</xdr:rowOff>
              </to>
            </anchor>
          </controlPr>
        </control>
      </mc:Choice>
      <mc:Fallback>
        <control shapeId="10266" r:id="rId20" name="CheckBox9"/>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4.4" x14ac:dyDescent="0.3"/>
  <cols>
    <col min="1" max="1" width="42" customWidth="1"/>
    <col min="2" max="2" width="10.109375" bestFit="1" customWidth="1"/>
  </cols>
  <sheetData>
    <row r="1" spans="1:2" ht="36.75" customHeight="1" x14ac:dyDescent="0.35">
      <c r="A1" s="439" t="s">
        <v>691</v>
      </c>
      <c r="B1" s="439"/>
    </row>
    <row r="2" spans="1:2" ht="26.25" customHeight="1" x14ac:dyDescent="0.3">
      <c r="A2" s="385" t="s">
        <v>666</v>
      </c>
      <c r="B2" s="386">
        <v>12</v>
      </c>
    </row>
    <row r="3" spans="1:2" ht="23.25" customHeight="1" x14ac:dyDescent="0.3">
      <c r="A3" s="385" t="s">
        <v>667</v>
      </c>
      <c r="B3" s="386">
        <v>20</v>
      </c>
    </row>
    <row r="4" spans="1:2" x14ac:dyDescent="0.3">
      <c r="A4" s="385"/>
      <c r="B4" s="386"/>
    </row>
    <row r="5" spans="1:2" x14ac:dyDescent="0.3">
      <c r="A5" s="385" t="s">
        <v>349</v>
      </c>
      <c r="B5" s="386">
        <f>B2*B3</f>
        <v>240</v>
      </c>
    </row>
    <row r="6" spans="1:2" x14ac:dyDescent="0.3">
      <c r="A6" s="385" t="s">
        <v>348</v>
      </c>
      <c r="B6" s="386">
        <f>B5*12</f>
        <v>2880</v>
      </c>
    </row>
    <row r="8" spans="1:2" ht="36.75" customHeight="1" x14ac:dyDescent="0.35">
      <c r="A8" s="439" t="s">
        <v>692</v>
      </c>
      <c r="B8" s="439"/>
    </row>
    <row r="9" spans="1:2" x14ac:dyDescent="0.3">
      <c r="A9" s="385" t="s">
        <v>693</v>
      </c>
      <c r="B9" s="386">
        <v>30000</v>
      </c>
    </row>
    <row r="10" spans="1:2" x14ac:dyDescent="0.3">
      <c r="A10" s="385" t="s">
        <v>349</v>
      </c>
      <c r="B10" s="386">
        <f>B9/12</f>
        <v>2500</v>
      </c>
    </row>
    <row r="13" spans="1:2" x14ac:dyDescent="0.3">
      <c r="A13" s="87" t="s">
        <v>668</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09375" defaultRowHeight="15.6" x14ac:dyDescent="0.3"/>
  <cols>
    <col min="1" max="3" width="16.5546875" style="30" customWidth="1"/>
    <col min="4" max="5" width="13.44140625" style="30" customWidth="1"/>
    <col min="6" max="6" width="9.109375" style="34"/>
    <col min="7" max="8" width="12.33203125" style="34" customWidth="1"/>
    <col min="9" max="9" width="13" style="30" customWidth="1"/>
    <col min="10" max="10" width="13.88671875" style="34" hidden="1" customWidth="1"/>
    <col min="11" max="12" width="14.5546875" style="36" customWidth="1"/>
    <col min="13" max="15" width="9.109375" style="30"/>
    <col min="16" max="16" width="10.109375" style="30" bestFit="1" customWidth="1"/>
    <col min="17" max="16384" width="9.109375" style="30"/>
  </cols>
  <sheetData>
    <row r="1" spans="1:13" ht="46.8" x14ac:dyDescent="0.3">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3">
      <c r="A2" s="186">
        <v>0</v>
      </c>
      <c r="B2" s="33">
        <f>A2/12</f>
        <v>0</v>
      </c>
      <c r="C2" s="185">
        <f>'Child care subsidy'!S5*12</f>
        <v>24000</v>
      </c>
      <c r="D2" s="185">
        <f>MAX('TANF-VIEW'!L9,'TANF-VIEW'!T9)*12</f>
        <v>4620</v>
      </c>
      <c r="E2" s="193">
        <f>SNAP!V6*12</f>
        <v>14196</v>
      </c>
      <c r="F2" s="184">
        <f>WIC!F8*12</f>
        <v>441.12</v>
      </c>
      <c r="G2" s="185">
        <f>'Housing Voucher'!Q6*12</f>
        <v>16049.988000000001</v>
      </c>
      <c r="H2" s="184">
        <f>EITC!E5</f>
        <v>0</v>
      </c>
      <c r="I2" s="205">
        <f>Medicaid!N9*12</f>
        <v>26265</v>
      </c>
      <c r="J2" s="183"/>
      <c r="K2" s="185">
        <f>SUM(C2:I2)</f>
        <v>85572.108000000007</v>
      </c>
      <c r="L2" s="185">
        <f>A2+K2</f>
        <v>85572.108000000007</v>
      </c>
      <c r="M2" s="36">
        <f>L2/12</f>
        <v>7131.0090000000009</v>
      </c>
    </row>
    <row r="3" spans="1:13" x14ac:dyDescent="0.3">
      <c r="A3" s="186">
        <v>500</v>
      </c>
      <c r="B3" s="33">
        <f>A3/12</f>
        <v>41.666666666666664</v>
      </c>
      <c r="C3" s="185">
        <f>'Child care subsidy'!S6*12</f>
        <v>23975</v>
      </c>
      <c r="D3" s="185">
        <f>MAX('TANF-VIEW'!L10,'TANF-VIEW'!T10)*12</f>
        <v>4620</v>
      </c>
      <c r="E3" s="193">
        <f>SNAP!V7*12</f>
        <v>14196</v>
      </c>
      <c r="F3" s="184">
        <f>WIC!F9*12</f>
        <v>441.12</v>
      </c>
      <c r="G3" s="185">
        <f>'Housing Voucher'!Q7*12</f>
        <v>15899.988000000001</v>
      </c>
      <c r="H3" s="197">
        <f>EITC!E6</f>
        <v>240</v>
      </c>
      <c r="I3" s="205">
        <f>Medicaid!N10*12</f>
        <v>26265</v>
      </c>
      <c r="J3" s="183"/>
      <c r="K3" s="185">
        <f>SUM(C3:I3)</f>
        <v>85637.108000000007</v>
      </c>
      <c r="L3" s="185">
        <f>A3+K3</f>
        <v>86137.108000000007</v>
      </c>
      <c r="M3" s="36">
        <f t="shared" ref="M3:M66" si="0">L3/12</f>
        <v>7178.092333333334</v>
      </c>
    </row>
    <row r="4" spans="1:13" ht="15.75" customHeight="1" x14ac:dyDescent="0.3">
      <c r="A4" s="186">
        <v>1000</v>
      </c>
      <c r="B4" s="33">
        <f>A4/12</f>
        <v>83.333333333333329</v>
      </c>
      <c r="C4" s="185">
        <f>'Child care subsidy'!S7*12</f>
        <v>23950</v>
      </c>
      <c r="D4" s="185">
        <f>MAX('TANF-VIEW'!L11,'TANF-VIEW'!T11)*12</f>
        <v>4620</v>
      </c>
      <c r="E4" s="193">
        <f>SNAP!V8*12</f>
        <v>14196</v>
      </c>
      <c r="F4" s="184">
        <f>WIC!F10*12</f>
        <v>441.12</v>
      </c>
      <c r="G4" s="185">
        <f>'Housing Voucher'!Q8*12</f>
        <v>15749.988000000001</v>
      </c>
      <c r="H4" s="197">
        <f>EITC!E7</f>
        <v>480</v>
      </c>
      <c r="I4" s="205">
        <f>Medicaid!N11*12</f>
        <v>26265</v>
      </c>
      <c r="K4" s="185">
        <f t="shared" ref="K4:K67" si="1">SUM(C4:I4)</f>
        <v>85702.108000000007</v>
      </c>
      <c r="L4" s="185">
        <f t="shared" ref="L4:L67" si="2">A4+K4</f>
        <v>86702.108000000007</v>
      </c>
      <c r="M4" s="36">
        <f t="shared" si="0"/>
        <v>7225.175666666667</v>
      </c>
    </row>
    <row r="5" spans="1:13" x14ac:dyDescent="0.3">
      <c r="A5" s="186">
        <v>1500</v>
      </c>
      <c r="B5" s="33">
        <f t="shared" ref="B5:B68" si="3">A5/12</f>
        <v>125</v>
      </c>
      <c r="C5" s="185">
        <f>'Child care subsidy'!S8*12</f>
        <v>23925</v>
      </c>
      <c r="D5" s="185">
        <f>MAX('TANF-VIEW'!L12,'TANF-VIEW'!T12)*12</f>
        <v>4620</v>
      </c>
      <c r="E5" s="193">
        <f>SNAP!V9*12</f>
        <v>14196</v>
      </c>
      <c r="F5" s="184">
        <f>WIC!F11*12</f>
        <v>441.12</v>
      </c>
      <c r="G5" s="185">
        <f>'Housing Voucher'!Q9*12</f>
        <v>15599.988000000001</v>
      </c>
      <c r="H5" s="197">
        <f>EITC!E8</f>
        <v>720</v>
      </c>
      <c r="I5" s="205">
        <f>Medicaid!N12*12</f>
        <v>26265</v>
      </c>
      <c r="K5" s="185">
        <f t="shared" si="1"/>
        <v>85767.108000000007</v>
      </c>
      <c r="L5" s="185">
        <f t="shared" si="2"/>
        <v>87267.108000000007</v>
      </c>
      <c r="M5" s="36">
        <f t="shared" si="0"/>
        <v>7272.2590000000009</v>
      </c>
    </row>
    <row r="6" spans="1:13" x14ac:dyDescent="0.3">
      <c r="A6" s="186">
        <v>2000</v>
      </c>
      <c r="B6" s="33">
        <f t="shared" si="3"/>
        <v>166.66666666666666</v>
      </c>
      <c r="C6" s="185">
        <f>'Child care subsidy'!S9*12</f>
        <v>23900</v>
      </c>
      <c r="D6" s="185">
        <f>MAX('TANF-VIEW'!L13,'TANF-VIEW'!T13)*12</f>
        <v>4620</v>
      </c>
      <c r="E6" s="193">
        <f>SNAP!V10*12</f>
        <v>14196</v>
      </c>
      <c r="F6" s="184">
        <f>WIC!F12*12</f>
        <v>441.12</v>
      </c>
      <c r="G6" s="185">
        <f>'Housing Voucher'!Q10*12</f>
        <v>15449.988000000001</v>
      </c>
      <c r="H6" s="197">
        <f>EITC!E9</f>
        <v>960</v>
      </c>
      <c r="I6" s="205">
        <f>Medicaid!N13*12</f>
        <v>26265</v>
      </c>
      <c r="K6" s="185">
        <f t="shared" si="1"/>
        <v>85832.108000000007</v>
      </c>
      <c r="L6" s="185">
        <f t="shared" si="2"/>
        <v>87832.108000000007</v>
      </c>
      <c r="M6" s="36">
        <f t="shared" si="0"/>
        <v>7319.342333333334</v>
      </c>
    </row>
    <row r="7" spans="1:13" x14ac:dyDescent="0.3">
      <c r="A7" s="186">
        <v>2500</v>
      </c>
      <c r="B7" s="33">
        <f t="shared" si="3"/>
        <v>208.33333333333334</v>
      </c>
      <c r="C7" s="185">
        <f>'Child care subsidy'!S10*12</f>
        <v>23875</v>
      </c>
      <c r="D7" s="185">
        <f>MAX('TANF-VIEW'!L14,'TANF-VIEW'!T14)*12</f>
        <v>4620</v>
      </c>
      <c r="E7" s="193">
        <f>SNAP!V11*12</f>
        <v>14196</v>
      </c>
      <c r="F7" s="184">
        <f>WIC!F13*12</f>
        <v>441.12</v>
      </c>
      <c r="G7" s="185">
        <f>'Housing Voucher'!Q11*12</f>
        <v>15299.988000000001</v>
      </c>
      <c r="H7" s="197">
        <f>EITC!E10</f>
        <v>1200</v>
      </c>
      <c r="I7" s="205">
        <f>Medicaid!N14*12</f>
        <v>26265</v>
      </c>
      <c r="K7" s="185">
        <f t="shared" si="1"/>
        <v>85897.108000000007</v>
      </c>
      <c r="L7" s="185">
        <f t="shared" si="2"/>
        <v>88397.108000000007</v>
      </c>
      <c r="M7" s="36">
        <f t="shared" si="0"/>
        <v>7366.425666666667</v>
      </c>
    </row>
    <row r="8" spans="1:13" x14ac:dyDescent="0.3">
      <c r="A8" s="186">
        <v>3000</v>
      </c>
      <c r="B8" s="33">
        <f t="shared" si="3"/>
        <v>250</v>
      </c>
      <c r="C8" s="185">
        <f>'Child care subsidy'!S11*12</f>
        <v>23850</v>
      </c>
      <c r="D8" s="185">
        <f>MAX('TANF-VIEW'!L15,'TANF-VIEW'!T15)*12</f>
        <v>4226.3999999999996</v>
      </c>
      <c r="E8" s="193">
        <f>SNAP!V12*12</f>
        <v>14196</v>
      </c>
      <c r="F8" s="184">
        <f>WIC!F14*12</f>
        <v>441.12</v>
      </c>
      <c r="G8" s="185">
        <f>'Housing Voucher'!Q12*12</f>
        <v>15268.067999999999</v>
      </c>
      <c r="H8" s="197">
        <f>EITC!E11</f>
        <v>1440</v>
      </c>
      <c r="I8" s="205">
        <f>Medicaid!N15*12</f>
        <v>26265</v>
      </c>
      <c r="K8" s="185">
        <f t="shared" si="1"/>
        <v>85686.588000000003</v>
      </c>
      <c r="L8" s="185">
        <f t="shared" si="2"/>
        <v>88686.588000000003</v>
      </c>
      <c r="M8" s="36">
        <f t="shared" si="0"/>
        <v>7390.549</v>
      </c>
    </row>
    <row r="9" spans="1:13" x14ac:dyDescent="0.3">
      <c r="A9" s="186">
        <v>3500</v>
      </c>
      <c r="B9" s="33">
        <f t="shared" si="3"/>
        <v>291.66666666666669</v>
      </c>
      <c r="C9" s="185">
        <f>'Child care subsidy'!S12*12</f>
        <v>23825</v>
      </c>
      <c r="D9" s="185">
        <f>MAX('TANF-VIEW'!L16,'TANF-VIEW'!T16)*12</f>
        <v>3826.4</v>
      </c>
      <c r="E9" s="193">
        <f>SNAP!V13*12</f>
        <v>14196</v>
      </c>
      <c r="F9" s="184">
        <f>WIC!F15*12</f>
        <v>441.12</v>
      </c>
      <c r="G9" s="185">
        <f>'Housing Voucher'!Q13*12</f>
        <v>15238.067999999999</v>
      </c>
      <c r="H9" s="197">
        <f>EITC!E12</f>
        <v>1680</v>
      </c>
      <c r="I9" s="205">
        <f>Medicaid!N16*12</f>
        <v>26265</v>
      </c>
      <c r="K9" s="185">
        <f t="shared" si="1"/>
        <v>85471.588000000003</v>
      </c>
      <c r="L9" s="185">
        <f t="shared" si="2"/>
        <v>88971.588000000003</v>
      </c>
      <c r="M9" s="36">
        <f t="shared" si="0"/>
        <v>7414.299</v>
      </c>
    </row>
    <row r="10" spans="1:13" x14ac:dyDescent="0.3">
      <c r="A10" s="186">
        <v>4000</v>
      </c>
      <c r="B10" s="33">
        <f t="shared" si="3"/>
        <v>333.33333333333331</v>
      </c>
      <c r="C10" s="185">
        <f>'Child care subsidy'!S13*12</f>
        <v>23800</v>
      </c>
      <c r="D10" s="185">
        <f>MAX('TANF-VIEW'!L17,'TANF-VIEW'!T17)*12</f>
        <v>3426.4000000000005</v>
      </c>
      <c r="E10" s="193">
        <f>SNAP!V14*12</f>
        <v>14196</v>
      </c>
      <c r="F10" s="184">
        <f>WIC!F16*12</f>
        <v>441.12</v>
      </c>
      <c r="G10" s="185">
        <f>'Housing Voucher'!Q14*12</f>
        <v>15208.067999999999</v>
      </c>
      <c r="H10" s="197">
        <f>EITC!E13</f>
        <v>1920</v>
      </c>
      <c r="I10" s="205">
        <f>Medicaid!N17*12</f>
        <v>26265</v>
      </c>
      <c r="K10" s="185">
        <f t="shared" si="1"/>
        <v>85256.588000000003</v>
      </c>
      <c r="L10" s="185">
        <f t="shared" si="2"/>
        <v>89256.588000000003</v>
      </c>
      <c r="M10" s="36">
        <f t="shared" si="0"/>
        <v>7438.049</v>
      </c>
    </row>
    <row r="11" spans="1:13" x14ac:dyDescent="0.3">
      <c r="A11" s="186">
        <v>4500</v>
      </c>
      <c r="B11" s="33">
        <f t="shared" si="3"/>
        <v>375</v>
      </c>
      <c r="C11" s="185">
        <f>'Child care subsidy'!S14*12</f>
        <v>23775</v>
      </c>
      <c r="D11" s="185">
        <f>MAX('TANF-VIEW'!L18,'TANF-VIEW'!T18)*12</f>
        <v>3026.3999999999996</v>
      </c>
      <c r="E11" s="193">
        <f>SNAP!V15*12</f>
        <v>14196</v>
      </c>
      <c r="F11" s="184">
        <f>WIC!F17*12</f>
        <v>441.12</v>
      </c>
      <c r="G11" s="185">
        <f>'Housing Voucher'!Q15*12</f>
        <v>15178.067999999999</v>
      </c>
      <c r="H11" s="197">
        <f>EITC!E14</f>
        <v>2160</v>
      </c>
      <c r="I11" s="205">
        <f>Medicaid!N18*12</f>
        <v>26265</v>
      </c>
      <c r="K11" s="185">
        <f t="shared" si="1"/>
        <v>85041.588000000003</v>
      </c>
      <c r="L11" s="185">
        <f t="shared" si="2"/>
        <v>89541.588000000003</v>
      </c>
      <c r="M11" s="36">
        <f t="shared" si="0"/>
        <v>7461.799</v>
      </c>
    </row>
    <row r="12" spans="1:13" x14ac:dyDescent="0.3">
      <c r="A12" s="186">
        <v>5000</v>
      </c>
      <c r="B12" s="33">
        <f t="shared" si="3"/>
        <v>416.66666666666669</v>
      </c>
      <c r="C12" s="185">
        <f>'Child care subsidy'!S15*12</f>
        <v>23760</v>
      </c>
      <c r="D12" s="185">
        <f>MAX('TANF-VIEW'!L19,'TANF-VIEW'!T19)*12</f>
        <v>2626.3999999999996</v>
      </c>
      <c r="E12" s="193">
        <f>SNAP!V16*12</f>
        <v>14196</v>
      </c>
      <c r="F12" s="184">
        <f>WIC!F18*12</f>
        <v>441.12</v>
      </c>
      <c r="G12" s="185">
        <f>'Housing Voucher'!Q16*12</f>
        <v>15148.067999999999</v>
      </c>
      <c r="H12" s="197">
        <f>EITC!E15</f>
        <v>2400</v>
      </c>
      <c r="I12" s="205">
        <f>Medicaid!N19*12</f>
        <v>26265</v>
      </c>
      <c r="K12" s="185">
        <f t="shared" si="1"/>
        <v>84836.588000000003</v>
      </c>
      <c r="L12" s="185">
        <f t="shared" si="2"/>
        <v>89836.588000000003</v>
      </c>
      <c r="M12" s="36">
        <f t="shared" si="0"/>
        <v>7486.3823333333339</v>
      </c>
    </row>
    <row r="13" spans="1:13" x14ac:dyDescent="0.3">
      <c r="A13" s="186">
        <v>5500</v>
      </c>
      <c r="B13" s="33">
        <f t="shared" si="3"/>
        <v>458.33333333333331</v>
      </c>
      <c r="C13" s="185">
        <f>'Child care subsidy'!S16*12</f>
        <v>23760</v>
      </c>
      <c r="D13" s="185">
        <f>MAX('TANF-VIEW'!L20,'TANF-VIEW'!T20)*12</f>
        <v>2226.4000000000005</v>
      </c>
      <c r="E13" s="193">
        <f>SNAP!V17*12</f>
        <v>14196</v>
      </c>
      <c r="F13" s="184">
        <f>WIC!F19*12</f>
        <v>441.12</v>
      </c>
      <c r="G13" s="185">
        <f>'Housing Voucher'!Q17*12</f>
        <v>15118.067999999999</v>
      </c>
      <c r="H13" s="197">
        <f>EITC!E16</f>
        <v>2640</v>
      </c>
      <c r="I13" s="205">
        <f>Medicaid!N20*12</f>
        <v>26265</v>
      </c>
      <c r="K13" s="185">
        <f t="shared" si="1"/>
        <v>84646.588000000003</v>
      </c>
      <c r="L13" s="185">
        <f t="shared" si="2"/>
        <v>90146.588000000003</v>
      </c>
      <c r="M13" s="36">
        <f t="shared" si="0"/>
        <v>7512.2156666666669</v>
      </c>
    </row>
    <row r="14" spans="1:13" x14ac:dyDescent="0.3">
      <c r="A14" s="186">
        <v>6000</v>
      </c>
      <c r="B14" s="33">
        <f t="shared" si="3"/>
        <v>500</v>
      </c>
      <c r="C14" s="185">
        <f>'Child care subsidy'!S17*12</f>
        <v>23760</v>
      </c>
      <c r="D14" s="185">
        <f>MAX('TANF-VIEW'!L21,'TANF-VIEW'!T21)*12</f>
        <v>1826.3999999999999</v>
      </c>
      <c r="E14" s="193">
        <f>SNAP!V18*12</f>
        <v>14196</v>
      </c>
      <c r="F14" s="184">
        <f>WIC!F20*12</f>
        <v>441.12</v>
      </c>
      <c r="G14" s="185">
        <f>'Housing Voucher'!Q18*12</f>
        <v>15088.067999999999</v>
      </c>
      <c r="H14" s="197">
        <f>EITC!E17</f>
        <v>2880</v>
      </c>
      <c r="I14" s="205">
        <f>Medicaid!N21*12</f>
        <v>26265</v>
      </c>
      <c r="K14" s="185">
        <f t="shared" si="1"/>
        <v>84456.588000000003</v>
      </c>
      <c r="L14" s="185">
        <f t="shared" si="2"/>
        <v>90456.588000000003</v>
      </c>
      <c r="M14" s="36">
        <f t="shared" si="0"/>
        <v>7538.049</v>
      </c>
    </row>
    <row r="15" spans="1:13" x14ac:dyDescent="0.3">
      <c r="A15" s="186">
        <v>6500</v>
      </c>
      <c r="B15" s="33">
        <f t="shared" si="3"/>
        <v>541.66666666666663</v>
      </c>
      <c r="C15" s="185">
        <f>'Child care subsidy'!S18*12</f>
        <v>23760</v>
      </c>
      <c r="D15" s="185">
        <f>MAX('TANF-VIEW'!L22,'TANF-VIEW'!T22)*12</f>
        <v>1426.4</v>
      </c>
      <c r="E15" s="193">
        <f>SNAP!V19*12</f>
        <v>14196</v>
      </c>
      <c r="F15" s="184">
        <f>WIC!F21*12</f>
        <v>441.12</v>
      </c>
      <c r="G15" s="185">
        <f>'Housing Voucher'!Q19*12</f>
        <v>15058.067999999999</v>
      </c>
      <c r="H15" s="197">
        <f>EITC!E18</f>
        <v>3120</v>
      </c>
      <c r="I15" s="205">
        <f>Medicaid!N22*12</f>
        <v>26265</v>
      </c>
      <c r="K15" s="185">
        <f t="shared" si="1"/>
        <v>84266.588000000003</v>
      </c>
      <c r="L15" s="185">
        <f t="shared" si="2"/>
        <v>90766.588000000003</v>
      </c>
      <c r="M15" s="36">
        <f t="shared" si="0"/>
        <v>7563.8823333333339</v>
      </c>
    </row>
    <row r="16" spans="1:13" x14ac:dyDescent="0.3">
      <c r="A16" s="186">
        <v>7000</v>
      </c>
      <c r="B16" s="33">
        <f t="shared" si="3"/>
        <v>583.33333333333337</v>
      </c>
      <c r="C16" s="185">
        <f>'Child care subsidy'!S19*12</f>
        <v>23760</v>
      </c>
      <c r="D16" s="185">
        <f>MAX('TANF-VIEW'!L23,'TANF-VIEW'!T23)*12</f>
        <v>1026.3999999999996</v>
      </c>
      <c r="E16" s="193">
        <f>SNAP!V20*12</f>
        <v>14196</v>
      </c>
      <c r="F16" s="184">
        <f>WIC!F22*12</f>
        <v>441.12</v>
      </c>
      <c r="G16" s="185">
        <f>'Housing Voucher'!Q20*12</f>
        <v>15028.067999999999</v>
      </c>
      <c r="H16" s="197">
        <f>EITC!E19</f>
        <v>3360</v>
      </c>
      <c r="I16" s="205">
        <f>Medicaid!N23*12</f>
        <v>26265</v>
      </c>
      <c r="K16" s="185">
        <f t="shared" si="1"/>
        <v>84076.588000000003</v>
      </c>
      <c r="L16" s="185">
        <f t="shared" si="2"/>
        <v>91076.588000000003</v>
      </c>
      <c r="M16" s="36">
        <f t="shared" si="0"/>
        <v>7589.7156666666669</v>
      </c>
    </row>
    <row r="17" spans="1:13" x14ac:dyDescent="0.3">
      <c r="A17" s="186">
        <v>7500</v>
      </c>
      <c r="B17" s="33">
        <f t="shared" si="3"/>
        <v>625</v>
      </c>
      <c r="C17" s="185">
        <f>'Child care subsidy'!S20*12</f>
        <v>23760</v>
      </c>
      <c r="D17" s="185">
        <f>MAX('TANF-VIEW'!L24,'TANF-VIEW'!T24)*12</f>
        <v>626.39999999999986</v>
      </c>
      <c r="E17" s="193">
        <f>SNAP!V21*12</f>
        <v>14196</v>
      </c>
      <c r="F17" s="184">
        <f>WIC!F23*12</f>
        <v>441.12</v>
      </c>
      <c r="G17" s="185">
        <f>'Housing Voucher'!Q21*12</f>
        <v>14998.067999999999</v>
      </c>
      <c r="H17" s="197">
        <f>EITC!E20</f>
        <v>3600</v>
      </c>
      <c r="I17" s="205">
        <f>Medicaid!N24*12</f>
        <v>26265</v>
      </c>
      <c r="K17" s="185">
        <f t="shared" si="1"/>
        <v>83886.588000000003</v>
      </c>
      <c r="L17" s="185">
        <f t="shared" si="2"/>
        <v>91386.588000000003</v>
      </c>
      <c r="M17" s="36">
        <f t="shared" si="0"/>
        <v>7615.549</v>
      </c>
    </row>
    <row r="18" spans="1:13" x14ac:dyDescent="0.3">
      <c r="A18" s="186">
        <v>8000</v>
      </c>
      <c r="B18" s="33">
        <f t="shared" si="3"/>
        <v>666.66666666666663</v>
      </c>
      <c r="C18" s="185">
        <f>'Child care subsidy'!S21*12</f>
        <v>23760</v>
      </c>
      <c r="D18" s="185">
        <f>MAX('TANF-VIEW'!L25,'TANF-VIEW'!T25)*12</f>
        <v>226.40000000000009</v>
      </c>
      <c r="E18" s="193">
        <f>SNAP!V22*12</f>
        <v>14196</v>
      </c>
      <c r="F18" s="184">
        <f>WIC!F24*12</f>
        <v>441.12</v>
      </c>
      <c r="G18" s="185">
        <f>'Housing Voucher'!Q22*12</f>
        <v>14968.067999999999</v>
      </c>
      <c r="H18" s="197">
        <f>EITC!E21</f>
        <v>3840</v>
      </c>
      <c r="I18" s="205">
        <f>Medicaid!N25*12</f>
        <v>26265</v>
      </c>
      <c r="K18" s="185">
        <f t="shared" si="1"/>
        <v>83696.588000000003</v>
      </c>
      <c r="L18" s="185">
        <f t="shared" si="2"/>
        <v>91696.588000000003</v>
      </c>
      <c r="M18" s="36">
        <f t="shared" si="0"/>
        <v>7641.3823333333339</v>
      </c>
    </row>
    <row r="19" spans="1:13" x14ac:dyDescent="0.3">
      <c r="A19" s="186">
        <v>8500</v>
      </c>
      <c r="B19" s="33">
        <f t="shared" si="3"/>
        <v>708.33333333333337</v>
      </c>
      <c r="C19" s="185">
        <f>'Child care subsidy'!S22*12</f>
        <v>23760</v>
      </c>
      <c r="D19" s="185">
        <f>MAX('TANF-VIEW'!L26,'TANF-VIEW'!T26)*12</f>
        <v>0</v>
      </c>
      <c r="E19" s="193">
        <f>SNAP!V23*12</f>
        <v>14196</v>
      </c>
      <c r="F19" s="184">
        <f>WIC!F25*12</f>
        <v>441.12</v>
      </c>
      <c r="G19" s="185">
        <f>'Housing Voucher'!Q23*12</f>
        <v>14885.988000000001</v>
      </c>
      <c r="H19" s="197">
        <f>EITC!E22</f>
        <v>4080</v>
      </c>
      <c r="I19" s="205">
        <f>Medicaid!N26*12</f>
        <v>26265</v>
      </c>
      <c r="K19" s="185">
        <f t="shared" si="1"/>
        <v>83628.108000000007</v>
      </c>
      <c r="L19" s="185">
        <f t="shared" si="2"/>
        <v>92128.108000000007</v>
      </c>
      <c r="M19" s="36">
        <f t="shared" si="0"/>
        <v>7677.342333333334</v>
      </c>
    </row>
    <row r="20" spans="1:13" x14ac:dyDescent="0.3">
      <c r="A20" s="186">
        <v>9000</v>
      </c>
      <c r="B20" s="33">
        <f t="shared" si="3"/>
        <v>750</v>
      </c>
      <c r="C20" s="185">
        <f>'Child care subsidy'!S23*12</f>
        <v>23760</v>
      </c>
      <c r="D20" s="185">
        <f>MAX('TANF-VIEW'!L27,'TANF-VIEW'!T27)*12</f>
        <v>0</v>
      </c>
      <c r="E20" s="193">
        <f>SNAP!V24*12</f>
        <v>14196</v>
      </c>
      <c r="F20" s="184">
        <f>WIC!F26*12</f>
        <v>441.12</v>
      </c>
      <c r="G20" s="185">
        <f>'Housing Voucher'!Q24*12</f>
        <v>14735.988000000001</v>
      </c>
      <c r="H20" s="197">
        <f>EITC!E23</f>
        <v>4320</v>
      </c>
      <c r="I20" s="205">
        <f>Medicaid!N27*12</f>
        <v>26265</v>
      </c>
      <c r="K20" s="185">
        <f t="shared" si="1"/>
        <v>83718.108000000007</v>
      </c>
      <c r="L20" s="185">
        <f t="shared" si="2"/>
        <v>92718.108000000007</v>
      </c>
      <c r="M20" s="36">
        <f t="shared" si="0"/>
        <v>7726.5090000000009</v>
      </c>
    </row>
    <row r="21" spans="1:13" x14ac:dyDescent="0.3">
      <c r="A21" s="186">
        <v>9500</v>
      </c>
      <c r="B21" s="33">
        <f t="shared" si="3"/>
        <v>791.66666666666663</v>
      </c>
      <c r="C21" s="185">
        <f>'Child care subsidy'!S24*12</f>
        <v>23760</v>
      </c>
      <c r="D21" s="185">
        <f>MAX('TANF-VIEW'!L28,'TANF-VIEW'!T28)*12</f>
        <v>0</v>
      </c>
      <c r="E21" s="193">
        <f>SNAP!V25*12</f>
        <v>14196</v>
      </c>
      <c r="F21" s="184">
        <f>WIC!F27*12</f>
        <v>441.12</v>
      </c>
      <c r="G21" s="185">
        <f>'Housing Voucher'!Q25*12</f>
        <v>14585.988000000001</v>
      </c>
      <c r="H21" s="197">
        <f>EITC!E24</f>
        <v>4560</v>
      </c>
      <c r="I21" s="205">
        <f>Medicaid!N28*12</f>
        <v>26265</v>
      </c>
      <c r="K21" s="185">
        <f t="shared" si="1"/>
        <v>83808.108000000007</v>
      </c>
      <c r="L21" s="185">
        <f t="shared" si="2"/>
        <v>93308.108000000007</v>
      </c>
      <c r="M21" s="36">
        <f t="shared" si="0"/>
        <v>7775.675666666667</v>
      </c>
    </row>
    <row r="22" spans="1:13" x14ac:dyDescent="0.3">
      <c r="A22" s="186">
        <v>10000</v>
      </c>
      <c r="B22" s="33">
        <f t="shared" si="3"/>
        <v>833.33333333333337</v>
      </c>
      <c r="C22" s="185">
        <f>'Child care subsidy'!S25*12</f>
        <v>23760</v>
      </c>
      <c r="D22" s="185">
        <f>MAX('TANF-VIEW'!L29,'TANF-VIEW'!T29)*12</f>
        <v>0</v>
      </c>
      <c r="E22" s="193">
        <f>SNAP!V26*12</f>
        <v>14196</v>
      </c>
      <c r="F22" s="184">
        <f>WIC!F28*12</f>
        <v>441.12</v>
      </c>
      <c r="G22" s="185">
        <f>'Housing Voucher'!Q26*12</f>
        <v>14435.988000000001</v>
      </c>
      <c r="H22" s="197">
        <f>EITC!E25</f>
        <v>4800</v>
      </c>
      <c r="I22" s="205">
        <f>Medicaid!N29*12</f>
        <v>26265</v>
      </c>
      <c r="K22" s="185">
        <f t="shared" si="1"/>
        <v>83898.108000000007</v>
      </c>
      <c r="L22" s="185">
        <f t="shared" si="2"/>
        <v>93898.108000000007</v>
      </c>
      <c r="M22" s="36">
        <f t="shared" si="0"/>
        <v>7824.842333333334</v>
      </c>
    </row>
    <row r="23" spans="1:13" x14ac:dyDescent="0.3">
      <c r="A23" s="186">
        <v>10500</v>
      </c>
      <c r="B23" s="33">
        <f t="shared" si="3"/>
        <v>875</v>
      </c>
      <c r="C23" s="185">
        <f>'Child care subsidy'!S26*12</f>
        <v>23760</v>
      </c>
      <c r="D23" s="185">
        <f>MAX('TANF-VIEW'!L30,'TANF-VIEW'!T30)*12</f>
        <v>0</v>
      </c>
      <c r="E23" s="193">
        <f>SNAP!V27*12</f>
        <v>14196</v>
      </c>
      <c r="F23" s="184">
        <f>WIC!F29*12</f>
        <v>441.12</v>
      </c>
      <c r="G23" s="185">
        <f>'Housing Voucher'!Q27*12</f>
        <v>14285.988000000001</v>
      </c>
      <c r="H23" s="197">
        <f>EITC!E26</f>
        <v>5040</v>
      </c>
      <c r="I23" s="205">
        <f>Medicaid!N30*12</f>
        <v>26265</v>
      </c>
      <c r="K23" s="185">
        <f t="shared" si="1"/>
        <v>83988.108000000007</v>
      </c>
      <c r="L23" s="185">
        <f t="shared" si="2"/>
        <v>94488.108000000007</v>
      </c>
      <c r="M23" s="36">
        <f t="shared" si="0"/>
        <v>7874.0090000000009</v>
      </c>
    </row>
    <row r="24" spans="1:13" ht="15.75" customHeight="1" x14ac:dyDescent="0.3">
      <c r="A24" s="186">
        <v>11000</v>
      </c>
      <c r="B24" s="33">
        <f t="shared" si="3"/>
        <v>916.66666666666663</v>
      </c>
      <c r="C24" s="185">
        <f>'Child care subsidy'!S27*12</f>
        <v>23760</v>
      </c>
      <c r="D24" s="185">
        <f>MAX('TANF-VIEW'!L31,'TANF-VIEW'!T31)*12</f>
        <v>0</v>
      </c>
      <c r="E24" s="193">
        <f>SNAP!V28*12</f>
        <v>14196</v>
      </c>
      <c r="F24" s="184">
        <f>WIC!F30*12</f>
        <v>441.12</v>
      </c>
      <c r="G24" s="185">
        <f>'Housing Voucher'!Q28*12</f>
        <v>14135.988000000001</v>
      </c>
      <c r="H24" s="197">
        <f>EITC!E27</f>
        <v>5280</v>
      </c>
      <c r="I24" s="205">
        <f>Medicaid!N31*12</f>
        <v>26265</v>
      </c>
      <c r="K24" s="185">
        <f t="shared" si="1"/>
        <v>84078.108000000007</v>
      </c>
      <c r="L24" s="185">
        <f t="shared" si="2"/>
        <v>95078.108000000007</v>
      </c>
      <c r="M24" s="36">
        <f t="shared" si="0"/>
        <v>7923.175666666667</v>
      </c>
    </row>
    <row r="25" spans="1:13" ht="15" customHeight="1" x14ac:dyDescent="0.3">
      <c r="A25" s="186">
        <v>11500</v>
      </c>
      <c r="B25" s="33">
        <f t="shared" si="3"/>
        <v>958.33333333333337</v>
      </c>
      <c r="C25" s="185">
        <f>'Child care subsidy'!S28*12</f>
        <v>23760</v>
      </c>
      <c r="D25" s="185">
        <f>MAX('TANF-VIEW'!L32,'TANF-VIEW'!T32)*12</f>
        <v>0</v>
      </c>
      <c r="E25" s="193">
        <f>SNAP!V29*12</f>
        <v>14196</v>
      </c>
      <c r="F25" s="184">
        <f>WIC!F31*12</f>
        <v>441.12</v>
      </c>
      <c r="G25" s="185">
        <f>'Housing Voucher'!Q29*12</f>
        <v>13985.988000000001</v>
      </c>
      <c r="H25" s="197">
        <f>EITC!E28</f>
        <v>5520</v>
      </c>
      <c r="I25" s="205">
        <f>Medicaid!N32*12</f>
        <v>26265</v>
      </c>
      <c r="K25" s="185">
        <f t="shared" si="1"/>
        <v>84168.108000000007</v>
      </c>
      <c r="L25" s="185">
        <f t="shared" si="2"/>
        <v>95668.108000000007</v>
      </c>
      <c r="M25" s="36">
        <f t="shared" si="0"/>
        <v>7972.342333333334</v>
      </c>
    </row>
    <row r="26" spans="1:13" ht="15" customHeight="1" x14ac:dyDescent="0.3">
      <c r="A26" s="186">
        <v>12000</v>
      </c>
      <c r="B26" s="33">
        <f t="shared" si="3"/>
        <v>1000</v>
      </c>
      <c r="C26" s="185">
        <f>'Child care subsidy'!S29*12</f>
        <v>23760</v>
      </c>
      <c r="D26" s="185">
        <f>MAX('TANF-VIEW'!L33,'TANF-VIEW'!T33)*12</f>
        <v>0</v>
      </c>
      <c r="E26" s="193">
        <f>SNAP!V30*12</f>
        <v>14196</v>
      </c>
      <c r="F26" s="184">
        <f>WIC!F32*12</f>
        <v>441.12</v>
      </c>
      <c r="G26" s="185">
        <f>'Housing Voucher'!Q30*12</f>
        <v>13835.988000000001</v>
      </c>
      <c r="H26" s="197">
        <f>EITC!E29</f>
        <v>5760</v>
      </c>
      <c r="I26" s="205">
        <f>Medicaid!N33*12</f>
        <v>26265</v>
      </c>
      <c r="K26" s="185">
        <f t="shared" si="1"/>
        <v>84258.108000000007</v>
      </c>
      <c r="L26" s="185">
        <f t="shared" si="2"/>
        <v>96258.108000000007</v>
      </c>
      <c r="M26" s="36">
        <f t="shared" si="0"/>
        <v>8021.5090000000009</v>
      </c>
    </row>
    <row r="27" spans="1:13" ht="15" customHeight="1" x14ac:dyDescent="0.3">
      <c r="A27" s="186">
        <v>12500</v>
      </c>
      <c r="B27" s="33">
        <f t="shared" si="3"/>
        <v>1041.6666666666667</v>
      </c>
      <c r="C27" s="185">
        <f>'Child care subsidy'!S30*12</f>
        <v>23760</v>
      </c>
      <c r="D27" s="185">
        <f>MAX('TANF-VIEW'!L34,'TANF-VIEW'!T34)*12</f>
        <v>0</v>
      </c>
      <c r="E27" s="193">
        <f>SNAP!V31*12</f>
        <v>14064</v>
      </c>
      <c r="F27" s="184">
        <f>WIC!F33*12</f>
        <v>441.12</v>
      </c>
      <c r="G27" s="185">
        <f>'Housing Voucher'!Q31*12</f>
        <v>13685.988000000001</v>
      </c>
      <c r="H27" s="197">
        <f>EITC!E30</f>
        <v>6000</v>
      </c>
      <c r="I27" s="205">
        <f>Medicaid!N34*12</f>
        <v>26265</v>
      </c>
      <c r="K27" s="185">
        <f t="shared" si="1"/>
        <v>84216.108000000007</v>
      </c>
      <c r="L27" s="185">
        <f t="shared" si="2"/>
        <v>96716.108000000007</v>
      </c>
      <c r="M27" s="36">
        <f t="shared" si="0"/>
        <v>8059.675666666667</v>
      </c>
    </row>
    <row r="28" spans="1:13" x14ac:dyDescent="0.3">
      <c r="A28" s="186">
        <v>13000</v>
      </c>
      <c r="B28" s="33">
        <f t="shared" si="3"/>
        <v>1083.3333333333333</v>
      </c>
      <c r="C28" s="185">
        <f>'Child care subsidy'!S31*12</f>
        <v>23760</v>
      </c>
      <c r="D28" s="185">
        <f>MAX('TANF-VIEW'!L35,'TANF-VIEW'!T35)*12</f>
        <v>0</v>
      </c>
      <c r="E28" s="193">
        <f>SNAP!V32*12</f>
        <v>13884</v>
      </c>
      <c r="F28" s="184">
        <f>WIC!F34*12</f>
        <v>441.12</v>
      </c>
      <c r="G28" s="185">
        <f>'Housing Voucher'!Q32*12</f>
        <v>13535.988000000001</v>
      </c>
      <c r="H28" s="197">
        <f>EITC!E31</f>
        <v>6240</v>
      </c>
      <c r="I28" s="205">
        <f>Medicaid!N35*12</f>
        <v>26265</v>
      </c>
      <c r="K28" s="185">
        <f t="shared" si="1"/>
        <v>84126.108000000007</v>
      </c>
      <c r="L28" s="185">
        <f t="shared" si="2"/>
        <v>97126.108000000007</v>
      </c>
      <c r="M28" s="36">
        <f t="shared" si="0"/>
        <v>8093.842333333334</v>
      </c>
    </row>
    <row r="29" spans="1:13" x14ac:dyDescent="0.3">
      <c r="A29" s="186">
        <v>13500</v>
      </c>
      <c r="B29" s="33">
        <f t="shared" si="3"/>
        <v>1125</v>
      </c>
      <c r="C29" s="185">
        <f>'Child care subsidy'!S32*12</f>
        <v>23760</v>
      </c>
      <c r="D29" s="185">
        <f>MAX('TANF-VIEW'!L36,'TANF-VIEW'!T36)*12</f>
        <v>0</v>
      </c>
      <c r="E29" s="193">
        <f>SNAP!V33*12</f>
        <v>13704</v>
      </c>
      <c r="F29" s="184">
        <f>WIC!F35*12</f>
        <v>441.12</v>
      </c>
      <c r="G29" s="185">
        <f>'Housing Voucher'!Q33*12</f>
        <v>13385.988000000001</v>
      </c>
      <c r="H29" s="197">
        <f>EITC!E32</f>
        <v>6480</v>
      </c>
      <c r="I29" s="205">
        <f>Medicaid!N36*12</f>
        <v>26265</v>
      </c>
      <c r="K29" s="185">
        <f t="shared" si="1"/>
        <v>84036.108000000007</v>
      </c>
      <c r="L29" s="185">
        <f t="shared" si="2"/>
        <v>97536.108000000007</v>
      </c>
      <c r="M29" s="36">
        <f t="shared" si="0"/>
        <v>8128.0090000000009</v>
      </c>
    </row>
    <row r="30" spans="1:13" x14ac:dyDescent="0.3">
      <c r="A30" s="186">
        <v>14000</v>
      </c>
      <c r="B30" s="33">
        <f t="shared" si="3"/>
        <v>1166.6666666666667</v>
      </c>
      <c r="C30" s="185">
        <f>'Child care subsidy'!S33*12</f>
        <v>23760</v>
      </c>
      <c r="D30" s="185">
        <f>MAX('TANF-VIEW'!L37,'TANF-VIEW'!T37)*12</f>
        <v>0</v>
      </c>
      <c r="E30" s="193">
        <f>SNAP!V34*12</f>
        <v>13524</v>
      </c>
      <c r="F30" s="184">
        <f>WIC!F36*12</f>
        <v>441.12</v>
      </c>
      <c r="G30" s="185">
        <f>'Housing Voucher'!Q34*12</f>
        <v>13235.988000000001</v>
      </c>
      <c r="H30" s="197">
        <f>EITC!E33</f>
        <v>6720</v>
      </c>
      <c r="I30" s="205">
        <f>Medicaid!N37*12</f>
        <v>26265</v>
      </c>
      <c r="K30" s="185">
        <f t="shared" si="1"/>
        <v>83946.108000000007</v>
      </c>
      <c r="L30" s="185">
        <f t="shared" si="2"/>
        <v>97946.108000000007</v>
      </c>
      <c r="M30" s="36">
        <f t="shared" si="0"/>
        <v>8162.175666666667</v>
      </c>
    </row>
    <row r="31" spans="1:13" x14ac:dyDescent="0.3">
      <c r="A31" s="186">
        <v>14500</v>
      </c>
      <c r="B31" s="33">
        <f t="shared" si="3"/>
        <v>1208.3333333333333</v>
      </c>
      <c r="C31" s="185">
        <f>'Child care subsidy'!S34*12</f>
        <v>23760</v>
      </c>
      <c r="D31" s="185">
        <f>MAX('TANF-VIEW'!L38,'TANF-VIEW'!T38)*12</f>
        <v>0</v>
      </c>
      <c r="E31" s="193">
        <f>SNAP!V35*12</f>
        <v>13344</v>
      </c>
      <c r="F31" s="184">
        <f>WIC!F37*12</f>
        <v>441.12</v>
      </c>
      <c r="G31" s="185">
        <f>'Housing Voucher'!Q35*12</f>
        <v>13085.988000000001</v>
      </c>
      <c r="H31" s="197">
        <f>EITC!E34</f>
        <v>6960</v>
      </c>
      <c r="I31" s="205">
        <f>Medicaid!N38*12</f>
        <v>26265</v>
      </c>
      <c r="K31" s="185">
        <f t="shared" si="1"/>
        <v>83856.108000000007</v>
      </c>
      <c r="L31" s="185">
        <f t="shared" si="2"/>
        <v>98356.108000000007</v>
      </c>
      <c r="M31" s="36">
        <f t="shared" si="0"/>
        <v>8196.342333333334</v>
      </c>
    </row>
    <row r="32" spans="1:13" x14ac:dyDescent="0.3">
      <c r="A32" s="186">
        <v>15000</v>
      </c>
      <c r="B32" s="33">
        <f t="shared" si="3"/>
        <v>1250</v>
      </c>
      <c r="C32" s="185">
        <f>'Child care subsidy'!S35*12</f>
        <v>23760</v>
      </c>
      <c r="D32" s="185">
        <f>MAX('TANF-VIEW'!L39,'TANF-VIEW'!T39)*12</f>
        <v>0</v>
      </c>
      <c r="E32" s="193">
        <f>SNAP!V36*12</f>
        <v>13164</v>
      </c>
      <c r="F32" s="184">
        <f>WIC!F38*12</f>
        <v>441.12</v>
      </c>
      <c r="G32" s="185">
        <f>'Housing Voucher'!Q36*12</f>
        <v>12935.988000000001</v>
      </c>
      <c r="H32" s="197">
        <f>EITC!E35</f>
        <v>7200</v>
      </c>
      <c r="I32" s="205">
        <f>Medicaid!N39*12</f>
        <v>26265</v>
      </c>
      <c r="K32" s="185">
        <f t="shared" si="1"/>
        <v>83766.108000000007</v>
      </c>
      <c r="L32" s="185">
        <f t="shared" si="2"/>
        <v>98766.108000000007</v>
      </c>
      <c r="M32" s="36">
        <f t="shared" si="0"/>
        <v>8230.509</v>
      </c>
    </row>
    <row r="33" spans="1:13" x14ac:dyDescent="0.3">
      <c r="A33" s="186">
        <v>15500</v>
      </c>
      <c r="B33" s="33">
        <f t="shared" si="3"/>
        <v>1291.6666666666667</v>
      </c>
      <c r="C33" s="185">
        <f>'Child care subsidy'!S36*12</f>
        <v>23760</v>
      </c>
      <c r="D33" s="185">
        <f>MAX('TANF-VIEW'!L40,'TANF-VIEW'!T40)*12</f>
        <v>0</v>
      </c>
      <c r="E33" s="193">
        <f>SNAP!V37*12</f>
        <v>12984</v>
      </c>
      <c r="F33" s="184">
        <f>WIC!F39*12</f>
        <v>441.12</v>
      </c>
      <c r="G33" s="185">
        <f>'Housing Voucher'!Q37*12</f>
        <v>12785.988000000001</v>
      </c>
      <c r="H33" s="197">
        <f>EITC!E36</f>
        <v>7440</v>
      </c>
      <c r="I33" s="205">
        <f>Medicaid!N40*12</f>
        <v>26265</v>
      </c>
      <c r="K33" s="185">
        <f t="shared" si="1"/>
        <v>83676.108000000007</v>
      </c>
      <c r="L33" s="185">
        <f t="shared" si="2"/>
        <v>99176.108000000007</v>
      </c>
      <c r="M33" s="36">
        <f t="shared" si="0"/>
        <v>8264.6756666666679</v>
      </c>
    </row>
    <row r="34" spans="1:13" x14ac:dyDescent="0.3">
      <c r="A34" s="186">
        <v>16000</v>
      </c>
      <c r="B34" s="33">
        <f t="shared" si="3"/>
        <v>1333.3333333333333</v>
      </c>
      <c r="C34" s="185">
        <f>'Child care subsidy'!S37*12</f>
        <v>23760</v>
      </c>
      <c r="D34" s="185">
        <f>MAX('TANF-VIEW'!L41,'TANF-VIEW'!T41)*12</f>
        <v>0</v>
      </c>
      <c r="E34" s="193">
        <f>SNAP!V38*12</f>
        <v>12804</v>
      </c>
      <c r="F34" s="184">
        <f>WIC!F40*12</f>
        <v>441.12</v>
      </c>
      <c r="G34" s="185">
        <f>'Housing Voucher'!Q38*12</f>
        <v>12635.988000000001</v>
      </c>
      <c r="H34" s="197">
        <f>EITC!E37</f>
        <v>7680</v>
      </c>
      <c r="I34" s="205">
        <f>Medicaid!N41*12</f>
        <v>26265</v>
      </c>
      <c r="K34" s="185">
        <f t="shared" si="1"/>
        <v>83586.108000000007</v>
      </c>
      <c r="L34" s="185">
        <f t="shared" si="2"/>
        <v>99586.108000000007</v>
      </c>
      <c r="M34" s="36">
        <f t="shared" si="0"/>
        <v>8298.842333333334</v>
      </c>
    </row>
    <row r="35" spans="1:13" x14ac:dyDescent="0.3">
      <c r="A35" s="186">
        <v>16500</v>
      </c>
      <c r="B35" s="33">
        <f t="shared" si="3"/>
        <v>1375</v>
      </c>
      <c r="C35" s="185">
        <f>'Child care subsidy'!S38*12</f>
        <v>23760</v>
      </c>
      <c r="D35" s="185">
        <f>MAX('TANF-VIEW'!L42,'TANF-VIEW'!T42)*12</f>
        <v>0</v>
      </c>
      <c r="E35" s="193">
        <f>SNAP!V39*12</f>
        <v>12624</v>
      </c>
      <c r="F35" s="184">
        <f>WIC!F41*12</f>
        <v>441.12</v>
      </c>
      <c r="G35" s="185">
        <f>'Housing Voucher'!Q39*12</f>
        <v>12485.988000000001</v>
      </c>
      <c r="H35" s="197">
        <f>EITC!E38</f>
        <v>7920</v>
      </c>
      <c r="I35" s="205">
        <f>Medicaid!N42*12</f>
        <v>26265</v>
      </c>
      <c r="K35" s="185">
        <f t="shared" si="1"/>
        <v>83496.108000000007</v>
      </c>
      <c r="L35" s="185">
        <f t="shared" si="2"/>
        <v>99996.108000000007</v>
      </c>
      <c r="M35" s="36">
        <f t="shared" si="0"/>
        <v>8333.009</v>
      </c>
    </row>
    <row r="36" spans="1:13" x14ac:dyDescent="0.3">
      <c r="A36" s="186">
        <v>17000</v>
      </c>
      <c r="B36" s="33">
        <f t="shared" si="3"/>
        <v>1416.6666666666667</v>
      </c>
      <c r="C36" s="185">
        <f>'Child care subsidy'!S39*12</f>
        <v>23760</v>
      </c>
      <c r="D36" s="185">
        <f>MAX('TANF-VIEW'!L43,'TANF-VIEW'!T43)*12</f>
        <v>0</v>
      </c>
      <c r="E36" s="193">
        <f>SNAP!V40*12</f>
        <v>12444</v>
      </c>
      <c r="F36" s="184">
        <f>WIC!F42*12</f>
        <v>441.12</v>
      </c>
      <c r="G36" s="185">
        <f>'Housing Voucher'!Q40*12</f>
        <v>12335.988000000001</v>
      </c>
      <c r="H36" s="197">
        <f>EITC!E39</f>
        <v>8160</v>
      </c>
      <c r="I36" s="205">
        <f>Medicaid!N43*12</f>
        <v>26265</v>
      </c>
      <c r="K36" s="185">
        <f t="shared" si="1"/>
        <v>83406.108000000007</v>
      </c>
      <c r="L36" s="185">
        <f t="shared" si="2"/>
        <v>100406.10800000001</v>
      </c>
      <c r="M36" s="36">
        <f t="shared" si="0"/>
        <v>8367.1756666666679</v>
      </c>
    </row>
    <row r="37" spans="1:13" x14ac:dyDescent="0.3">
      <c r="A37" s="186">
        <v>17500</v>
      </c>
      <c r="B37" s="33">
        <f t="shared" si="3"/>
        <v>1458.3333333333333</v>
      </c>
      <c r="C37" s="185">
        <f>'Child care subsidy'!S40*12</f>
        <v>23760</v>
      </c>
      <c r="D37" s="185">
        <f>MAX('TANF-VIEW'!L44,'TANF-VIEW'!T44)*12</f>
        <v>0</v>
      </c>
      <c r="E37" s="193">
        <f>SNAP!V41*12</f>
        <v>12264</v>
      </c>
      <c r="F37" s="184">
        <f>WIC!F43*12</f>
        <v>441.12</v>
      </c>
      <c r="G37" s="185">
        <f>'Housing Voucher'!Q41*12</f>
        <v>12185.988000000001</v>
      </c>
      <c r="H37" s="197">
        <f>EITC!E40</f>
        <v>8400</v>
      </c>
      <c r="I37" s="205">
        <f>Medicaid!N44*12</f>
        <v>26265</v>
      </c>
      <c r="K37" s="185">
        <f t="shared" si="1"/>
        <v>83316.108000000007</v>
      </c>
      <c r="L37" s="185">
        <f t="shared" si="2"/>
        <v>100816.10800000001</v>
      </c>
      <c r="M37" s="36">
        <f t="shared" si="0"/>
        <v>8401.342333333334</v>
      </c>
    </row>
    <row r="38" spans="1:13" x14ac:dyDescent="0.3">
      <c r="A38" s="186">
        <v>18000</v>
      </c>
      <c r="B38" s="33">
        <f t="shared" si="3"/>
        <v>1500</v>
      </c>
      <c r="C38" s="185">
        <f>'Child care subsidy'!S41*12</f>
        <v>23760</v>
      </c>
      <c r="D38" s="185">
        <f>MAX('TANF-VIEW'!L45,'TANF-VIEW'!T45)*12</f>
        <v>0</v>
      </c>
      <c r="E38" s="193">
        <f>SNAP!V42*12</f>
        <v>12084</v>
      </c>
      <c r="F38" s="184">
        <f>WIC!F44*12</f>
        <v>441.12</v>
      </c>
      <c r="G38" s="185">
        <f>'Housing Voucher'!Q42*12</f>
        <v>12035.988000000001</v>
      </c>
      <c r="H38" s="197">
        <f>EITC!E41</f>
        <v>8640</v>
      </c>
      <c r="I38" s="205">
        <f>Medicaid!N45*12</f>
        <v>26265</v>
      </c>
      <c r="K38" s="185">
        <f t="shared" si="1"/>
        <v>83226.108000000007</v>
      </c>
      <c r="L38" s="185">
        <f t="shared" si="2"/>
        <v>101226.10800000001</v>
      </c>
      <c r="M38" s="36">
        <f t="shared" si="0"/>
        <v>8435.509</v>
      </c>
    </row>
    <row r="39" spans="1:13" ht="15" customHeight="1" x14ac:dyDescent="0.3">
      <c r="A39" s="186">
        <v>18500</v>
      </c>
      <c r="B39" s="33">
        <f t="shared" si="3"/>
        <v>1541.6666666666667</v>
      </c>
      <c r="C39" s="185">
        <f>'Child care subsidy'!S42*12</f>
        <v>23760</v>
      </c>
      <c r="D39" s="185">
        <f>MAX('TANF-VIEW'!L46,'TANF-VIEW'!T46)*12</f>
        <v>0</v>
      </c>
      <c r="E39" s="193">
        <f>SNAP!V43*12</f>
        <v>11904</v>
      </c>
      <c r="F39" s="184">
        <f>WIC!F45*12</f>
        <v>441.12</v>
      </c>
      <c r="G39" s="185">
        <f>'Housing Voucher'!Q43*12</f>
        <v>11885.988000000001</v>
      </c>
      <c r="H39" s="197">
        <f>EITC!E42</f>
        <v>8779.2000000000007</v>
      </c>
      <c r="I39" s="205">
        <f>Medicaid!N46*12</f>
        <v>26265</v>
      </c>
      <c r="K39" s="185">
        <f t="shared" si="1"/>
        <v>83035.308000000005</v>
      </c>
      <c r="L39" s="185">
        <f t="shared" si="2"/>
        <v>101535.308</v>
      </c>
      <c r="M39" s="36">
        <f t="shared" si="0"/>
        <v>8461.2756666666664</v>
      </c>
    </row>
    <row r="40" spans="1:13" x14ac:dyDescent="0.3">
      <c r="A40" s="186">
        <v>19000</v>
      </c>
      <c r="B40" s="33">
        <f t="shared" si="3"/>
        <v>1583.3333333333333</v>
      </c>
      <c r="C40" s="185">
        <f>'Child care subsidy'!S43*12</f>
        <v>23760</v>
      </c>
      <c r="D40" s="185">
        <f>MAX('TANF-VIEW'!L47,'TANF-VIEW'!T47)*12</f>
        <v>0</v>
      </c>
      <c r="E40" s="193">
        <f>SNAP!V44*12</f>
        <v>11724</v>
      </c>
      <c r="F40" s="184">
        <f>WIC!F46*12</f>
        <v>441.12</v>
      </c>
      <c r="G40" s="185">
        <f>'Housing Voucher'!Q44*12</f>
        <v>11735.988000000001</v>
      </c>
      <c r="H40" s="197">
        <f>EITC!E43</f>
        <v>8779.2000000000007</v>
      </c>
      <c r="I40" s="205">
        <f>Medicaid!N47*12</f>
        <v>26265</v>
      </c>
      <c r="K40" s="185">
        <f t="shared" si="1"/>
        <v>82705.308000000005</v>
      </c>
      <c r="L40" s="185">
        <f t="shared" si="2"/>
        <v>101705.308</v>
      </c>
      <c r="M40" s="36">
        <f t="shared" si="0"/>
        <v>8475.4423333333343</v>
      </c>
    </row>
    <row r="41" spans="1:13" x14ac:dyDescent="0.3">
      <c r="A41" s="186">
        <v>19500</v>
      </c>
      <c r="B41" s="33">
        <f t="shared" si="3"/>
        <v>1625</v>
      </c>
      <c r="C41" s="185">
        <f>'Child care subsidy'!S44*12</f>
        <v>23760</v>
      </c>
      <c r="D41" s="185">
        <f>MAX('TANF-VIEW'!L48,'TANF-VIEW'!T48)*12</f>
        <v>0</v>
      </c>
      <c r="E41" s="193">
        <f>SNAP!V45*12</f>
        <v>11544</v>
      </c>
      <c r="F41" s="184">
        <f>WIC!F47*12</f>
        <v>441.12</v>
      </c>
      <c r="G41" s="185">
        <f>'Housing Voucher'!Q45*12</f>
        <v>11585.988000000001</v>
      </c>
      <c r="H41" s="197">
        <f>EITC!E44</f>
        <v>8779.2000000000007</v>
      </c>
      <c r="I41" s="205">
        <f>Medicaid!N48*12</f>
        <v>26265</v>
      </c>
      <c r="K41" s="185">
        <f t="shared" si="1"/>
        <v>82375.308000000005</v>
      </c>
      <c r="L41" s="185">
        <f t="shared" si="2"/>
        <v>101875.308</v>
      </c>
      <c r="M41" s="36">
        <f t="shared" si="0"/>
        <v>8489.6090000000004</v>
      </c>
    </row>
    <row r="42" spans="1:13" x14ac:dyDescent="0.3">
      <c r="A42" s="186">
        <v>20000</v>
      </c>
      <c r="B42" s="33">
        <f t="shared" si="3"/>
        <v>1666.6666666666667</v>
      </c>
      <c r="C42" s="185">
        <f>'Child care subsidy'!S45*12</f>
        <v>23760</v>
      </c>
      <c r="D42" s="185">
        <f>MAX('TANF-VIEW'!L49,'TANF-VIEW'!T49)*12</f>
        <v>0</v>
      </c>
      <c r="E42" s="193">
        <f>SNAP!V46*12</f>
        <v>11364</v>
      </c>
      <c r="F42" s="184">
        <f>WIC!F48*12</f>
        <v>441.12</v>
      </c>
      <c r="G42" s="185">
        <f>'Housing Voucher'!Q46*12</f>
        <v>11435.988000000001</v>
      </c>
      <c r="H42" s="197">
        <f>EITC!E45</f>
        <v>8779.2000000000007</v>
      </c>
      <c r="I42" s="205">
        <f>Medicaid!N49*12</f>
        <v>26265</v>
      </c>
      <c r="K42" s="185">
        <f t="shared" si="1"/>
        <v>82045.308000000005</v>
      </c>
      <c r="L42" s="185">
        <f t="shared" si="2"/>
        <v>102045.308</v>
      </c>
      <c r="M42" s="36">
        <f t="shared" si="0"/>
        <v>8503.7756666666664</v>
      </c>
    </row>
    <row r="43" spans="1:13" x14ac:dyDescent="0.3">
      <c r="A43" s="186">
        <v>20500</v>
      </c>
      <c r="B43" s="33">
        <f t="shared" si="3"/>
        <v>1708.3333333333333</v>
      </c>
      <c r="C43" s="185">
        <f>'Child care subsidy'!S46*12</f>
        <v>23760</v>
      </c>
      <c r="D43" s="185">
        <f>MAX('TANF-VIEW'!L50,'TANF-VIEW'!T50)*12</f>
        <v>0</v>
      </c>
      <c r="E43" s="193">
        <f>SNAP!V47*12</f>
        <v>11184</v>
      </c>
      <c r="F43" s="184">
        <f>WIC!F49*12</f>
        <v>441.12</v>
      </c>
      <c r="G43" s="185">
        <f>'Housing Voucher'!Q47*12</f>
        <v>11285.988000000001</v>
      </c>
      <c r="H43" s="197">
        <f>EITC!E46</f>
        <v>8779.2000000000007</v>
      </c>
      <c r="I43" s="205">
        <f>Medicaid!N50*12</f>
        <v>26265</v>
      </c>
      <c r="K43" s="185">
        <f t="shared" si="1"/>
        <v>81715.308000000005</v>
      </c>
      <c r="L43" s="185">
        <f t="shared" si="2"/>
        <v>102215.308</v>
      </c>
      <c r="M43" s="36">
        <f t="shared" si="0"/>
        <v>8517.9423333333343</v>
      </c>
    </row>
    <row r="44" spans="1:13" x14ac:dyDescent="0.3">
      <c r="A44" s="186">
        <v>21000</v>
      </c>
      <c r="B44" s="33">
        <f t="shared" si="3"/>
        <v>1750</v>
      </c>
      <c r="C44" s="185">
        <f>'Child care subsidy'!S47*12</f>
        <v>23760</v>
      </c>
      <c r="D44" s="185">
        <f>MAX('TANF-VIEW'!L51,'TANF-VIEW'!T51)*12</f>
        <v>0</v>
      </c>
      <c r="E44" s="193">
        <f>SNAP!V48*12</f>
        <v>11004</v>
      </c>
      <c r="F44" s="184">
        <f>WIC!F50*12</f>
        <v>441.12</v>
      </c>
      <c r="G44" s="185">
        <f>'Housing Voucher'!Q48*12</f>
        <v>11135.988000000001</v>
      </c>
      <c r="H44" s="197">
        <f>EITC!E47</f>
        <v>8779.2000000000007</v>
      </c>
      <c r="I44" s="205">
        <f>Medicaid!N51*12</f>
        <v>26265</v>
      </c>
      <c r="K44" s="185">
        <f t="shared" si="1"/>
        <v>81385.308000000005</v>
      </c>
      <c r="L44" s="185">
        <f t="shared" si="2"/>
        <v>102385.308</v>
      </c>
      <c r="M44" s="36">
        <f t="shared" si="0"/>
        <v>8532.1090000000004</v>
      </c>
    </row>
    <row r="45" spans="1:13" x14ac:dyDescent="0.3">
      <c r="A45" s="186">
        <v>21500</v>
      </c>
      <c r="B45" s="33">
        <f t="shared" si="3"/>
        <v>1791.6666666666667</v>
      </c>
      <c r="C45" s="185">
        <f>'Child care subsidy'!S48*12</f>
        <v>23760</v>
      </c>
      <c r="D45" s="185">
        <f>MAX('TANF-VIEW'!L52,'TANF-VIEW'!T52)*12</f>
        <v>0</v>
      </c>
      <c r="E45" s="193">
        <f>SNAP!V49*12</f>
        <v>10824</v>
      </c>
      <c r="F45" s="184">
        <f>WIC!F51*12</f>
        <v>441.12</v>
      </c>
      <c r="G45" s="185">
        <f>'Housing Voucher'!Q49*12</f>
        <v>10985.988000000001</v>
      </c>
      <c r="H45" s="197">
        <f>EITC!E48</f>
        <v>8779.2000000000007</v>
      </c>
      <c r="I45" s="205">
        <f>Medicaid!N52*12</f>
        <v>26265</v>
      </c>
      <c r="K45" s="185">
        <f t="shared" si="1"/>
        <v>81055.308000000005</v>
      </c>
      <c r="L45" s="185">
        <f t="shared" si="2"/>
        <v>102555.308</v>
      </c>
      <c r="M45" s="36">
        <f t="shared" si="0"/>
        <v>8546.2756666666664</v>
      </c>
    </row>
    <row r="46" spans="1:13" x14ac:dyDescent="0.3">
      <c r="A46" s="186">
        <v>22000</v>
      </c>
      <c r="B46" s="33">
        <f t="shared" si="3"/>
        <v>1833.3333333333333</v>
      </c>
      <c r="C46" s="185">
        <f>'Child care subsidy'!S49*12</f>
        <v>23760</v>
      </c>
      <c r="D46" s="185">
        <f>MAX('TANF-VIEW'!L53,'TANF-VIEW'!T53)*12</f>
        <v>0</v>
      </c>
      <c r="E46" s="193">
        <f>SNAP!V50*12</f>
        <v>10644</v>
      </c>
      <c r="F46" s="184">
        <f>WIC!F52*12</f>
        <v>441.12</v>
      </c>
      <c r="G46" s="185">
        <f>'Housing Voucher'!Q50*12</f>
        <v>10835.988000000001</v>
      </c>
      <c r="H46" s="197">
        <f>EITC!E49</f>
        <v>8779.2000000000007</v>
      </c>
      <c r="I46" s="205">
        <f>Medicaid!N53*12</f>
        <v>26265</v>
      </c>
      <c r="K46" s="185">
        <f t="shared" si="1"/>
        <v>80725.308000000005</v>
      </c>
      <c r="L46" s="185">
        <f t="shared" si="2"/>
        <v>102725.308</v>
      </c>
      <c r="M46" s="36">
        <f t="shared" si="0"/>
        <v>8560.4423333333343</v>
      </c>
    </row>
    <row r="47" spans="1:13" x14ac:dyDescent="0.3">
      <c r="A47" s="186">
        <v>22500</v>
      </c>
      <c r="B47" s="33">
        <f t="shared" si="3"/>
        <v>1875</v>
      </c>
      <c r="C47" s="185">
        <f>'Child care subsidy'!S50*12</f>
        <v>23760</v>
      </c>
      <c r="D47" s="185">
        <f>MAX('TANF-VIEW'!L54,'TANF-VIEW'!T54)*12</f>
        <v>0</v>
      </c>
      <c r="E47" s="193">
        <f>SNAP!V51*12</f>
        <v>10464</v>
      </c>
      <c r="F47" s="184">
        <f>WIC!F53*12</f>
        <v>441.12</v>
      </c>
      <c r="G47" s="185">
        <f>'Housing Voucher'!Q51*12</f>
        <v>10685.988000000001</v>
      </c>
      <c r="H47" s="197">
        <f>EITC!E50</f>
        <v>8779.2000000000007</v>
      </c>
      <c r="I47" s="205">
        <f>Medicaid!N54*12</f>
        <v>26265</v>
      </c>
      <c r="K47" s="185">
        <f t="shared" si="1"/>
        <v>80395.308000000005</v>
      </c>
      <c r="L47" s="185">
        <f t="shared" si="2"/>
        <v>102895.308</v>
      </c>
      <c r="M47" s="36">
        <f t="shared" si="0"/>
        <v>8574.6090000000004</v>
      </c>
    </row>
    <row r="48" spans="1:13" x14ac:dyDescent="0.3">
      <c r="A48" s="186">
        <v>23000</v>
      </c>
      <c r="B48" s="33">
        <f t="shared" si="3"/>
        <v>1916.6666666666667</v>
      </c>
      <c r="C48" s="185">
        <f>'Child care subsidy'!S51*12</f>
        <v>23760</v>
      </c>
      <c r="D48" s="185">
        <f>MAX('TANF-VIEW'!L55,'TANF-VIEW'!T55)*12</f>
        <v>0</v>
      </c>
      <c r="E48" s="193">
        <f>SNAP!V52*12</f>
        <v>10284</v>
      </c>
      <c r="F48" s="184">
        <f>WIC!F54*12</f>
        <v>441.12</v>
      </c>
      <c r="G48" s="185">
        <f>'Housing Voucher'!Q52*12</f>
        <v>10535.987999999999</v>
      </c>
      <c r="H48" s="197">
        <f>EITC!E51</f>
        <v>8779.2000000000007</v>
      </c>
      <c r="I48" s="205">
        <f>Medicaid!N55*12</f>
        <v>26265</v>
      </c>
      <c r="K48" s="185">
        <f t="shared" si="1"/>
        <v>80065.308000000005</v>
      </c>
      <c r="L48" s="185">
        <f t="shared" si="2"/>
        <v>103065.308</v>
      </c>
      <c r="M48" s="36">
        <f t="shared" si="0"/>
        <v>8588.7756666666664</v>
      </c>
    </row>
    <row r="49" spans="1:13" x14ac:dyDescent="0.3">
      <c r="A49" s="186">
        <v>23500</v>
      </c>
      <c r="B49" s="33">
        <f t="shared" si="3"/>
        <v>1958.3333333333333</v>
      </c>
      <c r="C49" s="185">
        <f>'Child care subsidy'!S52*12</f>
        <v>23760</v>
      </c>
      <c r="D49" s="185">
        <f>MAX('TANF-VIEW'!L56,'TANF-VIEW'!T56)*12</f>
        <v>0</v>
      </c>
      <c r="E49" s="193">
        <f>SNAP!V53*12</f>
        <v>10104</v>
      </c>
      <c r="F49" s="184">
        <f>WIC!F55*12</f>
        <v>441.12</v>
      </c>
      <c r="G49" s="185">
        <f>'Housing Voucher'!Q53*12</f>
        <v>10385.988000000001</v>
      </c>
      <c r="H49" s="197">
        <f>EITC!E52</f>
        <v>8779.2000000000007</v>
      </c>
      <c r="I49" s="205">
        <f>Medicaid!N56*12</f>
        <v>26265</v>
      </c>
      <c r="K49" s="185">
        <f t="shared" si="1"/>
        <v>79735.308000000005</v>
      </c>
      <c r="L49" s="185">
        <f t="shared" si="2"/>
        <v>103235.308</v>
      </c>
      <c r="M49" s="36">
        <f t="shared" si="0"/>
        <v>8602.9423333333343</v>
      </c>
    </row>
    <row r="50" spans="1:13" x14ac:dyDescent="0.3">
      <c r="A50" s="186">
        <v>24000</v>
      </c>
      <c r="B50" s="33">
        <f t="shared" si="3"/>
        <v>2000</v>
      </c>
      <c r="C50" s="185">
        <f>'Child care subsidy'!S53*12</f>
        <v>23760</v>
      </c>
      <c r="D50" s="185">
        <f>MAX('TANF-VIEW'!L57,'TANF-VIEW'!T57)*12</f>
        <v>0</v>
      </c>
      <c r="E50" s="193">
        <f>SNAP!V54*12</f>
        <v>9924</v>
      </c>
      <c r="F50" s="184">
        <f>WIC!F56*12</f>
        <v>441.12</v>
      </c>
      <c r="G50" s="185">
        <f>'Housing Voucher'!Q54*12</f>
        <v>10235.988000000001</v>
      </c>
      <c r="H50" s="197">
        <f>EITC!E53</f>
        <v>8779.2000000000007</v>
      </c>
      <c r="I50" s="205">
        <f>Medicaid!N57*12</f>
        <v>26265</v>
      </c>
      <c r="K50" s="185">
        <f t="shared" si="1"/>
        <v>79405.308000000005</v>
      </c>
      <c r="L50" s="185">
        <f t="shared" si="2"/>
        <v>103405.308</v>
      </c>
      <c r="M50" s="36">
        <f t="shared" si="0"/>
        <v>8617.1090000000004</v>
      </c>
    </row>
    <row r="51" spans="1:13" x14ac:dyDescent="0.3">
      <c r="A51" s="186">
        <v>24500</v>
      </c>
      <c r="B51" s="33">
        <f t="shared" si="3"/>
        <v>2041.6666666666667</v>
      </c>
      <c r="C51" s="185">
        <f>'Child care subsidy'!S54*12</f>
        <v>23760</v>
      </c>
      <c r="D51" s="185">
        <f>MAX('TANF-VIEW'!L58,'TANF-VIEW'!T58)*12</f>
        <v>0</v>
      </c>
      <c r="E51" s="193">
        <f>SNAP!V55*12</f>
        <v>9744</v>
      </c>
      <c r="F51" s="184">
        <f>WIC!F57*12</f>
        <v>441.12</v>
      </c>
      <c r="G51" s="185">
        <f>'Housing Voucher'!Q55*12</f>
        <v>10085.987999999999</v>
      </c>
      <c r="H51" s="197">
        <f>EITC!E54</f>
        <v>8779.2000000000007</v>
      </c>
      <c r="I51" s="205">
        <f>Medicaid!N58*12</f>
        <v>26265</v>
      </c>
      <c r="K51" s="185">
        <f t="shared" si="1"/>
        <v>79075.308000000005</v>
      </c>
      <c r="L51" s="185">
        <f t="shared" si="2"/>
        <v>103575.308</v>
      </c>
      <c r="M51" s="36">
        <f t="shared" si="0"/>
        <v>8631.2756666666664</v>
      </c>
    </row>
    <row r="52" spans="1:13" x14ac:dyDescent="0.3">
      <c r="A52" s="186">
        <v>25000</v>
      </c>
      <c r="B52" s="33">
        <f t="shared" si="3"/>
        <v>2083.3333333333335</v>
      </c>
      <c r="C52" s="185">
        <f>'Child care subsidy'!S55*12</f>
        <v>23760</v>
      </c>
      <c r="D52" s="185">
        <f>MAX('TANF-VIEW'!L59,'TANF-VIEW'!T59)*12</f>
        <v>0</v>
      </c>
      <c r="E52" s="193">
        <f>SNAP!V56*12</f>
        <v>9564</v>
      </c>
      <c r="F52" s="184">
        <f>WIC!F58*12</f>
        <v>441.12</v>
      </c>
      <c r="G52" s="185">
        <f>'Housing Voucher'!Q56*12</f>
        <v>9935.9879999999994</v>
      </c>
      <c r="H52" s="197">
        <f>EITC!E55</f>
        <v>8779.2000000000007</v>
      </c>
      <c r="I52" s="205">
        <f>Medicaid!N59*12</f>
        <v>26265</v>
      </c>
      <c r="K52" s="185">
        <f t="shared" si="1"/>
        <v>78745.308000000005</v>
      </c>
      <c r="L52" s="185">
        <f t="shared" si="2"/>
        <v>103745.308</v>
      </c>
      <c r="M52" s="36">
        <f t="shared" si="0"/>
        <v>8645.4423333333343</v>
      </c>
    </row>
    <row r="53" spans="1:13" x14ac:dyDescent="0.3">
      <c r="A53" s="186">
        <v>25500</v>
      </c>
      <c r="B53" s="33">
        <f t="shared" si="3"/>
        <v>2125</v>
      </c>
      <c r="C53" s="185">
        <f>'Child care subsidy'!S56*12</f>
        <v>23760</v>
      </c>
      <c r="D53" s="185">
        <f>MAX('TANF-VIEW'!L60,'TANF-VIEW'!T60)*12</f>
        <v>0</v>
      </c>
      <c r="E53" s="193">
        <f>SNAP!V57*12</f>
        <v>9384</v>
      </c>
      <c r="F53" s="184">
        <f>WIC!F59*12</f>
        <v>441.12</v>
      </c>
      <c r="G53" s="185">
        <f>'Housing Voucher'!Q57*12</f>
        <v>9785.9880000000012</v>
      </c>
      <c r="H53" s="197">
        <f>EITC!E56</f>
        <v>8779.2000000000007</v>
      </c>
      <c r="I53" s="205">
        <f>Medicaid!N60*12</f>
        <v>26265</v>
      </c>
      <c r="K53" s="185">
        <f t="shared" si="1"/>
        <v>78415.308000000005</v>
      </c>
      <c r="L53" s="185">
        <f t="shared" si="2"/>
        <v>103915.308</v>
      </c>
      <c r="M53" s="36">
        <f t="shared" si="0"/>
        <v>8659.6090000000004</v>
      </c>
    </row>
    <row r="54" spans="1:13" x14ac:dyDescent="0.3">
      <c r="A54" s="186">
        <v>26000</v>
      </c>
      <c r="B54" s="33">
        <f t="shared" si="3"/>
        <v>2166.6666666666665</v>
      </c>
      <c r="C54" s="185">
        <f>'Child care subsidy'!S57*12</f>
        <v>23760</v>
      </c>
      <c r="D54" s="185">
        <f>MAX('TANF-VIEW'!L61,'TANF-VIEW'!T61)*12</f>
        <v>0</v>
      </c>
      <c r="E54" s="193">
        <f>SNAP!V58*12</f>
        <v>9204</v>
      </c>
      <c r="F54" s="184">
        <f>WIC!F60*12</f>
        <v>441.12</v>
      </c>
      <c r="G54" s="185">
        <f>'Housing Voucher'!Q58*12</f>
        <v>9635.9880000000012</v>
      </c>
      <c r="H54" s="197">
        <f>EITC!E57</f>
        <v>8779.2000000000007</v>
      </c>
      <c r="I54" s="205">
        <f>Medicaid!N61*12</f>
        <v>26265</v>
      </c>
      <c r="K54" s="185">
        <f t="shared" si="1"/>
        <v>78085.308000000005</v>
      </c>
      <c r="L54" s="185">
        <f t="shared" si="2"/>
        <v>104085.308</v>
      </c>
      <c r="M54" s="36">
        <f t="shared" si="0"/>
        <v>8673.7756666666664</v>
      </c>
    </row>
    <row r="55" spans="1:13" x14ac:dyDescent="0.3">
      <c r="A55" s="206">
        <v>26500</v>
      </c>
      <c r="B55" s="207">
        <f t="shared" si="3"/>
        <v>2208.3333333333335</v>
      </c>
      <c r="C55" s="208">
        <f>'Child care subsidy'!S58*12</f>
        <v>23760</v>
      </c>
      <c r="D55" s="208">
        <f>MAX('TANF-VIEW'!L62,'TANF-VIEW'!T62)*12</f>
        <v>0</v>
      </c>
      <c r="E55" s="209">
        <f>SNAP!V59*12</f>
        <v>9024</v>
      </c>
      <c r="F55" s="210">
        <f>WIC!F61*12</f>
        <v>441.12</v>
      </c>
      <c r="G55" s="208">
        <f>'Housing Voucher'!Q59*12</f>
        <v>9485.9879999999994</v>
      </c>
      <c r="H55" s="211">
        <f>EITC!E58</f>
        <v>8779.2000000000007</v>
      </c>
      <c r="I55" s="212">
        <f>Medicaid!N62*12</f>
        <v>26265</v>
      </c>
      <c r="J55" s="213"/>
      <c r="K55" s="208">
        <f t="shared" si="1"/>
        <v>77755.308000000005</v>
      </c>
      <c r="L55" s="208">
        <f t="shared" si="2"/>
        <v>104255.308</v>
      </c>
      <c r="M55" s="36">
        <f t="shared" si="0"/>
        <v>8687.9423333333343</v>
      </c>
    </row>
    <row r="56" spans="1:13" x14ac:dyDescent="0.3">
      <c r="A56" s="206">
        <v>27000</v>
      </c>
      <c r="B56" s="207">
        <f t="shared" si="3"/>
        <v>2250</v>
      </c>
      <c r="C56" s="208">
        <f>'Child care subsidy'!S59*12</f>
        <v>23760</v>
      </c>
      <c r="D56" s="208">
        <f>MAX('TANF-VIEW'!L63,'TANF-VIEW'!T63)*12</f>
        <v>0</v>
      </c>
      <c r="E56" s="209">
        <f>SNAP!V60*12</f>
        <v>8844</v>
      </c>
      <c r="F56" s="210">
        <f>WIC!F62*12</f>
        <v>441.12</v>
      </c>
      <c r="G56" s="208">
        <f>'Housing Voucher'!Q60*12</f>
        <v>9335.9880000000012</v>
      </c>
      <c r="H56" s="211">
        <f>EITC!E59</f>
        <v>8779.2000000000007</v>
      </c>
      <c r="I56" s="212">
        <f>Medicaid!N63*12</f>
        <v>26265</v>
      </c>
      <c r="J56" s="213"/>
      <c r="K56" s="208">
        <f t="shared" si="1"/>
        <v>77425.308000000005</v>
      </c>
      <c r="L56" s="208">
        <f t="shared" si="2"/>
        <v>104425.308</v>
      </c>
      <c r="M56" s="36">
        <f t="shared" si="0"/>
        <v>8702.1090000000004</v>
      </c>
    </row>
    <row r="57" spans="1:13" x14ac:dyDescent="0.3">
      <c r="A57" s="186">
        <v>27500</v>
      </c>
      <c r="B57" s="33">
        <f t="shared" si="3"/>
        <v>2291.6666666666665</v>
      </c>
      <c r="C57" s="185">
        <f>'Child care subsidy'!S60*12</f>
        <v>23760</v>
      </c>
      <c r="D57" s="185">
        <f>MAX('TANF-VIEW'!L64,'TANF-VIEW'!T64)*12</f>
        <v>0</v>
      </c>
      <c r="E57" s="193">
        <f>SNAP!V61*12</f>
        <v>8664</v>
      </c>
      <c r="F57" s="184">
        <f>WIC!F63*12</f>
        <v>441.12</v>
      </c>
      <c r="G57" s="185">
        <f>'Housing Voucher'!Q61*12</f>
        <v>9185.9880000000012</v>
      </c>
      <c r="H57" s="197">
        <f>EITC!E60</f>
        <v>8779.2000000000007</v>
      </c>
      <c r="I57" s="205">
        <f>Medicaid!N64*12</f>
        <v>26265</v>
      </c>
      <c r="K57" s="185">
        <f t="shared" si="1"/>
        <v>77095.308000000005</v>
      </c>
      <c r="L57" s="185">
        <f t="shared" si="2"/>
        <v>104595.308</v>
      </c>
      <c r="M57" s="36">
        <f t="shared" si="0"/>
        <v>8716.2756666666664</v>
      </c>
    </row>
    <row r="58" spans="1:13" x14ac:dyDescent="0.3">
      <c r="A58" s="186">
        <v>28000</v>
      </c>
      <c r="B58" s="33">
        <f t="shared" si="3"/>
        <v>2333.3333333333335</v>
      </c>
      <c r="C58" s="185">
        <f>'Child care subsidy'!S61*12</f>
        <v>23760</v>
      </c>
      <c r="D58" s="185">
        <f>MAX('TANF-VIEW'!L65,'TANF-VIEW'!T65)*12</f>
        <v>0</v>
      </c>
      <c r="E58" s="193">
        <f>SNAP!V62*12</f>
        <v>8484</v>
      </c>
      <c r="F58" s="184">
        <f>WIC!F64*12</f>
        <v>441.12</v>
      </c>
      <c r="G58" s="185">
        <f>'Housing Voucher'!Q62*12</f>
        <v>9035.9879999999994</v>
      </c>
      <c r="H58" s="197">
        <f>EITC!E61</f>
        <v>8779.2000000000007</v>
      </c>
      <c r="I58" s="205">
        <f>Medicaid!N65*12</f>
        <v>26265</v>
      </c>
      <c r="K58" s="185">
        <f t="shared" si="1"/>
        <v>76765.308000000005</v>
      </c>
      <c r="L58" s="185">
        <f t="shared" si="2"/>
        <v>104765.308</v>
      </c>
      <c r="M58" s="36">
        <f t="shared" si="0"/>
        <v>8730.4423333333343</v>
      </c>
    </row>
    <row r="59" spans="1:13" x14ac:dyDescent="0.3">
      <c r="A59" s="186">
        <v>28500</v>
      </c>
      <c r="B59" s="33">
        <f t="shared" si="3"/>
        <v>2375</v>
      </c>
      <c r="C59" s="185">
        <f>'Child care subsidy'!S62*12</f>
        <v>23760</v>
      </c>
      <c r="D59" s="185">
        <f>MAX('TANF-VIEW'!L66,'TANF-VIEW'!T66)*12</f>
        <v>0</v>
      </c>
      <c r="E59" s="193">
        <f>SNAP!V63*12</f>
        <v>8304</v>
      </c>
      <c r="F59" s="184">
        <f>WIC!F65*12</f>
        <v>441.12</v>
      </c>
      <c r="G59" s="185">
        <f>'Housing Voucher'!Q63*12</f>
        <v>8885.9880000000012</v>
      </c>
      <c r="H59" s="197">
        <f>EITC!E62</f>
        <v>8779.2000000000007</v>
      </c>
      <c r="I59" s="205">
        <f>Medicaid!N66*12</f>
        <v>26265</v>
      </c>
      <c r="K59" s="185">
        <f t="shared" si="1"/>
        <v>76435.308000000005</v>
      </c>
      <c r="L59" s="185">
        <f t="shared" si="2"/>
        <v>104935.308</v>
      </c>
      <c r="M59" s="36">
        <f t="shared" si="0"/>
        <v>8744.6090000000004</v>
      </c>
    </row>
    <row r="60" spans="1:13" x14ac:dyDescent="0.3">
      <c r="A60" s="186">
        <v>29000</v>
      </c>
      <c r="B60" s="33">
        <f t="shared" si="3"/>
        <v>2416.6666666666665</v>
      </c>
      <c r="C60" s="185">
        <f>'Child care subsidy'!S63*12</f>
        <v>23760</v>
      </c>
      <c r="D60" s="185">
        <f>MAX('TANF-VIEW'!L67,'TANF-VIEW'!T67)*12</f>
        <v>0</v>
      </c>
      <c r="E60" s="193">
        <f>SNAP!V64*12</f>
        <v>8124</v>
      </c>
      <c r="F60" s="184">
        <f>WIC!F66*12</f>
        <v>441.12</v>
      </c>
      <c r="G60" s="185">
        <f>'Housing Voucher'!Q64*12</f>
        <v>8735.9880000000012</v>
      </c>
      <c r="H60" s="197">
        <f>EITC!E63</f>
        <v>8779.2000000000007</v>
      </c>
      <c r="I60" s="205">
        <f>Medicaid!N67*12</f>
        <v>26265</v>
      </c>
      <c r="K60" s="185">
        <f t="shared" si="1"/>
        <v>76105.308000000005</v>
      </c>
      <c r="L60" s="185">
        <f t="shared" si="2"/>
        <v>105105.308</v>
      </c>
      <c r="M60" s="36">
        <f t="shared" si="0"/>
        <v>8758.7756666666664</v>
      </c>
    </row>
    <row r="61" spans="1:13" x14ac:dyDescent="0.3">
      <c r="A61" s="186">
        <v>29500</v>
      </c>
      <c r="B61" s="33">
        <f t="shared" si="3"/>
        <v>2458.3333333333335</v>
      </c>
      <c r="C61" s="185">
        <f>'Child care subsidy'!S64*12</f>
        <v>23760</v>
      </c>
      <c r="D61" s="185">
        <f>MAX('TANF-VIEW'!L68,'TANF-VIEW'!T68)*12</f>
        <v>0</v>
      </c>
      <c r="E61" s="193">
        <f>SNAP!V65*12</f>
        <v>7944</v>
      </c>
      <c r="F61" s="184">
        <f>WIC!F67*12</f>
        <v>441.12</v>
      </c>
      <c r="G61" s="185">
        <f>'Housing Voucher'!Q65*12</f>
        <v>8585.9879999999994</v>
      </c>
      <c r="H61" s="197">
        <f>EITC!E64</f>
        <v>8779.2000000000007</v>
      </c>
      <c r="I61" s="205">
        <f>Medicaid!N68*12</f>
        <v>26265</v>
      </c>
      <c r="K61" s="185">
        <f t="shared" si="1"/>
        <v>75775.308000000005</v>
      </c>
      <c r="L61" s="185">
        <f t="shared" si="2"/>
        <v>105275.308</v>
      </c>
      <c r="M61" s="36">
        <f t="shared" si="0"/>
        <v>8772.9423333333343</v>
      </c>
    </row>
    <row r="62" spans="1:13" x14ac:dyDescent="0.3">
      <c r="A62" s="186">
        <v>30000</v>
      </c>
      <c r="B62" s="33">
        <f t="shared" si="3"/>
        <v>2500</v>
      </c>
      <c r="C62" s="185">
        <f>'Child care subsidy'!S65*12</f>
        <v>23760</v>
      </c>
      <c r="D62" s="185">
        <f>MAX('TANF-VIEW'!L69,'TANF-VIEW'!T69)*12</f>
        <v>0</v>
      </c>
      <c r="E62" s="193">
        <f>SNAP!V66*12</f>
        <v>7764</v>
      </c>
      <c r="F62" s="184">
        <f>WIC!F68*12</f>
        <v>441.12</v>
      </c>
      <c r="G62" s="185">
        <f>'Housing Voucher'!Q66*12</f>
        <v>8435.9880000000012</v>
      </c>
      <c r="H62" s="197">
        <f>EITC!E65</f>
        <v>8779.2000000000007</v>
      </c>
      <c r="I62" s="205">
        <f>Medicaid!N69*12</f>
        <v>26265</v>
      </c>
      <c r="K62" s="185">
        <f t="shared" si="1"/>
        <v>75445.308000000005</v>
      </c>
      <c r="L62" s="185">
        <f t="shared" si="2"/>
        <v>105445.308</v>
      </c>
      <c r="M62" s="36">
        <f t="shared" si="0"/>
        <v>8787.1090000000004</v>
      </c>
    </row>
    <row r="63" spans="1:13" x14ac:dyDescent="0.3">
      <c r="A63" s="186">
        <v>30500</v>
      </c>
      <c r="B63" s="33">
        <f t="shared" si="3"/>
        <v>2541.6666666666665</v>
      </c>
      <c r="C63" s="185">
        <f>'Child care subsidy'!S66*12</f>
        <v>23760</v>
      </c>
      <c r="D63" s="185">
        <f>MAX('TANF-VIEW'!L70,'TANF-VIEW'!T70)*12</f>
        <v>0</v>
      </c>
      <c r="E63" s="193">
        <f>SNAP!V67*12</f>
        <v>7584</v>
      </c>
      <c r="F63" s="184">
        <f>WIC!F69*12</f>
        <v>441.12</v>
      </c>
      <c r="G63" s="185">
        <f>'Housing Voucher'!Q67*12</f>
        <v>8285.9880000000012</v>
      </c>
      <c r="H63" s="197">
        <f>EITC!E66</f>
        <v>8779.2000000000007</v>
      </c>
      <c r="I63" s="205">
        <f>Medicaid!N70*12</f>
        <v>26265</v>
      </c>
      <c r="K63" s="185">
        <f t="shared" si="1"/>
        <v>75115.308000000005</v>
      </c>
      <c r="L63" s="185">
        <f t="shared" si="2"/>
        <v>105615.308</v>
      </c>
      <c r="M63" s="36">
        <f t="shared" si="0"/>
        <v>8801.2756666666664</v>
      </c>
    </row>
    <row r="64" spans="1:13" x14ac:dyDescent="0.3">
      <c r="A64" s="186">
        <v>31000</v>
      </c>
      <c r="B64" s="33">
        <f t="shared" si="3"/>
        <v>2583.3333333333335</v>
      </c>
      <c r="C64" s="185">
        <f>'Child care subsidy'!S67*12</f>
        <v>23760</v>
      </c>
      <c r="D64" s="185">
        <f>MAX('TANF-VIEW'!L71,'TANF-VIEW'!T71)*12</f>
        <v>0</v>
      </c>
      <c r="E64" s="193">
        <f>SNAP!V68*12</f>
        <v>7404</v>
      </c>
      <c r="F64" s="184">
        <f>WIC!F70*12</f>
        <v>441.12</v>
      </c>
      <c r="G64" s="185">
        <f>'Housing Voucher'!Q68*12</f>
        <v>8135.9879999999994</v>
      </c>
      <c r="H64" s="197">
        <f>EITC!E67</f>
        <v>8779.2000000000007</v>
      </c>
      <c r="I64" s="205">
        <f>Medicaid!N71*12</f>
        <v>26265</v>
      </c>
      <c r="K64" s="185">
        <f t="shared" si="1"/>
        <v>74785.308000000005</v>
      </c>
      <c r="L64" s="185">
        <f t="shared" si="2"/>
        <v>105785.308</v>
      </c>
      <c r="M64" s="36">
        <f t="shared" si="0"/>
        <v>8815.4423333333343</v>
      </c>
    </row>
    <row r="65" spans="1:13" x14ac:dyDescent="0.3">
      <c r="A65" s="186">
        <v>31500</v>
      </c>
      <c r="B65" s="33">
        <f t="shared" si="3"/>
        <v>2625</v>
      </c>
      <c r="C65" s="185">
        <f>'Child care subsidy'!S68*12</f>
        <v>23760</v>
      </c>
      <c r="D65" s="185">
        <f>MAX('TANF-VIEW'!L72,'TANF-VIEW'!T72)*12</f>
        <v>0</v>
      </c>
      <c r="E65" s="193">
        <f>SNAP!V69*12</f>
        <v>7224</v>
      </c>
      <c r="F65" s="184">
        <f>WIC!F71*12</f>
        <v>441.12</v>
      </c>
      <c r="G65" s="185">
        <f>'Housing Voucher'!Q69*12</f>
        <v>7985.9880000000003</v>
      </c>
      <c r="H65" s="197">
        <f>EITC!E68</f>
        <v>8693.5279200000004</v>
      </c>
      <c r="I65" s="205">
        <f>Medicaid!N72*12</f>
        <v>26265</v>
      </c>
      <c r="K65" s="185">
        <f t="shared" si="1"/>
        <v>74369.635920000001</v>
      </c>
      <c r="L65" s="185">
        <f t="shared" si="2"/>
        <v>105869.63592</v>
      </c>
      <c r="M65" s="36">
        <f t="shared" si="0"/>
        <v>8822.4696600000007</v>
      </c>
    </row>
    <row r="66" spans="1:13" x14ac:dyDescent="0.3">
      <c r="A66" s="186">
        <v>32000</v>
      </c>
      <c r="B66" s="33">
        <f t="shared" si="3"/>
        <v>2666.6666666666665</v>
      </c>
      <c r="C66" s="185">
        <f>'Child care subsidy'!S69*12</f>
        <v>23760</v>
      </c>
      <c r="D66" s="185">
        <f>MAX('TANF-VIEW'!L73,'TANF-VIEW'!T73)*12</f>
        <v>0</v>
      </c>
      <c r="E66" s="193">
        <f>SNAP!V70*12</f>
        <v>7044</v>
      </c>
      <c r="F66" s="184">
        <f>WIC!F72*12</f>
        <v>441.12</v>
      </c>
      <c r="G66" s="185">
        <f>'Housing Voucher'!Q70*12</f>
        <v>7835.9880000000003</v>
      </c>
      <c r="H66" s="197">
        <f>EITC!E69</f>
        <v>8567.1679199999999</v>
      </c>
      <c r="I66" s="205">
        <f>Medicaid!N73*12</f>
        <v>26265</v>
      </c>
      <c r="K66" s="185">
        <f t="shared" si="1"/>
        <v>73913.27592</v>
      </c>
      <c r="L66" s="185">
        <f t="shared" si="2"/>
        <v>105913.27592</v>
      </c>
      <c r="M66" s="36">
        <f t="shared" si="0"/>
        <v>8826.1063266666661</v>
      </c>
    </row>
    <row r="67" spans="1:13" x14ac:dyDescent="0.3">
      <c r="A67" s="186">
        <v>32500</v>
      </c>
      <c r="B67" s="33">
        <f t="shared" si="3"/>
        <v>2708.3333333333335</v>
      </c>
      <c r="C67" s="185">
        <f>'Child care subsidy'!S70*12</f>
        <v>23760</v>
      </c>
      <c r="D67" s="185">
        <f>MAX('TANF-VIEW'!L74,'TANF-VIEW'!T74)*12</f>
        <v>0</v>
      </c>
      <c r="E67" s="193">
        <f>SNAP!V71*12</f>
        <v>6864</v>
      </c>
      <c r="F67" s="184">
        <f>WIC!F73*12</f>
        <v>441.12</v>
      </c>
      <c r="G67" s="185">
        <f>'Housing Voucher'!Q71*12</f>
        <v>7685.9879999999994</v>
      </c>
      <c r="H67" s="197">
        <f>EITC!E70</f>
        <v>8440.8079199999993</v>
      </c>
      <c r="I67" s="205">
        <f>Medicaid!N74*12</f>
        <v>26265</v>
      </c>
      <c r="K67" s="185">
        <f t="shared" si="1"/>
        <v>73456.915919999999</v>
      </c>
      <c r="L67" s="185">
        <f t="shared" si="2"/>
        <v>105956.91592</v>
      </c>
      <c r="M67" s="36">
        <f t="shared" ref="M67:M130" si="4">L67/12</f>
        <v>8829.7429933333333</v>
      </c>
    </row>
    <row r="68" spans="1:13" x14ac:dyDescent="0.3">
      <c r="A68" s="206">
        <v>33000</v>
      </c>
      <c r="B68" s="207">
        <f t="shared" si="3"/>
        <v>2750</v>
      </c>
      <c r="C68" s="208">
        <f>'Child care subsidy'!S71*12</f>
        <v>23760</v>
      </c>
      <c r="D68" s="208">
        <f>MAX('TANF-VIEW'!L75,'TANF-VIEW'!T75)*12</f>
        <v>0</v>
      </c>
      <c r="E68" s="209">
        <f>SNAP!V72*12</f>
        <v>6684</v>
      </c>
      <c r="F68" s="210">
        <f>WIC!F74*12</f>
        <v>441.12</v>
      </c>
      <c r="G68" s="208">
        <f>'Housing Voucher'!Q72*12</f>
        <v>7535.9880000000003</v>
      </c>
      <c r="H68" s="211">
        <f>EITC!E71</f>
        <v>8314.4479199999987</v>
      </c>
      <c r="I68" s="212">
        <f>Medicaid!N75*12</f>
        <v>26265</v>
      </c>
      <c r="J68" s="213"/>
      <c r="K68" s="208">
        <f t="shared" ref="K68:K131" si="5">SUM(C68:I68)</f>
        <v>73000.555919999999</v>
      </c>
      <c r="L68" s="208">
        <f t="shared" ref="L68:L131" si="6">A68+K68</f>
        <v>106000.55592</v>
      </c>
      <c r="M68" s="36">
        <f t="shared" si="4"/>
        <v>8833.3796600000005</v>
      </c>
    </row>
    <row r="69" spans="1:13" x14ac:dyDescent="0.3">
      <c r="A69" s="206">
        <v>33500</v>
      </c>
      <c r="B69" s="207">
        <f t="shared" ref="B69:B102" si="7">A69/12</f>
        <v>2791.6666666666665</v>
      </c>
      <c r="C69" s="208">
        <f>'Child care subsidy'!S72*12</f>
        <v>23760</v>
      </c>
      <c r="D69" s="208">
        <f>MAX('TANF-VIEW'!L76,'TANF-VIEW'!T76)*12</f>
        <v>0</v>
      </c>
      <c r="E69" s="209">
        <f>SNAP!V73*12</f>
        <v>6504</v>
      </c>
      <c r="F69" s="210">
        <f>WIC!F75*12</f>
        <v>441.12</v>
      </c>
      <c r="G69" s="208">
        <f>'Housing Voucher'!Q73*12</f>
        <v>7385.9880000000003</v>
      </c>
      <c r="H69" s="211">
        <f>EITC!E72</f>
        <v>8188.0879199999999</v>
      </c>
      <c r="I69" s="212">
        <f>Medicaid!N76*12</f>
        <v>26265</v>
      </c>
      <c r="J69" s="213"/>
      <c r="K69" s="208">
        <f t="shared" si="5"/>
        <v>72544.195919999998</v>
      </c>
      <c r="L69" s="208">
        <f t="shared" si="6"/>
        <v>106044.19592</v>
      </c>
      <c r="M69" s="36">
        <f t="shared" si="4"/>
        <v>8837.0163266666659</v>
      </c>
    </row>
    <row r="70" spans="1:13" x14ac:dyDescent="0.3">
      <c r="A70" s="186">
        <v>34000</v>
      </c>
      <c r="B70" s="33">
        <f t="shared" si="7"/>
        <v>2833.3333333333335</v>
      </c>
      <c r="C70" s="185">
        <f>'Child care subsidy'!S73*12</f>
        <v>23760</v>
      </c>
      <c r="D70" s="185">
        <f>MAX('TANF-VIEW'!L77,'TANF-VIEW'!T77)*12</f>
        <v>0</v>
      </c>
      <c r="E70" s="193">
        <f>SNAP!V74*12</f>
        <v>6324</v>
      </c>
      <c r="F70" s="184">
        <f>WIC!F76*12</f>
        <v>441.12</v>
      </c>
      <c r="G70" s="185">
        <f>'Housing Voucher'!Q74*12</f>
        <v>7235.9879999999994</v>
      </c>
      <c r="H70" s="197">
        <f>EITC!E73</f>
        <v>8061.7279200000003</v>
      </c>
      <c r="I70" s="205">
        <f>Medicaid!N77*12</f>
        <v>26265</v>
      </c>
      <c r="K70" s="185">
        <f t="shared" si="5"/>
        <v>72087.835919999998</v>
      </c>
      <c r="L70" s="185">
        <f t="shared" si="6"/>
        <v>106087.83592</v>
      </c>
      <c r="M70" s="36">
        <f t="shared" si="4"/>
        <v>8840.6529933333331</v>
      </c>
    </row>
    <row r="71" spans="1:13" x14ac:dyDescent="0.3">
      <c r="A71" s="186">
        <v>34500</v>
      </c>
      <c r="B71" s="33">
        <f t="shared" si="7"/>
        <v>2875</v>
      </c>
      <c r="C71" s="185">
        <f>'Child care subsidy'!S74*12</f>
        <v>23760</v>
      </c>
      <c r="D71" s="185">
        <f>MAX('TANF-VIEW'!L78,'TANF-VIEW'!T78)*12</f>
        <v>0</v>
      </c>
      <c r="E71" s="193">
        <f>SNAP!V75*12</f>
        <v>6144</v>
      </c>
      <c r="F71" s="184">
        <f>WIC!F77*12</f>
        <v>441.12</v>
      </c>
      <c r="G71" s="185">
        <f>'Housing Voucher'!Q75*12</f>
        <v>7085.9880000000003</v>
      </c>
      <c r="H71" s="197">
        <f>EITC!E74</f>
        <v>7935.3679199999997</v>
      </c>
      <c r="I71" s="205">
        <f>Medicaid!N78*12</f>
        <v>26265</v>
      </c>
      <c r="K71" s="185">
        <f t="shared" si="5"/>
        <v>71631.475919999997</v>
      </c>
      <c r="L71" s="185">
        <f t="shared" si="6"/>
        <v>106131.47592</v>
      </c>
      <c r="M71" s="36">
        <f t="shared" si="4"/>
        <v>8844.2896600000004</v>
      </c>
    </row>
    <row r="72" spans="1:13" x14ac:dyDescent="0.3">
      <c r="A72" s="186">
        <v>35000</v>
      </c>
      <c r="B72" s="33">
        <f t="shared" si="7"/>
        <v>2916.6666666666665</v>
      </c>
      <c r="C72" s="185">
        <f>'Child care subsidy'!S75*12</f>
        <v>23760</v>
      </c>
      <c r="D72" s="185">
        <f>MAX('TANF-VIEW'!L79,'TANF-VIEW'!T79)*12</f>
        <v>0</v>
      </c>
      <c r="E72" s="193">
        <f>SNAP!V76*12</f>
        <v>5964</v>
      </c>
      <c r="F72" s="184">
        <f>WIC!F78*12</f>
        <v>441.12</v>
      </c>
      <c r="G72" s="185">
        <f>'Housing Voucher'!Q76*12</f>
        <v>6935.9880000000003</v>
      </c>
      <c r="H72" s="197">
        <f>EITC!E75</f>
        <v>7809.00792</v>
      </c>
      <c r="I72" s="205">
        <f>Medicaid!N79*12</f>
        <v>26265</v>
      </c>
      <c r="K72" s="185">
        <f t="shared" si="5"/>
        <v>71175.115919999997</v>
      </c>
      <c r="L72" s="185">
        <f t="shared" si="6"/>
        <v>106175.11592</v>
      </c>
      <c r="M72" s="36">
        <f t="shared" si="4"/>
        <v>8847.9263266666658</v>
      </c>
    </row>
    <row r="73" spans="1:13" x14ac:dyDescent="0.3">
      <c r="A73" s="186">
        <v>35500</v>
      </c>
      <c r="B73" s="33">
        <f t="shared" si="7"/>
        <v>2958.3333333333335</v>
      </c>
      <c r="C73" s="185">
        <f>'Child care subsidy'!S76*12</f>
        <v>23760</v>
      </c>
      <c r="D73" s="185">
        <f>MAX('TANF-VIEW'!L80,'TANF-VIEW'!T80)*12</f>
        <v>0</v>
      </c>
      <c r="E73" s="193">
        <f>SNAP!V77*12</f>
        <v>5784</v>
      </c>
      <c r="F73" s="184">
        <f>WIC!F79*12</f>
        <v>441.12</v>
      </c>
      <c r="G73" s="185">
        <f>'Housing Voucher'!Q77*12</f>
        <v>6785.9880000000003</v>
      </c>
      <c r="H73" s="197">
        <f>EITC!E76</f>
        <v>7682.6479199999994</v>
      </c>
      <c r="I73" s="205">
        <f>Medicaid!N80*12</f>
        <v>26265</v>
      </c>
      <c r="K73" s="185">
        <f t="shared" si="5"/>
        <v>70718.755919999996</v>
      </c>
      <c r="L73" s="185">
        <f t="shared" si="6"/>
        <v>106218.75592</v>
      </c>
      <c r="M73" s="36">
        <f t="shared" si="4"/>
        <v>8851.562993333333</v>
      </c>
    </row>
    <row r="74" spans="1:13" x14ac:dyDescent="0.3">
      <c r="A74" s="186">
        <v>36000</v>
      </c>
      <c r="B74" s="33">
        <f t="shared" si="7"/>
        <v>3000</v>
      </c>
      <c r="C74" s="185">
        <f>'Child care subsidy'!S77*12</f>
        <v>23760</v>
      </c>
      <c r="D74" s="185">
        <f>MAX('TANF-VIEW'!L81,'TANF-VIEW'!T81)*12</f>
        <v>0</v>
      </c>
      <c r="E74" s="193">
        <f>SNAP!V78*12</f>
        <v>5604</v>
      </c>
      <c r="F74" s="184">
        <f>WIC!F80*12</f>
        <v>441.12</v>
      </c>
      <c r="G74" s="185">
        <f>'Housing Voucher'!Q78*12</f>
        <v>6635.9880000000003</v>
      </c>
      <c r="H74" s="197">
        <f>EITC!E77</f>
        <v>7556.2879200000007</v>
      </c>
      <c r="I74" s="205">
        <f>Medicaid!N81*12</f>
        <v>26265</v>
      </c>
      <c r="K74" s="185">
        <f t="shared" si="5"/>
        <v>70262.39592000001</v>
      </c>
      <c r="L74" s="185">
        <f t="shared" si="6"/>
        <v>106262.39592000001</v>
      </c>
      <c r="M74" s="36">
        <f t="shared" si="4"/>
        <v>8855.1996600000002</v>
      </c>
    </row>
    <row r="75" spans="1:13" x14ac:dyDescent="0.3">
      <c r="A75" s="206">
        <v>36500</v>
      </c>
      <c r="B75" s="207">
        <f t="shared" si="7"/>
        <v>3041.6666666666665</v>
      </c>
      <c r="C75" s="208">
        <f>'Child care subsidy'!S78*12</f>
        <v>23760</v>
      </c>
      <c r="D75" s="208">
        <f>MAX('TANF-VIEW'!L82,'TANF-VIEW'!T82)*12</f>
        <v>0</v>
      </c>
      <c r="E75" s="209">
        <f>SNAP!V79*12</f>
        <v>5472</v>
      </c>
      <c r="F75" s="210">
        <f>WIC!F81*12</f>
        <v>441.12</v>
      </c>
      <c r="G75" s="208">
        <f>'Housing Voucher'!Q79*12</f>
        <v>6485.9880000000003</v>
      </c>
      <c r="H75" s="211">
        <f>EITC!E78</f>
        <v>7429.9279200000001</v>
      </c>
      <c r="I75" s="212">
        <f>Medicaid!N82*12</f>
        <v>26265</v>
      </c>
      <c r="J75" s="213"/>
      <c r="K75" s="208">
        <f t="shared" si="5"/>
        <v>69854.035919999995</v>
      </c>
      <c r="L75" s="208">
        <f t="shared" si="6"/>
        <v>106354.03591999999</v>
      </c>
      <c r="M75" s="36">
        <f t="shared" si="4"/>
        <v>8862.8363266666656</v>
      </c>
    </row>
    <row r="76" spans="1:13" x14ac:dyDescent="0.3">
      <c r="A76" s="206">
        <v>37000</v>
      </c>
      <c r="B76" s="207">
        <f t="shared" si="7"/>
        <v>3083.3333333333335</v>
      </c>
      <c r="C76" s="208">
        <f>'Child care subsidy'!S79*12</f>
        <v>23760</v>
      </c>
      <c r="D76" s="208">
        <f>MAX('TANF-VIEW'!L83,'TANF-VIEW'!T83)*12</f>
        <v>0</v>
      </c>
      <c r="E76" s="209">
        <f>SNAP!V80*12</f>
        <v>5352</v>
      </c>
      <c r="F76" s="210">
        <f>WIC!F82*12</f>
        <v>441.12</v>
      </c>
      <c r="G76" s="208">
        <f>'Housing Voucher'!Q80*12</f>
        <v>6335.9880000000003</v>
      </c>
      <c r="H76" s="211">
        <f>EITC!E79</f>
        <v>7303.5679199999995</v>
      </c>
      <c r="I76" s="212">
        <f>Medicaid!N83*12</f>
        <v>26265</v>
      </c>
      <c r="J76" s="213"/>
      <c r="K76" s="208">
        <f t="shared" si="5"/>
        <v>69457.675920000009</v>
      </c>
      <c r="L76" s="208">
        <f t="shared" si="6"/>
        <v>106457.67592000001</v>
      </c>
      <c r="M76" s="36">
        <f t="shared" si="4"/>
        <v>8871.4729933333347</v>
      </c>
    </row>
    <row r="77" spans="1:13" x14ac:dyDescent="0.3">
      <c r="A77" s="186">
        <v>37500</v>
      </c>
      <c r="B77" s="33">
        <f t="shared" si="7"/>
        <v>3125</v>
      </c>
      <c r="C77" s="185">
        <f>'Child care subsidy'!S80*12</f>
        <v>23760</v>
      </c>
      <c r="D77" s="185">
        <f>MAX('TANF-VIEW'!L84,'TANF-VIEW'!T84)*12</f>
        <v>0</v>
      </c>
      <c r="E77" s="193">
        <f>SNAP!V81*12</f>
        <v>5232</v>
      </c>
      <c r="F77" s="184">
        <f>WIC!F83*12</f>
        <v>441.12</v>
      </c>
      <c r="G77" s="185">
        <f>'Housing Voucher'!Q81*12</f>
        <v>6185.9880000000003</v>
      </c>
      <c r="H77" s="197">
        <f>EITC!E80</f>
        <v>7177.2079199999998</v>
      </c>
      <c r="I77" s="205">
        <f>Medicaid!N84*12</f>
        <v>26265</v>
      </c>
      <c r="K77" s="185">
        <f t="shared" si="5"/>
        <v>69061.315919999994</v>
      </c>
      <c r="L77" s="185">
        <f t="shared" si="6"/>
        <v>106561.31591999999</v>
      </c>
      <c r="M77" s="36">
        <f t="shared" si="4"/>
        <v>8880.1096600000001</v>
      </c>
    </row>
    <row r="78" spans="1:13" x14ac:dyDescent="0.3">
      <c r="A78" s="186">
        <v>38000</v>
      </c>
      <c r="B78" s="33">
        <f t="shared" si="7"/>
        <v>3166.6666666666665</v>
      </c>
      <c r="C78" s="185">
        <f>'Child care subsidy'!S81*12</f>
        <v>23760</v>
      </c>
      <c r="D78" s="185">
        <f>MAX('TANF-VIEW'!L85,'TANF-VIEW'!T85)*12</f>
        <v>0</v>
      </c>
      <c r="E78" s="193">
        <f>SNAP!V82*12</f>
        <v>5112</v>
      </c>
      <c r="F78" s="184">
        <f>WIC!F84*12</f>
        <v>441.12</v>
      </c>
      <c r="G78" s="185">
        <f>'Housing Voucher'!Q82*12</f>
        <v>6035.9880000000003</v>
      </c>
      <c r="H78" s="197">
        <f>EITC!E81</f>
        <v>7050.8479199999992</v>
      </c>
      <c r="I78" s="205">
        <f>Medicaid!N85*12</f>
        <v>26265</v>
      </c>
      <c r="K78" s="185">
        <f t="shared" si="5"/>
        <v>68664.955920000008</v>
      </c>
      <c r="L78" s="185">
        <f t="shared" si="6"/>
        <v>106664.95592000001</v>
      </c>
      <c r="M78" s="36">
        <f t="shared" si="4"/>
        <v>8888.7463266666673</v>
      </c>
    </row>
    <row r="79" spans="1:13" x14ac:dyDescent="0.3">
      <c r="A79" s="186">
        <v>38500</v>
      </c>
      <c r="B79" s="33">
        <f t="shared" si="7"/>
        <v>3208.3333333333335</v>
      </c>
      <c r="C79" s="185">
        <f>'Child care subsidy'!S82*12</f>
        <v>23760</v>
      </c>
      <c r="D79" s="185">
        <f>MAX('TANF-VIEW'!L86,'TANF-VIEW'!T86)*12</f>
        <v>0</v>
      </c>
      <c r="E79" s="193">
        <f>SNAP!V83*12</f>
        <v>4992</v>
      </c>
      <c r="F79" s="184">
        <f>WIC!F85*12</f>
        <v>441.12</v>
      </c>
      <c r="G79" s="185">
        <f>'Housing Voucher'!Q83*12</f>
        <v>5885.9880000000003</v>
      </c>
      <c r="H79" s="197">
        <f>EITC!E82</f>
        <v>6924.4879200000005</v>
      </c>
      <c r="I79" s="205">
        <f>Medicaid!N86*12</f>
        <v>26265</v>
      </c>
      <c r="K79" s="185">
        <f t="shared" si="5"/>
        <v>68268.595919999992</v>
      </c>
      <c r="L79" s="185">
        <f t="shared" si="6"/>
        <v>106768.59591999999</v>
      </c>
      <c r="M79" s="36">
        <f t="shared" si="4"/>
        <v>8897.3829933333327</v>
      </c>
    </row>
    <row r="80" spans="1:13" x14ac:dyDescent="0.3">
      <c r="A80" s="186">
        <v>39000</v>
      </c>
      <c r="B80" s="33">
        <f t="shared" si="7"/>
        <v>3250</v>
      </c>
      <c r="C80" s="185">
        <f>'Child care subsidy'!S83*12</f>
        <v>22050</v>
      </c>
      <c r="D80" s="185">
        <f>MAX('TANF-VIEW'!L87,'TANF-VIEW'!T87)*12</f>
        <v>0</v>
      </c>
      <c r="E80" s="193">
        <f>SNAP!V84*12</f>
        <v>4872</v>
      </c>
      <c r="F80" s="184">
        <f>WIC!F86*12</f>
        <v>441.12</v>
      </c>
      <c r="G80" s="185">
        <f>'Housing Voucher'!Q84*12</f>
        <v>5735.9880000000003</v>
      </c>
      <c r="H80" s="197">
        <f>EITC!E83</f>
        <v>6798.1279199999999</v>
      </c>
      <c r="I80" s="205">
        <f>Medicaid!N87*12</f>
        <v>26265</v>
      </c>
      <c r="K80" s="185">
        <f t="shared" si="5"/>
        <v>66162.235920000006</v>
      </c>
      <c r="L80" s="185">
        <f t="shared" si="6"/>
        <v>105162.23592000001</v>
      </c>
      <c r="M80" s="36">
        <f t="shared" si="4"/>
        <v>8763.5196599999999</v>
      </c>
    </row>
    <row r="81" spans="1:13" x14ac:dyDescent="0.3">
      <c r="A81" s="186">
        <v>39500</v>
      </c>
      <c r="B81" s="33">
        <f t="shared" si="7"/>
        <v>3291.6666666666665</v>
      </c>
      <c r="C81" s="185">
        <f>'Child care subsidy'!S84*12</f>
        <v>22025</v>
      </c>
      <c r="D81" s="185">
        <f>MAX('TANF-VIEW'!L88,'TANF-VIEW'!T88)*12</f>
        <v>0</v>
      </c>
      <c r="E81" s="193">
        <f>SNAP!V85*12</f>
        <v>4752</v>
      </c>
      <c r="F81" s="184">
        <f>WIC!F87*12</f>
        <v>441.12</v>
      </c>
      <c r="G81" s="185">
        <f>'Housing Voucher'!Q85*12</f>
        <v>5585.9880000000003</v>
      </c>
      <c r="H81" s="197">
        <f>EITC!E84</f>
        <v>6671.7679200000002</v>
      </c>
      <c r="I81" s="205">
        <f>Medicaid!N88*12</f>
        <v>26265</v>
      </c>
      <c r="K81" s="185">
        <f t="shared" si="5"/>
        <v>65740.875919999991</v>
      </c>
      <c r="L81" s="185">
        <f t="shared" si="6"/>
        <v>105240.87591999999</v>
      </c>
      <c r="M81" s="36">
        <f t="shared" si="4"/>
        <v>8770.0729933333332</v>
      </c>
    </row>
    <row r="82" spans="1:13" x14ac:dyDescent="0.3">
      <c r="A82" s="186">
        <v>40000</v>
      </c>
      <c r="B82" s="33">
        <f t="shared" si="7"/>
        <v>3333.3333333333335</v>
      </c>
      <c r="C82" s="185">
        <f>'Child care subsidy'!S85*12</f>
        <v>22000</v>
      </c>
      <c r="D82" s="185">
        <f>MAX('TANF-VIEW'!L89,'TANF-VIEW'!T89)*12</f>
        <v>0</v>
      </c>
      <c r="E82" s="193">
        <f>SNAP!V86*12</f>
        <v>4632</v>
      </c>
      <c r="F82" s="184">
        <f>WIC!F88*12</f>
        <v>441.12</v>
      </c>
      <c r="G82" s="185">
        <f>'Housing Voucher'!Q86*12</f>
        <v>5435.9880000000003</v>
      </c>
      <c r="H82" s="197">
        <f>EITC!E85</f>
        <v>6545.4079199999996</v>
      </c>
      <c r="I82" s="205">
        <f>Medicaid!N89*12</f>
        <v>26265</v>
      </c>
      <c r="K82" s="185">
        <f t="shared" si="5"/>
        <v>65319.515919999998</v>
      </c>
      <c r="L82" s="185">
        <f t="shared" si="6"/>
        <v>105319.51592000001</v>
      </c>
      <c r="M82" s="36">
        <f t="shared" si="4"/>
        <v>8776.6263266666665</v>
      </c>
    </row>
    <row r="83" spans="1:13" x14ac:dyDescent="0.3">
      <c r="A83" s="186">
        <v>40500</v>
      </c>
      <c r="B83" s="33">
        <f t="shared" si="7"/>
        <v>3375</v>
      </c>
      <c r="C83" s="185">
        <f>'Child care subsidy'!S86*12</f>
        <v>21975</v>
      </c>
      <c r="D83" s="185">
        <f>MAX('TANF-VIEW'!L90,'TANF-VIEW'!T90)*12</f>
        <v>0</v>
      </c>
      <c r="E83" s="193">
        <f>SNAP!V87*12</f>
        <v>4512</v>
      </c>
      <c r="F83" s="184">
        <f>WIC!F89*12</f>
        <v>441.12</v>
      </c>
      <c r="G83" s="185">
        <f>'Housing Voucher'!Q87*12</f>
        <v>5285.9880000000003</v>
      </c>
      <c r="H83" s="197">
        <f>EITC!E86</f>
        <v>6419.0479199999991</v>
      </c>
      <c r="I83" s="205">
        <f>Medicaid!N90*12</f>
        <v>26265</v>
      </c>
      <c r="K83" s="185">
        <f t="shared" si="5"/>
        <v>64898.155919999997</v>
      </c>
      <c r="L83" s="185">
        <f t="shared" si="6"/>
        <v>105398.15591999999</v>
      </c>
      <c r="M83" s="36">
        <f t="shared" si="4"/>
        <v>8783.1796599999998</v>
      </c>
    </row>
    <row r="84" spans="1:13" x14ac:dyDescent="0.3">
      <c r="A84" s="186">
        <v>41000</v>
      </c>
      <c r="B84" s="33">
        <f t="shared" si="7"/>
        <v>3416.6666666666665</v>
      </c>
      <c r="C84" s="185">
        <f>'Child care subsidy'!S87*12</f>
        <v>21950</v>
      </c>
      <c r="D84" s="185">
        <f>MAX('TANF-VIEW'!L91,'TANF-VIEW'!T91)*12</f>
        <v>0</v>
      </c>
      <c r="E84" s="193">
        <f>SNAP!V88*12</f>
        <v>4392</v>
      </c>
      <c r="F84" s="184">
        <f>WIC!F90*12</f>
        <v>441.12</v>
      </c>
      <c r="G84" s="185">
        <f>'Housing Voucher'!Q88*12</f>
        <v>5135.9880000000003</v>
      </c>
      <c r="H84" s="197">
        <f>EITC!E87</f>
        <v>6292.6879200000003</v>
      </c>
      <c r="I84" s="205">
        <f>Medicaid!N91*12</f>
        <v>26265</v>
      </c>
      <c r="K84" s="185">
        <f t="shared" si="5"/>
        <v>64476.795920000004</v>
      </c>
      <c r="L84" s="185">
        <f t="shared" si="6"/>
        <v>105476.79592</v>
      </c>
      <c r="M84" s="36">
        <f t="shared" si="4"/>
        <v>8789.7329933333331</v>
      </c>
    </row>
    <row r="85" spans="1:13" x14ac:dyDescent="0.3">
      <c r="A85" s="186">
        <v>41500</v>
      </c>
      <c r="B85" s="33">
        <f t="shared" si="7"/>
        <v>3458.3333333333335</v>
      </c>
      <c r="C85" s="185">
        <f>'Child care subsidy'!S88*12</f>
        <v>21925</v>
      </c>
      <c r="D85" s="185">
        <f>MAX('TANF-VIEW'!L92,'TANF-VIEW'!T92)*12</f>
        <v>0</v>
      </c>
      <c r="E85" s="193">
        <f>SNAP!V89*12</f>
        <v>4272</v>
      </c>
      <c r="F85" s="184">
        <f>WIC!F91*12</f>
        <v>441.12</v>
      </c>
      <c r="G85" s="185">
        <f>'Housing Voucher'!Q89*12</f>
        <v>4985.9880000000003</v>
      </c>
      <c r="H85" s="197">
        <f>EITC!E88</f>
        <v>6166.3279199999997</v>
      </c>
      <c r="I85" s="205">
        <f>Medicaid!N92*12</f>
        <v>26265</v>
      </c>
      <c r="K85" s="185">
        <f t="shared" si="5"/>
        <v>64055.435920000004</v>
      </c>
      <c r="L85" s="185">
        <f t="shared" si="6"/>
        <v>105555.43592</v>
      </c>
      <c r="M85" s="36">
        <f t="shared" si="4"/>
        <v>8796.2863266666664</v>
      </c>
    </row>
    <row r="86" spans="1:13" x14ac:dyDescent="0.3">
      <c r="A86" s="186">
        <v>42000</v>
      </c>
      <c r="B86" s="33">
        <f t="shared" si="7"/>
        <v>3500</v>
      </c>
      <c r="C86" s="185">
        <f>'Child care subsidy'!S89*12</f>
        <v>21900</v>
      </c>
      <c r="D86" s="185">
        <f>MAX('TANF-VIEW'!L93,'TANF-VIEW'!T93)*12</f>
        <v>0</v>
      </c>
      <c r="E86" s="193">
        <f>SNAP!V90*12</f>
        <v>4152</v>
      </c>
      <c r="F86" s="184">
        <f>WIC!F92*12</f>
        <v>441.12</v>
      </c>
      <c r="G86" s="185">
        <f>'Housing Voucher'!Q90*12</f>
        <v>4835.9880000000003</v>
      </c>
      <c r="H86" s="197">
        <f>EITC!E89</f>
        <v>6039.96792</v>
      </c>
      <c r="I86" s="205">
        <f>Medicaid!N93*12</f>
        <v>26265</v>
      </c>
      <c r="K86" s="185">
        <f t="shared" si="5"/>
        <v>63634.075920000003</v>
      </c>
      <c r="L86" s="185">
        <f t="shared" si="6"/>
        <v>105634.07592</v>
      </c>
      <c r="M86" s="36">
        <f t="shared" si="4"/>
        <v>8802.8396599999996</v>
      </c>
    </row>
    <row r="87" spans="1:13" x14ac:dyDescent="0.3">
      <c r="A87" s="186">
        <v>42500</v>
      </c>
      <c r="B87" s="33">
        <f t="shared" si="7"/>
        <v>3541.6666666666665</v>
      </c>
      <c r="C87" s="185">
        <f>'Child care subsidy'!S90*12</f>
        <v>21875</v>
      </c>
      <c r="D87" s="185">
        <f>MAX('TANF-VIEW'!L94,'TANF-VIEW'!T94)*12</f>
        <v>0</v>
      </c>
      <c r="E87" s="193">
        <f>SNAP!V91*12</f>
        <v>4032</v>
      </c>
      <c r="F87" s="184">
        <f>WIC!F93*12</f>
        <v>441.12</v>
      </c>
      <c r="G87" s="185">
        <f>'Housing Voucher'!Q91*12</f>
        <v>4685.9880000000003</v>
      </c>
      <c r="H87" s="197">
        <f>EITC!E90</f>
        <v>5913.6079199999995</v>
      </c>
      <c r="I87" s="205">
        <f>Medicaid!N94*12</f>
        <v>26265</v>
      </c>
      <c r="K87" s="185">
        <f t="shared" si="5"/>
        <v>63212.715920000002</v>
      </c>
      <c r="L87" s="185">
        <f t="shared" si="6"/>
        <v>105712.71592</v>
      </c>
      <c r="M87" s="36">
        <f t="shared" si="4"/>
        <v>8809.3929933333329</v>
      </c>
    </row>
    <row r="88" spans="1:13" x14ac:dyDescent="0.3">
      <c r="A88" s="186">
        <v>43000</v>
      </c>
      <c r="B88" s="33">
        <f t="shared" si="7"/>
        <v>3583.3333333333335</v>
      </c>
      <c r="C88" s="185">
        <f>'Child care subsidy'!S91*12</f>
        <v>21850</v>
      </c>
      <c r="D88" s="185">
        <f>MAX('TANF-VIEW'!L95,'TANF-VIEW'!T95)*12</f>
        <v>0</v>
      </c>
      <c r="E88" s="193">
        <f>SNAP!V92*12</f>
        <v>3912</v>
      </c>
      <c r="F88" s="184">
        <f>WIC!F94*12</f>
        <v>441.12</v>
      </c>
      <c r="G88" s="185">
        <f>'Housing Voucher'!Q92*12</f>
        <v>4535.9880000000003</v>
      </c>
      <c r="H88" s="197">
        <f>EITC!E91</f>
        <v>5787.2479199999998</v>
      </c>
      <c r="I88" s="205">
        <f>Medicaid!N95*12</f>
        <v>26265</v>
      </c>
      <c r="K88" s="185">
        <f t="shared" si="5"/>
        <v>62791.355920000002</v>
      </c>
      <c r="L88" s="185">
        <f t="shared" si="6"/>
        <v>105791.35592</v>
      </c>
      <c r="M88" s="36">
        <f t="shared" si="4"/>
        <v>8815.9463266666662</v>
      </c>
    </row>
    <row r="89" spans="1:13" x14ac:dyDescent="0.3">
      <c r="A89" s="186">
        <v>43500</v>
      </c>
      <c r="B89" s="33">
        <f t="shared" si="7"/>
        <v>3625</v>
      </c>
      <c r="C89" s="185">
        <f>'Child care subsidy'!S92*12</f>
        <v>21825</v>
      </c>
      <c r="D89" s="185">
        <f>MAX('TANF-VIEW'!L96,'TANF-VIEW'!T96)*12</f>
        <v>0</v>
      </c>
      <c r="E89" s="193">
        <f>SNAP!V93*12</f>
        <v>3792</v>
      </c>
      <c r="F89" s="184">
        <f>WIC!F95*12</f>
        <v>441.12</v>
      </c>
      <c r="G89" s="185">
        <f>'Housing Voucher'!Q93*12</f>
        <v>4385.9880000000003</v>
      </c>
      <c r="H89" s="197">
        <f>EITC!E92</f>
        <v>5660.8879200000001</v>
      </c>
      <c r="I89" s="205">
        <f>Medicaid!N96*12</f>
        <v>26265</v>
      </c>
      <c r="K89" s="185">
        <f t="shared" si="5"/>
        <v>62369.995920000001</v>
      </c>
      <c r="L89" s="185">
        <f t="shared" si="6"/>
        <v>105869.99592</v>
      </c>
      <c r="M89" s="36">
        <f t="shared" si="4"/>
        <v>8822.4996599999995</v>
      </c>
    </row>
    <row r="90" spans="1:13" x14ac:dyDescent="0.3">
      <c r="A90" s="186">
        <v>44000</v>
      </c>
      <c r="B90" s="33">
        <f t="shared" si="7"/>
        <v>3666.6666666666665</v>
      </c>
      <c r="C90" s="185">
        <f>'Child care subsidy'!S93*12</f>
        <v>21800</v>
      </c>
      <c r="D90" s="185">
        <f>MAX('TANF-VIEW'!L97,'TANF-VIEW'!T97)*12</f>
        <v>0</v>
      </c>
      <c r="E90" s="193">
        <f>SNAP!V94*12</f>
        <v>3672</v>
      </c>
      <c r="F90" s="184">
        <f>WIC!F96*12</f>
        <v>441.12</v>
      </c>
      <c r="G90" s="185">
        <f>'Housing Voucher'!Q94*12</f>
        <v>4235.9880000000003</v>
      </c>
      <c r="H90" s="197">
        <f>EITC!E93</f>
        <v>5534.5279200000004</v>
      </c>
      <c r="I90" s="205">
        <f>Medicaid!N97*12</f>
        <v>26265</v>
      </c>
      <c r="K90" s="185">
        <f t="shared" si="5"/>
        <v>61948.635920000001</v>
      </c>
      <c r="L90" s="185">
        <f t="shared" si="6"/>
        <v>105948.63592</v>
      </c>
      <c r="M90" s="36">
        <f t="shared" si="4"/>
        <v>8829.0529933333328</v>
      </c>
    </row>
    <row r="91" spans="1:13" x14ac:dyDescent="0.3">
      <c r="A91" s="186">
        <v>44500</v>
      </c>
      <c r="B91" s="33">
        <f t="shared" si="7"/>
        <v>3708.3333333333335</v>
      </c>
      <c r="C91" s="185">
        <f>'Child care subsidy'!S94*12</f>
        <v>21775</v>
      </c>
      <c r="D91" s="185">
        <f>MAX('TANF-VIEW'!L98,'TANF-VIEW'!T98)*12</f>
        <v>0</v>
      </c>
      <c r="E91" s="193">
        <f>SNAP!V95*12</f>
        <v>3552</v>
      </c>
      <c r="F91" s="184">
        <f>WIC!F97*12</f>
        <v>441.12</v>
      </c>
      <c r="G91" s="185">
        <f>'Housing Voucher'!Q95*12</f>
        <v>4085.9880000000003</v>
      </c>
      <c r="H91" s="197">
        <f>EITC!E94</f>
        <v>5408.1679199999999</v>
      </c>
      <c r="I91" s="205">
        <f>Medicaid!N98*12</f>
        <v>26265</v>
      </c>
      <c r="K91" s="185">
        <f t="shared" si="5"/>
        <v>61527.27592</v>
      </c>
      <c r="L91" s="185">
        <f t="shared" si="6"/>
        <v>106027.27592</v>
      </c>
      <c r="M91" s="36">
        <f t="shared" si="4"/>
        <v>8835.6063266666661</v>
      </c>
    </row>
    <row r="92" spans="1:13" x14ac:dyDescent="0.3">
      <c r="A92" s="186">
        <v>45000</v>
      </c>
      <c r="B92" s="33">
        <f t="shared" si="7"/>
        <v>3750</v>
      </c>
      <c r="C92" s="185">
        <f>'Child care subsidy'!S95*12</f>
        <v>21750</v>
      </c>
      <c r="D92" s="185">
        <f>MAX('TANF-VIEW'!L99,'TANF-VIEW'!T99)*12</f>
        <v>0</v>
      </c>
      <c r="E92" s="193">
        <f>SNAP!V96*12</f>
        <v>3432</v>
      </c>
      <c r="F92" s="184">
        <f>WIC!F98*12</f>
        <v>441.12</v>
      </c>
      <c r="G92" s="185">
        <f>'Housing Voucher'!Q96*12</f>
        <v>3935.9880000000003</v>
      </c>
      <c r="H92" s="197">
        <f>EITC!E95</f>
        <v>5281.8079199999993</v>
      </c>
      <c r="I92" s="205">
        <f>Medicaid!N99*12</f>
        <v>26265</v>
      </c>
      <c r="K92" s="185">
        <f t="shared" si="5"/>
        <v>61105.915919999999</v>
      </c>
      <c r="L92" s="185">
        <f t="shared" si="6"/>
        <v>106105.91592</v>
      </c>
      <c r="M92" s="36">
        <f t="shared" si="4"/>
        <v>8842.1596599999993</v>
      </c>
    </row>
    <row r="93" spans="1:13" x14ac:dyDescent="0.3">
      <c r="A93" s="186">
        <v>45500</v>
      </c>
      <c r="B93" s="33">
        <f t="shared" si="7"/>
        <v>3791.6666666666665</v>
      </c>
      <c r="C93" s="185">
        <f>'Child care subsidy'!S96*12</f>
        <v>21725</v>
      </c>
      <c r="D93" s="185">
        <f>MAX('TANF-VIEW'!L100,'TANF-VIEW'!T100)*12</f>
        <v>0</v>
      </c>
      <c r="E93" s="193">
        <f>SNAP!V97*12</f>
        <v>3312</v>
      </c>
      <c r="F93" s="184">
        <f>WIC!F99*12</f>
        <v>441.12</v>
      </c>
      <c r="G93" s="185">
        <f>'Housing Voucher'!Q97*12</f>
        <v>3785.9880000000003</v>
      </c>
      <c r="H93" s="197">
        <f>EITC!E96</f>
        <v>5155.4479199999996</v>
      </c>
      <c r="I93" s="205">
        <f>Medicaid!N100*12</f>
        <v>26265</v>
      </c>
      <c r="K93" s="185">
        <f t="shared" si="5"/>
        <v>60684.555919999999</v>
      </c>
      <c r="L93" s="185">
        <f t="shared" si="6"/>
        <v>106184.55592</v>
      </c>
      <c r="M93" s="36">
        <f t="shared" si="4"/>
        <v>8848.7129933333326</v>
      </c>
    </row>
    <row r="94" spans="1:13" x14ac:dyDescent="0.3">
      <c r="A94" s="186">
        <v>46000</v>
      </c>
      <c r="B94" s="33">
        <f>A94/12</f>
        <v>3833.3333333333335</v>
      </c>
      <c r="C94" s="185">
        <f>'Child care subsidy'!S97*12</f>
        <v>21700</v>
      </c>
      <c r="D94" s="185">
        <f>MAX('TANF-VIEW'!L101,'TANF-VIEW'!T101)*12</f>
        <v>0</v>
      </c>
      <c r="E94" s="193">
        <f>SNAP!V98*12</f>
        <v>3192</v>
      </c>
      <c r="F94" s="184">
        <f>WIC!F100*12</f>
        <v>441.12</v>
      </c>
      <c r="G94" s="185">
        <f>'Housing Voucher'!Q98*12</f>
        <v>3635.9880000000003</v>
      </c>
      <c r="H94" s="197">
        <f>EITC!E97</f>
        <v>5029.0879199999999</v>
      </c>
      <c r="I94" s="205">
        <f>Medicaid!N101*12</f>
        <v>26265</v>
      </c>
      <c r="K94" s="185">
        <f t="shared" si="5"/>
        <v>60263.195919999998</v>
      </c>
      <c r="L94" s="185">
        <f t="shared" si="6"/>
        <v>106263.19592</v>
      </c>
      <c r="M94" s="36">
        <f t="shared" si="4"/>
        <v>8855.2663266666659</v>
      </c>
    </row>
    <row r="95" spans="1:13" x14ac:dyDescent="0.3">
      <c r="A95" s="186">
        <v>46500</v>
      </c>
      <c r="B95" s="33">
        <f t="shared" si="7"/>
        <v>3875</v>
      </c>
      <c r="C95" s="185">
        <f>'Child care subsidy'!S98*12</f>
        <v>21675</v>
      </c>
      <c r="D95" s="185">
        <f>MAX('TANF-VIEW'!L102,'TANF-VIEW'!T102)*12</f>
        <v>0</v>
      </c>
      <c r="E95" s="193">
        <f>SNAP!V99*12</f>
        <v>3072</v>
      </c>
      <c r="F95" s="184">
        <f>WIC!F101*12</f>
        <v>441.12</v>
      </c>
      <c r="G95" s="185">
        <f>'Housing Voucher'!Q99*12</f>
        <v>3485.9880000000003</v>
      </c>
      <c r="H95" s="197">
        <f>EITC!E98</f>
        <v>4902.7279200000003</v>
      </c>
      <c r="I95" s="205">
        <f>Medicaid!N102*12</f>
        <v>26265</v>
      </c>
      <c r="K95" s="185">
        <f t="shared" si="5"/>
        <v>59841.835919999998</v>
      </c>
      <c r="L95" s="185">
        <f t="shared" si="6"/>
        <v>106341.83592</v>
      </c>
      <c r="M95" s="36">
        <f t="shared" si="4"/>
        <v>8861.8196599999992</v>
      </c>
    </row>
    <row r="96" spans="1:13" x14ac:dyDescent="0.3">
      <c r="A96" s="186">
        <v>47000</v>
      </c>
      <c r="B96" s="33">
        <f t="shared" si="7"/>
        <v>3916.6666666666665</v>
      </c>
      <c r="C96" s="185">
        <f>'Child care subsidy'!S99*12</f>
        <v>21650</v>
      </c>
      <c r="D96" s="185">
        <f>MAX('TANF-VIEW'!L103,'TANF-VIEW'!T103)*12</f>
        <v>0</v>
      </c>
      <c r="E96" s="193">
        <f>SNAP!V100*12</f>
        <v>2952</v>
      </c>
      <c r="F96" s="184">
        <f>WIC!F102*12</f>
        <v>441.12</v>
      </c>
      <c r="G96" s="185">
        <f>'Housing Voucher'!Q100*12</f>
        <v>3335.988000000003</v>
      </c>
      <c r="H96" s="197">
        <f>EITC!E99</f>
        <v>4776.3679199999997</v>
      </c>
      <c r="I96" s="205">
        <f>Medicaid!N103*12</f>
        <v>26265</v>
      </c>
      <c r="K96" s="185">
        <f t="shared" si="5"/>
        <v>59420.475919999997</v>
      </c>
      <c r="L96" s="185">
        <f t="shared" si="6"/>
        <v>106420.47592</v>
      </c>
      <c r="M96" s="36">
        <f t="shared" si="4"/>
        <v>8868.3729933333325</v>
      </c>
    </row>
    <row r="97" spans="1:13" x14ac:dyDescent="0.3">
      <c r="A97" s="186">
        <v>47500</v>
      </c>
      <c r="B97" s="33">
        <f t="shared" si="7"/>
        <v>3958.3333333333335</v>
      </c>
      <c r="C97" s="185">
        <f>'Child care subsidy'!S100*12</f>
        <v>21625</v>
      </c>
      <c r="D97" s="185">
        <f>MAX('TANF-VIEW'!L104,'TANF-VIEW'!T104)*12</f>
        <v>0</v>
      </c>
      <c r="E97" s="193">
        <f>SNAP!V101*12</f>
        <v>2832</v>
      </c>
      <c r="F97" s="184">
        <f>WIC!F103*12</f>
        <v>441.12</v>
      </c>
      <c r="G97" s="185">
        <f>'Housing Voucher'!Q101*12</f>
        <v>3185.9879999999976</v>
      </c>
      <c r="H97" s="197">
        <f>EITC!E100</f>
        <v>4650.00792</v>
      </c>
      <c r="I97" s="205">
        <f>Medicaid!N104*12</f>
        <v>26265</v>
      </c>
      <c r="K97" s="185">
        <f t="shared" si="5"/>
        <v>58999.115919999997</v>
      </c>
      <c r="L97" s="185">
        <f t="shared" si="6"/>
        <v>106499.11592</v>
      </c>
      <c r="M97" s="36">
        <f t="shared" si="4"/>
        <v>8874.9263266666658</v>
      </c>
    </row>
    <row r="98" spans="1:13" x14ac:dyDescent="0.3">
      <c r="A98" s="186">
        <v>48000</v>
      </c>
      <c r="B98" s="33">
        <f t="shared" si="7"/>
        <v>4000</v>
      </c>
      <c r="C98" s="185">
        <f>'Child care subsidy'!S101*12</f>
        <v>21600</v>
      </c>
      <c r="D98" s="185">
        <f>MAX('TANF-VIEW'!L105,'TANF-VIEW'!T105)*12</f>
        <v>0</v>
      </c>
      <c r="E98" s="193">
        <f>SNAP!V102*12</f>
        <v>2712</v>
      </c>
      <c r="F98" s="184">
        <f>WIC!F104*12</f>
        <v>441.12</v>
      </c>
      <c r="G98" s="185">
        <f>'Housing Voucher'!Q102*12</f>
        <v>3035.9880000000003</v>
      </c>
      <c r="H98" s="197">
        <f>EITC!E101</f>
        <v>4523.6479200000003</v>
      </c>
      <c r="I98" s="205">
        <f>Medicaid!N105*12</f>
        <v>26265</v>
      </c>
      <c r="K98" s="185">
        <f t="shared" si="5"/>
        <v>58577.755919999996</v>
      </c>
      <c r="L98" s="185">
        <f t="shared" si="6"/>
        <v>106577.75592</v>
      </c>
      <c r="M98" s="36">
        <f t="shared" si="4"/>
        <v>8881.4796599999991</v>
      </c>
    </row>
    <row r="99" spans="1:13" x14ac:dyDescent="0.3">
      <c r="A99" s="186">
        <v>48500</v>
      </c>
      <c r="B99" s="33">
        <f t="shared" si="7"/>
        <v>4041.6666666666665</v>
      </c>
      <c r="C99" s="185">
        <f>'Child care subsidy'!S102*12</f>
        <v>21575</v>
      </c>
      <c r="D99" s="185">
        <f>MAX('TANF-VIEW'!L106,'TANF-VIEW'!T106)*12</f>
        <v>0</v>
      </c>
      <c r="E99" s="193">
        <f>SNAP!V103*12</f>
        <v>2592</v>
      </c>
      <c r="F99" s="184">
        <f>WIC!F105*12</f>
        <v>441.12</v>
      </c>
      <c r="G99" s="185">
        <f>'Housing Voucher'!Q103*12</f>
        <v>2885.988000000003</v>
      </c>
      <c r="H99" s="197">
        <f>EITC!E102</f>
        <v>4397.2879199999998</v>
      </c>
      <c r="I99" s="205">
        <f>Medicaid!N106*12</f>
        <v>26265</v>
      </c>
      <c r="K99" s="185">
        <f t="shared" si="5"/>
        <v>58156.395919999995</v>
      </c>
      <c r="L99" s="185">
        <f t="shared" si="6"/>
        <v>106656.39592</v>
      </c>
      <c r="M99" s="36">
        <f t="shared" si="4"/>
        <v>8888.0329933333323</v>
      </c>
    </row>
    <row r="100" spans="1:13" x14ac:dyDescent="0.3">
      <c r="A100" s="186">
        <v>49000</v>
      </c>
      <c r="B100" s="33">
        <f t="shared" si="7"/>
        <v>4083.3333333333335</v>
      </c>
      <c r="C100" s="185">
        <f>'Child care subsidy'!S103*12</f>
        <v>21550</v>
      </c>
      <c r="D100" s="185">
        <f>MAX('TANF-VIEW'!L107,'TANF-VIEW'!T107)*12</f>
        <v>0</v>
      </c>
      <c r="E100" s="193">
        <f>SNAP!V104*12</f>
        <v>2472</v>
      </c>
      <c r="F100" s="184">
        <f>WIC!F106*12</f>
        <v>441.12</v>
      </c>
      <c r="G100" s="185">
        <f>'Housing Voucher'!Q104*12</f>
        <v>2735.9879999999976</v>
      </c>
      <c r="H100" s="197">
        <f>EITC!E103</f>
        <v>4270.9279200000001</v>
      </c>
      <c r="I100" s="205">
        <f>Medicaid!N107*12</f>
        <v>26265</v>
      </c>
      <c r="K100" s="185">
        <f t="shared" si="5"/>
        <v>57735.035919999995</v>
      </c>
      <c r="L100" s="185">
        <f t="shared" si="6"/>
        <v>106735.03591999999</v>
      </c>
      <c r="M100" s="36">
        <f t="shared" si="4"/>
        <v>8894.5863266666656</v>
      </c>
    </row>
    <row r="101" spans="1:13" x14ac:dyDescent="0.3">
      <c r="A101" s="186">
        <v>49500</v>
      </c>
      <c r="B101" s="33">
        <f t="shared" si="7"/>
        <v>4125</v>
      </c>
      <c r="C101" s="185">
        <f>'Child care subsidy'!S104*12</f>
        <v>21525</v>
      </c>
      <c r="D101" s="185">
        <f>MAX('TANF-VIEW'!L108,'TANF-VIEW'!T108)*12</f>
        <v>0</v>
      </c>
      <c r="E101" s="193">
        <f>SNAP!V105*12</f>
        <v>2352</v>
      </c>
      <c r="F101" s="184">
        <f>WIC!F107*12</f>
        <v>441.12</v>
      </c>
      <c r="G101" s="185">
        <f>'Housing Voucher'!Q105*12</f>
        <v>2585.9880000000003</v>
      </c>
      <c r="H101" s="197">
        <f>EITC!E104</f>
        <v>4144.5679199999995</v>
      </c>
      <c r="I101" s="205">
        <f>Medicaid!N108*12</f>
        <v>26265</v>
      </c>
      <c r="K101" s="185">
        <f t="shared" si="5"/>
        <v>57313.675920000001</v>
      </c>
      <c r="L101" s="185">
        <f t="shared" si="6"/>
        <v>106813.67592000001</v>
      </c>
      <c r="M101" s="36">
        <f t="shared" si="4"/>
        <v>8901.1396600000007</v>
      </c>
    </row>
    <row r="102" spans="1:13" x14ac:dyDescent="0.3">
      <c r="A102" s="186">
        <v>50000</v>
      </c>
      <c r="B102" s="33">
        <f t="shared" si="7"/>
        <v>4166.666666666667</v>
      </c>
      <c r="C102" s="185">
        <f>'Child care subsidy'!S105*12</f>
        <v>21500</v>
      </c>
      <c r="D102" s="185">
        <f>MAX('TANF-VIEW'!L109,'TANF-VIEW'!T109)*12</f>
        <v>0</v>
      </c>
      <c r="E102" s="193">
        <f>SNAP!V106*12</f>
        <v>2232</v>
      </c>
      <c r="F102" s="184">
        <f>WIC!F108*12</f>
        <v>441.12</v>
      </c>
      <c r="G102" s="185">
        <f>'Housing Voucher'!Q106*12</f>
        <v>2435.9880000000003</v>
      </c>
      <c r="H102" s="197">
        <f>EITC!E105</f>
        <v>4018.2079199999998</v>
      </c>
      <c r="I102" s="205">
        <f>Medicaid!N109*12</f>
        <v>26265</v>
      </c>
      <c r="K102" s="185">
        <f t="shared" si="5"/>
        <v>56892.315920000001</v>
      </c>
      <c r="L102" s="185">
        <f t="shared" si="6"/>
        <v>106892.31591999999</v>
      </c>
      <c r="M102" s="36">
        <f t="shared" si="4"/>
        <v>8907.6929933333322</v>
      </c>
    </row>
    <row r="103" spans="1:13" x14ac:dyDescent="0.3">
      <c r="A103" s="186">
        <v>50500</v>
      </c>
      <c r="B103" s="33">
        <f>A103/12</f>
        <v>4208.333333333333</v>
      </c>
      <c r="C103" s="185">
        <f>'Child care subsidy'!S106*12</f>
        <v>21475</v>
      </c>
      <c r="D103" s="185">
        <f>MAX('TANF-VIEW'!L110,'TANF-VIEW'!T110)*12</f>
        <v>0</v>
      </c>
      <c r="E103" s="193">
        <f>SNAP!V107*12</f>
        <v>2112</v>
      </c>
      <c r="F103" s="184">
        <f>WIC!F109*12</f>
        <v>441.12</v>
      </c>
      <c r="G103" s="185">
        <f>'Housing Voucher'!Q107*12</f>
        <v>2285.9880000000003</v>
      </c>
      <c r="H103" s="197">
        <f>EITC!E106</f>
        <v>3891.8479200000002</v>
      </c>
      <c r="I103" s="205">
        <f>Medicaid!N110*12</f>
        <v>26265</v>
      </c>
      <c r="K103" s="185">
        <f t="shared" si="5"/>
        <v>56470.95592</v>
      </c>
      <c r="L103" s="185">
        <f t="shared" si="6"/>
        <v>106970.95592000001</v>
      </c>
      <c r="M103" s="36">
        <f t="shared" si="4"/>
        <v>8914.2463266666673</v>
      </c>
    </row>
    <row r="104" spans="1:13" x14ac:dyDescent="0.3">
      <c r="A104" s="186">
        <v>51000</v>
      </c>
      <c r="B104" s="33">
        <f t="shared" ref="B104:B167" si="8">A104/12</f>
        <v>4250</v>
      </c>
      <c r="C104" s="185">
        <f>'Child care subsidy'!S107*12</f>
        <v>21450</v>
      </c>
      <c r="D104" s="185">
        <f>MAX('TANF-VIEW'!L111,'TANF-VIEW'!T111)*12</f>
        <v>0</v>
      </c>
      <c r="E104" s="193">
        <f>SNAP!V108*12</f>
        <v>1992</v>
      </c>
      <c r="F104" s="184">
        <f>WIC!F110*12</f>
        <v>441.12</v>
      </c>
      <c r="G104" s="185">
        <f>'Housing Voucher'!Q108*12</f>
        <v>2135.9880000000003</v>
      </c>
      <c r="H104" s="197">
        <f>EITC!E107</f>
        <v>3765.4879200000005</v>
      </c>
      <c r="I104" s="205">
        <f>Medicaid!N111*12</f>
        <v>26265</v>
      </c>
      <c r="K104" s="185">
        <f t="shared" si="5"/>
        <v>56049.59592</v>
      </c>
      <c r="L104" s="185">
        <f t="shared" si="6"/>
        <v>107049.59591999999</v>
      </c>
      <c r="M104" s="36">
        <f t="shared" si="4"/>
        <v>8920.7996599999988</v>
      </c>
    </row>
    <row r="105" spans="1:13" x14ac:dyDescent="0.3">
      <c r="A105" s="186">
        <v>51500</v>
      </c>
      <c r="B105" s="33">
        <f t="shared" si="8"/>
        <v>4291.666666666667</v>
      </c>
      <c r="C105" s="185">
        <f>'Child care subsidy'!S108*12</f>
        <v>21425</v>
      </c>
      <c r="D105" s="185">
        <f>MAX('TANF-VIEW'!L112,'TANF-VIEW'!T112)*12</f>
        <v>0</v>
      </c>
      <c r="E105" s="193">
        <f>SNAP!V109*12</f>
        <v>1872</v>
      </c>
      <c r="F105" s="184">
        <f>WIC!F111*12</f>
        <v>441.12</v>
      </c>
      <c r="G105" s="185">
        <f>'Housing Voucher'!Q109*12</f>
        <v>1985.9880000000003</v>
      </c>
      <c r="H105" s="197">
        <f>EITC!E108</f>
        <v>3639.1279199999999</v>
      </c>
      <c r="I105" s="205">
        <f>Medicaid!N112*12</f>
        <v>26265</v>
      </c>
      <c r="K105" s="185">
        <f t="shared" si="5"/>
        <v>55628.235919999999</v>
      </c>
      <c r="L105" s="185">
        <f t="shared" si="6"/>
        <v>107128.23592000001</v>
      </c>
      <c r="M105" s="36">
        <f t="shared" si="4"/>
        <v>8927.3529933333339</v>
      </c>
    </row>
    <row r="106" spans="1:13" x14ac:dyDescent="0.3">
      <c r="A106" s="186">
        <v>52000</v>
      </c>
      <c r="B106" s="33">
        <f t="shared" si="8"/>
        <v>4333.333333333333</v>
      </c>
      <c r="C106" s="185">
        <f>'Child care subsidy'!S109*12</f>
        <v>21400</v>
      </c>
      <c r="D106" s="185">
        <f>MAX('TANF-VIEW'!L113,'TANF-VIEW'!T113)*12</f>
        <v>0</v>
      </c>
      <c r="E106" s="193">
        <f>SNAP!V110*12</f>
        <v>1752</v>
      </c>
      <c r="F106" s="184">
        <f>WIC!F112*12</f>
        <v>441.12</v>
      </c>
      <c r="G106" s="185">
        <f>'Housing Voucher'!Q110*12</f>
        <v>1835.9880000000003</v>
      </c>
      <c r="H106" s="197">
        <f>EITC!E109</f>
        <v>3512.7679199999998</v>
      </c>
      <c r="I106" s="205">
        <f>Medicaid!N113*12</f>
        <v>26265</v>
      </c>
      <c r="K106" s="185">
        <f t="shared" si="5"/>
        <v>55206.875919999999</v>
      </c>
      <c r="L106" s="185">
        <f t="shared" si="6"/>
        <v>107206.87591999999</v>
      </c>
      <c r="M106" s="36">
        <f t="shared" si="4"/>
        <v>8933.9063266666653</v>
      </c>
    </row>
    <row r="107" spans="1:13" x14ac:dyDescent="0.3">
      <c r="A107" s="186">
        <v>52500</v>
      </c>
      <c r="B107" s="33">
        <f t="shared" si="8"/>
        <v>4375</v>
      </c>
      <c r="C107" s="185">
        <f>'Child care subsidy'!S110*12</f>
        <v>21375</v>
      </c>
      <c r="D107" s="185">
        <f>MAX('TANF-VIEW'!L114,'TANF-VIEW'!T114)*12</f>
        <v>0</v>
      </c>
      <c r="E107" s="193">
        <f>SNAP!V111*12</f>
        <v>1632</v>
      </c>
      <c r="F107" s="184">
        <f>WIC!F113*12</f>
        <v>441.12</v>
      </c>
      <c r="G107" s="185">
        <f>'Housing Voucher'!Q111*12</f>
        <v>1685.9880000000003</v>
      </c>
      <c r="H107" s="197">
        <f>EITC!E110</f>
        <v>3386.4079199999996</v>
      </c>
      <c r="I107" s="205">
        <f>Medicaid!N114*12</f>
        <v>26265</v>
      </c>
      <c r="K107" s="185">
        <f t="shared" si="5"/>
        <v>54785.515919999998</v>
      </c>
      <c r="L107" s="185">
        <f t="shared" si="6"/>
        <v>107285.51592000001</v>
      </c>
      <c r="M107" s="36">
        <f t="shared" si="4"/>
        <v>8940.4596600000004</v>
      </c>
    </row>
    <row r="108" spans="1:13" x14ac:dyDescent="0.3">
      <c r="A108" s="186">
        <v>53000</v>
      </c>
      <c r="B108" s="33">
        <f t="shared" si="8"/>
        <v>4416.666666666667</v>
      </c>
      <c r="C108" s="185">
        <f>'Child care subsidy'!S111*12</f>
        <v>21350</v>
      </c>
      <c r="D108" s="185">
        <f>MAX('TANF-VIEW'!L115,'TANF-VIEW'!T115)*12</f>
        <v>0</v>
      </c>
      <c r="E108" s="193">
        <f>SNAP!V112*12</f>
        <v>1512</v>
      </c>
      <c r="F108" s="184">
        <f>WIC!F114*12</f>
        <v>441.12</v>
      </c>
      <c r="G108" s="185">
        <f>'Housing Voucher'!Q112*12</f>
        <v>1535.9880000000003</v>
      </c>
      <c r="H108" s="197">
        <f>EITC!E111</f>
        <v>3260.0479199999995</v>
      </c>
      <c r="I108" s="205">
        <f>Medicaid!N115*12</f>
        <v>26265</v>
      </c>
      <c r="K108" s="185">
        <f t="shared" si="5"/>
        <v>54364.155920000005</v>
      </c>
      <c r="L108" s="185">
        <f t="shared" si="6"/>
        <v>107364.15592</v>
      </c>
      <c r="M108" s="36">
        <f t="shared" si="4"/>
        <v>8947.0129933333337</v>
      </c>
    </row>
    <row r="109" spans="1:13" x14ac:dyDescent="0.3">
      <c r="A109" s="186">
        <v>53500</v>
      </c>
      <c r="B109" s="33">
        <f t="shared" si="8"/>
        <v>4458.333333333333</v>
      </c>
      <c r="C109" s="185">
        <f>'Child care subsidy'!S112*12</f>
        <v>21325</v>
      </c>
      <c r="D109" s="185">
        <f>MAX('TANF-VIEW'!L116,'TANF-VIEW'!T116)*12</f>
        <v>0</v>
      </c>
      <c r="E109" s="193">
        <f>SNAP!V113*12</f>
        <v>1392</v>
      </c>
      <c r="F109" s="184">
        <f>WIC!F115*12</f>
        <v>441.12</v>
      </c>
      <c r="G109" s="185">
        <f>'Housing Voucher'!Q113*12</f>
        <v>1385.9880000000003</v>
      </c>
      <c r="H109" s="197">
        <f>EITC!E112</f>
        <v>3133.6879199999994</v>
      </c>
      <c r="I109" s="205">
        <f>Medicaid!N116*12</f>
        <v>7644</v>
      </c>
      <c r="K109" s="185">
        <f t="shared" si="5"/>
        <v>35321.795920000004</v>
      </c>
      <c r="L109" s="185">
        <f t="shared" si="6"/>
        <v>88821.795920000004</v>
      </c>
      <c r="M109" s="36">
        <f t="shared" si="4"/>
        <v>7401.816326666667</v>
      </c>
    </row>
    <row r="110" spans="1:13" x14ac:dyDescent="0.3">
      <c r="A110" s="186">
        <v>54000</v>
      </c>
      <c r="B110" s="33">
        <f t="shared" si="8"/>
        <v>4500</v>
      </c>
      <c r="C110" s="185">
        <f>'Child care subsidy'!S113*12</f>
        <v>21300</v>
      </c>
      <c r="D110" s="185">
        <f>MAX('TANF-VIEW'!L117,'TANF-VIEW'!T117)*12</f>
        <v>0</v>
      </c>
      <c r="E110" s="193">
        <f>SNAP!V114*12</f>
        <v>1272</v>
      </c>
      <c r="F110" s="184">
        <f>WIC!F116*12</f>
        <v>441.12</v>
      </c>
      <c r="G110" s="185">
        <f>'Housing Voucher'!Q114*12</f>
        <v>1235.9880000000003</v>
      </c>
      <c r="H110" s="197">
        <f>EITC!E113</f>
        <v>3007.3279200000002</v>
      </c>
      <c r="I110" s="205">
        <f>Medicaid!N117*12</f>
        <v>7644</v>
      </c>
      <c r="K110" s="185">
        <f t="shared" si="5"/>
        <v>34900.435920000004</v>
      </c>
      <c r="L110" s="185">
        <f t="shared" si="6"/>
        <v>88900.435920000004</v>
      </c>
      <c r="M110" s="36">
        <f t="shared" si="4"/>
        <v>7408.3696600000003</v>
      </c>
    </row>
    <row r="111" spans="1:13" x14ac:dyDescent="0.3">
      <c r="A111" s="186">
        <v>54500</v>
      </c>
      <c r="B111" s="33">
        <f t="shared" si="8"/>
        <v>4541.666666666667</v>
      </c>
      <c r="C111" s="185">
        <f>'Child care subsidy'!S114*12</f>
        <v>21275</v>
      </c>
      <c r="D111" s="185">
        <f>MAX('TANF-VIEW'!L118,'TANF-VIEW'!T118)*12</f>
        <v>0</v>
      </c>
      <c r="E111" s="193">
        <f>SNAP!V115*12</f>
        <v>1152</v>
      </c>
      <c r="F111" s="184">
        <f>WIC!F117*12</f>
        <v>441.12</v>
      </c>
      <c r="G111" s="185">
        <f>'Housing Voucher'!Q115*12</f>
        <v>1085.9880000000003</v>
      </c>
      <c r="H111" s="197">
        <f>EITC!E114</f>
        <v>2880.96792</v>
      </c>
      <c r="I111" s="205">
        <f>Medicaid!N118*12</f>
        <v>7644</v>
      </c>
      <c r="K111" s="185">
        <f t="shared" si="5"/>
        <v>34479.075920000003</v>
      </c>
      <c r="L111" s="185">
        <f t="shared" si="6"/>
        <v>88979.075920000003</v>
      </c>
      <c r="M111" s="36">
        <f t="shared" si="4"/>
        <v>7414.9229933333336</v>
      </c>
    </row>
    <row r="112" spans="1:13" x14ac:dyDescent="0.3">
      <c r="A112" s="186">
        <v>55000</v>
      </c>
      <c r="B112" s="33">
        <f t="shared" si="8"/>
        <v>4583.333333333333</v>
      </c>
      <c r="C112" s="185">
        <f>'Child care subsidy'!S115*12</f>
        <v>21250</v>
      </c>
      <c r="D112" s="185">
        <f>MAX('TANF-VIEW'!L119,'TANF-VIEW'!T119)*12</f>
        <v>0</v>
      </c>
      <c r="E112" s="193">
        <f>SNAP!V116*12</f>
        <v>1032</v>
      </c>
      <c r="F112" s="184">
        <f>WIC!F118*12</f>
        <v>441.12</v>
      </c>
      <c r="G112" s="185">
        <f>'Housing Voucher'!Q116*12</f>
        <v>935.98800000000028</v>
      </c>
      <c r="H112" s="197">
        <f>EITC!E115</f>
        <v>2754.6079199999995</v>
      </c>
      <c r="I112" s="205">
        <f>Medicaid!N119*12</f>
        <v>7644</v>
      </c>
      <c r="K112" s="185">
        <f t="shared" si="5"/>
        <v>34057.715920000002</v>
      </c>
      <c r="L112" s="185">
        <f t="shared" si="6"/>
        <v>89057.715920000002</v>
      </c>
      <c r="M112" s="36">
        <f t="shared" si="4"/>
        <v>7421.4763266666669</v>
      </c>
    </row>
    <row r="113" spans="1:13" x14ac:dyDescent="0.3">
      <c r="A113" s="206">
        <v>55500</v>
      </c>
      <c r="B113" s="207">
        <f t="shared" si="8"/>
        <v>4625</v>
      </c>
      <c r="C113" s="208">
        <f>'Child care subsidy'!S116*12</f>
        <v>21225</v>
      </c>
      <c r="D113" s="208">
        <f>MAX('TANF-VIEW'!L120,'TANF-VIEW'!T120)*12</f>
        <v>0</v>
      </c>
      <c r="E113" s="209">
        <f>SNAP!V117*12</f>
        <v>912</v>
      </c>
      <c r="F113" s="210">
        <f>WIC!F119*12</f>
        <v>441.12</v>
      </c>
      <c r="G113" s="208">
        <f>'Housing Voucher'!Q117*12</f>
        <v>785.98800000000028</v>
      </c>
      <c r="H113" s="211">
        <f>EITC!E116</f>
        <v>2628.2479199999993</v>
      </c>
      <c r="I113" s="212">
        <f>Medicaid!N120*12</f>
        <v>7644</v>
      </c>
      <c r="J113" s="213"/>
      <c r="K113" s="208">
        <f t="shared" si="5"/>
        <v>33636.355920000002</v>
      </c>
      <c r="L113" s="208">
        <f t="shared" si="6"/>
        <v>89136.355920000002</v>
      </c>
      <c r="M113" s="36">
        <f t="shared" si="4"/>
        <v>7428.0296600000001</v>
      </c>
    </row>
    <row r="114" spans="1:13" x14ac:dyDescent="0.3">
      <c r="A114" s="206">
        <v>56000</v>
      </c>
      <c r="B114" s="207">
        <f t="shared" si="8"/>
        <v>4666.666666666667</v>
      </c>
      <c r="C114" s="208">
        <f>'Child care subsidy'!S117*12</f>
        <v>21200</v>
      </c>
      <c r="D114" s="208">
        <f>MAX('TANF-VIEW'!L121,'TANF-VIEW'!T121)*12</f>
        <v>0</v>
      </c>
      <c r="E114" s="209">
        <f>SNAP!V118*12</f>
        <v>792</v>
      </c>
      <c r="F114" s="210">
        <f>WIC!F120*12</f>
        <v>441.12</v>
      </c>
      <c r="G114" s="208">
        <f>'Housing Voucher'!Q118*12</f>
        <v>635.98800000000028</v>
      </c>
      <c r="H114" s="211">
        <f>EITC!E117</f>
        <v>2501.8879199999992</v>
      </c>
      <c r="I114" s="212">
        <f>Medicaid!N121*12</f>
        <v>7644</v>
      </c>
      <c r="J114" s="213"/>
      <c r="K114" s="208">
        <f t="shared" si="5"/>
        <v>33214.995920000001</v>
      </c>
      <c r="L114" s="208">
        <f t="shared" si="6"/>
        <v>89214.995920000001</v>
      </c>
      <c r="M114" s="36">
        <f t="shared" si="4"/>
        <v>7434.5829933333334</v>
      </c>
    </row>
    <row r="115" spans="1:13" x14ac:dyDescent="0.3">
      <c r="A115" s="186">
        <v>56500</v>
      </c>
      <c r="B115" s="33">
        <f t="shared" si="8"/>
        <v>4708.333333333333</v>
      </c>
      <c r="C115" s="185">
        <f>'Child care subsidy'!S118*12</f>
        <v>21175</v>
      </c>
      <c r="D115" s="185">
        <f>MAX('TANF-VIEW'!L122,'TANF-VIEW'!T122)*12</f>
        <v>0</v>
      </c>
      <c r="E115" s="193">
        <f>SNAP!V119*12</f>
        <v>672</v>
      </c>
      <c r="F115" s="184">
        <f>WIC!F121*12</f>
        <v>441.12</v>
      </c>
      <c r="G115" s="185">
        <f>'Housing Voucher'!Q119*12</f>
        <v>485.98800000000028</v>
      </c>
      <c r="H115" s="197">
        <f>EITC!E118</f>
        <v>2375.52792</v>
      </c>
      <c r="I115" s="205">
        <f>Medicaid!N122*12</f>
        <v>7644</v>
      </c>
      <c r="K115" s="185">
        <f t="shared" si="5"/>
        <v>32793.635920000001</v>
      </c>
      <c r="L115" s="185">
        <f t="shared" si="6"/>
        <v>89293.635920000001</v>
      </c>
      <c r="M115" s="36">
        <f t="shared" si="4"/>
        <v>7441.1363266666667</v>
      </c>
    </row>
    <row r="116" spans="1:13" x14ac:dyDescent="0.3">
      <c r="A116" s="186">
        <v>57000</v>
      </c>
      <c r="B116" s="33">
        <f t="shared" si="8"/>
        <v>4750</v>
      </c>
      <c r="C116" s="185">
        <f>'Child care subsidy'!S119*12</f>
        <v>21150</v>
      </c>
      <c r="D116" s="185">
        <f>MAX('TANF-VIEW'!L123,'TANF-VIEW'!T123)*12</f>
        <v>0</v>
      </c>
      <c r="E116" s="193">
        <f>SNAP!V120*12</f>
        <v>552</v>
      </c>
      <c r="F116" s="184">
        <f>WIC!F122*12</f>
        <v>441.12</v>
      </c>
      <c r="G116" s="185">
        <f>'Housing Voucher'!Q120*12</f>
        <v>335.98800000000028</v>
      </c>
      <c r="H116" s="197">
        <f>EITC!E119</f>
        <v>2249.1679199999999</v>
      </c>
      <c r="I116" s="205">
        <f>Medicaid!N123*12</f>
        <v>7644</v>
      </c>
      <c r="K116" s="185">
        <f t="shared" si="5"/>
        <v>32372.27592</v>
      </c>
      <c r="L116" s="185">
        <f t="shared" si="6"/>
        <v>89372.27592</v>
      </c>
      <c r="M116" s="36">
        <f t="shared" si="4"/>
        <v>7447.68966</v>
      </c>
    </row>
    <row r="117" spans="1:13" x14ac:dyDescent="0.3">
      <c r="A117" s="186">
        <v>57500</v>
      </c>
      <c r="B117" s="33">
        <f t="shared" si="8"/>
        <v>4791.666666666667</v>
      </c>
      <c r="C117" s="185">
        <f>'Child care subsidy'!S120*12</f>
        <v>21125</v>
      </c>
      <c r="D117" s="185">
        <f>MAX('TANF-VIEW'!L124,'TANF-VIEW'!T124)*12</f>
        <v>0</v>
      </c>
      <c r="E117" s="193">
        <f>SNAP!V121*12</f>
        <v>432</v>
      </c>
      <c r="F117" s="184">
        <f>WIC!F123*12</f>
        <v>441.12</v>
      </c>
      <c r="G117" s="185">
        <f>'Housing Voucher'!Q121*12</f>
        <v>185.98800000000028</v>
      </c>
      <c r="H117" s="197">
        <f>EITC!E120</f>
        <v>2122.8079199999997</v>
      </c>
      <c r="I117" s="205">
        <f>Medicaid!N124*12</f>
        <v>7644</v>
      </c>
      <c r="K117" s="185">
        <f t="shared" si="5"/>
        <v>31950.915919999999</v>
      </c>
      <c r="L117" s="185">
        <f t="shared" si="6"/>
        <v>89450.915919999999</v>
      </c>
      <c r="M117" s="36">
        <f t="shared" si="4"/>
        <v>7454.2429933333333</v>
      </c>
    </row>
    <row r="118" spans="1:13" x14ac:dyDescent="0.3">
      <c r="A118" s="186">
        <v>58000</v>
      </c>
      <c r="B118" s="33">
        <f t="shared" si="8"/>
        <v>4833.333333333333</v>
      </c>
      <c r="C118" s="185">
        <f>'Child care subsidy'!S121*12</f>
        <v>21100</v>
      </c>
      <c r="D118" s="185">
        <f>MAX('TANF-VIEW'!L125,'TANF-VIEW'!T125)*12</f>
        <v>0</v>
      </c>
      <c r="E118" s="193">
        <f>SNAP!V122*12</f>
        <v>312</v>
      </c>
      <c r="F118" s="184">
        <f>WIC!F124*12</f>
        <v>441.12</v>
      </c>
      <c r="G118" s="185">
        <f>'Housing Voucher'!Q122*12</f>
        <v>35.988000000000284</v>
      </c>
      <c r="H118" s="197">
        <f>EITC!E121</f>
        <v>1996.4479199999994</v>
      </c>
      <c r="I118" s="205">
        <f>Medicaid!N125*12</f>
        <v>7644</v>
      </c>
      <c r="K118" s="185">
        <f t="shared" si="5"/>
        <v>31529.555919999999</v>
      </c>
      <c r="L118" s="185">
        <f t="shared" si="6"/>
        <v>89529.555919999999</v>
      </c>
      <c r="M118" s="36">
        <f t="shared" si="4"/>
        <v>7460.7963266666666</v>
      </c>
    </row>
    <row r="119" spans="1:13" x14ac:dyDescent="0.3">
      <c r="A119" s="186">
        <v>58500</v>
      </c>
      <c r="B119" s="33">
        <f t="shared" si="8"/>
        <v>4875</v>
      </c>
      <c r="C119" s="185">
        <f>'Child care subsidy'!S122*12</f>
        <v>21075</v>
      </c>
      <c r="D119" s="185">
        <f>MAX('TANF-VIEW'!L126,'TANF-VIEW'!T126)*12</f>
        <v>0</v>
      </c>
      <c r="E119" s="193">
        <f>SNAP!V123*12</f>
        <v>288</v>
      </c>
      <c r="F119" s="184">
        <f>WIC!F125*12</f>
        <v>441.12</v>
      </c>
      <c r="G119" s="185">
        <f>'Housing Voucher'!Q123*12</f>
        <v>0</v>
      </c>
      <c r="H119" s="197">
        <f>EITC!E122</f>
        <v>1870.0879199999993</v>
      </c>
      <c r="I119" s="205">
        <f>Medicaid!N126*12</f>
        <v>7644</v>
      </c>
      <c r="K119" s="185">
        <f t="shared" si="5"/>
        <v>31318.207919999997</v>
      </c>
      <c r="L119" s="185">
        <f t="shared" si="6"/>
        <v>89818.207920000001</v>
      </c>
      <c r="M119" s="36">
        <f t="shared" si="4"/>
        <v>7484.8506600000001</v>
      </c>
    </row>
    <row r="120" spans="1:13" x14ac:dyDescent="0.3">
      <c r="A120" s="186">
        <v>59000</v>
      </c>
      <c r="B120" s="33">
        <f t="shared" si="8"/>
        <v>4916.666666666667</v>
      </c>
      <c r="C120" s="185">
        <f>'Child care subsidy'!S123*12</f>
        <v>21050</v>
      </c>
      <c r="D120" s="185">
        <f>MAX('TANF-VIEW'!L127,'TANF-VIEW'!T127)*12</f>
        <v>0</v>
      </c>
      <c r="E120" s="193">
        <f>SNAP!V124*12</f>
        <v>0</v>
      </c>
      <c r="F120" s="184">
        <f>WIC!F126*12</f>
        <v>441.12</v>
      </c>
      <c r="G120" s="185">
        <f>'Housing Voucher'!Q124*12</f>
        <v>0</v>
      </c>
      <c r="H120" s="197">
        <f>EITC!E123</f>
        <v>1743.72792</v>
      </c>
      <c r="I120" s="205">
        <f>Medicaid!N127*12</f>
        <v>7644</v>
      </c>
      <c r="K120" s="185">
        <f t="shared" si="5"/>
        <v>30878.84792</v>
      </c>
      <c r="L120" s="185">
        <f t="shared" si="6"/>
        <v>89878.84792</v>
      </c>
      <c r="M120" s="36">
        <f t="shared" si="4"/>
        <v>7489.9039933333333</v>
      </c>
    </row>
    <row r="121" spans="1:13" x14ac:dyDescent="0.3">
      <c r="A121" s="186">
        <v>59500</v>
      </c>
      <c r="B121" s="33">
        <f t="shared" si="8"/>
        <v>4958.333333333333</v>
      </c>
      <c r="C121" s="185">
        <f>'Child care subsidy'!S124*12</f>
        <v>21025</v>
      </c>
      <c r="D121" s="185">
        <f>MAX('TANF-VIEW'!L128,'TANF-VIEW'!T128)*12</f>
        <v>0</v>
      </c>
      <c r="E121" s="193">
        <f>SNAP!V125*12</f>
        <v>0</v>
      </c>
      <c r="F121" s="184">
        <f>WIC!F127*12</f>
        <v>441.12</v>
      </c>
      <c r="G121" s="185">
        <f>'Housing Voucher'!Q125*12</f>
        <v>0</v>
      </c>
      <c r="H121" s="197">
        <f>EITC!E124</f>
        <v>1617.3679199999999</v>
      </c>
      <c r="I121" s="205">
        <f>Medicaid!N128*12</f>
        <v>7644</v>
      </c>
      <c r="K121" s="185">
        <f t="shared" si="5"/>
        <v>30727.48792</v>
      </c>
      <c r="L121" s="185">
        <f t="shared" si="6"/>
        <v>90227.48792</v>
      </c>
      <c r="M121" s="36">
        <f t="shared" si="4"/>
        <v>7518.9573266666666</v>
      </c>
    </row>
    <row r="122" spans="1:13" x14ac:dyDescent="0.3">
      <c r="A122" s="186">
        <v>60000</v>
      </c>
      <c r="B122" s="33">
        <f t="shared" si="8"/>
        <v>5000</v>
      </c>
      <c r="C122" s="185">
        <f>'Child care subsidy'!S125*12</f>
        <v>21000</v>
      </c>
      <c r="D122" s="185">
        <f>MAX('TANF-VIEW'!L129,'TANF-VIEW'!T129)*12</f>
        <v>0</v>
      </c>
      <c r="E122" s="193">
        <f>SNAP!V126*12</f>
        <v>0</v>
      </c>
      <c r="F122" s="184">
        <f>WIC!F128*12</f>
        <v>441.12</v>
      </c>
      <c r="G122" s="185">
        <f>'Housing Voucher'!Q126*12</f>
        <v>0</v>
      </c>
      <c r="H122" s="197">
        <f>EITC!E125</f>
        <v>1491.0079199999996</v>
      </c>
      <c r="I122" s="205">
        <f>Medicaid!N129*12</f>
        <v>7644</v>
      </c>
      <c r="K122" s="185">
        <f t="shared" si="5"/>
        <v>30576.127919999999</v>
      </c>
      <c r="L122" s="185">
        <f t="shared" si="6"/>
        <v>90576.127919999999</v>
      </c>
      <c r="M122" s="36">
        <f t="shared" si="4"/>
        <v>7548.0106599999999</v>
      </c>
    </row>
    <row r="123" spans="1:13" x14ac:dyDescent="0.3">
      <c r="A123" s="186">
        <v>60500</v>
      </c>
      <c r="B123" s="33">
        <f t="shared" si="8"/>
        <v>5041.666666666667</v>
      </c>
      <c r="C123" s="185">
        <f>'Child care subsidy'!S126*12</f>
        <v>20975</v>
      </c>
      <c r="D123" s="185">
        <f>MAX('TANF-VIEW'!L130,'TANF-VIEW'!T130)*12</f>
        <v>0</v>
      </c>
      <c r="E123" s="193">
        <f>SNAP!V127*12</f>
        <v>0</v>
      </c>
      <c r="F123" s="184">
        <f>WIC!F129*12</f>
        <v>441.12</v>
      </c>
      <c r="G123" s="185">
        <f>'Housing Voucher'!Q127*12</f>
        <v>0</v>
      </c>
      <c r="H123" s="197">
        <f>EITC!E126</f>
        <v>1364.6479199999994</v>
      </c>
      <c r="I123" s="205">
        <f>Medicaid!N130*12</f>
        <v>7644</v>
      </c>
      <c r="K123" s="185">
        <f t="shared" si="5"/>
        <v>30424.767919999998</v>
      </c>
      <c r="L123" s="185">
        <f t="shared" si="6"/>
        <v>90924.767919999998</v>
      </c>
      <c r="M123" s="36">
        <f t="shared" si="4"/>
        <v>7577.0639933333332</v>
      </c>
    </row>
    <row r="124" spans="1:13" x14ac:dyDescent="0.3">
      <c r="A124" s="186">
        <v>61000</v>
      </c>
      <c r="B124" s="33">
        <f t="shared" si="8"/>
        <v>5083.333333333333</v>
      </c>
      <c r="C124" s="185">
        <f>'Child care subsidy'!S127*12</f>
        <v>20950</v>
      </c>
      <c r="D124" s="185">
        <f>MAX('TANF-VIEW'!L131,'TANF-VIEW'!T131)*12</f>
        <v>0</v>
      </c>
      <c r="E124" s="193">
        <f>SNAP!V128*12</f>
        <v>0</v>
      </c>
      <c r="F124" s="184">
        <f>WIC!F130*12</f>
        <v>441.12</v>
      </c>
      <c r="G124" s="185">
        <f>'Housing Voucher'!Q128*12</f>
        <v>0</v>
      </c>
      <c r="H124" s="197">
        <f>EITC!E127</f>
        <v>1238.2879199999993</v>
      </c>
      <c r="I124" s="205">
        <f>Medicaid!N131*12</f>
        <v>7644</v>
      </c>
      <c r="K124" s="185">
        <f t="shared" si="5"/>
        <v>30273.407919999998</v>
      </c>
      <c r="L124" s="185">
        <f t="shared" si="6"/>
        <v>91273.407919999998</v>
      </c>
      <c r="M124" s="36">
        <f t="shared" si="4"/>
        <v>7606.1173266666665</v>
      </c>
    </row>
    <row r="125" spans="1:13" x14ac:dyDescent="0.3">
      <c r="A125" s="186">
        <v>61500</v>
      </c>
      <c r="B125" s="33">
        <f t="shared" si="8"/>
        <v>5125</v>
      </c>
      <c r="C125" s="185">
        <f>'Child care subsidy'!S128*12</f>
        <v>20925</v>
      </c>
      <c r="D125" s="185">
        <f>MAX('TANF-VIEW'!L132,'TANF-VIEW'!T132)*12</f>
        <v>0</v>
      </c>
      <c r="E125" s="193">
        <f>SNAP!V129*12</f>
        <v>0</v>
      </c>
      <c r="F125" s="184">
        <f>WIC!F131*12</f>
        <v>441.12</v>
      </c>
      <c r="G125" s="185">
        <f>'Housing Voucher'!Q129*12</f>
        <v>0</v>
      </c>
      <c r="H125" s="197">
        <f>EITC!E128</f>
        <v>1111.9279200000001</v>
      </c>
      <c r="I125" s="205">
        <f>Medicaid!N132*12</f>
        <v>7644</v>
      </c>
      <c r="K125" s="185">
        <f t="shared" si="5"/>
        <v>30122.047919999997</v>
      </c>
      <c r="L125" s="185">
        <f t="shared" si="6"/>
        <v>91622.047919999997</v>
      </c>
      <c r="M125" s="36">
        <f t="shared" si="4"/>
        <v>7635.1706599999998</v>
      </c>
    </row>
    <row r="126" spans="1:13" x14ac:dyDescent="0.3">
      <c r="A126" s="186">
        <v>62000</v>
      </c>
      <c r="B126" s="33">
        <f t="shared" si="8"/>
        <v>5166.666666666667</v>
      </c>
      <c r="C126" s="185">
        <f>'Child care subsidy'!S129*12</f>
        <v>20900</v>
      </c>
      <c r="D126" s="185">
        <f>MAX('TANF-VIEW'!L133,'TANF-VIEW'!T133)*12</f>
        <v>0</v>
      </c>
      <c r="E126" s="193">
        <f>SNAP!V130*12</f>
        <v>0</v>
      </c>
      <c r="F126" s="184">
        <f>WIC!F132*12</f>
        <v>441.12</v>
      </c>
      <c r="G126" s="185">
        <f>'Housing Voucher'!Q130*12</f>
        <v>0</v>
      </c>
      <c r="H126" s="197">
        <f>EITC!E129</f>
        <v>985.56791999999984</v>
      </c>
      <c r="I126" s="205">
        <f>Medicaid!N133*12</f>
        <v>7644</v>
      </c>
      <c r="K126" s="185">
        <f t="shared" si="5"/>
        <v>29970.68792</v>
      </c>
      <c r="L126" s="185">
        <f t="shared" si="6"/>
        <v>91970.687919999997</v>
      </c>
      <c r="M126" s="36">
        <f t="shared" si="4"/>
        <v>7664.2239933333331</v>
      </c>
    </row>
    <row r="127" spans="1:13" x14ac:dyDescent="0.3">
      <c r="A127" s="186">
        <v>62500</v>
      </c>
      <c r="B127" s="33">
        <f t="shared" si="8"/>
        <v>5208.333333333333</v>
      </c>
      <c r="C127" s="185">
        <f>'Child care subsidy'!S130*12</f>
        <v>20875</v>
      </c>
      <c r="D127" s="185">
        <f>MAX('TANF-VIEW'!L134,'TANF-VIEW'!T134)*12</f>
        <v>0</v>
      </c>
      <c r="E127" s="193">
        <f>SNAP!V131*12</f>
        <v>0</v>
      </c>
      <c r="F127" s="184">
        <f>WIC!F133*12</f>
        <v>441.12</v>
      </c>
      <c r="G127" s="185">
        <f>'Housing Voucher'!Q131*12</f>
        <v>0</v>
      </c>
      <c r="H127" s="197">
        <f>EITC!E130</f>
        <v>859.2079199999996</v>
      </c>
      <c r="I127" s="205">
        <f>Medicaid!N134*12</f>
        <v>7644</v>
      </c>
      <c r="K127" s="185">
        <f t="shared" si="5"/>
        <v>29819.32792</v>
      </c>
      <c r="L127" s="185">
        <f t="shared" si="6"/>
        <v>92319.327919999996</v>
      </c>
      <c r="M127" s="36">
        <f t="shared" si="4"/>
        <v>7693.2773266666663</v>
      </c>
    </row>
    <row r="128" spans="1:13" x14ac:dyDescent="0.3">
      <c r="A128" s="186">
        <v>63000</v>
      </c>
      <c r="B128" s="33">
        <f t="shared" si="8"/>
        <v>5250</v>
      </c>
      <c r="C128" s="185">
        <f>'Child care subsidy'!S131*12</f>
        <v>20850</v>
      </c>
      <c r="D128" s="185">
        <f>MAX('TANF-VIEW'!L135,'TANF-VIEW'!T135)*12</f>
        <v>0</v>
      </c>
      <c r="E128" s="193">
        <f>SNAP!V132*12</f>
        <v>0</v>
      </c>
      <c r="F128" s="184">
        <f>WIC!F134*12</f>
        <v>441.12</v>
      </c>
      <c r="G128" s="185">
        <f>'Housing Voucher'!Q132*12</f>
        <v>0</v>
      </c>
      <c r="H128" s="197">
        <f>EITC!E131</f>
        <v>732.84791999999948</v>
      </c>
      <c r="I128" s="205">
        <f>Medicaid!N135*12</f>
        <v>7644</v>
      </c>
      <c r="K128" s="185">
        <f t="shared" si="5"/>
        <v>29667.967919999999</v>
      </c>
      <c r="L128" s="185">
        <f t="shared" si="6"/>
        <v>92667.967919999996</v>
      </c>
      <c r="M128" s="36">
        <f t="shared" si="4"/>
        <v>7722.3306599999996</v>
      </c>
    </row>
    <row r="129" spans="1:16" x14ac:dyDescent="0.3">
      <c r="A129" s="186">
        <v>63500</v>
      </c>
      <c r="B129" s="33">
        <f t="shared" si="8"/>
        <v>5291.666666666667</v>
      </c>
      <c r="C129" s="185">
        <f>'Child care subsidy'!S132*12</f>
        <v>20825</v>
      </c>
      <c r="D129" s="185">
        <f>MAX('TANF-VIEW'!L136,'TANF-VIEW'!T136)*12</f>
        <v>0</v>
      </c>
      <c r="E129" s="193">
        <f>SNAP!V133*12</f>
        <v>0</v>
      </c>
      <c r="F129" s="184">
        <f>WIC!F135*12</f>
        <v>441.12</v>
      </c>
      <c r="G129" s="185">
        <f>'Housing Voucher'!Q133*12</f>
        <v>0</v>
      </c>
      <c r="H129" s="197">
        <f>EITC!E132</f>
        <v>606.48791999999924</v>
      </c>
      <c r="I129" s="205">
        <f>Medicaid!N136*12</f>
        <v>7644</v>
      </c>
      <c r="K129" s="185">
        <f t="shared" si="5"/>
        <v>29516.607919999999</v>
      </c>
      <c r="L129" s="185">
        <f t="shared" si="6"/>
        <v>93016.607919999995</v>
      </c>
      <c r="M129" s="36">
        <f t="shared" si="4"/>
        <v>7751.3839933333329</v>
      </c>
    </row>
    <row r="130" spans="1:16" x14ac:dyDescent="0.3">
      <c r="A130" s="186">
        <v>64000</v>
      </c>
      <c r="B130" s="33">
        <f t="shared" si="8"/>
        <v>5333.333333333333</v>
      </c>
      <c r="C130" s="185">
        <f>'Child care subsidy'!S133*12</f>
        <v>20800</v>
      </c>
      <c r="D130" s="185">
        <f>MAX('TANF-VIEW'!L137,'TANF-VIEW'!T137)*12</f>
        <v>0</v>
      </c>
      <c r="E130" s="193">
        <f>SNAP!V134*12</f>
        <v>0</v>
      </c>
      <c r="F130" s="184">
        <f>WIC!F136*12</f>
        <v>441.12</v>
      </c>
      <c r="G130" s="185">
        <f>'Housing Voucher'!Q134*12</f>
        <v>0</v>
      </c>
      <c r="H130" s="197">
        <f>EITC!E133</f>
        <v>480.12792000000007</v>
      </c>
      <c r="I130" s="205">
        <f>Medicaid!N137*12</f>
        <v>7644</v>
      </c>
      <c r="K130" s="185">
        <f t="shared" si="5"/>
        <v>29365.247919999998</v>
      </c>
      <c r="L130" s="185">
        <f t="shared" si="6"/>
        <v>93365.247919999994</v>
      </c>
      <c r="M130" s="36">
        <f t="shared" si="4"/>
        <v>7780.4373266666662</v>
      </c>
    </row>
    <row r="131" spans="1:16" x14ac:dyDescent="0.3">
      <c r="A131" s="186">
        <v>64500</v>
      </c>
      <c r="B131" s="33">
        <f t="shared" si="8"/>
        <v>5375</v>
      </c>
      <c r="C131" s="185">
        <f>'Child care subsidy'!S134*12</f>
        <v>20775</v>
      </c>
      <c r="D131" s="185">
        <f>MAX('TANF-VIEW'!L138,'TANF-VIEW'!T138)*12</f>
        <v>0</v>
      </c>
      <c r="E131" s="193">
        <f>SNAP!V135*12</f>
        <v>0</v>
      </c>
      <c r="F131" s="184">
        <f>WIC!F137*12</f>
        <v>441.12</v>
      </c>
      <c r="G131" s="185">
        <f>'Housing Voucher'!Q135*12</f>
        <v>0</v>
      </c>
      <c r="H131" s="197">
        <f>EITC!E134</f>
        <v>0</v>
      </c>
      <c r="I131" s="205">
        <f>Medicaid!N138*12</f>
        <v>7644</v>
      </c>
      <c r="K131" s="185">
        <f t="shared" si="5"/>
        <v>28860.12</v>
      </c>
      <c r="L131" s="185">
        <f t="shared" si="6"/>
        <v>93360.12</v>
      </c>
      <c r="M131" s="36">
        <f t="shared" ref="M131:M194" si="9">L131/12</f>
        <v>7780.0099999999993</v>
      </c>
    </row>
    <row r="132" spans="1:16" x14ac:dyDescent="0.3">
      <c r="A132" s="186">
        <v>65000</v>
      </c>
      <c r="B132" s="33">
        <f t="shared" si="8"/>
        <v>5416.666666666667</v>
      </c>
      <c r="C132" s="185">
        <f>'Child care subsidy'!S135*12</f>
        <v>20750</v>
      </c>
      <c r="D132" s="185">
        <f>MAX('TANF-VIEW'!L139,'TANF-VIEW'!T139)*12</f>
        <v>0</v>
      </c>
      <c r="E132" s="193">
        <f>SNAP!V136*12</f>
        <v>0</v>
      </c>
      <c r="F132" s="184">
        <f>WIC!F138*12</f>
        <v>441.12</v>
      </c>
      <c r="G132" s="185">
        <f>'Housing Voucher'!Q136*12</f>
        <v>0</v>
      </c>
      <c r="H132" s="197">
        <f>EITC!E135</f>
        <v>0</v>
      </c>
      <c r="I132" s="205">
        <f>Medicaid!N139*12</f>
        <v>7644</v>
      </c>
      <c r="K132" s="185">
        <f t="shared" ref="K132:K195" si="10">SUM(C132:I132)</f>
        <v>28835.119999999999</v>
      </c>
      <c r="L132" s="185">
        <f t="shared" ref="L132:L195" si="11">A132+K132</f>
        <v>93835.12</v>
      </c>
      <c r="M132" s="36">
        <f t="shared" si="9"/>
        <v>7819.5933333333332</v>
      </c>
    </row>
    <row r="133" spans="1:16" x14ac:dyDescent="0.3">
      <c r="A133" s="186">
        <v>65500</v>
      </c>
      <c r="B133" s="33">
        <f t="shared" si="8"/>
        <v>5458.333333333333</v>
      </c>
      <c r="C133" s="185">
        <f>'Child care subsidy'!S136*12</f>
        <v>20725</v>
      </c>
      <c r="D133" s="185">
        <f>MAX('TANF-VIEW'!L140,'TANF-VIEW'!T140)*12</f>
        <v>0</v>
      </c>
      <c r="E133" s="193">
        <f>SNAP!V137*12</f>
        <v>0</v>
      </c>
      <c r="F133" s="184">
        <f>WIC!F139*12</f>
        <v>441.12</v>
      </c>
      <c r="G133" s="185">
        <f>'Housing Voucher'!Q137*12</f>
        <v>0</v>
      </c>
      <c r="H133" s="197">
        <f>EITC!E136</f>
        <v>0</v>
      </c>
      <c r="I133" s="205">
        <f>Medicaid!N140*12</f>
        <v>7644</v>
      </c>
      <c r="K133" s="185">
        <f t="shared" si="10"/>
        <v>28810.12</v>
      </c>
      <c r="L133" s="185">
        <f t="shared" si="11"/>
        <v>94310.12</v>
      </c>
      <c r="M133" s="36">
        <f t="shared" si="9"/>
        <v>7859.1766666666663</v>
      </c>
      <c r="P133" s="34">
        <f>C135/12</f>
        <v>1722.9166666666667</v>
      </c>
    </row>
    <row r="134" spans="1:16" x14ac:dyDescent="0.3">
      <c r="A134" s="186">
        <v>66000</v>
      </c>
      <c r="B134" s="33">
        <f t="shared" si="8"/>
        <v>5500</v>
      </c>
      <c r="C134" s="185">
        <f>'Child care subsidy'!S137*12</f>
        <v>20700</v>
      </c>
      <c r="D134" s="185">
        <f>MAX('TANF-VIEW'!L141,'TANF-VIEW'!T141)*12</f>
        <v>0</v>
      </c>
      <c r="E134" s="193">
        <f>SNAP!V138*12</f>
        <v>0</v>
      </c>
      <c r="F134" s="184">
        <f>WIC!F140*12</f>
        <v>441.12</v>
      </c>
      <c r="G134" s="185">
        <f>'Housing Voucher'!Q138*12</f>
        <v>0</v>
      </c>
      <c r="H134" s="197">
        <f>EITC!E137</f>
        <v>0</v>
      </c>
      <c r="I134" s="205">
        <f>Medicaid!N141*12</f>
        <v>7644</v>
      </c>
      <c r="K134" s="185">
        <f t="shared" si="10"/>
        <v>28785.119999999999</v>
      </c>
      <c r="L134" s="185">
        <f t="shared" si="11"/>
        <v>94785.12</v>
      </c>
      <c r="M134" s="36">
        <f t="shared" si="9"/>
        <v>7898.7599999999993</v>
      </c>
    </row>
    <row r="135" spans="1:16" x14ac:dyDescent="0.3">
      <c r="A135" s="186">
        <v>66500</v>
      </c>
      <c r="B135" s="33">
        <f t="shared" si="8"/>
        <v>5541.666666666667</v>
      </c>
      <c r="C135" s="185">
        <f>'Child care subsidy'!S138*12</f>
        <v>20675</v>
      </c>
      <c r="D135" s="185">
        <f>MAX('TANF-VIEW'!L142,'TANF-VIEW'!T142)*12</f>
        <v>0</v>
      </c>
      <c r="E135" s="193">
        <f>SNAP!V139*12</f>
        <v>0</v>
      </c>
      <c r="F135" s="184">
        <f>WIC!F141*12</f>
        <v>441.12</v>
      </c>
      <c r="G135" s="185">
        <f>'Housing Voucher'!Q139*12</f>
        <v>0</v>
      </c>
      <c r="H135" s="197">
        <f>EITC!E138</f>
        <v>0</v>
      </c>
      <c r="I135" s="205">
        <f>Medicaid!N142*12</f>
        <v>7644</v>
      </c>
      <c r="K135" s="185">
        <f t="shared" si="10"/>
        <v>28760.12</v>
      </c>
      <c r="L135" s="185">
        <f t="shared" si="11"/>
        <v>95260.12</v>
      </c>
      <c r="M135" s="36">
        <f t="shared" si="9"/>
        <v>7938.3433333333332</v>
      </c>
    </row>
    <row r="136" spans="1:16" x14ac:dyDescent="0.3">
      <c r="A136" s="186">
        <v>67000</v>
      </c>
      <c r="B136" s="33">
        <f t="shared" si="8"/>
        <v>5583.333333333333</v>
      </c>
      <c r="C136" s="185">
        <f>'Child care subsidy'!S139*12</f>
        <v>20650</v>
      </c>
      <c r="D136" s="185">
        <f>MAX('TANF-VIEW'!L143,'TANF-VIEW'!T143)*12</f>
        <v>0</v>
      </c>
      <c r="E136" s="193">
        <f>SNAP!V140*12</f>
        <v>0</v>
      </c>
      <c r="F136" s="184">
        <f>WIC!F142*12</f>
        <v>0</v>
      </c>
      <c r="G136" s="185">
        <f>'Housing Voucher'!Q140*12</f>
        <v>0</v>
      </c>
      <c r="H136" s="197">
        <f>EITC!E139</f>
        <v>0</v>
      </c>
      <c r="I136" s="205">
        <f>Medicaid!N143*12</f>
        <v>7644</v>
      </c>
      <c r="K136" s="185">
        <f t="shared" si="10"/>
        <v>28294</v>
      </c>
      <c r="L136" s="185">
        <f t="shared" si="11"/>
        <v>95294</v>
      </c>
      <c r="M136" s="36">
        <f t="shared" si="9"/>
        <v>7941.166666666667</v>
      </c>
    </row>
    <row r="137" spans="1:16" x14ac:dyDescent="0.3">
      <c r="A137" s="186">
        <v>67500</v>
      </c>
      <c r="B137" s="33">
        <f t="shared" si="8"/>
        <v>5625</v>
      </c>
      <c r="C137" s="185">
        <f>'Child care subsidy'!S140*12</f>
        <v>20625</v>
      </c>
      <c r="D137" s="185">
        <f>MAX('TANF-VIEW'!L144,'TANF-VIEW'!T144)*12</f>
        <v>0</v>
      </c>
      <c r="E137" s="193">
        <f>SNAP!V141*12</f>
        <v>0</v>
      </c>
      <c r="F137" s="184">
        <f>WIC!F143*12</f>
        <v>0</v>
      </c>
      <c r="G137" s="185">
        <f>'Housing Voucher'!Q141*12</f>
        <v>0</v>
      </c>
      <c r="H137" s="197">
        <f>EITC!E140</f>
        <v>0</v>
      </c>
      <c r="I137" s="205">
        <f>Medicaid!N144*12</f>
        <v>7644</v>
      </c>
      <c r="K137" s="185">
        <f t="shared" si="10"/>
        <v>28269</v>
      </c>
      <c r="L137" s="185">
        <f t="shared" si="11"/>
        <v>95769</v>
      </c>
      <c r="M137" s="36">
        <f t="shared" si="9"/>
        <v>7980.75</v>
      </c>
    </row>
    <row r="138" spans="1:16" x14ac:dyDescent="0.3">
      <c r="A138" s="186">
        <v>68000</v>
      </c>
      <c r="B138" s="33">
        <f t="shared" si="8"/>
        <v>5666.666666666667</v>
      </c>
      <c r="C138" s="185">
        <f>'Child care subsidy'!S141*12</f>
        <v>20600</v>
      </c>
      <c r="D138" s="185">
        <f>MAX('TANF-VIEW'!L145,'TANF-VIEW'!T145)*12</f>
        <v>0</v>
      </c>
      <c r="E138" s="193">
        <f>SNAP!V142*12</f>
        <v>0</v>
      </c>
      <c r="F138" s="184">
        <f>WIC!F144*12</f>
        <v>0</v>
      </c>
      <c r="G138" s="185">
        <f>'Housing Voucher'!Q142*12</f>
        <v>0</v>
      </c>
      <c r="H138" s="197">
        <f>EITC!E141</f>
        <v>0</v>
      </c>
      <c r="I138" s="205">
        <f>Medicaid!N145*12</f>
        <v>7644</v>
      </c>
      <c r="K138" s="185">
        <f t="shared" si="10"/>
        <v>28244</v>
      </c>
      <c r="L138" s="185">
        <f t="shared" si="11"/>
        <v>96244</v>
      </c>
      <c r="M138" s="36">
        <f t="shared" si="9"/>
        <v>8020.333333333333</v>
      </c>
    </row>
    <row r="139" spans="1:16" x14ac:dyDescent="0.3">
      <c r="A139" s="186">
        <v>68500</v>
      </c>
      <c r="B139" s="33">
        <f t="shared" si="8"/>
        <v>5708.333333333333</v>
      </c>
      <c r="C139" s="185">
        <f>'Child care subsidy'!S142*12</f>
        <v>20575</v>
      </c>
      <c r="D139" s="185">
        <f>MAX('TANF-VIEW'!L146,'TANF-VIEW'!T146)*12</f>
        <v>0</v>
      </c>
      <c r="E139" s="193">
        <f>SNAP!V143*12</f>
        <v>0</v>
      </c>
      <c r="F139" s="184">
        <f>WIC!F145*12</f>
        <v>0</v>
      </c>
      <c r="G139" s="185">
        <f>'Housing Voucher'!Q143*12</f>
        <v>0</v>
      </c>
      <c r="H139" s="197">
        <f>EITC!E142</f>
        <v>0</v>
      </c>
      <c r="I139" s="205">
        <f>Medicaid!N146*12</f>
        <v>7644</v>
      </c>
      <c r="K139" s="185">
        <f t="shared" si="10"/>
        <v>28219</v>
      </c>
      <c r="L139" s="185">
        <f t="shared" si="11"/>
        <v>96719</v>
      </c>
      <c r="M139" s="36">
        <f t="shared" si="9"/>
        <v>8059.916666666667</v>
      </c>
    </row>
    <row r="140" spans="1:16" x14ac:dyDescent="0.3">
      <c r="A140" s="186">
        <v>69000</v>
      </c>
      <c r="B140" s="33">
        <f t="shared" si="8"/>
        <v>5750</v>
      </c>
      <c r="C140" s="185">
        <f>'Child care subsidy'!S143*12</f>
        <v>20550</v>
      </c>
      <c r="D140" s="185">
        <f>MAX('TANF-VIEW'!L147,'TANF-VIEW'!T147)*12</f>
        <v>0</v>
      </c>
      <c r="E140" s="193">
        <f>SNAP!V144*12</f>
        <v>0</v>
      </c>
      <c r="F140" s="184">
        <f>WIC!F146*12</f>
        <v>0</v>
      </c>
      <c r="G140" s="185">
        <f>'Housing Voucher'!Q144*12</f>
        <v>0</v>
      </c>
      <c r="H140" s="197">
        <f>EITC!E143</f>
        <v>0</v>
      </c>
      <c r="I140" s="205">
        <f>Medicaid!N147*12</f>
        <v>7644</v>
      </c>
      <c r="K140" s="185">
        <f t="shared" si="10"/>
        <v>28194</v>
      </c>
      <c r="L140" s="185">
        <f t="shared" si="11"/>
        <v>97194</v>
      </c>
      <c r="M140" s="36">
        <f t="shared" si="9"/>
        <v>8099.5</v>
      </c>
    </row>
    <row r="141" spans="1:16" x14ac:dyDescent="0.3">
      <c r="A141" s="186">
        <v>69500</v>
      </c>
      <c r="B141" s="33">
        <f t="shared" si="8"/>
        <v>5791.666666666667</v>
      </c>
      <c r="C141" s="185">
        <f>'Child care subsidy'!S144*12</f>
        <v>20525</v>
      </c>
      <c r="D141" s="185">
        <f>MAX('TANF-VIEW'!L148,'TANF-VIEW'!T148)*12</f>
        <v>0</v>
      </c>
      <c r="E141" s="193">
        <f>SNAP!V145*12</f>
        <v>0</v>
      </c>
      <c r="F141" s="184">
        <f>WIC!F147*12</f>
        <v>0</v>
      </c>
      <c r="G141" s="185">
        <f>'Housing Voucher'!Q145*12</f>
        <v>0</v>
      </c>
      <c r="H141" s="197">
        <f>EITC!E144</f>
        <v>0</v>
      </c>
      <c r="I141" s="205">
        <f>Medicaid!N148*12</f>
        <v>7644</v>
      </c>
      <c r="K141" s="185">
        <f t="shared" si="10"/>
        <v>28169</v>
      </c>
      <c r="L141" s="185">
        <f t="shared" si="11"/>
        <v>97669</v>
      </c>
      <c r="M141" s="36">
        <f t="shared" si="9"/>
        <v>8139.083333333333</v>
      </c>
    </row>
    <row r="142" spans="1:16" x14ac:dyDescent="0.3">
      <c r="A142" s="186">
        <v>70000</v>
      </c>
      <c r="B142" s="33">
        <f t="shared" si="8"/>
        <v>5833.333333333333</v>
      </c>
      <c r="C142" s="185">
        <f>'Child care subsidy'!S145*12</f>
        <v>20500</v>
      </c>
      <c r="D142" s="185">
        <f>MAX('TANF-VIEW'!L149,'TANF-VIEW'!T149)*12</f>
        <v>0</v>
      </c>
      <c r="E142" s="193">
        <f>SNAP!V146*12</f>
        <v>0</v>
      </c>
      <c r="F142" s="184">
        <f>WIC!F148*12</f>
        <v>0</v>
      </c>
      <c r="G142" s="185">
        <f>'Housing Voucher'!Q146*12</f>
        <v>0</v>
      </c>
      <c r="H142" s="197">
        <f>EITC!E145</f>
        <v>0</v>
      </c>
      <c r="I142" s="205">
        <f>Medicaid!N149*12</f>
        <v>7644</v>
      </c>
      <c r="K142" s="185">
        <f t="shared" si="10"/>
        <v>28144</v>
      </c>
      <c r="L142" s="185">
        <f t="shared" si="11"/>
        <v>98144</v>
      </c>
      <c r="M142" s="36">
        <f t="shared" si="9"/>
        <v>8178.666666666667</v>
      </c>
    </row>
    <row r="143" spans="1:16" x14ac:dyDescent="0.3">
      <c r="A143" s="186">
        <v>70500</v>
      </c>
      <c r="B143" s="33">
        <f t="shared" si="8"/>
        <v>5875</v>
      </c>
      <c r="C143" s="185">
        <f>'Child care subsidy'!S146*12</f>
        <v>20475</v>
      </c>
      <c r="D143" s="185">
        <f>MAX('TANF-VIEW'!L150,'TANF-VIEW'!T150)*12</f>
        <v>0</v>
      </c>
      <c r="E143" s="193">
        <f>SNAP!V147*12</f>
        <v>0</v>
      </c>
      <c r="F143" s="184">
        <f>WIC!F149*12</f>
        <v>0</v>
      </c>
      <c r="G143" s="185">
        <f>'Housing Voucher'!Q147*12</f>
        <v>0</v>
      </c>
      <c r="H143" s="197">
        <f>EITC!E146</f>
        <v>0</v>
      </c>
      <c r="I143" s="205">
        <f>Medicaid!N150*12</f>
        <v>7644</v>
      </c>
      <c r="K143" s="185">
        <f t="shared" si="10"/>
        <v>28119</v>
      </c>
      <c r="L143" s="185">
        <f t="shared" si="11"/>
        <v>98619</v>
      </c>
      <c r="M143" s="36">
        <f t="shared" si="9"/>
        <v>8218.25</v>
      </c>
    </row>
    <row r="144" spans="1:16" x14ac:dyDescent="0.3">
      <c r="A144" s="186">
        <v>71000</v>
      </c>
      <c r="B144" s="33">
        <f t="shared" si="8"/>
        <v>5916.666666666667</v>
      </c>
      <c r="C144" s="185">
        <f>'Child care subsidy'!S147*12</f>
        <v>20450</v>
      </c>
      <c r="D144" s="185">
        <f>MAX('TANF-VIEW'!L151,'TANF-VIEW'!T151)*12</f>
        <v>0</v>
      </c>
      <c r="E144" s="193">
        <f>SNAP!V148*12</f>
        <v>0</v>
      </c>
      <c r="F144" s="184">
        <f>WIC!F150*12</f>
        <v>0</v>
      </c>
      <c r="G144" s="185">
        <f>'Housing Voucher'!Q148*12</f>
        <v>0</v>
      </c>
      <c r="H144" s="197">
        <f>EITC!E147</f>
        <v>0</v>
      </c>
      <c r="I144" s="205">
        <f>Medicaid!N151*12</f>
        <v>7644</v>
      </c>
      <c r="K144" s="185">
        <f t="shared" si="10"/>
        <v>28094</v>
      </c>
      <c r="L144" s="185">
        <f t="shared" si="11"/>
        <v>99094</v>
      </c>
      <c r="M144" s="36">
        <f t="shared" si="9"/>
        <v>8257.8333333333339</v>
      </c>
    </row>
    <row r="145" spans="1:13" x14ac:dyDescent="0.3">
      <c r="A145" s="186">
        <v>71500</v>
      </c>
      <c r="B145" s="33">
        <f t="shared" si="8"/>
        <v>5958.333333333333</v>
      </c>
      <c r="C145" s="185">
        <f>'Child care subsidy'!S148*12</f>
        <v>20425</v>
      </c>
      <c r="D145" s="185">
        <f>MAX('TANF-VIEW'!L152,'TANF-VIEW'!T152)*12</f>
        <v>0</v>
      </c>
      <c r="E145" s="193">
        <f>SNAP!V149*12</f>
        <v>0</v>
      </c>
      <c r="F145" s="184">
        <f>WIC!F151*12</f>
        <v>0</v>
      </c>
      <c r="G145" s="185">
        <f>'Housing Voucher'!Q149*12</f>
        <v>0</v>
      </c>
      <c r="H145" s="197">
        <f>EITC!E148</f>
        <v>0</v>
      </c>
      <c r="I145" s="205">
        <f>Medicaid!N152*12</f>
        <v>7644</v>
      </c>
      <c r="K145" s="185">
        <f t="shared" si="10"/>
        <v>28069</v>
      </c>
      <c r="L145" s="185">
        <f t="shared" si="11"/>
        <v>99569</v>
      </c>
      <c r="M145" s="36">
        <f t="shared" si="9"/>
        <v>8297.4166666666661</v>
      </c>
    </row>
    <row r="146" spans="1:13" x14ac:dyDescent="0.3">
      <c r="A146" s="186">
        <v>72000</v>
      </c>
      <c r="B146" s="33">
        <f t="shared" si="8"/>
        <v>6000</v>
      </c>
      <c r="C146" s="185">
        <f>'Child care subsidy'!S149*12</f>
        <v>20400</v>
      </c>
      <c r="D146" s="185">
        <f>MAX('TANF-VIEW'!L153,'TANF-VIEW'!T153)*12</f>
        <v>0</v>
      </c>
      <c r="E146" s="193">
        <f>SNAP!V150*12</f>
        <v>0</v>
      </c>
      <c r="F146" s="184">
        <f>WIC!F152*12</f>
        <v>0</v>
      </c>
      <c r="G146" s="185">
        <f>'Housing Voucher'!Q150*12</f>
        <v>0</v>
      </c>
      <c r="H146" s="197">
        <f>EITC!E149</f>
        <v>0</v>
      </c>
      <c r="I146" s="205">
        <f>Medicaid!N153*12</f>
        <v>7644</v>
      </c>
      <c r="K146" s="185">
        <f t="shared" si="10"/>
        <v>28044</v>
      </c>
      <c r="L146" s="185">
        <f t="shared" si="11"/>
        <v>100044</v>
      </c>
      <c r="M146" s="36">
        <f t="shared" si="9"/>
        <v>8337</v>
      </c>
    </row>
    <row r="147" spans="1:13" x14ac:dyDescent="0.3">
      <c r="A147" s="186">
        <v>72500</v>
      </c>
      <c r="B147" s="33">
        <f t="shared" si="8"/>
        <v>6041.666666666667</v>
      </c>
      <c r="C147" s="185">
        <f>'Child care subsidy'!S150*12</f>
        <v>20375</v>
      </c>
      <c r="D147" s="185">
        <f>MAX('TANF-VIEW'!L154,'TANF-VIEW'!T154)*12</f>
        <v>0</v>
      </c>
      <c r="E147" s="193">
        <f>SNAP!V151*12</f>
        <v>0</v>
      </c>
      <c r="F147" s="184">
        <f>WIC!F153*12</f>
        <v>0</v>
      </c>
      <c r="G147" s="185">
        <f>'Housing Voucher'!Q151*12</f>
        <v>0</v>
      </c>
      <c r="H147" s="197">
        <f>EITC!E150</f>
        <v>0</v>
      </c>
      <c r="I147" s="205">
        <f>Medicaid!N154*12</f>
        <v>7644</v>
      </c>
      <c r="K147" s="185">
        <f t="shared" si="10"/>
        <v>28019</v>
      </c>
      <c r="L147" s="185">
        <f t="shared" si="11"/>
        <v>100519</v>
      </c>
      <c r="M147" s="36">
        <f t="shared" si="9"/>
        <v>8376.5833333333339</v>
      </c>
    </row>
    <row r="148" spans="1:13" x14ac:dyDescent="0.3">
      <c r="A148" s="186">
        <v>73000</v>
      </c>
      <c r="B148" s="33">
        <f t="shared" si="8"/>
        <v>6083.333333333333</v>
      </c>
      <c r="C148" s="185">
        <f>'Child care subsidy'!S151*12</f>
        <v>20350</v>
      </c>
      <c r="D148" s="185">
        <f>MAX('TANF-VIEW'!L155,'TANF-VIEW'!T155)*12</f>
        <v>0</v>
      </c>
      <c r="E148" s="193">
        <f>SNAP!V152*12</f>
        <v>0</v>
      </c>
      <c r="F148" s="184">
        <f>WIC!F154*12</f>
        <v>0</v>
      </c>
      <c r="G148" s="185">
        <f>'Housing Voucher'!Q152*12</f>
        <v>0</v>
      </c>
      <c r="H148" s="197">
        <f>EITC!E151</f>
        <v>0</v>
      </c>
      <c r="I148" s="205">
        <f>Medicaid!N155*12</f>
        <v>7644</v>
      </c>
      <c r="K148" s="185">
        <f t="shared" si="10"/>
        <v>27994</v>
      </c>
      <c r="L148" s="185">
        <f t="shared" si="11"/>
        <v>100994</v>
      </c>
      <c r="M148" s="36">
        <f t="shared" si="9"/>
        <v>8416.1666666666661</v>
      </c>
    </row>
    <row r="149" spans="1:13" x14ac:dyDescent="0.3">
      <c r="A149" s="186">
        <v>73500</v>
      </c>
      <c r="B149" s="33">
        <f t="shared" si="8"/>
        <v>6125</v>
      </c>
      <c r="C149" s="185">
        <f>'Child care subsidy'!S152*12</f>
        <v>20325</v>
      </c>
      <c r="D149" s="185">
        <f>MAX('TANF-VIEW'!L156,'TANF-VIEW'!T156)*12</f>
        <v>0</v>
      </c>
      <c r="E149" s="193">
        <f>SNAP!V153*12</f>
        <v>0</v>
      </c>
      <c r="F149" s="184">
        <f>WIC!F155*12</f>
        <v>0</v>
      </c>
      <c r="G149" s="185">
        <f>'Housing Voucher'!Q153*12</f>
        <v>0</v>
      </c>
      <c r="H149" s="197">
        <f>EITC!E152</f>
        <v>0</v>
      </c>
      <c r="I149" s="205">
        <f>Medicaid!N156*12</f>
        <v>7644</v>
      </c>
      <c r="K149" s="185">
        <f t="shared" si="10"/>
        <v>27969</v>
      </c>
      <c r="L149" s="185">
        <f t="shared" si="11"/>
        <v>101469</v>
      </c>
      <c r="M149" s="36">
        <f t="shared" si="9"/>
        <v>8455.75</v>
      </c>
    </row>
    <row r="150" spans="1:13" x14ac:dyDescent="0.3">
      <c r="A150" s="186">
        <v>74000</v>
      </c>
      <c r="B150" s="33">
        <f t="shared" si="8"/>
        <v>6166.666666666667</v>
      </c>
      <c r="C150" s="185">
        <f>'Child care subsidy'!S153*12</f>
        <v>20300</v>
      </c>
      <c r="D150" s="185">
        <f>MAX('TANF-VIEW'!L157,'TANF-VIEW'!T157)*12</f>
        <v>0</v>
      </c>
      <c r="E150" s="193">
        <f>SNAP!V154*12</f>
        <v>0</v>
      </c>
      <c r="F150" s="184">
        <f>WIC!F156*12</f>
        <v>0</v>
      </c>
      <c r="G150" s="185">
        <f>'Housing Voucher'!Q154*12</f>
        <v>0</v>
      </c>
      <c r="H150" s="197">
        <f>EITC!E153</f>
        <v>0</v>
      </c>
      <c r="I150" s="205">
        <f>Medicaid!N157*12</f>
        <v>7644</v>
      </c>
      <c r="K150" s="185">
        <f t="shared" si="10"/>
        <v>27944</v>
      </c>
      <c r="L150" s="185">
        <f t="shared" si="11"/>
        <v>101944</v>
      </c>
      <c r="M150" s="36">
        <f t="shared" si="9"/>
        <v>8495.3333333333339</v>
      </c>
    </row>
    <row r="151" spans="1:13" x14ac:dyDescent="0.3">
      <c r="A151" s="186">
        <v>74500</v>
      </c>
      <c r="B151" s="33">
        <f t="shared" si="8"/>
        <v>6208.333333333333</v>
      </c>
      <c r="C151" s="185">
        <f>'Child care subsidy'!S154*12</f>
        <v>20275</v>
      </c>
      <c r="D151" s="185">
        <f>MAX('TANF-VIEW'!L158,'TANF-VIEW'!T158)*12</f>
        <v>0</v>
      </c>
      <c r="E151" s="193">
        <f>SNAP!V155*12</f>
        <v>0</v>
      </c>
      <c r="F151" s="184">
        <f>WIC!F157*12</f>
        <v>0</v>
      </c>
      <c r="G151" s="185">
        <f>'Housing Voucher'!Q155*12</f>
        <v>0</v>
      </c>
      <c r="H151" s="197">
        <f>EITC!E154</f>
        <v>0</v>
      </c>
      <c r="I151" s="205">
        <f>Medicaid!N158*12</f>
        <v>7644</v>
      </c>
      <c r="K151" s="185">
        <f t="shared" si="10"/>
        <v>27919</v>
      </c>
      <c r="L151" s="185">
        <f t="shared" si="11"/>
        <v>102419</v>
      </c>
      <c r="M151" s="36">
        <f t="shared" si="9"/>
        <v>8534.9166666666661</v>
      </c>
    </row>
    <row r="152" spans="1:13" x14ac:dyDescent="0.3">
      <c r="A152" s="186">
        <v>75000</v>
      </c>
      <c r="B152" s="33">
        <f t="shared" si="8"/>
        <v>6250</v>
      </c>
      <c r="C152" s="185">
        <f>'Child care subsidy'!S155*12</f>
        <v>20250</v>
      </c>
      <c r="D152" s="185">
        <f>MAX('TANF-VIEW'!L159,'TANF-VIEW'!T159)*12</f>
        <v>0</v>
      </c>
      <c r="E152" s="193">
        <f>SNAP!V156*12</f>
        <v>0</v>
      </c>
      <c r="F152" s="184">
        <f>WIC!F158*12</f>
        <v>0</v>
      </c>
      <c r="G152" s="185">
        <f>'Housing Voucher'!Q156*12</f>
        <v>0</v>
      </c>
      <c r="H152" s="197">
        <f>EITC!E155</f>
        <v>0</v>
      </c>
      <c r="I152" s="205">
        <f>Medicaid!N159*12</f>
        <v>7644</v>
      </c>
      <c r="K152" s="185">
        <f t="shared" si="10"/>
        <v>27894</v>
      </c>
      <c r="L152" s="185">
        <f t="shared" si="11"/>
        <v>102894</v>
      </c>
      <c r="M152" s="36">
        <f t="shared" si="9"/>
        <v>8574.5</v>
      </c>
    </row>
    <row r="153" spans="1:13" x14ac:dyDescent="0.3">
      <c r="A153" s="186">
        <v>75500</v>
      </c>
      <c r="B153" s="33">
        <f t="shared" si="8"/>
        <v>6291.666666666667</v>
      </c>
      <c r="C153" s="185">
        <f>'Child care subsidy'!S156*12</f>
        <v>20225</v>
      </c>
      <c r="D153" s="185">
        <f>MAX('TANF-VIEW'!L160,'TANF-VIEW'!T160)*12</f>
        <v>0</v>
      </c>
      <c r="E153" s="193">
        <f>SNAP!V157*12</f>
        <v>0</v>
      </c>
      <c r="F153" s="184">
        <f>WIC!F159*12</f>
        <v>0</v>
      </c>
      <c r="G153" s="185">
        <f>'Housing Voucher'!Q157*12</f>
        <v>0</v>
      </c>
      <c r="H153" s="197">
        <f>EITC!E156</f>
        <v>0</v>
      </c>
      <c r="I153" s="205">
        <f>Medicaid!N160*12</f>
        <v>7644</v>
      </c>
      <c r="K153" s="185">
        <f t="shared" si="10"/>
        <v>27869</v>
      </c>
      <c r="L153" s="185">
        <f t="shared" si="11"/>
        <v>103369</v>
      </c>
      <c r="M153" s="36">
        <f t="shared" si="9"/>
        <v>8614.0833333333339</v>
      </c>
    </row>
    <row r="154" spans="1:13" x14ac:dyDescent="0.3">
      <c r="A154" s="186">
        <v>76000</v>
      </c>
      <c r="B154" s="33">
        <f t="shared" si="8"/>
        <v>6333.333333333333</v>
      </c>
      <c r="C154" s="185">
        <f>'Child care subsidy'!S157*12</f>
        <v>20200</v>
      </c>
      <c r="D154" s="185">
        <f>MAX('TANF-VIEW'!L161,'TANF-VIEW'!T161)*12</f>
        <v>0</v>
      </c>
      <c r="E154" s="193">
        <f>SNAP!V158*12</f>
        <v>0</v>
      </c>
      <c r="F154" s="184">
        <f>WIC!F160*12</f>
        <v>0</v>
      </c>
      <c r="G154" s="185">
        <f>'Housing Voucher'!Q158*12</f>
        <v>0</v>
      </c>
      <c r="H154" s="197">
        <f>EITC!E157</f>
        <v>0</v>
      </c>
      <c r="I154" s="205">
        <f>Medicaid!N161*12</f>
        <v>7644</v>
      </c>
      <c r="K154" s="185">
        <f t="shared" si="10"/>
        <v>27844</v>
      </c>
      <c r="L154" s="185">
        <f t="shared" si="11"/>
        <v>103844</v>
      </c>
      <c r="M154" s="36">
        <f t="shared" si="9"/>
        <v>8653.6666666666661</v>
      </c>
    </row>
    <row r="155" spans="1:13" x14ac:dyDescent="0.3">
      <c r="A155" s="186">
        <v>76500</v>
      </c>
      <c r="B155" s="33">
        <f t="shared" si="8"/>
        <v>6375</v>
      </c>
      <c r="C155" s="185">
        <f>'Child care subsidy'!S158*12</f>
        <v>20175</v>
      </c>
      <c r="D155" s="185">
        <f>MAX('TANF-VIEW'!L162,'TANF-VIEW'!T162)*12</f>
        <v>0</v>
      </c>
      <c r="E155" s="193">
        <f>SNAP!V159*12</f>
        <v>0</v>
      </c>
      <c r="F155" s="184">
        <f>WIC!F161*12</f>
        <v>0</v>
      </c>
      <c r="G155" s="185">
        <f>'Housing Voucher'!Q159*12</f>
        <v>0</v>
      </c>
      <c r="H155" s="197">
        <f>EITC!E158</f>
        <v>0</v>
      </c>
      <c r="I155" s="205">
        <f>Medicaid!N162*12</f>
        <v>7644</v>
      </c>
      <c r="K155" s="185">
        <f t="shared" si="10"/>
        <v>27819</v>
      </c>
      <c r="L155" s="185">
        <f t="shared" si="11"/>
        <v>104319</v>
      </c>
      <c r="M155" s="36">
        <f t="shared" si="9"/>
        <v>8693.25</v>
      </c>
    </row>
    <row r="156" spans="1:13" x14ac:dyDescent="0.3">
      <c r="A156" s="186">
        <v>77000</v>
      </c>
      <c r="B156" s="33">
        <f t="shared" si="8"/>
        <v>6416.666666666667</v>
      </c>
      <c r="C156" s="185">
        <f>'Child care subsidy'!S159*12</f>
        <v>20150</v>
      </c>
      <c r="D156" s="185">
        <f>MAX('TANF-VIEW'!L163,'TANF-VIEW'!T163)*12</f>
        <v>0</v>
      </c>
      <c r="E156" s="193">
        <f>SNAP!V160*12</f>
        <v>0</v>
      </c>
      <c r="F156" s="184">
        <f>WIC!F162*12</f>
        <v>0</v>
      </c>
      <c r="G156" s="185">
        <f>'Housing Voucher'!Q160*12</f>
        <v>0</v>
      </c>
      <c r="H156" s="197">
        <f>EITC!E159</f>
        <v>0</v>
      </c>
      <c r="I156" s="205">
        <f>Medicaid!N163*12</f>
        <v>7644</v>
      </c>
      <c r="K156" s="185">
        <f t="shared" si="10"/>
        <v>27794</v>
      </c>
      <c r="L156" s="185">
        <f t="shared" si="11"/>
        <v>104794</v>
      </c>
      <c r="M156" s="36">
        <f t="shared" si="9"/>
        <v>8732.8333333333339</v>
      </c>
    </row>
    <row r="157" spans="1:13" x14ac:dyDescent="0.3">
      <c r="A157" s="186">
        <v>77500</v>
      </c>
      <c r="B157" s="33">
        <f t="shared" si="8"/>
        <v>6458.333333333333</v>
      </c>
      <c r="C157" s="185">
        <f>'Child care subsidy'!S160*12</f>
        <v>20125</v>
      </c>
      <c r="D157" s="185">
        <f>MAX('TANF-VIEW'!L164,'TANF-VIEW'!T164)*12</f>
        <v>0</v>
      </c>
      <c r="E157" s="193">
        <f>SNAP!V161*12</f>
        <v>0</v>
      </c>
      <c r="F157" s="184">
        <f>WIC!F163*12</f>
        <v>0</v>
      </c>
      <c r="G157" s="185">
        <f>'Housing Voucher'!Q161*12</f>
        <v>0</v>
      </c>
      <c r="H157" s="197">
        <f>EITC!E160</f>
        <v>0</v>
      </c>
      <c r="I157" s="205">
        <f>Medicaid!N164*12</f>
        <v>0</v>
      </c>
      <c r="K157" s="185">
        <f t="shared" si="10"/>
        <v>20125</v>
      </c>
      <c r="L157" s="185">
        <f t="shared" si="11"/>
        <v>97625</v>
      </c>
      <c r="M157" s="36">
        <f t="shared" si="9"/>
        <v>8135.416666666667</v>
      </c>
    </row>
    <row r="158" spans="1:13" x14ac:dyDescent="0.3">
      <c r="A158" s="186">
        <v>78000</v>
      </c>
      <c r="B158" s="33">
        <f t="shared" si="8"/>
        <v>6500</v>
      </c>
      <c r="C158" s="185">
        <f>'Child care subsidy'!S161*12</f>
        <v>20100</v>
      </c>
      <c r="D158" s="185">
        <f>MAX('TANF-VIEW'!L165,'TANF-VIEW'!T165)*12</f>
        <v>0</v>
      </c>
      <c r="E158" s="193">
        <f>SNAP!V162*12</f>
        <v>0</v>
      </c>
      <c r="F158" s="184">
        <f>WIC!F164*12</f>
        <v>0</v>
      </c>
      <c r="G158" s="185">
        <f>'Housing Voucher'!Q162*12</f>
        <v>0</v>
      </c>
      <c r="H158" s="197">
        <f>EITC!E161</f>
        <v>0</v>
      </c>
      <c r="I158" s="205">
        <f>Medicaid!N165*12</f>
        <v>0</v>
      </c>
      <c r="K158" s="185">
        <f t="shared" si="10"/>
        <v>20100</v>
      </c>
      <c r="L158" s="185">
        <f t="shared" si="11"/>
        <v>98100</v>
      </c>
      <c r="M158" s="36">
        <f t="shared" si="9"/>
        <v>8175</v>
      </c>
    </row>
    <row r="159" spans="1:13" x14ac:dyDescent="0.3">
      <c r="A159" s="186">
        <v>78500</v>
      </c>
      <c r="B159" s="33">
        <f t="shared" si="8"/>
        <v>6541.666666666667</v>
      </c>
      <c r="C159" s="185">
        <f>'Child care subsidy'!S162*12</f>
        <v>20075</v>
      </c>
      <c r="D159" s="185">
        <f>MAX('TANF-VIEW'!L166,'TANF-VIEW'!T166)*12</f>
        <v>0</v>
      </c>
      <c r="E159" s="193">
        <f>SNAP!V163*12</f>
        <v>0</v>
      </c>
      <c r="F159" s="184">
        <f>WIC!F165*12</f>
        <v>0</v>
      </c>
      <c r="G159" s="185">
        <f>'Housing Voucher'!Q163*12</f>
        <v>0</v>
      </c>
      <c r="H159" s="197">
        <f>EITC!E162</f>
        <v>0</v>
      </c>
      <c r="I159" s="205">
        <f>Medicaid!N166*12</f>
        <v>0</v>
      </c>
      <c r="K159" s="185">
        <f t="shared" si="10"/>
        <v>20075</v>
      </c>
      <c r="L159" s="185">
        <f t="shared" si="11"/>
        <v>98575</v>
      </c>
      <c r="M159" s="36">
        <f t="shared" si="9"/>
        <v>8214.5833333333339</v>
      </c>
    </row>
    <row r="160" spans="1:13" x14ac:dyDescent="0.3">
      <c r="A160" s="186">
        <v>79000</v>
      </c>
      <c r="B160" s="33">
        <f t="shared" si="8"/>
        <v>6583.333333333333</v>
      </c>
      <c r="C160" s="185">
        <f>'Child care subsidy'!S163*12</f>
        <v>20050</v>
      </c>
      <c r="D160" s="185">
        <f>MAX('TANF-VIEW'!L167,'TANF-VIEW'!T167)*12</f>
        <v>0</v>
      </c>
      <c r="E160" s="193">
        <f>SNAP!V164*12</f>
        <v>0</v>
      </c>
      <c r="F160" s="184">
        <f>WIC!F166*12</f>
        <v>0</v>
      </c>
      <c r="G160" s="185">
        <f>'Housing Voucher'!Q164*12</f>
        <v>0</v>
      </c>
      <c r="H160" s="197">
        <f>EITC!E163</f>
        <v>0</v>
      </c>
      <c r="I160" s="205">
        <f>Medicaid!N167*12</f>
        <v>0</v>
      </c>
      <c r="K160" s="185">
        <f t="shared" si="10"/>
        <v>20050</v>
      </c>
      <c r="L160" s="185">
        <f t="shared" si="11"/>
        <v>99050</v>
      </c>
      <c r="M160" s="36">
        <f t="shared" si="9"/>
        <v>8254.1666666666661</v>
      </c>
    </row>
    <row r="161" spans="1:13" x14ac:dyDescent="0.3">
      <c r="A161" s="186">
        <v>79500</v>
      </c>
      <c r="B161" s="33">
        <f t="shared" si="8"/>
        <v>6625</v>
      </c>
      <c r="C161" s="185">
        <f>'Child care subsidy'!S164*12</f>
        <v>20025</v>
      </c>
      <c r="D161" s="185">
        <f>MAX('TANF-VIEW'!L168,'TANF-VIEW'!T168)*12</f>
        <v>0</v>
      </c>
      <c r="E161" s="193">
        <f>SNAP!V165*12</f>
        <v>0</v>
      </c>
      <c r="F161" s="184">
        <f>WIC!F167*12</f>
        <v>0</v>
      </c>
      <c r="G161" s="185">
        <f>'Housing Voucher'!Q165*12</f>
        <v>0</v>
      </c>
      <c r="H161" s="197">
        <f>EITC!E164</f>
        <v>0</v>
      </c>
      <c r="I161" s="205">
        <f>Medicaid!N168*12</f>
        <v>0</v>
      </c>
      <c r="K161" s="185">
        <f t="shared" si="10"/>
        <v>20025</v>
      </c>
      <c r="L161" s="185">
        <f t="shared" si="11"/>
        <v>99525</v>
      </c>
      <c r="M161" s="36">
        <f t="shared" si="9"/>
        <v>8293.75</v>
      </c>
    </row>
    <row r="162" spans="1:13" x14ac:dyDescent="0.3">
      <c r="A162" s="186">
        <v>80000</v>
      </c>
      <c r="B162" s="33">
        <f t="shared" si="8"/>
        <v>6666.666666666667</v>
      </c>
      <c r="C162" s="185">
        <f>'Child care subsidy'!S165*12</f>
        <v>20000</v>
      </c>
      <c r="D162" s="185">
        <f>MAX('TANF-VIEW'!L169,'TANF-VIEW'!T169)*12</f>
        <v>0</v>
      </c>
      <c r="E162" s="193">
        <f>SNAP!V166*12</f>
        <v>0</v>
      </c>
      <c r="F162" s="184">
        <f>WIC!F168*12</f>
        <v>0</v>
      </c>
      <c r="G162" s="185">
        <f>'Housing Voucher'!Q166*12</f>
        <v>0</v>
      </c>
      <c r="H162" s="197">
        <f>EITC!E165</f>
        <v>0</v>
      </c>
      <c r="I162" s="205">
        <f>Medicaid!N169*12</f>
        <v>0</v>
      </c>
      <c r="K162" s="185">
        <f t="shared" si="10"/>
        <v>20000</v>
      </c>
      <c r="L162" s="185">
        <f t="shared" si="11"/>
        <v>100000</v>
      </c>
      <c r="M162" s="36">
        <f t="shared" si="9"/>
        <v>8333.3333333333339</v>
      </c>
    </row>
    <row r="163" spans="1:13" x14ac:dyDescent="0.3">
      <c r="A163" s="186">
        <v>80500</v>
      </c>
      <c r="B163" s="33">
        <f t="shared" si="8"/>
        <v>6708.333333333333</v>
      </c>
      <c r="C163" s="185">
        <f>'Child care subsidy'!S166*12</f>
        <v>19975</v>
      </c>
      <c r="D163" s="185">
        <f>MAX('TANF-VIEW'!L170,'TANF-VIEW'!T170)*12</f>
        <v>0</v>
      </c>
      <c r="E163" s="193">
        <f>SNAP!V167*12</f>
        <v>0</v>
      </c>
      <c r="F163" s="184">
        <f>WIC!F169*12</f>
        <v>0</v>
      </c>
      <c r="G163" s="185">
        <f>'Housing Voucher'!Q167*12</f>
        <v>0</v>
      </c>
      <c r="H163" s="197">
        <f>EITC!E166</f>
        <v>0</v>
      </c>
      <c r="I163" s="205">
        <f>Medicaid!N170*12</f>
        <v>0</v>
      </c>
      <c r="K163" s="185">
        <f t="shared" si="10"/>
        <v>19975</v>
      </c>
      <c r="L163" s="185">
        <f t="shared" si="11"/>
        <v>100475</v>
      </c>
      <c r="M163" s="36">
        <f t="shared" si="9"/>
        <v>8372.9166666666661</v>
      </c>
    </row>
    <row r="164" spans="1:13" x14ac:dyDescent="0.3">
      <c r="A164" s="186">
        <v>81000</v>
      </c>
      <c r="B164" s="33">
        <f t="shared" si="8"/>
        <v>6750</v>
      </c>
      <c r="C164" s="185">
        <f>'Child care subsidy'!S167*12</f>
        <v>19950</v>
      </c>
      <c r="D164" s="185">
        <f>MAX('TANF-VIEW'!L171,'TANF-VIEW'!T171)*12</f>
        <v>0</v>
      </c>
      <c r="E164" s="193">
        <f>SNAP!V168*12</f>
        <v>0</v>
      </c>
      <c r="F164" s="184">
        <f>WIC!F170*12</f>
        <v>0</v>
      </c>
      <c r="G164" s="185">
        <f>'Housing Voucher'!Q168*12</f>
        <v>0</v>
      </c>
      <c r="H164" s="197">
        <f>EITC!E167</f>
        <v>0</v>
      </c>
      <c r="I164" s="205">
        <f>Medicaid!N171*12</f>
        <v>0</v>
      </c>
      <c r="K164" s="185">
        <f t="shared" si="10"/>
        <v>19950</v>
      </c>
      <c r="L164" s="185">
        <f t="shared" si="11"/>
        <v>100950</v>
      </c>
      <c r="M164" s="36">
        <f t="shared" si="9"/>
        <v>8412.5</v>
      </c>
    </row>
    <row r="165" spans="1:13" x14ac:dyDescent="0.3">
      <c r="A165" s="186">
        <v>81500</v>
      </c>
      <c r="B165" s="33">
        <f t="shared" si="8"/>
        <v>6791.666666666667</v>
      </c>
      <c r="C165" s="185">
        <f>'Child care subsidy'!S168*12</f>
        <v>19925</v>
      </c>
      <c r="D165" s="185">
        <f>MAX('TANF-VIEW'!L172,'TANF-VIEW'!T172)*12</f>
        <v>0</v>
      </c>
      <c r="E165" s="193">
        <f>SNAP!V169*12</f>
        <v>0</v>
      </c>
      <c r="F165" s="184">
        <f>WIC!F171*12</f>
        <v>0</v>
      </c>
      <c r="G165" s="185">
        <f>'Housing Voucher'!Q169*12</f>
        <v>0</v>
      </c>
      <c r="H165" s="197">
        <f>EITC!E168</f>
        <v>0</v>
      </c>
      <c r="I165" s="205">
        <f>Medicaid!N172*12</f>
        <v>0</v>
      </c>
      <c r="K165" s="185">
        <f t="shared" si="10"/>
        <v>19925</v>
      </c>
      <c r="L165" s="185">
        <f t="shared" si="11"/>
        <v>101425</v>
      </c>
      <c r="M165" s="36">
        <f t="shared" si="9"/>
        <v>8452.0833333333339</v>
      </c>
    </row>
    <row r="166" spans="1:13" x14ac:dyDescent="0.3">
      <c r="A166" s="186">
        <v>82000</v>
      </c>
      <c r="B166" s="33">
        <f t="shared" si="8"/>
        <v>6833.333333333333</v>
      </c>
      <c r="C166" s="185">
        <f>'Child care subsidy'!S169*12</f>
        <v>19900</v>
      </c>
      <c r="D166" s="185">
        <f>MAX('TANF-VIEW'!L173,'TANF-VIEW'!T173)*12</f>
        <v>0</v>
      </c>
      <c r="E166" s="193">
        <f>SNAP!V170*12</f>
        <v>0</v>
      </c>
      <c r="F166" s="184">
        <f>WIC!F172*12</f>
        <v>0</v>
      </c>
      <c r="G166" s="185">
        <f>'Housing Voucher'!Q170*12</f>
        <v>0</v>
      </c>
      <c r="H166" s="197">
        <f>EITC!E169</f>
        <v>0</v>
      </c>
      <c r="I166" s="205">
        <f>Medicaid!N173*12</f>
        <v>0</v>
      </c>
      <c r="K166" s="185">
        <f t="shared" si="10"/>
        <v>19900</v>
      </c>
      <c r="L166" s="185">
        <f t="shared" si="11"/>
        <v>101900</v>
      </c>
      <c r="M166" s="36">
        <f t="shared" si="9"/>
        <v>8491.6666666666661</v>
      </c>
    </row>
    <row r="167" spans="1:13" x14ac:dyDescent="0.3">
      <c r="A167" s="186">
        <v>82500</v>
      </c>
      <c r="B167" s="33">
        <f t="shared" si="8"/>
        <v>6875</v>
      </c>
      <c r="C167" s="185">
        <f>'Child care subsidy'!S170*12</f>
        <v>19875</v>
      </c>
      <c r="D167" s="185">
        <f>MAX('TANF-VIEW'!L174,'TANF-VIEW'!T174)*12</f>
        <v>0</v>
      </c>
      <c r="E167" s="193">
        <f>SNAP!V171*12</f>
        <v>0</v>
      </c>
      <c r="F167" s="184">
        <f>WIC!F173*12</f>
        <v>0</v>
      </c>
      <c r="G167" s="185">
        <f>'Housing Voucher'!Q171*12</f>
        <v>0</v>
      </c>
      <c r="H167" s="197">
        <f>EITC!E170</f>
        <v>0</v>
      </c>
      <c r="I167" s="205">
        <f>Medicaid!N174*12</f>
        <v>0</v>
      </c>
      <c r="K167" s="185">
        <f t="shared" si="10"/>
        <v>19875</v>
      </c>
      <c r="L167" s="185">
        <f t="shared" si="11"/>
        <v>102375</v>
      </c>
      <c r="M167" s="36">
        <f t="shared" si="9"/>
        <v>8531.25</v>
      </c>
    </row>
    <row r="168" spans="1:13" x14ac:dyDescent="0.3">
      <c r="A168" s="186">
        <v>83000</v>
      </c>
      <c r="B168" s="33">
        <f t="shared" ref="B168:B202" si="12">A168/12</f>
        <v>6916.666666666667</v>
      </c>
      <c r="C168" s="185">
        <f>'Child care subsidy'!S171*12</f>
        <v>19850</v>
      </c>
      <c r="D168" s="185">
        <f>MAX('TANF-VIEW'!L175,'TANF-VIEW'!T175)*12</f>
        <v>0</v>
      </c>
      <c r="E168" s="193">
        <f>SNAP!V172*12</f>
        <v>0</v>
      </c>
      <c r="F168" s="184">
        <f>WIC!F174*12</f>
        <v>0</v>
      </c>
      <c r="G168" s="185">
        <f>'Housing Voucher'!Q172*12</f>
        <v>0</v>
      </c>
      <c r="H168" s="197">
        <f>EITC!E171</f>
        <v>0</v>
      </c>
      <c r="I168" s="205">
        <f>Medicaid!N175*12</f>
        <v>0</v>
      </c>
      <c r="K168" s="185">
        <f t="shared" si="10"/>
        <v>19850</v>
      </c>
      <c r="L168" s="185">
        <f t="shared" si="11"/>
        <v>102850</v>
      </c>
      <c r="M168" s="36">
        <f t="shared" si="9"/>
        <v>8570.8333333333339</v>
      </c>
    </row>
    <row r="169" spans="1:13" x14ac:dyDescent="0.3">
      <c r="A169" s="186">
        <v>83500</v>
      </c>
      <c r="B169" s="33">
        <f t="shared" si="12"/>
        <v>6958.333333333333</v>
      </c>
      <c r="C169" s="185">
        <f>'Child care subsidy'!S172*12</f>
        <v>19825</v>
      </c>
      <c r="D169" s="185">
        <f>MAX('TANF-VIEW'!L176,'TANF-VIEW'!T176)*12</f>
        <v>0</v>
      </c>
      <c r="E169" s="193">
        <f>SNAP!V173*12</f>
        <v>0</v>
      </c>
      <c r="F169" s="184">
        <f>WIC!F175*12</f>
        <v>0</v>
      </c>
      <c r="G169" s="185">
        <f>'Housing Voucher'!Q173*12</f>
        <v>0</v>
      </c>
      <c r="H169" s="197">
        <f>EITC!E172</f>
        <v>0</v>
      </c>
      <c r="I169" s="205">
        <f>Medicaid!N176*12</f>
        <v>0</v>
      </c>
      <c r="K169" s="185">
        <f t="shared" si="10"/>
        <v>19825</v>
      </c>
      <c r="L169" s="185">
        <f t="shared" si="11"/>
        <v>103325</v>
      </c>
      <c r="M169" s="36">
        <f t="shared" si="9"/>
        <v>8610.4166666666661</v>
      </c>
    </row>
    <row r="170" spans="1:13" x14ac:dyDescent="0.3">
      <c r="A170" s="186">
        <v>84000</v>
      </c>
      <c r="B170" s="33">
        <f t="shared" si="12"/>
        <v>7000</v>
      </c>
      <c r="C170" s="185">
        <f>'Child care subsidy'!S173*12</f>
        <v>19800</v>
      </c>
      <c r="D170" s="185">
        <f>MAX('TANF-VIEW'!L177,'TANF-VIEW'!T177)*12</f>
        <v>0</v>
      </c>
      <c r="E170" s="193">
        <f>SNAP!V174*12</f>
        <v>0</v>
      </c>
      <c r="F170" s="184">
        <f>WIC!F176*12</f>
        <v>0</v>
      </c>
      <c r="G170" s="185">
        <f>'Housing Voucher'!Q174*12</f>
        <v>0</v>
      </c>
      <c r="H170" s="197">
        <f>EITC!E173</f>
        <v>0</v>
      </c>
      <c r="I170" s="205">
        <f>Medicaid!N177*12</f>
        <v>0</v>
      </c>
      <c r="K170" s="185">
        <f t="shared" si="10"/>
        <v>19800</v>
      </c>
      <c r="L170" s="185">
        <f t="shared" si="11"/>
        <v>103800</v>
      </c>
      <c r="M170" s="36">
        <f t="shared" si="9"/>
        <v>8650</v>
      </c>
    </row>
    <row r="171" spans="1:13" x14ac:dyDescent="0.3">
      <c r="A171" s="186">
        <v>84500</v>
      </c>
      <c r="B171" s="33">
        <f t="shared" si="12"/>
        <v>7041.666666666667</v>
      </c>
      <c r="C171" s="185">
        <f>'Child care subsidy'!S174*12</f>
        <v>19775</v>
      </c>
      <c r="D171" s="185">
        <f>MAX('TANF-VIEW'!L178,'TANF-VIEW'!T178)*12</f>
        <v>0</v>
      </c>
      <c r="E171" s="193">
        <f>SNAP!V175*12</f>
        <v>0</v>
      </c>
      <c r="F171" s="184">
        <f>WIC!F177*12</f>
        <v>0</v>
      </c>
      <c r="G171" s="185">
        <f>'Housing Voucher'!Q175*12</f>
        <v>0</v>
      </c>
      <c r="H171" s="197">
        <f>EITC!E174</f>
        <v>0</v>
      </c>
      <c r="I171" s="205">
        <f>Medicaid!N178*12</f>
        <v>0</v>
      </c>
      <c r="K171" s="185">
        <f t="shared" si="10"/>
        <v>19775</v>
      </c>
      <c r="L171" s="185">
        <f t="shared" si="11"/>
        <v>104275</v>
      </c>
      <c r="M171" s="36">
        <f t="shared" si="9"/>
        <v>8689.5833333333339</v>
      </c>
    </row>
    <row r="172" spans="1:13" x14ac:dyDescent="0.3">
      <c r="A172" s="186">
        <v>85000</v>
      </c>
      <c r="B172" s="33">
        <f t="shared" si="12"/>
        <v>7083.333333333333</v>
      </c>
      <c r="C172" s="185">
        <f>'Child care subsidy'!S175*12</f>
        <v>19750</v>
      </c>
      <c r="D172" s="185">
        <f>MAX('TANF-VIEW'!L179,'TANF-VIEW'!T179)*12</f>
        <v>0</v>
      </c>
      <c r="E172" s="193">
        <f>SNAP!V176*12</f>
        <v>0</v>
      </c>
      <c r="F172" s="184">
        <f>WIC!F178*12</f>
        <v>0</v>
      </c>
      <c r="G172" s="185">
        <f>'Housing Voucher'!Q176*12</f>
        <v>0</v>
      </c>
      <c r="H172" s="197">
        <f>EITC!E175</f>
        <v>0</v>
      </c>
      <c r="I172" s="205">
        <f>Medicaid!N179*12</f>
        <v>0</v>
      </c>
      <c r="K172" s="185">
        <f t="shared" si="10"/>
        <v>19750</v>
      </c>
      <c r="L172" s="185">
        <f t="shared" si="11"/>
        <v>104750</v>
      </c>
      <c r="M172" s="36">
        <f t="shared" si="9"/>
        <v>8729.1666666666661</v>
      </c>
    </row>
    <row r="173" spans="1:13" x14ac:dyDescent="0.3">
      <c r="A173" s="186">
        <v>85500</v>
      </c>
      <c r="B173" s="33">
        <f t="shared" si="12"/>
        <v>7125</v>
      </c>
      <c r="C173" s="185">
        <f>'Child care subsidy'!S176*12</f>
        <v>19725</v>
      </c>
      <c r="D173" s="185">
        <f>MAX('TANF-VIEW'!L180,'TANF-VIEW'!T180)*12</f>
        <v>0</v>
      </c>
      <c r="E173" s="193">
        <f>SNAP!V177*12</f>
        <v>0</v>
      </c>
      <c r="F173" s="184">
        <f>WIC!F179*12</f>
        <v>0</v>
      </c>
      <c r="G173" s="185">
        <f>'Housing Voucher'!Q177*12</f>
        <v>0</v>
      </c>
      <c r="H173" s="197">
        <f>EITC!E176</f>
        <v>0</v>
      </c>
      <c r="I173" s="205">
        <f>Medicaid!N180*12</f>
        <v>0</v>
      </c>
      <c r="K173" s="185">
        <f t="shared" si="10"/>
        <v>19725</v>
      </c>
      <c r="L173" s="185">
        <f t="shared" si="11"/>
        <v>105225</v>
      </c>
      <c r="M173" s="36">
        <f t="shared" si="9"/>
        <v>8768.75</v>
      </c>
    </row>
    <row r="174" spans="1:13" x14ac:dyDescent="0.3">
      <c r="A174" s="186">
        <v>86000</v>
      </c>
      <c r="B174" s="33">
        <f t="shared" si="12"/>
        <v>7166.666666666667</v>
      </c>
      <c r="C174" s="185">
        <f>'Child care subsidy'!S177*12</f>
        <v>19700</v>
      </c>
      <c r="D174" s="185">
        <f>MAX('TANF-VIEW'!L181,'TANF-VIEW'!T181)*12</f>
        <v>0</v>
      </c>
      <c r="E174" s="193">
        <f>SNAP!V178*12</f>
        <v>0</v>
      </c>
      <c r="F174" s="184">
        <f>WIC!F180*12</f>
        <v>0</v>
      </c>
      <c r="G174" s="185">
        <f>'Housing Voucher'!Q178*12</f>
        <v>0</v>
      </c>
      <c r="H174" s="197">
        <f>EITC!E177</f>
        <v>0</v>
      </c>
      <c r="I174" s="205">
        <f>Medicaid!N181*12</f>
        <v>0</v>
      </c>
      <c r="K174" s="185">
        <f t="shared" si="10"/>
        <v>19700</v>
      </c>
      <c r="L174" s="185">
        <f t="shared" si="11"/>
        <v>105700</v>
      </c>
      <c r="M174" s="36">
        <f t="shared" si="9"/>
        <v>8808.3333333333339</v>
      </c>
    </row>
    <row r="175" spans="1:13" x14ac:dyDescent="0.3">
      <c r="A175" s="186">
        <v>86500</v>
      </c>
      <c r="B175" s="33">
        <f t="shared" si="12"/>
        <v>7208.333333333333</v>
      </c>
      <c r="C175" s="185">
        <f>'Child care subsidy'!S178*12</f>
        <v>19675</v>
      </c>
      <c r="D175" s="185">
        <f>MAX('TANF-VIEW'!L182,'TANF-VIEW'!T182)*12</f>
        <v>0</v>
      </c>
      <c r="E175" s="193">
        <f>SNAP!V179*12</f>
        <v>0</v>
      </c>
      <c r="F175" s="184">
        <f>WIC!F181*12</f>
        <v>0</v>
      </c>
      <c r="G175" s="185">
        <f>'Housing Voucher'!Q179*12</f>
        <v>0</v>
      </c>
      <c r="H175" s="197">
        <f>EITC!E178</f>
        <v>0</v>
      </c>
      <c r="I175" s="205">
        <f>Medicaid!N182*12</f>
        <v>0</v>
      </c>
      <c r="K175" s="185">
        <f t="shared" si="10"/>
        <v>19675</v>
      </c>
      <c r="L175" s="185">
        <f t="shared" si="11"/>
        <v>106175</v>
      </c>
      <c r="M175" s="36">
        <f t="shared" si="9"/>
        <v>8847.9166666666661</v>
      </c>
    </row>
    <row r="176" spans="1:13" x14ac:dyDescent="0.3">
      <c r="A176" s="186">
        <v>87000</v>
      </c>
      <c r="B176" s="33">
        <f t="shared" si="12"/>
        <v>7250</v>
      </c>
      <c r="C176" s="185">
        <f>'Child care subsidy'!S179*12</f>
        <v>19650</v>
      </c>
      <c r="D176" s="185">
        <f>MAX('TANF-VIEW'!L183,'TANF-VIEW'!T183)*12</f>
        <v>0</v>
      </c>
      <c r="E176" s="193">
        <f>SNAP!V180*12</f>
        <v>0</v>
      </c>
      <c r="F176" s="184">
        <f>WIC!F182*12</f>
        <v>0</v>
      </c>
      <c r="G176" s="185">
        <f>'Housing Voucher'!Q180*12</f>
        <v>0</v>
      </c>
      <c r="H176" s="197">
        <f>EITC!E179</f>
        <v>0</v>
      </c>
      <c r="I176" s="205">
        <f>Medicaid!N183*12</f>
        <v>0</v>
      </c>
      <c r="K176" s="185">
        <f t="shared" si="10"/>
        <v>19650</v>
      </c>
      <c r="L176" s="185">
        <f t="shared" si="11"/>
        <v>106650</v>
      </c>
      <c r="M176" s="36">
        <f t="shared" si="9"/>
        <v>8887.5</v>
      </c>
    </row>
    <row r="177" spans="1:13" x14ac:dyDescent="0.3">
      <c r="A177" s="186">
        <v>87500</v>
      </c>
      <c r="B177" s="33">
        <f t="shared" si="12"/>
        <v>7291.666666666667</v>
      </c>
      <c r="C177" s="185">
        <f>'Child care subsidy'!S180*12</f>
        <v>19625</v>
      </c>
      <c r="D177" s="185">
        <f>MAX('TANF-VIEW'!L184,'TANF-VIEW'!T184)*12</f>
        <v>0</v>
      </c>
      <c r="E177" s="193">
        <f>SNAP!V181*12</f>
        <v>0</v>
      </c>
      <c r="F177" s="184">
        <f>WIC!F183*12</f>
        <v>0</v>
      </c>
      <c r="G177" s="185">
        <f>'Housing Voucher'!Q181*12</f>
        <v>0</v>
      </c>
      <c r="H177" s="197">
        <f>EITC!E180</f>
        <v>0</v>
      </c>
      <c r="I177" s="205">
        <f>Medicaid!N184*12</f>
        <v>0</v>
      </c>
      <c r="K177" s="185">
        <f t="shared" si="10"/>
        <v>19625</v>
      </c>
      <c r="L177" s="185">
        <f t="shared" si="11"/>
        <v>107125</v>
      </c>
      <c r="M177" s="36">
        <f t="shared" si="9"/>
        <v>8927.0833333333339</v>
      </c>
    </row>
    <row r="178" spans="1:13" x14ac:dyDescent="0.3">
      <c r="A178" s="186">
        <v>88000</v>
      </c>
      <c r="B178" s="33">
        <f t="shared" si="12"/>
        <v>7333.333333333333</v>
      </c>
      <c r="C178" s="185">
        <f>'Child care subsidy'!S181*12</f>
        <v>19600</v>
      </c>
      <c r="D178" s="185">
        <f>MAX('TANF-VIEW'!L185,'TANF-VIEW'!T185)*12</f>
        <v>0</v>
      </c>
      <c r="E178" s="193">
        <f>SNAP!V182*12</f>
        <v>0</v>
      </c>
      <c r="F178" s="184">
        <f>WIC!F184*12</f>
        <v>0</v>
      </c>
      <c r="G178" s="185">
        <f>'Housing Voucher'!Q182*12</f>
        <v>0</v>
      </c>
      <c r="H178" s="197">
        <f>EITC!E181</f>
        <v>0</v>
      </c>
      <c r="I178" s="205">
        <f>Medicaid!N185*12</f>
        <v>0</v>
      </c>
      <c r="K178" s="185">
        <f t="shared" si="10"/>
        <v>19600</v>
      </c>
      <c r="L178" s="185">
        <f t="shared" si="11"/>
        <v>107600</v>
      </c>
      <c r="M178" s="36">
        <f t="shared" si="9"/>
        <v>8966.6666666666661</v>
      </c>
    </row>
    <row r="179" spans="1:13" x14ac:dyDescent="0.3">
      <c r="A179" s="186">
        <v>88500</v>
      </c>
      <c r="B179" s="33">
        <f t="shared" si="12"/>
        <v>7375</v>
      </c>
      <c r="C179" s="185">
        <f>'Child care subsidy'!S182*12</f>
        <v>19575</v>
      </c>
      <c r="D179" s="185">
        <f>MAX('TANF-VIEW'!L186,'TANF-VIEW'!T186)*12</f>
        <v>0</v>
      </c>
      <c r="E179" s="193">
        <f>SNAP!V183*12</f>
        <v>0</v>
      </c>
      <c r="F179" s="184">
        <f>WIC!F185*12</f>
        <v>0</v>
      </c>
      <c r="G179" s="185">
        <f>'Housing Voucher'!Q183*12</f>
        <v>0</v>
      </c>
      <c r="H179" s="197">
        <f>EITC!E182</f>
        <v>0</v>
      </c>
      <c r="I179" s="205">
        <f>Medicaid!N186*12</f>
        <v>0</v>
      </c>
      <c r="K179" s="185">
        <f t="shared" si="10"/>
        <v>19575</v>
      </c>
      <c r="L179" s="185">
        <f t="shared" si="11"/>
        <v>108075</v>
      </c>
      <c r="M179" s="36">
        <f t="shared" si="9"/>
        <v>9006.25</v>
      </c>
    </row>
    <row r="180" spans="1:13" x14ac:dyDescent="0.3">
      <c r="A180" s="186">
        <v>89000</v>
      </c>
      <c r="B180" s="33">
        <f t="shared" si="12"/>
        <v>7416.666666666667</v>
      </c>
      <c r="C180" s="185">
        <f>'Child care subsidy'!S183*12</f>
        <v>19550</v>
      </c>
      <c r="D180" s="185">
        <f>MAX('TANF-VIEW'!L187,'TANF-VIEW'!T187)*12</f>
        <v>0</v>
      </c>
      <c r="E180" s="193">
        <f>SNAP!V184*12</f>
        <v>0</v>
      </c>
      <c r="F180" s="184">
        <f>WIC!F186*12</f>
        <v>0</v>
      </c>
      <c r="G180" s="185">
        <f>'Housing Voucher'!Q184*12</f>
        <v>0</v>
      </c>
      <c r="H180" s="197">
        <f>EITC!E183</f>
        <v>0</v>
      </c>
      <c r="I180" s="205">
        <f>Medicaid!N187*12</f>
        <v>0</v>
      </c>
      <c r="K180" s="185">
        <f t="shared" si="10"/>
        <v>19550</v>
      </c>
      <c r="L180" s="185">
        <f t="shared" si="11"/>
        <v>108550</v>
      </c>
      <c r="M180" s="36">
        <f t="shared" si="9"/>
        <v>9045.8333333333339</v>
      </c>
    </row>
    <row r="181" spans="1:13" x14ac:dyDescent="0.3">
      <c r="A181" s="186">
        <v>89500</v>
      </c>
      <c r="B181" s="33">
        <f t="shared" si="12"/>
        <v>7458.333333333333</v>
      </c>
      <c r="C181" s="185">
        <f>'Child care subsidy'!S184*12</f>
        <v>19525</v>
      </c>
      <c r="D181" s="185">
        <f>MAX('TANF-VIEW'!L188,'TANF-VIEW'!T188)*12</f>
        <v>0</v>
      </c>
      <c r="E181" s="193">
        <f>SNAP!V185*12</f>
        <v>0</v>
      </c>
      <c r="F181" s="184">
        <f>WIC!F187*12</f>
        <v>0</v>
      </c>
      <c r="G181" s="185">
        <f>'Housing Voucher'!Q185*12</f>
        <v>0</v>
      </c>
      <c r="H181" s="197">
        <f>EITC!E184</f>
        <v>0</v>
      </c>
      <c r="I181" s="205">
        <f>Medicaid!N188*12</f>
        <v>0</v>
      </c>
      <c r="K181" s="185">
        <f t="shared" si="10"/>
        <v>19525</v>
      </c>
      <c r="L181" s="185">
        <f t="shared" si="11"/>
        <v>109025</v>
      </c>
      <c r="M181" s="36">
        <f t="shared" si="9"/>
        <v>9085.4166666666661</v>
      </c>
    </row>
    <row r="182" spans="1:13" x14ac:dyDescent="0.3">
      <c r="A182" s="186">
        <v>90000</v>
      </c>
      <c r="B182" s="33">
        <f t="shared" si="12"/>
        <v>7500</v>
      </c>
      <c r="C182" s="185">
        <f>'Child care subsidy'!S185*12</f>
        <v>19500</v>
      </c>
      <c r="D182" s="185">
        <f>MAX('TANF-VIEW'!L189,'TANF-VIEW'!T189)*12</f>
        <v>0</v>
      </c>
      <c r="E182" s="193">
        <f>SNAP!V186*12</f>
        <v>0</v>
      </c>
      <c r="F182" s="184">
        <f>WIC!F188*12</f>
        <v>0</v>
      </c>
      <c r="G182" s="185">
        <f>'Housing Voucher'!Q186*12</f>
        <v>0</v>
      </c>
      <c r="H182" s="197">
        <f>EITC!E185</f>
        <v>0</v>
      </c>
      <c r="I182" s="205">
        <f>Medicaid!N189*12</f>
        <v>0</v>
      </c>
      <c r="K182" s="185">
        <f t="shared" si="10"/>
        <v>19500</v>
      </c>
      <c r="L182" s="185">
        <f t="shared" si="11"/>
        <v>109500</v>
      </c>
      <c r="M182" s="36">
        <f t="shared" si="9"/>
        <v>9125</v>
      </c>
    </row>
    <row r="183" spans="1:13" x14ac:dyDescent="0.3">
      <c r="A183" s="186">
        <v>90500</v>
      </c>
      <c r="B183" s="33">
        <f t="shared" si="12"/>
        <v>7541.666666666667</v>
      </c>
      <c r="C183" s="185">
        <f>'Child care subsidy'!S186*12</f>
        <v>19475</v>
      </c>
      <c r="D183" s="185">
        <f>MAX('TANF-VIEW'!L190,'TANF-VIEW'!T190)*12</f>
        <v>0</v>
      </c>
      <c r="E183" s="193">
        <f>SNAP!V187*12</f>
        <v>0</v>
      </c>
      <c r="F183" s="184">
        <f>WIC!F189*12</f>
        <v>0</v>
      </c>
      <c r="G183" s="185">
        <f>'Housing Voucher'!Q187*12</f>
        <v>0</v>
      </c>
      <c r="H183" s="197">
        <f>EITC!E186</f>
        <v>0</v>
      </c>
      <c r="I183" s="205">
        <f>Medicaid!N190*12</f>
        <v>0</v>
      </c>
      <c r="K183" s="185">
        <f t="shared" si="10"/>
        <v>19475</v>
      </c>
      <c r="L183" s="185">
        <f t="shared" si="11"/>
        <v>109975</v>
      </c>
      <c r="M183" s="36">
        <f t="shared" si="9"/>
        <v>9164.5833333333339</v>
      </c>
    </row>
    <row r="184" spans="1:13" x14ac:dyDescent="0.3">
      <c r="A184" s="186">
        <v>91000</v>
      </c>
      <c r="B184" s="33">
        <f t="shared" si="12"/>
        <v>7583.333333333333</v>
      </c>
      <c r="C184" s="185">
        <f>'Child care subsidy'!S187*12</f>
        <v>19450</v>
      </c>
      <c r="D184" s="185">
        <f>MAX('TANF-VIEW'!L191,'TANF-VIEW'!T191)*12</f>
        <v>0</v>
      </c>
      <c r="E184" s="193">
        <f>SNAP!V188*12</f>
        <v>0</v>
      </c>
      <c r="F184" s="184">
        <f>WIC!F190*12</f>
        <v>0</v>
      </c>
      <c r="G184" s="185">
        <f>'Housing Voucher'!Q188*12</f>
        <v>0</v>
      </c>
      <c r="H184" s="197">
        <f>EITC!E187</f>
        <v>0</v>
      </c>
      <c r="I184" s="205">
        <f>Medicaid!N191*12</f>
        <v>0</v>
      </c>
      <c r="K184" s="185">
        <f t="shared" si="10"/>
        <v>19450</v>
      </c>
      <c r="L184" s="185">
        <f t="shared" si="11"/>
        <v>110450</v>
      </c>
      <c r="M184" s="36">
        <f t="shared" si="9"/>
        <v>9204.1666666666661</v>
      </c>
    </row>
    <row r="185" spans="1:13" x14ac:dyDescent="0.3">
      <c r="A185" s="186">
        <v>91500</v>
      </c>
      <c r="B185" s="33">
        <f t="shared" si="12"/>
        <v>7625</v>
      </c>
      <c r="C185" s="185">
        <f>'Child care subsidy'!S188*12</f>
        <v>19425</v>
      </c>
      <c r="D185" s="185">
        <f>MAX('TANF-VIEW'!L192,'TANF-VIEW'!T192)*12</f>
        <v>0</v>
      </c>
      <c r="E185" s="193">
        <f>SNAP!V189*12</f>
        <v>0</v>
      </c>
      <c r="F185" s="184">
        <f>WIC!F191*12</f>
        <v>0</v>
      </c>
      <c r="G185" s="185">
        <f>'Housing Voucher'!Q189*12</f>
        <v>0</v>
      </c>
      <c r="H185" s="197">
        <f>EITC!E188</f>
        <v>0</v>
      </c>
      <c r="I185" s="205">
        <f>Medicaid!N192*12</f>
        <v>0</v>
      </c>
      <c r="K185" s="185">
        <f t="shared" si="10"/>
        <v>19425</v>
      </c>
      <c r="L185" s="185">
        <f t="shared" si="11"/>
        <v>110925</v>
      </c>
      <c r="M185" s="36">
        <f t="shared" si="9"/>
        <v>9243.75</v>
      </c>
    </row>
    <row r="186" spans="1:13" x14ac:dyDescent="0.3">
      <c r="A186" s="186">
        <v>92000</v>
      </c>
      <c r="B186" s="33">
        <f t="shared" si="12"/>
        <v>7666.666666666667</v>
      </c>
      <c r="C186" s="185">
        <f>'Child care subsidy'!S189*12</f>
        <v>19400</v>
      </c>
      <c r="D186" s="185">
        <f>MAX('TANF-VIEW'!L193,'TANF-VIEW'!T193)*12</f>
        <v>0</v>
      </c>
      <c r="E186" s="193">
        <f>SNAP!V190*12</f>
        <v>0</v>
      </c>
      <c r="F186" s="184">
        <f>WIC!F192*12</f>
        <v>0</v>
      </c>
      <c r="G186" s="185">
        <f>'Housing Voucher'!Q190*12</f>
        <v>0</v>
      </c>
      <c r="H186" s="197">
        <f>EITC!E189</f>
        <v>0</v>
      </c>
      <c r="I186" s="205">
        <f>Medicaid!N193*12</f>
        <v>0</v>
      </c>
      <c r="K186" s="185">
        <f t="shared" si="10"/>
        <v>19400</v>
      </c>
      <c r="L186" s="185">
        <f t="shared" si="11"/>
        <v>111400</v>
      </c>
      <c r="M186" s="36">
        <f t="shared" si="9"/>
        <v>9283.3333333333339</v>
      </c>
    </row>
    <row r="187" spans="1:13" x14ac:dyDescent="0.3">
      <c r="A187" s="186">
        <v>92500</v>
      </c>
      <c r="B187" s="33">
        <f t="shared" si="12"/>
        <v>7708.333333333333</v>
      </c>
      <c r="C187" s="185">
        <f>'Child care subsidy'!S190*12</f>
        <v>19375</v>
      </c>
      <c r="D187" s="185">
        <f>MAX('TANF-VIEW'!L194,'TANF-VIEW'!T194)*12</f>
        <v>0</v>
      </c>
      <c r="E187" s="193">
        <f>SNAP!V191*12</f>
        <v>0</v>
      </c>
      <c r="F187" s="184">
        <f>WIC!F193*12</f>
        <v>0</v>
      </c>
      <c r="G187" s="185">
        <f>'Housing Voucher'!Q191*12</f>
        <v>0</v>
      </c>
      <c r="H187" s="197">
        <f>EITC!E190</f>
        <v>0</v>
      </c>
      <c r="I187" s="205">
        <f>Medicaid!N194*12</f>
        <v>0</v>
      </c>
      <c r="K187" s="185">
        <f t="shared" si="10"/>
        <v>19375</v>
      </c>
      <c r="L187" s="185">
        <f t="shared" si="11"/>
        <v>111875</v>
      </c>
      <c r="M187" s="36">
        <f t="shared" si="9"/>
        <v>9322.9166666666661</v>
      </c>
    </row>
    <row r="188" spans="1:13" x14ac:dyDescent="0.3">
      <c r="A188" s="186">
        <v>93000</v>
      </c>
      <c r="B188" s="33">
        <f t="shared" si="12"/>
        <v>7750</v>
      </c>
      <c r="C188" s="185">
        <f>'Child care subsidy'!S191*12</f>
        <v>19350</v>
      </c>
      <c r="D188" s="185">
        <f>MAX('TANF-VIEW'!L195,'TANF-VIEW'!T195)*12</f>
        <v>0</v>
      </c>
      <c r="E188" s="193">
        <f>SNAP!V192*12</f>
        <v>0</v>
      </c>
      <c r="F188" s="184">
        <f>WIC!F194*12</f>
        <v>0</v>
      </c>
      <c r="G188" s="185">
        <f>'Housing Voucher'!Q192*12</f>
        <v>0</v>
      </c>
      <c r="H188" s="197">
        <f>EITC!E191</f>
        <v>0</v>
      </c>
      <c r="I188" s="205">
        <f>Medicaid!N195*12</f>
        <v>0</v>
      </c>
      <c r="K188" s="185">
        <f t="shared" si="10"/>
        <v>19350</v>
      </c>
      <c r="L188" s="185">
        <f t="shared" si="11"/>
        <v>112350</v>
      </c>
      <c r="M188" s="36">
        <f t="shared" si="9"/>
        <v>9362.5</v>
      </c>
    </row>
    <row r="189" spans="1:13" x14ac:dyDescent="0.3">
      <c r="A189" s="186">
        <v>93500</v>
      </c>
      <c r="B189" s="33">
        <f t="shared" si="12"/>
        <v>7791.666666666667</v>
      </c>
      <c r="C189" s="185">
        <f>'Child care subsidy'!S192*12</f>
        <v>19325</v>
      </c>
      <c r="D189" s="185">
        <f>MAX('TANF-VIEW'!L196,'TANF-VIEW'!T196)*12</f>
        <v>0</v>
      </c>
      <c r="E189" s="193">
        <f>SNAP!V193*12</f>
        <v>0</v>
      </c>
      <c r="F189" s="184">
        <f>WIC!F195*12</f>
        <v>0</v>
      </c>
      <c r="G189" s="185">
        <f>'Housing Voucher'!Q193*12</f>
        <v>0</v>
      </c>
      <c r="H189" s="197">
        <f>EITC!E192</f>
        <v>0</v>
      </c>
      <c r="I189" s="205">
        <f>Medicaid!N196*12</f>
        <v>0</v>
      </c>
      <c r="K189" s="185">
        <f t="shared" si="10"/>
        <v>19325</v>
      </c>
      <c r="L189" s="185">
        <f t="shared" si="11"/>
        <v>112825</v>
      </c>
      <c r="M189" s="36">
        <f t="shared" si="9"/>
        <v>9402.0833333333339</v>
      </c>
    </row>
    <row r="190" spans="1:13" x14ac:dyDescent="0.3">
      <c r="A190" s="186">
        <v>94000</v>
      </c>
      <c r="B190" s="33">
        <f t="shared" si="12"/>
        <v>7833.333333333333</v>
      </c>
      <c r="C190" s="185">
        <f>'Child care subsidy'!S193*12</f>
        <v>19300</v>
      </c>
      <c r="D190" s="185">
        <f>MAX('TANF-VIEW'!L197,'TANF-VIEW'!T197)*12</f>
        <v>0</v>
      </c>
      <c r="E190" s="193">
        <f>SNAP!V194*12</f>
        <v>0</v>
      </c>
      <c r="F190" s="184">
        <f>WIC!F196*12</f>
        <v>0</v>
      </c>
      <c r="G190" s="185">
        <f>'Housing Voucher'!Q194*12</f>
        <v>0</v>
      </c>
      <c r="H190" s="197">
        <f>EITC!E193</f>
        <v>0</v>
      </c>
      <c r="I190" s="205">
        <f>Medicaid!N197*12</f>
        <v>0</v>
      </c>
      <c r="K190" s="185">
        <f t="shared" si="10"/>
        <v>19300</v>
      </c>
      <c r="L190" s="185">
        <f t="shared" si="11"/>
        <v>113300</v>
      </c>
      <c r="M190" s="36">
        <f t="shared" si="9"/>
        <v>9441.6666666666661</v>
      </c>
    </row>
    <row r="191" spans="1:13" x14ac:dyDescent="0.3">
      <c r="A191" s="186">
        <v>94500</v>
      </c>
      <c r="B191" s="33">
        <f t="shared" si="12"/>
        <v>7875</v>
      </c>
      <c r="C191" s="185">
        <f>'Child care subsidy'!S194*12</f>
        <v>19275</v>
      </c>
      <c r="D191" s="185">
        <f>MAX('TANF-VIEW'!L198,'TANF-VIEW'!T198)*12</f>
        <v>0</v>
      </c>
      <c r="E191" s="193">
        <f>SNAP!V195*12</f>
        <v>0</v>
      </c>
      <c r="F191" s="184">
        <f>WIC!F197*12</f>
        <v>0</v>
      </c>
      <c r="G191" s="185">
        <f>'Housing Voucher'!Q195*12</f>
        <v>0</v>
      </c>
      <c r="H191" s="197">
        <f>EITC!E194</f>
        <v>0</v>
      </c>
      <c r="I191" s="205">
        <f>Medicaid!N198*12</f>
        <v>0</v>
      </c>
      <c r="K191" s="185">
        <f t="shared" si="10"/>
        <v>19275</v>
      </c>
      <c r="L191" s="185">
        <f t="shared" si="11"/>
        <v>113775</v>
      </c>
      <c r="M191" s="36">
        <f t="shared" si="9"/>
        <v>9481.25</v>
      </c>
    </row>
    <row r="192" spans="1:13" x14ac:dyDescent="0.3">
      <c r="A192" s="186">
        <v>95000</v>
      </c>
      <c r="B192" s="33">
        <f t="shared" si="12"/>
        <v>7916.666666666667</v>
      </c>
      <c r="C192" s="185">
        <f>'Child care subsidy'!S195*12</f>
        <v>19250</v>
      </c>
      <c r="D192" s="185">
        <f>MAX('TANF-VIEW'!L199,'TANF-VIEW'!T199)*12</f>
        <v>0</v>
      </c>
      <c r="E192" s="193">
        <f>SNAP!V196*12</f>
        <v>0</v>
      </c>
      <c r="F192" s="184">
        <f>WIC!F198*12</f>
        <v>0</v>
      </c>
      <c r="G192" s="185">
        <f>'Housing Voucher'!Q196*12</f>
        <v>0</v>
      </c>
      <c r="H192" s="197">
        <f>EITC!E195</f>
        <v>0</v>
      </c>
      <c r="I192" s="205">
        <f>Medicaid!N199*12</f>
        <v>0</v>
      </c>
      <c r="K192" s="185">
        <f t="shared" si="10"/>
        <v>19250</v>
      </c>
      <c r="L192" s="185">
        <f t="shared" si="11"/>
        <v>114250</v>
      </c>
      <c r="M192" s="36">
        <f t="shared" si="9"/>
        <v>9520.8333333333339</v>
      </c>
    </row>
    <row r="193" spans="1:13" s="214" customFormat="1" x14ac:dyDescent="0.3">
      <c r="A193" s="206">
        <v>95500</v>
      </c>
      <c r="B193" s="207">
        <f t="shared" si="12"/>
        <v>7958.333333333333</v>
      </c>
      <c r="C193" s="208">
        <f>'Child care subsidy'!S196*12</f>
        <v>19225</v>
      </c>
      <c r="D193" s="208">
        <f>MAX('TANF-VIEW'!L200,'TANF-VIEW'!T200)*12</f>
        <v>0</v>
      </c>
      <c r="E193" s="209">
        <f>SNAP!V197*12</f>
        <v>0</v>
      </c>
      <c r="F193" s="210">
        <f>WIC!F199*12</f>
        <v>0</v>
      </c>
      <c r="G193" s="208">
        <f>'Housing Voucher'!Q197*12</f>
        <v>0</v>
      </c>
      <c r="H193" s="211">
        <f>EITC!E196</f>
        <v>0</v>
      </c>
      <c r="I193" s="212">
        <f>Medicaid!N200*12</f>
        <v>0</v>
      </c>
      <c r="J193" s="213"/>
      <c r="K193" s="208">
        <f t="shared" si="10"/>
        <v>19225</v>
      </c>
      <c r="L193" s="208">
        <f t="shared" si="11"/>
        <v>114725</v>
      </c>
      <c r="M193" s="36">
        <f t="shared" si="9"/>
        <v>9560.4166666666661</v>
      </c>
    </row>
    <row r="194" spans="1:13" s="214" customFormat="1" x14ac:dyDescent="0.3">
      <c r="A194" s="206">
        <v>96000</v>
      </c>
      <c r="B194" s="207">
        <f t="shared" si="12"/>
        <v>8000</v>
      </c>
      <c r="C194" s="208">
        <f>'Child care subsidy'!S197*12</f>
        <v>19200</v>
      </c>
      <c r="D194" s="208">
        <f>MAX('TANF-VIEW'!L201,'TANF-VIEW'!T201)*12</f>
        <v>0</v>
      </c>
      <c r="E194" s="209">
        <f>SNAP!V198*12</f>
        <v>0</v>
      </c>
      <c r="F194" s="210">
        <f>WIC!F200*12</f>
        <v>0</v>
      </c>
      <c r="G194" s="208">
        <f>'Housing Voucher'!Q198*12</f>
        <v>0</v>
      </c>
      <c r="H194" s="211">
        <f>EITC!E197</f>
        <v>0</v>
      </c>
      <c r="I194" s="212">
        <f>Medicaid!N201*12</f>
        <v>0</v>
      </c>
      <c r="J194" s="213"/>
      <c r="K194" s="208">
        <f t="shared" si="10"/>
        <v>19200</v>
      </c>
      <c r="L194" s="208">
        <f t="shared" si="11"/>
        <v>115200</v>
      </c>
      <c r="M194" s="36">
        <f t="shared" si="9"/>
        <v>9600</v>
      </c>
    </row>
    <row r="195" spans="1:13" x14ac:dyDescent="0.3">
      <c r="A195" s="186">
        <v>96500</v>
      </c>
      <c r="B195" s="33">
        <f t="shared" si="12"/>
        <v>8041.666666666667</v>
      </c>
      <c r="C195" s="185">
        <f>'Child care subsidy'!S198*12</f>
        <v>19175</v>
      </c>
      <c r="D195" s="185">
        <f>MAX('TANF-VIEW'!L202,'TANF-VIEW'!T202)*12</f>
        <v>0</v>
      </c>
      <c r="E195" s="193">
        <f>SNAP!V199*12</f>
        <v>0</v>
      </c>
      <c r="F195" s="184">
        <f>WIC!F201*12</f>
        <v>0</v>
      </c>
      <c r="G195" s="185">
        <f>'Housing Voucher'!Q199*12</f>
        <v>0</v>
      </c>
      <c r="H195" s="197">
        <f>EITC!E198</f>
        <v>0</v>
      </c>
      <c r="I195" s="205">
        <f>Medicaid!N202*12</f>
        <v>0</v>
      </c>
      <c r="K195" s="185">
        <f t="shared" si="10"/>
        <v>19175</v>
      </c>
      <c r="L195" s="185">
        <f t="shared" si="11"/>
        <v>115675</v>
      </c>
      <c r="M195" s="36">
        <f t="shared" ref="M195:M202" si="13">L195/12</f>
        <v>9639.5833333333339</v>
      </c>
    </row>
    <row r="196" spans="1:13" x14ac:dyDescent="0.3">
      <c r="A196" s="186">
        <v>97000</v>
      </c>
      <c r="B196" s="33">
        <f t="shared" si="12"/>
        <v>8083.333333333333</v>
      </c>
      <c r="C196" s="185">
        <f>'Child care subsidy'!S199*12</f>
        <v>19150</v>
      </c>
      <c r="D196" s="185">
        <f>MAX('TANF-VIEW'!L203,'TANF-VIEW'!T203)*12</f>
        <v>0</v>
      </c>
      <c r="E196" s="193">
        <f>SNAP!V200*12</f>
        <v>0</v>
      </c>
      <c r="F196" s="184">
        <f>WIC!F202*12</f>
        <v>0</v>
      </c>
      <c r="G196" s="185">
        <f>'Housing Voucher'!Q200*12</f>
        <v>0</v>
      </c>
      <c r="H196" s="197">
        <f>EITC!E199</f>
        <v>0</v>
      </c>
      <c r="I196" s="205">
        <f>Medicaid!N203*12</f>
        <v>0</v>
      </c>
      <c r="K196" s="185">
        <f t="shared" ref="K196:K202" si="14">SUM(C196:I196)</f>
        <v>19150</v>
      </c>
      <c r="L196" s="185">
        <f t="shared" ref="L196:L202" si="15">A196+K196</f>
        <v>116150</v>
      </c>
      <c r="M196" s="36">
        <f t="shared" si="13"/>
        <v>9679.1666666666661</v>
      </c>
    </row>
    <row r="197" spans="1:13" x14ac:dyDescent="0.3">
      <c r="A197" s="186">
        <v>97500</v>
      </c>
      <c r="B197" s="33">
        <f t="shared" si="12"/>
        <v>8125</v>
      </c>
      <c r="C197" s="185">
        <f>'Child care subsidy'!S200*12</f>
        <v>19125</v>
      </c>
      <c r="D197" s="185">
        <f>MAX('TANF-VIEW'!L204,'TANF-VIEW'!T204)*12</f>
        <v>0</v>
      </c>
      <c r="E197" s="193">
        <f>SNAP!V201*12</f>
        <v>0</v>
      </c>
      <c r="F197" s="184">
        <f>WIC!F203*12</f>
        <v>0</v>
      </c>
      <c r="G197" s="185">
        <f>'Housing Voucher'!Q201*12</f>
        <v>0</v>
      </c>
      <c r="H197" s="197">
        <f>EITC!E200</f>
        <v>0</v>
      </c>
      <c r="I197" s="205">
        <f>Medicaid!N204*12</f>
        <v>0</v>
      </c>
      <c r="K197" s="185">
        <f t="shared" si="14"/>
        <v>19125</v>
      </c>
      <c r="L197" s="185">
        <f t="shared" si="15"/>
        <v>116625</v>
      </c>
      <c r="M197" s="36">
        <f t="shared" si="13"/>
        <v>9718.75</v>
      </c>
    </row>
    <row r="198" spans="1:13" x14ac:dyDescent="0.3">
      <c r="A198" s="186">
        <v>98000</v>
      </c>
      <c r="B198" s="33">
        <f t="shared" si="12"/>
        <v>8166.666666666667</v>
      </c>
      <c r="C198" s="185">
        <f>'Child care subsidy'!S201*12</f>
        <v>19100</v>
      </c>
      <c r="D198" s="185">
        <f>MAX('TANF-VIEW'!L205,'TANF-VIEW'!T205)*12</f>
        <v>0</v>
      </c>
      <c r="E198" s="193">
        <f>SNAP!V202*12</f>
        <v>0</v>
      </c>
      <c r="F198" s="184">
        <f>WIC!F204*12</f>
        <v>0</v>
      </c>
      <c r="G198" s="185">
        <f>'Housing Voucher'!Q202*12</f>
        <v>0</v>
      </c>
      <c r="H198" s="197">
        <f>EITC!E201</f>
        <v>0</v>
      </c>
      <c r="I198" s="205">
        <f>Medicaid!N205*12</f>
        <v>0</v>
      </c>
      <c r="K198" s="185">
        <f t="shared" si="14"/>
        <v>19100</v>
      </c>
      <c r="L198" s="185">
        <f t="shared" si="15"/>
        <v>117100</v>
      </c>
      <c r="M198" s="36">
        <f t="shared" si="13"/>
        <v>9758.3333333333339</v>
      </c>
    </row>
    <row r="199" spans="1:13" x14ac:dyDescent="0.3">
      <c r="A199" s="186">
        <v>98500</v>
      </c>
      <c r="B199" s="33">
        <f t="shared" si="12"/>
        <v>8208.3333333333339</v>
      </c>
      <c r="C199" s="185">
        <f>'Child care subsidy'!S202*12</f>
        <v>19075</v>
      </c>
      <c r="D199" s="185">
        <f>MAX('TANF-VIEW'!L206,'TANF-VIEW'!T206)*12</f>
        <v>0</v>
      </c>
      <c r="E199" s="193">
        <f>SNAP!V203*12</f>
        <v>0</v>
      </c>
      <c r="F199" s="184">
        <f>WIC!F205*12</f>
        <v>0</v>
      </c>
      <c r="G199" s="185">
        <f>'Housing Voucher'!Q203*12</f>
        <v>0</v>
      </c>
      <c r="H199" s="197">
        <f>EITC!E202</f>
        <v>0</v>
      </c>
      <c r="I199" s="205">
        <f>Medicaid!N206*12</f>
        <v>0</v>
      </c>
      <c r="K199" s="185">
        <f t="shared" si="14"/>
        <v>19075</v>
      </c>
      <c r="L199" s="185">
        <f t="shared" si="15"/>
        <v>117575</v>
      </c>
      <c r="M199" s="36">
        <f t="shared" si="13"/>
        <v>9797.9166666666661</v>
      </c>
    </row>
    <row r="200" spans="1:13" x14ac:dyDescent="0.3">
      <c r="A200" s="186">
        <v>99000</v>
      </c>
      <c r="B200" s="33">
        <f t="shared" si="12"/>
        <v>8250</v>
      </c>
      <c r="C200" s="185">
        <f>'Child care subsidy'!S203*12</f>
        <v>19050</v>
      </c>
      <c r="D200" s="185">
        <f>MAX('TANF-VIEW'!L207,'TANF-VIEW'!T207)*12</f>
        <v>0</v>
      </c>
      <c r="E200" s="193">
        <f>SNAP!V204*12</f>
        <v>0</v>
      </c>
      <c r="F200" s="184">
        <f>WIC!F206*12</f>
        <v>0</v>
      </c>
      <c r="G200" s="185">
        <f>'Housing Voucher'!Q204*12</f>
        <v>0</v>
      </c>
      <c r="H200" s="197">
        <f>EITC!E203</f>
        <v>0</v>
      </c>
      <c r="I200" s="205">
        <f>Medicaid!N207*12</f>
        <v>0</v>
      </c>
      <c r="K200" s="185">
        <f t="shared" si="14"/>
        <v>19050</v>
      </c>
      <c r="L200" s="185">
        <f t="shared" si="15"/>
        <v>118050</v>
      </c>
      <c r="M200" s="36">
        <f t="shared" si="13"/>
        <v>9837.5</v>
      </c>
    </row>
    <row r="201" spans="1:13" x14ac:dyDescent="0.3">
      <c r="A201" s="186">
        <v>99500</v>
      </c>
      <c r="B201" s="33">
        <f t="shared" si="12"/>
        <v>8291.6666666666661</v>
      </c>
      <c r="C201" s="185">
        <f>'Child care subsidy'!S204*12</f>
        <v>19025</v>
      </c>
      <c r="D201" s="185">
        <f>MAX('TANF-VIEW'!L208,'TANF-VIEW'!T208)*12</f>
        <v>0</v>
      </c>
      <c r="E201" s="193">
        <f>SNAP!V205*12</f>
        <v>0</v>
      </c>
      <c r="F201" s="184">
        <f>WIC!F207*12</f>
        <v>0</v>
      </c>
      <c r="G201" s="185">
        <f>'Housing Voucher'!Q205*12</f>
        <v>0</v>
      </c>
      <c r="H201" s="197">
        <f>EITC!E204</f>
        <v>0</v>
      </c>
      <c r="I201" s="205">
        <f>Medicaid!N208*12</f>
        <v>0</v>
      </c>
      <c r="K201" s="185">
        <f t="shared" si="14"/>
        <v>19025</v>
      </c>
      <c r="L201" s="185">
        <f t="shared" si="15"/>
        <v>118525</v>
      </c>
      <c r="M201" s="36">
        <f t="shared" si="13"/>
        <v>9877.0833333333339</v>
      </c>
    </row>
    <row r="202" spans="1:13" x14ac:dyDescent="0.3">
      <c r="A202" s="186">
        <v>100000</v>
      </c>
      <c r="B202" s="33">
        <f t="shared" si="12"/>
        <v>8333.3333333333339</v>
      </c>
      <c r="C202" s="185">
        <f>'Child care subsidy'!S205*12</f>
        <v>17000</v>
      </c>
      <c r="D202" s="185">
        <f>MAX('TANF-VIEW'!L209,'TANF-VIEW'!T209)*12</f>
        <v>0</v>
      </c>
      <c r="E202" s="193">
        <f>SNAP!V206*12</f>
        <v>0</v>
      </c>
      <c r="F202" s="184">
        <f>WIC!F208*12</f>
        <v>0</v>
      </c>
      <c r="G202" s="185">
        <f>'Housing Voucher'!Q206*12</f>
        <v>0</v>
      </c>
      <c r="H202" s="197">
        <f>EITC!E205</f>
        <v>0</v>
      </c>
      <c r="I202" s="205">
        <f>Medicaid!N209*12</f>
        <v>0</v>
      </c>
      <c r="K202" s="185">
        <f t="shared" si="14"/>
        <v>17000</v>
      </c>
      <c r="L202" s="185">
        <f t="shared" si="15"/>
        <v>117000</v>
      </c>
      <c r="M202" s="36">
        <f t="shared" si="13"/>
        <v>9750</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4.4" x14ac:dyDescent="0.3"/>
  <cols>
    <col min="1" max="1" width="33" customWidth="1"/>
    <col min="2" max="2" width="19" customWidth="1"/>
    <col min="5" max="5" width="17.5546875" customWidth="1"/>
  </cols>
  <sheetData>
    <row r="1" spans="1:7" x14ac:dyDescent="0.3">
      <c r="A1" s="27" t="s">
        <v>115</v>
      </c>
      <c r="B1" s="27" t="s">
        <v>116</v>
      </c>
      <c r="E1" s="27" t="s">
        <v>117</v>
      </c>
      <c r="G1" s="27" t="s">
        <v>118</v>
      </c>
    </row>
    <row r="2" spans="1:7" x14ac:dyDescent="0.3">
      <c r="A2" t="s">
        <v>119</v>
      </c>
      <c r="B2" t="s">
        <v>88</v>
      </c>
      <c r="E2" t="s">
        <v>120</v>
      </c>
      <c r="G2" t="s">
        <v>620</v>
      </c>
    </row>
    <row r="3" spans="1:7" x14ac:dyDescent="0.3">
      <c r="A3" t="s">
        <v>121</v>
      </c>
      <c r="B3" t="s">
        <v>122</v>
      </c>
      <c r="E3" t="s">
        <v>123</v>
      </c>
      <c r="G3" t="s">
        <v>678</v>
      </c>
    </row>
    <row r="4" spans="1:7" x14ac:dyDescent="0.3">
      <c r="A4" s="88" t="s">
        <v>26</v>
      </c>
      <c r="B4" t="s">
        <v>124</v>
      </c>
      <c r="E4" t="s">
        <v>125</v>
      </c>
    </row>
    <row r="5" spans="1:7" x14ac:dyDescent="0.3">
      <c r="A5" t="s">
        <v>126</v>
      </c>
      <c r="B5" t="s">
        <v>127</v>
      </c>
      <c r="E5" t="s">
        <v>128</v>
      </c>
    </row>
    <row r="6" spans="1:7" x14ac:dyDescent="0.3">
      <c r="A6" t="s">
        <v>129</v>
      </c>
      <c r="B6" t="s">
        <v>92</v>
      </c>
      <c r="E6" t="s">
        <v>51</v>
      </c>
    </row>
    <row r="7" spans="1:7" x14ac:dyDescent="0.3">
      <c r="A7" t="s">
        <v>130</v>
      </c>
      <c r="B7" t="s">
        <v>93</v>
      </c>
      <c r="E7" t="s">
        <v>131</v>
      </c>
      <c r="G7" t="s">
        <v>132</v>
      </c>
    </row>
    <row r="8" spans="1:7" x14ac:dyDescent="0.3">
      <c r="A8" t="s">
        <v>133</v>
      </c>
      <c r="B8" t="s">
        <v>94</v>
      </c>
      <c r="E8" s="24" t="s">
        <v>134</v>
      </c>
    </row>
    <row r="9" spans="1:7" x14ac:dyDescent="0.3">
      <c r="A9" t="s">
        <v>135</v>
      </c>
      <c r="B9" t="s">
        <v>95</v>
      </c>
      <c r="G9" s="27" t="s">
        <v>136</v>
      </c>
    </row>
    <row r="10" spans="1:7" x14ac:dyDescent="0.3">
      <c r="A10" t="s">
        <v>137</v>
      </c>
      <c r="B10" t="s">
        <v>96</v>
      </c>
      <c r="E10" s="27" t="s">
        <v>138</v>
      </c>
      <c r="G10">
        <v>1</v>
      </c>
    </row>
    <row r="11" spans="1:7" x14ac:dyDescent="0.3">
      <c r="A11" t="s">
        <v>139</v>
      </c>
      <c r="E11" t="s">
        <v>140</v>
      </c>
      <c r="G11">
        <v>2</v>
      </c>
    </row>
    <row r="12" spans="1:7" x14ac:dyDescent="0.3">
      <c r="A12" t="s">
        <v>141</v>
      </c>
      <c r="B12" s="27" t="s">
        <v>142</v>
      </c>
      <c r="E12" t="s">
        <v>143</v>
      </c>
      <c r="G12">
        <v>3</v>
      </c>
    </row>
    <row r="13" spans="1:7" x14ac:dyDescent="0.3">
      <c r="A13" t="s">
        <v>144</v>
      </c>
      <c r="B13" t="s">
        <v>67</v>
      </c>
      <c r="G13">
        <v>4</v>
      </c>
    </row>
    <row r="14" spans="1:7" x14ac:dyDescent="0.3">
      <c r="A14" t="s">
        <v>145</v>
      </c>
      <c r="B14" t="s">
        <v>62</v>
      </c>
    </row>
    <row r="15" spans="1:7" x14ac:dyDescent="0.3">
      <c r="A15" t="s">
        <v>146</v>
      </c>
      <c r="E15" s="27" t="s">
        <v>147</v>
      </c>
    </row>
    <row r="16" spans="1:7" x14ac:dyDescent="0.3">
      <c r="A16" t="s">
        <v>148</v>
      </c>
      <c r="E16" t="s">
        <v>149</v>
      </c>
    </row>
    <row r="17" spans="1:5" x14ac:dyDescent="0.3">
      <c r="A17" t="s">
        <v>150</v>
      </c>
      <c r="E17" t="s">
        <v>151</v>
      </c>
    </row>
    <row r="18" spans="1:5" x14ac:dyDescent="0.3">
      <c r="A18" t="s">
        <v>152</v>
      </c>
      <c r="B18" s="55" t="s">
        <v>153</v>
      </c>
      <c r="E18" t="s">
        <v>154</v>
      </c>
    </row>
    <row r="19" spans="1:5" x14ac:dyDescent="0.3">
      <c r="A19" t="s">
        <v>155</v>
      </c>
      <c r="B19" s="66">
        <v>0</v>
      </c>
      <c r="E19" t="s">
        <v>62</v>
      </c>
    </row>
    <row r="20" spans="1:5" ht="15.6" x14ac:dyDescent="0.3">
      <c r="A20" t="s">
        <v>156</v>
      </c>
      <c r="B20" s="56">
        <v>1000</v>
      </c>
    </row>
    <row r="21" spans="1:5" ht="15.6" x14ac:dyDescent="0.3">
      <c r="A21" t="s">
        <v>157</v>
      </c>
      <c r="B21" s="56">
        <v>2000</v>
      </c>
    </row>
    <row r="22" spans="1:5" ht="15.6" x14ac:dyDescent="0.3">
      <c r="A22" t="s">
        <v>158</v>
      </c>
      <c r="B22" s="56">
        <v>3000</v>
      </c>
      <c r="E22" s="27" t="s">
        <v>671</v>
      </c>
    </row>
    <row r="23" spans="1:5" ht="15.6" x14ac:dyDescent="0.3">
      <c r="A23" t="s">
        <v>159</v>
      </c>
      <c r="B23" s="56">
        <v>4000</v>
      </c>
      <c r="E23" t="s">
        <v>675</v>
      </c>
    </row>
    <row r="24" spans="1:5" ht="15.6" x14ac:dyDescent="0.3">
      <c r="A24" t="s">
        <v>160</v>
      </c>
      <c r="B24" s="56">
        <v>5000</v>
      </c>
      <c r="E24" t="s">
        <v>672</v>
      </c>
    </row>
    <row r="25" spans="1:5" ht="15.6" x14ac:dyDescent="0.3">
      <c r="A25" s="88" t="s">
        <v>161</v>
      </c>
      <c r="B25" s="56">
        <v>6000</v>
      </c>
    </row>
    <row r="26" spans="1:5" ht="15.6" x14ac:dyDescent="0.3">
      <c r="A26" s="26" t="s">
        <v>162</v>
      </c>
      <c r="B26" s="56">
        <v>7000</v>
      </c>
    </row>
    <row r="27" spans="1:5" ht="15.6" x14ac:dyDescent="0.3">
      <c r="A27" s="26" t="s">
        <v>163</v>
      </c>
      <c r="B27" s="56">
        <v>8000</v>
      </c>
    </row>
    <row r="28" spans="1:5" ht="15.6" x14ac:dyDescent="0.3">
      <c r="A28" t="s">
        <v>164</v>
      </c>
      <c r="B28" s="56">
        <v>9000</v>
      </c>
    </row>
    <row r="29" spans="1:5" ht="15.6" x14ac:dyDescent="0.3">
      <c r="A29" t="s">
        <v>165</v>
      </c>
      <c r="B29" s="56">
        <v>10000</v>
      </c>
    </row>
    <row r="30" spans="1:5" ht="15.6" x14ac:dyDescent="0.3">
      <c r="A30" t="s">
        <v>166</v>
      </c>
      <c r="B30" s="56">
        <v>11000</v>
      </c>
    </row>
    <row r="31" spans="1:5" ht="15.6" x14ac:dyDescent="0.3">
      <c r="A31" t="s">
        <v>167</v>
      </c>
      <c r="B31" s="56">
        <v>12000</v>
      </c>
    </row>
    <row r="32" spans="1:5" ht="15.6" x14ac:dyDescent="0.3">
      <c r="A32" t="s">
        <v>168</v>
      </c>
      <c r="B32" s="56">
        <v>13000</v>
      </c>
    </row>
    <row r="33" spans="1:2" ht="15.6" x14ac:dyDescent="0.3">
      <c r="A33" t="s">
        <v>169</v>
      </c>
      <c r="B33" s="56">
        <v>14000</v>
      </c>
    </row>
    <row r="34" spans="1:2" ht="15.6" x14ac:dyDescent="0.3">
      <c r="A34" t="s">
        <v>170</v>
      </c>
      <c r="B34" s="56">
        <v>15000</v>
      </c>
    </row>
    <row r="35" spans="1:2" ht="15.6" x14ac:dyDescent="0.3">
      <c r="A35" t="s">
        <v>171</v>
      </c>
      <c r="B35" s="56">
        <v>16000</v>
      </c>
    </row>
    <row r="36" spans="1:2" ht="15.6" x14ac:dyDescent="0.3">
      <c r="A36" t="s">
        <v>172</v>
      </c>
      <c r="B36" s="56">
        <v>17000</v>
      </c>
    </row>
    <row r="37" spans="1:2" ht="15.6" x14ac:dyDescent="0.3">
      <c r="A37" t="s">
        <v>173</v>
      </c>
      <c r="B37" s="56">
        <v>18000</v>
      </c>
    </row>
    <row r="38" spans="1:2" ht="15.6" x14ac:dyDescent="0.3">
      <c r="A38" t="s">
        <v>174</v>
      </c>
      <c r="B38" s="56">
        <v>19000</v>
      </c>
    </row>
    <row r="39" spans="1:2" ht="15.6" x14ac:dyDescent="0.3">
      <c r="A39" s="88" t="s">
        <v>175</v>
      </c>
      <c r="B39" s="56">
        <v>20000</v>
      </c>
    </row>
    <row r="40" spans="1:2" ht="15.6" x14ac:dyDescent="0.3">
      <c r="A40" t="s">
        <v>176</v>
      </c>
      <c r="B40" s="56">
        <v>21000</v>
      </c>
    </row>
    <row r="41" spans="1:2" ht="15.6" x14ac:dyDescent="0.3">
      <c r="A41" s="88" t="s">
        <v>177</v>
      </c>
      <c r="B41" s="56">
        <v>22000</v>
      </c>
    </row>
    <row r="42" spans="1:2" ht="15.6" x14ac:dyDescent="0.3">
      <c r="A42" s="88" t="s">
        <v>178</v>
      </c>
      <c r="B42" s="56">
        <v>23000</v>
      </c>
    </row>
    <row r="43" spans="1:2" ht="15.6" x14ac:dyDescent="0.3">
      <c r="A43" s="88" t="s">
        <v>179</v>
      </c>
      <c r="B43" s="56">
        <v>24000</v>
      </c>
    </row>
    <row r="44" spans="1:2" ht="15.6" x14ac:dyDescent="0.3">
      <c r="A44" s="88" t="s">
        <v>180</v>
      </c>
      <c r="B44" s="56">
        <v>25000</v>
      </c>
    </row>
    <row r="45" spans="1:2" ht="15.6" x14ac:dyDescent="0.3">
      <c r="A45" s="88" t="s">
        <v>181</v>
      </c>
      <c r="B45" s="56">
        <v>26000</v>
      </c>
    </row>
    <row r="46" spans="1:2" ht="15.6" x14ac:dyDescent="0.3">
      <c r="A46" s="88" t="s">
        <v>182</v>
      </c>
      <c r="B46" s="56">
        <v>27000</v>
      </c>
    </row>
    <row r="47" spans="1:2" ht="15.6" x14ac:dyDescent="0.3">
      <c r="A47" t="s">
        <v>183</v>
      </c>
      <c r="B47" s="56">
        <v>28000</v>
      </c>
    </row>
    <row r="48" spans="1:2" ht="15.6" x14ac:dyDescent="0.3">
      <c r="A48" s="88" t="s">
        <v>184</v>
      </c>
      <c r="B48" s="56">
        <v>29000</v>
      </c>
    </row>
    <row r="49" spans="1:2" ht="15.6" x14ac:dyDescent="0.3">
      <c r="A49" s="88" t="s">
        <v>185</v>
      </c>
      <c r="B49" s="56">
        <v>30000</v>
      </c>
    </row>
    <row r="50" spans="1:2" ht="15.6" x14ac:dyDescent="0.3">
      <c r="A50" s="88" t="s">
        <v>186</v>
      </c>
      <c r="B50" s="56">
        <v>31000</v>
      </c>
    </row>
    <row r="51" spans="1:2" ht="15.6" x14ac:dyDescent="0.3">
      <c r="A51" s="88" t="s">
        <v>187</v>
      </c>
      <c r="B51" s="56">
        <v>32000</v>
      </c>
    </row>
    <row r="52" spans="1:2" ht="15.6" x14ac:dyDescent="0.3">
      <c r="A52" s="88" t="s">
        <v>188</v>
      </c>
      <c r="B52" s="56">
        <v>33000</v>
      </c>
    </row>
    <row r="53" spans="1:2" ht="15.6" x14ac:dyDescent="0.3">
      <c r="A53" s="88" t="s">
        <v>189</v>
      </c>
      <c r="B53" s="56">
        <v>34000</v>
      </c>
    </row>
    <row r="54" spans="1:2" ht="15.6" x14ac:dyDescent="0.3">
      <c r="A54" s="88" t="s">
        <v>190</v>
      </c>
      <c r="B54" s="56">
        <v>35000</v>
      </c>
    </row>
    <row r="55" spans="1:2" ht="15.6" x14ac:dyDescent="0.3">
      <c r="A55" s="88" t="s">
        <v>191</v>
      </c>
      <c r="B55" s="56">
        <v>36000</v>
      </c>
    </row>
    <row r="56" spans="1:2" ht="15.6" x14ac:dyDescent="0.3">
      <c r="A56" s="88" t="s">
        <v>192</v>
      </c>
      <c r="B56" s="56">
        <v>37000</v>
      </c>
    </row>
    <row r="57" spans="1:2" ht="15.6" x14ac:dyDescent="0.3">
      <c r="A57" s="88" t="s">
        <v>193</v>
      </c>
      <c r="B57" s="56">
        <v>38000</v>
      </c>
    </row>
    <row r="58" spans="1:2" ht="15.6" x14ac:dyDescent="0.3">
      <c r="A58" s="26" t="s">
        <v>194</v>
      </c>
      <c r="B58" s="56">
        <v>39000</v>
      </c>
    </row>
    <row r="59" spans="1:2" ht="15.6" x14ac:dyDescent="0.3">
      <c r="A59" s="88" t="s">
        <v>195</v>
      </c>
      <c r="B59" s="56">
        <v>40000</v>
      </c>
    </row>
    <row r="60" spans="1:2" ht="15.6" x14ac:dyDescent="0.3">
      <c r="A60" s="88" t="s">
        <v>196</v>
      </c>
      <c r="B60" s="56">
        <v>41000</v>
      </c>
    </row>
    <row r="61" spans="1:2" ht="15.6" x14ac:dyDescent="0.3">
      <c r="A61" s="88" t="s">
        <v>197</v>
      </c>
      <c r="B61" s="56">
        <v>42000</v>
      </c>
    </row>
    <row r="62" spans="1:2" ht="15.6" x14ac:dyDescent="0.3">
      <c r="A62" s="88" t="s">
        <v>198</v>
      </c>
      <c r="B62" s="56">
        <v>43000</v>
      </c>
    </row>
    <row r="63" spans="1:2" ht="15.6" x14ac:dyDescent="0.3">
      <c r="A63" s="88" t="s">
        <v>199</v>
      </c>
      <c r="B63" s="56">
        <v>44000</v>
      </c>
    </row>
    <row r="64" spans="1:2" ht="15.6" x14ac:dyDescent="0.3">
      <c r="A64" s="88" t="s">
        <v>200</v>
      </c>
      <c r="B64" s="56">
        <v>45000</v>
      </c>
    </row>
    <row r="65" spans="1:2" ht="15.6" x14ac:dyDescent="0.3">
      <c r="A65" s="88" t="s">
        <v>201</v>
      </c>
      <c r="B65" s="56">
        <v>46000</v>
      </c>
    </row>
    <row r="66" spans="1:2" ht="15.6" x14ac:dyDescent="0.3">
      <c r="A66" s="88" t="s">
        <v>202</v>
      </c>
      <c r="B66" s="56">
        <v>47000</v>
      </c>
    </row>
    <row r="67" spans="1:2" ht="15.6" x14ac:dyDescent="0.3">
      <c r="A67" s="88" t="s">
        <v>203</v>
      </c>
      <c r="B67" s="56">
        <v>48000</v>
      </c>
    </row>
    <row r="68" spans="1:2" ht="15.6" x14ac:dyDescent="0.3">
      <c r="A68" s="88" t="s">
        <v>204</v>
      </c>
      <c r="B68" s="56">
        <v>49000</v>
      </c>
    </row>
    <row r="69" spans="1:2" ht="15.6" x14ac:dyDescent="0.3">
      <c r="A69" s="88" t="s">
        <v>205</v>
      </c>
      <c r="B69" s="56">
        <v>50000</v>
      </c>
    </row>
    <row r="70" spans="1:2" ht="15.6" x14ac:dyDescent="0.3">
      <c r="A70" s="88" t="s">
        <v>206</v>
      </c>
      <c r="B70" s="56">
        <v>51000</v>
      </c>
    </row>
    <row r="71" spans="1:2" ht="15.6" x14ac:dyDescent="0.3">
      <c r="A71" s="88" t="s">
        <v>207</v>
      </c>
      <c r="B71" s="56">
        <v>52000</v>
      </c>
    </row>
    <row r="72" spans="1:2" ht="15.6" x14ac:dyDescent="0.3">
      <c r="A72" s="88" t="s">
        <v>208</v>
      </c>
      <c r="B72" s="56">
        <v>53000</v>
      </c>
    </row>
    <row r="73" spans="1:2" ht="15.6" x14ac:dyDescent="0.3">
      <c r="A73" s="88" t="s">
        <v>209</v>
      </c>
      <c r="B73" s="56">
        <v>54000</v>
      </c>
    </row>
    <row r="74" spans="1:2" ht="15.6" x14ac:dyDescent="0.3">
      <c r="A74" s="88" t="s">
        <v>210</v>
      </c>
      <c r="B74" s="56">
        <v>55000</v>
      </c>
    </row>
    <row r="75" spans="1:2" ht="15.6" x14ac:dyDescent="0.3">
      <c r="A75" s="88" t="s">
        <v>211</v>
      </c>
      <c r="B75" s="56">
        <v>56000</v>
      </c>
    </row>
    <row r="76" spans="1:2" ht="15.6" x14ac:dyDescent="0.3">
      <c r="A76" s="88" t="s">
        <v>212</v>
      </c>
      <c r="B76" s="56">
        <v>57000</v>
      </c>
    </row>
    <row r="77" spans="1:2" ht="15.6" x14ac:dyDescent="0.3">
      <c r="A77" s="88" t="s">
        <v>213</v>
      </c>
      <c r="B77" s="56">
        <v>58000</v>
      </c>
    </row>
    <row r="78" spans="1:2" ht="15.6" x14ac:dyDescent="0.3">
      <c r="A78" s="88" t="s">
        <v>214</v>
      </c>
      <c r="B78" s="56">
        <v>59000</v>
      </c>
    </row>
    <row r="79" spans="1:2" ht="15.6" x14ac:dyDescent="0.3">
      <c r="A79" s="88" t="s">
        <v>215</v>
      </c>
      <c r="B79" s="56">
        <v>60000</v>
      </c>
    </row>
    <row r="80" spans="1:2" ht="15.6" x14ac:dyDescent="0.3">
      <c r="A80" s="88" t="s">
        <v>216</v>
      </c>
      <c r="B80" s="56">
        <v>61000</v>
      </c>
    </row>
    <row r="81" spans="1:2" ht="15.6" x14ac:dyDescent="0.3">
      <c r="A81" s="88" t="s">
        <v>217</v>
      </c>
      <c r="B81" s="56">
        <v>62000</v>
      </c>
    </row>
    <row r="82" spans="1:2" ht="15.6" x14ac:dyDescent="0.3">
      <c r="A82" s="88" t="s">
        <v>218</v>
      </c>
      <c r="B82" s="56">
        <v>63000</v>
      </c>
    </row>
    <row r="83" spans="1:2" ht="15.6" x14ac:dyDescent="0.3">
      <c r="A83" s="88" t="s">
        <v>219</v>
      </c>
      <c r="B83" s="56">
        <v>64000</v>
      </c>
    </row>
    <row r="84" spans="1:2" ht="15.6" x14ac:dyDescent="0.3">
      <c r="A84" s="88" t="s">
        <v>220</v>
      </c>
      <c r="B84" s="56">
        <v>65000</v>
      </c>
    </row>
    <row r="85" spans="1:2" ht="15.6" x14ac:dyDescent="0.3">
      <c r="A85" s="88" t="s">
        <v>221</v>
      </c>
      <c r="B85" s="56">
        <v>66000</v>
      </c>
    </row>
    <row r="86" spans="1:2" ht="15.6" x14ac:dyDescent="0.3">
      <c r="A86" s="26" t="s">
        <v>222</v>
      </c>
      <c r="B86" s="56">
        <v>67000</v>
      </c>
    </row>
    <row r="87" spans="1:2" ht="15.6" x14ac:dyDescent="0.3">
      <c r="A87" s="26" t="s">
        <v>223</v>
      </c>
      <c r="B87" s="56">
        <v>68000</v>
      </c>
    </row>
    <row r="88" spans="1:2" ht="15.6" x14ac:dyDescent="0.3">
      <c r="A88" s="88" t="s">
        <v>224</v>
      </c>
      <c r="B88" s="56">
        <v>69000</v>
      </c>
    </row>
    <row r="89" spans="1:2" ht="15.6" x14ac:dyDescent="0.3">
      <c r="A89" s="88" t="s">
        <v>225</v>
      </c>
      <c r="B89" s="56">
        <v>70000</v>
      </c>
    </row>
    <row r="90" spans="1:2" ht="15.6" x14ac:dyDescent="0.3">
      <c r="A90" s="88" t="s">
        <v>226</v>
      </c>
      <c r="B90" s="56">
        <v>71000</v>
      </c>
    </row>
    <row r="91" spans="1:2" ht="15.6" x14ac:dyDescent="0.3">
      <c r="A91" s="88" t="s">
        <v>227</v>
      </c>
      <c r="B91" s="56">
        <v>72000</v>
      </c>
    </row>
    <row r="92" spans="1:2" ht="15.6" x14ac:dyDescent="0.3">
      <c r="A92" s="88" t="s">
        <v>228</v>
      </c>
      <c r="B92" s="56">
        <v>73000</v>
      </c>
    </row>
    <row r="93" spans="1:2" ht="15.6" x14ac:dyDescent="0.3">
      <c r="A93" s="88" t="s">
        <v>229</v>
      </c>
      <c r="B93" s="56">
        <v>74000</v>
      </c>
    </row>
    <row r="94" spans="1:2" ht="15.6" x14ac:dyDescent="0.3">
      <c r="A94" s="88" t="s">
        <v>230</v>
      </c>
      <c r="B94" s="56">
        <v>75000</v>
      </c>
    </row>
    <row r="95" spans="1:2" ht="15.6" x14ac:dyDescent="0.3">
      <c r="A95" s="88" t="s">
        <v>231</v>
      </c>
      <c r="B95" s="56">
        <v>76000</v>
      </c>
    </row>
    <row r="96" spans="1:2" ht="15.6" x14ac:dyDescent="0.3">
      <c r="A96" s="88" t="s">
        <v>232</v>
      </c>
      <c r="B96" s="56">
        <v>77000</v>
      </c>
    </row>
    <row r="97" spans="1:2" ht="15.6" x14ac:dyDescent="0.3">
      <c r="A97" s="88" t="s">
        <v>233</v>
      </c>
      <c r="B97" s="56">
        <v>78000</v>
      </c>
    </row>
    <row r="98" spans="1:2" ht="15.6" x14ac:dyDescent="0.3">
      <c r="A98" s="88" t="s">
        <v>234</v>
      </c>
      <c r="B98" s="56">
        <v>79000</v>
      </c>
    </row>
    <row r="99" spans="1:2" ht="15.6" x14ac:dyDescent="0.3">
      <c r="A99" s="88" t="s">
        <v>235</v>
      </c>
      <c r="B99" s="56">
        <v>80000</v>
      </c>
    </row>
    <row r="100" spans="1:2" ht="15.6" x14ac:dyDescent="0.3">
      <c r="A100" s="88" t="s">
        <v>236</v>
      </c>
      <c r="B100" s="56">
        <v>81000</v>
      </c>
    </row>
    <row r="101" spans="1:2" ht="15.6" x14ac:dyDescent="0.3">
      <c r="A101" s="88" t="s">
        <v>237</v>
      </c>
      <c r="B101" s="56">
        <v>82000</v>
      </c>
    </row>
    <row r="102" spans="1:2" ht="15.6" x14ac:dyDescent="0.3">
      <c r="A102" s="26" t="s">
        <v>238</v>
      </c>
      <c r="B102" s="56">
        <v>83000</v>
      </c>
    </row>
    <row r="103" spans="1:2" ht="15.6" x14ac:dyDescent="0.3">
      <c r="A103" s="88" t="s">
        <v>239</v>
      </c>
      <c r="B103" s="56">
        <v>84000</v>
      </c>
    </row>
    <row r="104" spans="1:2" ht="15.6" x14ac:dyDescent="0.3">
      <c r="A104" s="88" t="s">
        <v>240</v>
      </c>
      <c r="B104" s="56">
        <v>85000</v>
      </c>
    </row>
    <row r="105" spans="1:2" ht="15.6" x14ac:dyDescent="0.3">
      <c r="A105" s="88" t="s">
        <v>241</v>
      </c>
      <c r="B105" s="56">
        <v>86000</v>
      </c>
    </row>
    <row r="106" spans="1:2" ht="15.6" x14ac:dyDescent="0.3">
      <c r="A106" s="26" t="s">
        <v>242</v>
      </c>
      <c r="B106" s="56">
        <v>87000</v>
      </c>
    </row>
    <row r="107" spans="1:2" ht="15.6" x14ac:dyDescent="0.3">
      <c r="A107" s="26" t="s">
        <v>243</v>
      </c>
      <c r="B107" s="56">
        <v>88000</v>
      </c>
    </row>
    <row r="108" spans="1:2" ht="15.6" x14ac:dyDescent="0.3">
      <c r="A108" s="26" t="s">
        <v>244</v>
      </c>
      <c r="B108" s="56">
        <v>89000</v>
      </c>
    </row>
    <row r="109" spans="1:2" ht="15.6" x14ac:dyDescent="0.3">
      <c r="A109" s="26" t="s">
        <v>245</v>
      </c>
      <c r="B109" s="56">
        <v>90000</v>
      </c>
    </row>
    <row r="110" spans="1:2" ht="15.6" x14ac:dyDescent="0.3">
      <c r="A110" s="26" t="s">
        <v>246</v>
      </c>
      <c r="B110" s="56">
        <v>91000</v>
      </c>
    </row>
    <row r="111" spans="1:2" ht="15.6" x14ac:dyDescent="0.3">
      <c r="A111" s="88" t="s">
        <v>247</v>
      </c>
      <c r="B111" s="56">
        <v>92000</v>
      </c>
    </row>
    <row r="112" spans="1:2" ht="15.6" x14ac:dyDescent="0.3">
      <c r="A112" s="88" t="s">
        <v>248</v>
      </c>
      <c r="B112" s="56">
        <v>93000</v>
      </c>
    </row>
    <row r="113" spans="1:2" ht="15.6" x14ac:dyDescent="0.3">
      <c r="A113" s="88" t="s">
        <v>249</v>
      </c>
      <c r="B113" s="56">
        <v>94000</v>
      </c>
    </row>
    <row r="114" spans="1:2" ht="15.6" x14ac:dyDescent="0.3">
      <c r="A114" s="88" t="s">
        <v>250</v>
      </c>
      <c r="B114" s="56">
        <v>95000</v>
      </c>
    </row>
    <row r="115" spans="1:2" ht="15.6" x14ac:dyDescent="0.3">
      <c r="A115" s="26" t="s">
        <v>251</v>
      </c>
      <c r="B115" s="56">
        <v>96000</v>
      </c>
    </row>
    <row r="116" spans="1:2" ht="15.6" x14ac:dyDescent="0.3">
      <c r="A116" s="88" t="s">
        <v>252</v>
      </c>
      <c r="B116" s="56">
        <v>97000</v>
      </c>
    </row>
    <row r="117" spans="1:2" ht="15.6" x14ac:dyDescent="0.3">
      <c r="A117" s="88" t="s">
        <v>253</v>
      </c>
      <c r="B117" s="56">
        <v>98000</v>
      </c>
    </row>
    <row r="118" spans="1:2" ht="15.6" x14ac:dyDescent="0.3">
      <c r="A118" s="26" t="s">
        <v>254</v>
      </c>
      <c r="B118" s="56">
        <v>99000</v>
      </c>
    </row>
    <row r="119" spans="1:2" ht="15.6" x14ac:dyDescent="0.3">
      <c r="A119" s="26" t="s">
        <v>255</v>
      </c>
      <c r="B119" s="56">
        <v>100000</v>
      </c>
    </row>
    <row r="120" spans="1:2" x14ac:dyDescent="0.3">
      <c r="A120" s="88" t="s">
        <v>256</v>
      </c>
    </row>
    <row r="121" spans="1:2" x14ac:dyDescent="0.3">
      <c r="A121" s="26" t="s">
        <v>257</v>
      </c>
    </row>
    <row r="122" spans="1:2" x14ac:dyDescent="0.3">
      <c r="A122" s="88" t="s">
        <v>258</v>
      </c>
    </row>
    <row r="123" spans="1:2" x14ac:dyDescent="0.3">
      <c r="A123" s="88" t="s">
        <v>259</v>
      </c>
    </row>
    <row r="124" spans="1:2" x14ac:dyDescent="0.3">
      <c r="A124" s="88" t="s">
        <v>260</v>
      </c>
    </row>
    <row r="125" spans="1:2" x14ac:dyDescent="0.3">
      <c r="A125" s="88" t="s">
        <v>261</v>
      </c>
    </row>
    <row r="126" spans="1:2" x14ac:dyDescent="0.3">
      <c r="A126" s="88" t="s">
        <v>262</v>
      </c>
    </row>
    <row r="127" spans="1:2" x14ac:dyDescent="0.3">
      <c r="A127" s="26" t="s">
        <v>263</v>
      </c>
    </row>
    <row r="128" spans="1:2" x14ac:dyDescent="0.3">
      <c r="A128" s="88" t="s">
        <v>264</v>
      </c>
    </row>
    <row r="129" spans="1:1" x14ac:dyDescent="0.3">
      <c r="A129" s="88" t="s">
        <v>265</v>
      </c>
    </row>
    <row r="130" spans="1:1" x14ac:dyDescent="0.3">
      <c r="A130" s="88" t="s">
        <v>266</v>
      </c>
    </row>
    <row r="131" spans="1:1" x14ac:dyDescent="0.3">
      <c r="A131" s="88" t="s">
        <v>267</v>
      </c>
    </row>
    <row r="132" spans="1:1" x14ac:dyDescent="0.3">
      <c r="A132" s="88" t="s">
        <v>268</v>
      </c>
    </row>
    <row r="133" spans="1:1" x14ac:dyDescent="0.3">
      <c r="A133" s="88" t="s">
        <v>269</v>
      </c>
    </row>
    <row r="134" spans="1:1" x14ac:dyDescent="0.3">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4.4" x14ac:dyDescent="0.3"/>
  <cols>
    <col min="1" max="2" width="21.88671875" style="7" customWidth="1"/>
    <col min="3" max="3" width="17" style="64" customWidth="1"/>
    <col min="4" max="4" width="19.109375" style="12" customWidth="1"/>
    <col min="5" max="5" width="16.33203125" style="7" customWidth="1"/>
    <col min="6" max="6" width="16" style="7" customWidth="1"/>
    <col min="7" max="7" width="20.5546875" style="7" customWidth="1"/>
    <col min="8" max="8" width="21.109375" style="7" customWidth="1"/>
    <col min="9" max="9" width="19" style="7" customWidth="1"/>
    <col min="10" max="10" width="17.109375" style="7" customWidth="1"/>
    <col min="11" max="11" width="16.33203125" customWidth="1"/>
    <col min="12" max="12" width="13.5546875" customWidth="1"/>
    <col min="13" max="13" width="13.6640625" customWidth="1"/>
    <col min="14" max="14" width="15.44140625" customWidth="1"/>
    <col min="15" max="15" width="14.88671875" customWidth="1"/>
    <col min="16" max="16" width="20.109375" style="29" customWidth="1"/>
    <col min="17" max="17" width="21.88671875" customWidth="1"/>
    <col min="18" max="18" width="12.6640625" customWidth="1"/>
    <col min="19" max="19" width="40.5546875" customWidth="1"/>
  </cols>
  <sheetData>
    <row r="1" spans="1:19" ht="60" customHeight="1" x14ac:dyDescent="0.3">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3">
      <c r="A2" s="78" t="str">
        <f>'Total income package'!B3</f>
        <v xml:space="preserve">Buckingham </v>
      </c>
      <c r="B2" s="77">
        <f>'Total income package'!B32</f>
        <v>5</v>
      </c>
      <c r="C2" s="77">
        <f>COUNTIF('Total income package'!$B$48:$B$54,"Infant")</f>
        <v>1</v>
      </c>
      <c r="D2" s="77">
        <f>COUNTIF('Total income package'!$B$48:$B$54,"Toddler")</f>
        <v>0</v>
      </c>
      <c r="E2" s="77">
        <f>COUNTIF('Total income package'!$B$48:$B$54,"Two year old")</f>
        <v>0</v>
      </c>
      <c r="F2" s="77">
        <f>COUNTIF('Total income package'!$B$48:$B$54,"Preschool")</f>
        <v>0</v>
      </c>
      <c r="G2" s="77">
        <f>COUNTIF('Total income package'!$B$48:$B$54,"School age")</f>
        <v>1</v>
      </c>
      <c r="H2" s="77">
        <f>COUNTIF('Total income package'!$B$48:$B$54,"13-18 years old")</f>
        <v>0</v>
      </c>
      <c r="J2" s="100">
        <f>VLOOKUP(B2,'Program specific data'!A5:C13,2)</f>
        <v>38680</v>
      </c>
      <c r="K2" s="442">
        <f>VLOOKUP(B2,'Program specific data'!A5:C13,3)</f>
        <v>3223.3333333333335</v>
      </c>
      <c r="L2" s="442"/>
      <c r="M2" s="78">
        <f>IF(A3=1,VLOOKUP(B2,'Program specific data'!A20:F27,3,FALSE),IF(A3=2,VLOOKUP(B2,'Program specific data'!A20:F27,4,FALSE),IF(A3=3,VLOOKUP(B2,'Program specific data'!A20:F27,5),IF(A3=4,VLOOKUP(B2,'Program specific data'!A20:F27,6,FALSE)))))</f>
        <v>4835</v>
      </c>
      <c r="N2" s="311">
        <f>VLOOKUP(B2,'Program specific data'!A20:B27,2)</f>
        <v>11011</v>
      </c>
      <c r="O2" s="29"/>
      <c r="P2"/>
      <c r="Q2" s="7"/>
    </row>
    <row r="3" spans="1:19" x14ac:dyDescent="0.3">
      <c r="A3" s="79">
        <f>VLOOKUP('Total income package'!B3,'Location specific data'!A3:AM135,39,FALSE)</f>
        <v>1</v>
      </c>
      <c r="F3" s="440" t="s">
        <v>284</v>
      </c>
      <c r="G3" s="440"/>
      <c r="H3" s="440"/>
      <c r="I3" s="440"/>
      <c r="J3" s="440"/>
      <c r="L3" s="7"/>
    </row>
    <row r="4" spans="1:19" s="104" customFormat="1" ht="99" customHeight="1" x14ac:dyDescent="0.3">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3">
      <c r="A5" s="63">
        <v>0</v>
      </c>
      <c r="B5" s="7">
        <f>A5/12</f>
        <v>0</v>
      </c>
      <c r="C5" s="7">
        <f>'Total income package'!$D$80</f>
        <v>0</v>
      </c>
      <c r="D5" s="7">
        <f>B5+C5</f>
        <v>0</v>
      </c>
      <c r="E5" s="65">
        <f>D5/$K$2</f>
        <v>0</v>
      </c>
      <c r="F5" s="65" t="str">
        <f t="shared" ref="F5:F68" si="0">IF(AND(B5&lt;$N$2,SUM($C$2:$F$2)&gt;0),"Yes","No")</f>
        <v>Yes</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1400</v>
      </c>
      <c r="K5" s="6">
        <f>IF(B5&gt;$N$2,0,VLOOKUP('Total income package'!$B$3,'Location specific data'!$A$3:$AO$135,34,FALSE))*$D$2*20</f>
        <v>0</v>
      </c>
      <c r="L5" s="6">
        <f>IF(B5&gt;$N$2,0,VLOOKUP('Total income package'!$B$3,'Location specific data'!$A$3:$AO$135,35,FALSE))*$E$2*20</f>
        <v>0</v>
      </c>
      <c r="M5" s="6">
        <f>IF(B5&gt;$N$2,0,VLOOKUP('Total income package'!$B$3,'Location specific data'!$A$3:$AO$135,36,FALSE))*$F$2*20</f>
        <v>0</v>
      </c>
      <c r="N5" s="6">
        <f>IF(B5&gt;$N$2,0,VLOOKUP('Total income package'!$B$3,'Location specific data'!$A$3:$AO$135,37,FALSE))*($G$2+$H$2)*20</f>
        <v>600</v>
      </c>
      <c r="O5" s="6">
        <f t="shared" ref="O5:O68" si="2">I5*SUM($C$2:$H$2)</f>
        <v>0</v>
      </c>
      <c r="P5" s="312">
        <f t="shared" ref="P5:P36" si="3">B5*0.05</f>
        <v>0</v>
      </c>
      <c r="Q5" s="312">
        <f t="shared" ref="Q5:Q68" si="4">I5*3</f>
        <v>0</v>
      </c>
      <c r="R5" s="312">
        <f>IF(MIN(O5,P5)&lt;Q5,MIN(O5,P5),Q5)</f>
        <v>0</v>
      </c>
      <c r="S5" s="160">
        <f>IF(AND('Total income package'!$A$8=TRUE,OR(F5="Yes",G5="Yes",H5="Yes")),SUM(J5:N5)-R5,0)</f>
        <v>2000</v>
      </c>
    </row>
    <row r="6" spans="1:19" s="14" customFormat="1" x14ac:dyDescent="0.3">
      <c r="A6" s="63">
        <v>500</v>
      </c>
      <c r="B6" s="7">
        <f t="shared" ref="B6:B69" si="5">A6/12</f>
        <v>41.666666666666664</v>
      </c>
      <c r="C6" s="7">
        <f>'Total income package'!$D$80</f>
        <v>0</v>
      </c>
      <c r="D6" s="7">
        <f t="shared" ref="D6:D69" si="6">B6+C6</f>
        <v>41.666666666666664</v>
      </c>
      <c r="E6" s="65">
        <f t="shared" ref="E6:E69" si="7">D6/$K$2</f>
        <v>1.2926577042399171E-2</v>
      </c>
      <c r="F6" s="65" t="str">
        <f t="shared" si="0"/>
        <v>Yes</v>
      </c>
      <c r="G6" s="65" t="str">
        <f t="shared" si="1"/>
        <v>Yes</v>
      </c>
      <c r="H6" s="301" t="str">
        <f>IF(OR('TANF-VIEW'!L10&gt;0,'TANF-VIEW'!T10&gt;0),"Yes","No")</f>
        <v>Yes</v>
      </c>
      <c r="I6" s="63">
        <f t="shared" ref="I6:I68" si="8">IF(B6&gt;=$N$2,0,IF(E6&gt;3.5,375*SUM($C$2:$H$2),IF(E6&gt;3,325*SUM($C$2:$H$2),IF(E6&gt;2.5,275*SUM($C$2:$H$2),IF(E6&gt;2,225*SUM($C$2:$H$2),IF(E6&gt;1.5,175*SUM($C$2:$H$2),IF(E6&gt;1,125*SUM($C$2:$H$2),IF(E6&gt;0,5*SUM($C$2:$H$2),0))))))))</f>
        <v>10</v>
      </c>
      <c r="J6" s="6">
        <f>(IF(B6&gt;$N$2,0,VLOOKUP('Total income package'!$B$3,'Location specific data'!$A$3:$AO$135,33,FALSE))*$C$2)*20</f>
        <v>1400</v>
      </c>
      <c r="K6" s="6">
        <f>IF(B6&gt;$N$2,0,VLOOKUP('Total income package'!$B$3,'Location specific data'!$A$3:$AO$135,34,FALSE))*$D$2*20</f>
        <v>0</v>
      </c>
      <c r="L6" s="6">
        <f>IF(B6&gt;$N$2,0,VLOOKUP('Total income package'!$B$3,'Location specific data'!$A$3:$AO$135,35,FALSE))*$E$2*20</f>
        <v>0</v>
      </c>
      <c r="M6" s="6">
        <f>IF(B6&gt;$N$2,0,VLOOKUP('Total income package'!$B$3,'Location specific data'!$A$3:$AO$135,36,FALSE))*$F$2*20</f>
        <v>0</v>
      </c>
      <c r="N6" s="6">
        <f>IF(B6&gt;$N$2,0,VLOOKUP('Total income package'!$B$3,'Location specific data'!$A$3:$AO$135,37,FALSE))*($G$2+$H$2)*20</f>
        <v>600</v>
      </c>
      <c r="O6" s="6">
        <f t="shared" si="2"/>
        <v>20</v>
      </c>
      <c r="P6" s="312">
        <f t="shared" si="3"/>
        <v>2.0833333333333335</v>
      </c>
      <c r="Q6" s="312">
        <f t="shared" si="4"/>
        <v>30</v>
      </c>
      <c r="R6" s="312">
        <f t="shared" ref="R6:R69" si="9">IF(MIN(O6,P6)&lt;Q6,MIN(O6,P6),Q6)</f>
        <v>2.0833333333333335</v>
      </c>
      <c r="S6" s="160">
        <f>IF(AND('Total income package'!$A$8=TRUE,OR(F6="Yes",G6="Yes",H6="Yes")),SUM(J6:N6)-R6,0)</f>
        <v>1997.9166666666667</v>
      </c>
    </row>
    <row r="7" spans="1:19" s="5" customFormat="1" x14ac:dyDescent="0.3">
      <c r="A7" s="6">
        <v>1000</v>
      </c>
      <c r="B7" s="7">
        <f t="shared" si="5"/>
        <v>83.333333333333329</v>
      </c>
      <c r="C7" s="7">
        <f>'Total income package'!$D$80</f>
        <v>0</v>
      </c>
      <c r="D7" s="7">
        <f t="shared" si="6"/>
        <v>83.333333333333329</v>
      </c>
      <c r="E7" s="65">
        <f t="shared" si="7"/>
        <v>2.5853154084798342E-2</v>
      </c>
      <c r="F7" s="65" t="str">
        <f t="shared" si="0"/>
        <v>Yes</v>
      </c>
      <c r="G7" s="65" t="str">
        <f t="shared" si="1"/>
        <v>Yes</v>
      </c>
      <c r="H7" s="301" t="str">
        <f>IF(OR('TANF-VIEW'!L11&gt;0,'TANF-VIEW'!T11&gt;0),"Yes","No")</f>
        <v>Yes</v>
      </c>
      <c r="I7" s="63">
        <f t="shared" si="8"/>
        <v>10</v>
      </c>
      <c r="J7" s="6">
        <f>(IF(B7&gt;$N$2,0,VLOOKUP('Total income package'!$B$3,'Location specific data'!$A$3:$AO$135,33,FALSE))*$C$2)*20</f>
        <v>1400</v>
      </c>
      <c r="K7" s="6">
        <f>IF(B7&gt;$N$2,0,VLOOKUP('Total income package'!$B$3,'Location specific data'!$A$3:$AO$135,34,FALSE))*$D$2*20</f>
        <v>0</v>
      </c>
      <c r="L7" s="6">
        <f>IF(B7&gt;$N$2,0,VLOOKUP('Total income package'!$B$3,'Location specific data'!$A$3:$AO$135,35,FALSE))*$E$2*20</f>
        <v>0</v>
      </c>
      <c r="M7" s="6">
        <f>IF(B7&gt;$N$2,0,VLOOKUP('Total income package'!$B$3,'Location specific data'!$A$3:$AO$135,36,FALSE))*$F$2*20</f>
        <v>0</v>
      </c>
      <c r="N7" s="6">
        <f>IF(B7&gt;$N$2,0,VLOOKUP('Total income package'!$B$3,'Location specific data'!$A$3:$AO$135,37,FALSE))*($G$2+$H$2)*20</f>
        <v>600</v>
      </c>
      <c r="O7" s="6">
        <f t="shared" si="2"/>
        <v>20</v>
      </c>
      <c r="P7" s="312">
        <f t="shared" si="3"/>
        <v>4.166666666666667</v>
      </c>
      <c r="Q7" s="312">
        <f t="shared" si="4"/>
        <v>30</v>
      </c>
      <c r="R7" s="312">
        <f t="shared" si="9"/>
        <v>4.166666666666667</v>
      </c>
      <c r="S7" s="160">
        <f>IF(AND('Total income package'!$A$8=TRUE,OR(F7="Yes",G7="Yes",H7="Yes")),SUM(J7:N7)-R7,0)</f>
        <v>1995.8333333333333</v>
      </c>
    </row>
    <row r="8" spans="1:19" s="5" customFormat="1" x14ac:dyDescent="0.3">
      <c r="A8" s="6">
        <v>1500</v>
      </c>
      <c r="B8" s="7">
        <f t="shared" si="5"/>
        <v>125</v>
      </c>
      <c r="C8" s="7">
        <f>'Total income package'!$D$80</f>
        <v>0</v>
      </c>
      <c r="D8" s="7">
        <f t="shared" si="6"/>
        <v>125</v>
      </c>
      <c r="E8" s="65">
        <f t="shared" si="7"/>
        <v>3.8779731127197514E-2</v>
      </c>
      <c r="F8" s="65" t="str">
        <f t="shared" si="0"/>
        <v>Yes</v>
      </c>
      <c r="G8" s="65" t="str">
        <f t="shared" si="1"/>
        <v>Yes</v>
      </c>
      <c r="H8" s="301" t="str">
        <f>IF(OR('TANF-VIEW'!L12&gt;0,'TANF-VIEW'!T12&gt;0),"Yes","No")</f>
        <v>Yes</v>
      </c>
      <c r="I8" s="63">
        <f t="shared" si="8"/>
        <v>10</v>
      </c>
      <c r="J8" s="6">
        <f>(IF(B8&gt;$N$2,0,VLOOKUP('Total income package'!$B$3,'Location specific data'!$A$3:$AO$135,33,FALSE))*$C$2)*20</f>
        <v>1400</v>
      </c>
      <c r="K8" s="6">
        <f>IF(B8&gt;$N$2,0,VLOOKUP('Total income package'!$B$3,'Location specific data'!$A$3:$AO$135,34,FALSE))*$D$2*20</f>
        <v>0</v>
      </c>
      <c r="L8" s="6">
        <f>IF(B8&gt;$N$2,0,VLOOKUP('Total income package'!$B$3,'Location specific data'!$A$3:$AO$135,35,FALSE))*$E$2*20</f>
        <v>0</v>
      </c>
      <c r="M8" s="6">
        <f>IF(B8&gt;$N$2,0,VLOOKUP('Total income package'!$B$3,'Location specific data'!$A$3:$AO$135,36,FALSE))*$F$2*20</f>
        <v>0</v>
      </c>
      <c r="N8" s="6">
        <f>IF(B8&gt;$N$2,0,VLOOKUP('Total income package'!$B$3,'Location specific data'!$A$3:$AO$135,37,FALSE))*($G$2+$H$2)*20</f>
        <v>600</v>
      </c>
      <c r="O8" s="6">
        <f t="shared" si="2"/>
        <v>20</v>
      </c>
      <c r="P8" s="312">
        <f t="shared" si="3"/>
        <v>6.25</v>
      </c>
      <c r="Q8" s="312">
        <f t="shared" si="4"/>
        <v>30</v>
      </c>
      <c r="R8" s="312">
        <f t="shared" si="9"/>
        <v>6.25</v>
      </c>
      <c r="S8" s="160">
        <f>IF(AND('Total income package'!$A$8=TRUE,OR(F8="Yes",G8="Yes",H8="Yes")),SUM(J8:N8)-R8,0)</f>
        <v>1993.75</v>
      </c>
    </row>
    <row r="9" spans="1:19" s="5" customFormat="1" x14ac:dyDescent="0.3">
      <c r="A9" s="6">
        <v>2000</v>
      </c>
      <c r="B9" s="7">
        <f t="shared" si="5"/>
        <v>166.66666666666666</v>
      </c>
      <c r="C9" s="7">
        <f>'Total income package'!$D$80</f>
        <v>0</v>
      </c>
      <c r="D9" s="7">
        <f t="shared" si="6"/>
        <v>166.66666666666666</v>
      </c>
      <c r="E9" s="65">
        <f t="shared" si="7"/>
        <v>5.1706308169596683E-2</v>
      </c>
      <c r="F9" s="65" t="str">
        <f t="shared" si="0"/>
        <v>Yes</v>
      </c>
      <c r="G9" s="65" t="str">
        <f t="shared" si="1"/>
        <v>Yes</v>
      </c>
      <c r="H9" s="301" t="str">
        <f>IF(OR('TANF-VIEW'!L13&gt;0,'TANF-VIEW'!T13&gt;0),"Yes","No")</f>
        <v>Yes</v>
      </c>
      <c r="I9" s="63">
        <f t="shared" si="8"/>
        <v>10</v>
      </c>
      <c r="J9" s="6">
        <f>(IF(B9&gt;$N$2,0,VLOOKUP('Total income package'!$B$3,'Location specific data'!$A$3:$AO$135,33,FALSE))*$C$2)*20</f>
        <v>1400</v>
      </c>
      <c r="K9" s="6">
        <f>IF(B9&gt;$N$2,0,VLOOKUP('Total income package'!$B$3,'Location specific data'!$A$3:$AO$135,34,FALSE))*$D$2*20</f>
        <v>0</v>
      </c>
      <c r="L9" s="6">
        <f>IF(B9&gt;$N$2,0,VLOOKUP('Total income package'!$B$3,'Location specific data'!$A$3:$AO$135,35,FALSE))*$E$2*20</f>
        <v>0</v>
      </c>
      <c r="M9" s="6">
        <f>IF(B9&gt;$N$2,0,VLOOKUP('Total income package'!$B$3,'Location specific data'!$A$3:$AO$135,36,FALSE))*$F$2*20</f>
        <v>0</v>
      </c>
      <c r="N9" s="6">
        <f>IF(B9&gt;$N$2,0,VLOOKUP('Total income package'!$B$3,'Location specific data'!$A$3:$AO$135,37,FALSE))*($G$2+$H$2)*20</f>
        <v>600</v>
      </c>
      <c r="O9" s="6">
        <f t="shared" si="2"/>
        <v>20</v>
      </c>
      <c r="P9" s="312">
        <f t="shared" si="3"/>
        <v>8.3333333333333339</v>
      </c>
      <c r="Q9" s="312">
        <f t="shared" si="4"/>
        <v>30</v>
      </c>
      <c r="R9" s="312">
        <f t="shared" si="9"/>
        <v>8.3333333333333339</v>
      </c>
      <c r="S9" s="160">
        <f>IF(AND('Total income package'!$A$8=TRUE,OR(F9="Yes",G9="Yes",H9="Yes")),SUM(J9:N9)-R9,0)</f>
        <v>1991.6666666666667</v>
      </c>
    </row>
    <row r="10" spans="1:19" s="5" customFormat="1" x14ac:dyDescent="0.3">
      <c r="A10" s="6">
        <v>2500</v>
      </c>
      <c r="B10" s="7">
        <f t="shared" si="5"/>
        <v>208.33333333333334</v>
      </c>
      <c r="C10" s="7">
        <f>'Total income package'!$D$80</f>
        <v>0</v>
      </c>
      <c r="D10" s="7">
        <f t="shared" si="6"/>
        <v>208.33333333333334</v>
      </c>
      <c r="E10" s="65">
        <f t="shared" si="7"/>
        <v>6.4632885211995866E-2</v>
      </c>
      <c r="F10" s="65" t="str">
        <f t="shared" si="0"/>
        <v>Yes</v>
      </c>
      <c r="G10" s="65" t="str">
        <f t="shared" si="1"/>
        <v>Yes</v>
      </c>
      <c r="H10" s="301" t="str">
        <f>IF(OR('TANF-VIEW'!L14&gt;0,'TANF-VIEW'!T14&gt;0),"Yes","No")</f>
        <v>Yes</v>
      </c>
      <c r="I10" s="63">
        <f t="shared" si="8"/>
        <v>10</v>
      </c>
      <c r="J10" s="6">
        <f>(IF(B10&gt;$N$2,0,VLOOKUP('Total income package'!$B$3,'Location specific data'!$A$3:$AO$135,33,FALSE))*$C$2)*20</f>
        <v>1400</v>
      </c>
      <c r="K10" s="6">
        <f>IF(B10&gt;$N$2,0,VLOOKUP('Total income package'!$B$3,'Location specific data'!$A$3:$AO$135,34,FALSE))*$D$2*20</f>
        <v>0</v>
      </c>
      <c r="L10" s="6">
        <f>IF(B10&gt;$N$2,0,VLOOKUP('Total income package'!$B$3,'Location specific data'!$A$3:$AO$135,35,FALSE))*$E$2*20</f>
        <v>0</v>
      </c>
      <c r="M10" s="6">
        <f>IF(B10&gt;$N$2,0,VLOOKUP('Total income package'!$B$3,'Location specific data'!$A$3:$AO$135,36,FALSE))*$F$2*20</f>
        <v>0</v>
      </c>
      <c r="N10" s="6">
        <f>IF(B10&gt;$N$2,0,VLOOKUP('Total income package'!$B$3,'Location specific data'!$A$3:$AO$135,37,FALSE))*($G$2+$H$2)*20</f>
        <v>600</v>
      </c>
      <c r="O10" s="6">
        <f t="shared" si="2"/>
        <v>20</v>
      </c>
      <c r="P10" s="312">
        <f t="shared" si="3"/>
        <v>10.416666666666668</v>
      </c>
      <c r="Q10" s="312">
        <f t="shared" si="4"/>
        <v>30</v>
      </c>
      <c r="R10" s="312">
        <f t="shared" si="9"/>
        <v>10.416666666666668</v>
      </c>
      <c r="S10" s="160">
        <f>IF(AND('Total income package'!$A$8=TRUE,OR(F10="Yes",G10="Yes",H10="Yes")),SUM(J10:N10)-R10,0)</f>
        <v>1989.5833333333333</v>
      </c>
    </row>
    <row r="11" spans="1:19" s="5" customFormat="1" x14ac:dyDescent="0.3">
      <c r="A11" s="6">
        <v>3000</v>
      </c>
      <c r="B11" s="7">
        <f t="shared" si="5"/>
        <v>250</v>
      </c>
      <c r="C11" s="7">
        <f>'Total income package'!$D$80</f>
        <v>0</v>
      </c>
      <c r="D11" s="7">
        <f t="shared" si="6"/>
        <v>250</v>
      </c>
      <c r="E11" s="65">
        <f t="shared" si="7"/>
        <v>7.7559462254395029E-2</v>
      </c>
      <c r="F11" s="65" t="str">
        <f t="shared" si="0"/>
        <v>Yes</v>
      </c>
      <c r="G11" s="65" t="str">
        <f t="shared" si="1"/>
        <v>Yes</v>
      </c>
      <c r="H11" s="301" t="str">
        <f>IF(OR('TANF-VIEW'!L15&gt;0,'TANF-VIEW'!T15&gt;0),"Yes","No")</f>
        <v>Yes</v>
      </c>
      <c r="I11" s="63">
        <f t="shared" si="8"/>
        <v>10</v>
      </c>
      <c r="J11" s="6">
        <f>(IF(B11&gt;$N$2,0,VLOOKUP('Total income package'!$B$3,'Location specific data'!$A$3:$AO$135,33,FALSE))*$C$2)*20</f>
        <v>1400</v>
      </c>
      <c r="K11" s="6">
        <f>IF(B11&gt;$N$2,0,VLOOKUP('Total income package'!$B$3,'Location specific data'!$A$3:$AO$135,34,FALSE))*$D$2*20</f>
        <v>0</v>
      </c>
      <c r="L11" s="6">
        <f>IF(B11&gt;$N$2,0,VLOOKUP('Total income package'!$B$3,'Location specific data'!$A$3:$AO$135,35,FALSE))*$E$2*20</f>
        <v>0</v>
      </c>
      <c r="M11" s="6">
        <f>IF(B11&gt;$N$2,0,VLOOKUP('Total income package'!$B$3,'Location specific data'!$A$3:$AO$135,36,FALSE))*$F$2*20</f>
        <v>0</v>
      </c>
      <c r="N11" s="6">
        <f>IF(B11&gt;$N$2,0,VLOOKUP('Total income package'!$B$3,'Location specific data'!$A$3:$AO$135,37,FALSE))*($G$2+$H$2)*20</f>
        <v>600</v>
      </c>
      <c r="O11" s="6">
        <f t="shared" si="2"/>
        <v>20</v>
      </c>
      <c r="P11" s="312">
        <f t="shared" si="3"/>
        <v>12.5</v>
      </c>
      <c r="Q11" s="312">
        <f t="shared" si="4"/>
        <v>30</v>
      </c>
      <c r="R11" s="312">
        <f t="shared" si="9"/>
        <v>12.5</v>
      </c>
      <c r="S11" s="160">
        <f>IF(AND('Total income package'!$A$8=TRUE,OR(F11="Yes",G11="Yes",H11="Yes")),SUM(J11:N11)-R11,0)</f>
        <v>1987.5</v>
      </c>
    </row>
    <row r="12" spans="1:19" s="5" customFormat="1" x14ac:dyDescent="0.3">
      <c r="A12" s="6">
        <v>3500</v>
      </c>
      <c r="B12" s="7">
        <f t="shared" si="5"/>
        <v>291.66666666666669</v>
      </c>
      <c r="C12" s="7">
        <f>'Total income package'!$D$80</f>
        <v>0</v>
      </c>
      <c r="D12" s="7">
        <f t="shared" si="6"/>
        <v>291.66666666666669</v>
      </c>
      <c r="E12" s="65">
        <f t="shared" si="7"/>
        <v>9.0486039296794205E-2</v>
      </c>
      <c r="F12" s="65" t="str">
        <f t="shared" si="0"/>
        <v>Yes</v>
      </c>
      <c r="G12" s="65" t="str">
        <f t="shared" si="1"/>
        <v>Yes</v>
      </c>
      <c r="H12" s="301" t="str">
        <f>IF(OR('TANF-VIEW'!L16&gt;0,'TANF-VIEW'!T16&gt;0),"Yes","No")</f>
        <v>Yes</v>
      </c>
      <c r="I12" s="63">
        <f t="shared" si="8"/>
        <v>10</v>
      </c>
      <c r="J12" s="6">
        <f>(IF(B12&gt;$N$2,0,VLOOKUP('Total income package'!$B$3,'Location specific data'!$A$3:$AO$135,33,FALSE))*$C$2)*20</f>
        <v>1400</v>
      </c>
      <c r="K12" s="6">
        <f>IF(B12&gt;$N$2,0,VLOOKUP('Total income package'!$B$3,'Location specific data'!$A$3:$AO$135,34,FALSE))*$D$2*20</f>
        <v>0</v>
      </c>
      <c r="L12" s="6">
        <f>IF(B12&gt;$N$2,0,VLOOKUP('Total income package'!$B$3,'Location specific data'!$A$3:$AO$135,35,FALSE))*$E$2*20</f>
        <v>0</v>
      </c>
      <c r="M12" s="6">
        <f>IF(B12&gt;$N$2,0,VLOOKUP('Total income package'!$B$3,'Location specific data'!$A$3:$AO$135,36,FALSE))*$F$2*20</f>
        <v>0</v>
      </c>
      <c r="N12" s="6">
        <f>IF(B12&gt;$N$2,0,VLOOKUP('Total income package'!$B$3,'Location specific data'!$A$3:$AO$135,37,FALSE))*($G$2+$H$2)*20</f>
        <v>600</v>
      </c>
      <c r="O12" s="6">
        <f t="shared" si="2"/>
        <v>20</v>
      </c>
      <c r="P12" s="312">
        <f t="shared" si="3"/>
        <v>14.583333333333336</v>
      </c>
      <c r="Q12" s="312">
        <f t="shared" si="4"/>
        <v>30</v>
      </c>
      <c r="R12" s="312">
        <f t="shared" si="9"/>
        <v>14.583333333333336</v>
      </c>
      <c r="S12" s="160">
        <f>IF(AND('Total income package'!$A$8=TRUE,OR(F12="Yes",G12="Yes",H12="Yes")),SUM(J12:N12)-R12,0)</f>
        <v>1985.4166666666667</v>
      </c>
    </row>
    <row r="13" spans="1:19" s="5" customFormat="1" x14ac:dyDescent="0.3">
      <c r="A13" s="6">
        <v>4000</v>
      </c>
      <c r="B13" s="7">
        <f t="shared" si="5"/>
        <v>333.33333333333331</v>
      </c>
      <c r="C13" s="7">
        <f>'Total income package'!$D$80</f>
        <v>0</v>
      </c>
      <c r="D13" s="7">
        <f t="shared" si="6"/>
        <v>333.33333333333331</v>
      </c>
      <c r="E13" s="65">
        <f t="shared" si="7"/>
        <v>0.10341261633919337</v>
      </c>
      <c r="F13" s="65" t="str">
        <f t="shared" si="0"/>
        <v>Yes</v>
      </c>
      <c r="G13" s="65" t="str">
        <f t="shared" si="1"/>
        <v>Yes</v>
      </c>
      <c r="H13" s="301" t="str">
        <f>IF(OR('TANF-VIEW'!L17&gt;0,'TANF-VIEW'!T17&gt;0),"Yes","No")</f>
        <v>Yes</v>
      </c>
      <c r="I13" s="63">
        <f t="shared" si="8"/>
        <v>10</v>
      </c>
      <c r="J13" s="6">
        <f>(IF(B13&gt;$N$2,0,VLOOKUP('Total income package'!$B$3,'Location specific data'!$A$3:$AO$135,33,FALSE))*$C$2)*20</f>
        <v>1400</v>
      </c>
      <c r="K13" s="6">
        <f>IF(B13&gt;$N$2,0,VLOOKUP('Total income package'!$B$3,'Location specific data'!$A$3:$AO$135,34,FALSE))*$D$2*20</f>
        <v>0</v>
      </c>
      <c r="L13" s="6">
        <f>IF(B13&gt;$N$2,0,VLOOKUP('Total income package'!$B$3,'Location specific data'!$A$3:$AO$135,35,FALSE))*$E$2*20</f>
        <v>0</v>
      </c>
      <c r="M13" s="6">
        <f>IF(B13&gt;$N$2,0,VLOOKUP('Total income package'!$B$3,'Location specific data'!$A$3:$AO$135,36,FALSE))*$F$2*20</f>
        <v>0</v>
      </c>
      <c r="N13" s="6">
        <f>IF(B13&gt;$N$2,0,VLOOKUP('Total income package'!$B$3,'Location specific data'!$A$3:$AO$135,37,FALSE))*($G$2+$H$2)*20</f>
        <v>600</v>
      </c>
      <c r="O13" s="6">
        <f t="shared" si="2"/>
        <v>20</v>
      </c>
      <c r="P13" s="312">
        <f t="shared" si="3"/>
        <v>16.666666666666668</v>
      </c>
      <c r="Q13" s="312">
        <f t="shared" si="4"/>
        <v>30</v>
      </c>
      <c r="R13" s="312">
        <f t="shared" si="9"/>
        <v>16.666666666666668</v>
      </c>
      <c r="S13" s="160">
        <f>IF(AND('Total income package'!$A$8=TRUE,OR(F13="Yes",G13="Yes",H13="Yes")),SUM(J13:N13)-R13,0)</f>
        <v>1983.3333333333333</v>
      </c>
    </row>
    <row r="14" spans="1:19" s="5" customFormat="1" x14ac:dyDescent="0.3">
      <c r="A14" s="6">
        <v>4500</v>
      </c>
      <c r="B14" s="7">
        <f t="shared" si="5"/>
        <v>375</v>
      </c>
      <c r="C14" s="7">
        <f>'Total income package'!$D$80</f>
        <v>0</v>
      </c>
      <c r="D14" s="7">
        <f t="shared" si="6"/>
        <v>375</v>
      </c>
      <c r="E14" s="65">
        <f t="shared" si="7"/>
        <v>0.11633919338159254</v>
      </c>
      <c r="F14" s="65" t="str">
        <f t="shared" si="0"/>
        <v>Yes</v>
      </c>
      <c r="G14" s="65" t="str">
        <f t="shared" si="1"/>
        <v>Yes</v>
      </c>
      <c r="H14" s="301" t="str">
        <f>IF(OR('TANF-VIEW'!L18&gt;0,'TANF-VIEW'!T18&gt;0),"Yes","No")</f>
        <v>Yes</v>
      </c>
      <c r="I14" s="63">
        <f t="shared" si="8"/>
        <v>10</v>
      </c>
      <c r="J14" s="6">
        <f>(IF(B14&gt;$N$2,0,VLOOKUP('Total income package'!$B$3,'Location specific data'!$A$3:$AO$135,33,FALSE))*$C$2)*20</f>
        <v>1400</v>
      </c>
      <c r="K14" s="6">
        <f>IF(B14&gt;$N$2,0,VLOOKUP('Total income package'!$B$3,'Location specific data'!$A$3:$AO$135,34,FALSE))*$D$2*20</f>
        <v>0</v>
      </c>
      <c r="L14" s="6">
        <f>IF(B14&gt;$N$2,0,VLOOKUP('Total income package'!$B$3,'Location specific data'!$A$3:$AO$135,35,FALSE))*$E$2*20</f>
        <v>0</v>
      </c>
      <c r="M14" s="6">
        <f>IF(B14&gt;$N$2,0,VLOOKUP('Total income package'!$B$3,'Location specific data'!$A$3:$AO$135,36,FALSE))*$F$2*20</f>
        <v>0</v>
      </c>
      <c r="N14" s="6">
        <f>IF(B14&gt;$N$2,0,VLOOKUP('Total income package'!$B$3,'Location specific data'!$A$3:$AO$135,37,FALSE))*($G$2+$H$2)*20</f>
        <v>600</v>
      </c>
      <c r="O14" s="6">
        <f t="shared" si="2"/>
        <v>20</v>
      </c>
      <c r="P14" s="312">
        <f t="shared" si="3"/>
        <v>18.75</v>
      </c>
      <c r="Q14" s="312">
        <f t="shared" si="4"/>
        <v>30</v>
      </c>
      <c r="R14" s="312">
        <f t="shared" si="9"/>
        <v>18.75</v>
      </c>
      <c r="S14" s="160">
        <f>IF(AND('Total income package'!$A$8=TRUE,OR(F14="Yes",G14="Yes",H14="Yes")),SUM(J14:N14)-R14,0)</f>
        <v>1981.25</v>
      </c>
    </row>
    <row r="15" spans="1:19" s="5" customFormat="1" x14ac:dyDescent="0.3">
      <c r="A15" s="6">
        <v>5000</v>
      </c>
      <c r="B15" s="7">
        <f t="shared" si="5"/>
        <v>416.66666666666669</v>
      </c>
      <c r="C15" s="7">
        <f>'Total income package'!$D$80</f>
        <v>0</v>
      </c>
      <c r="D15" s="7">
        <f t="shared" si="6"/>
        <v>416.66666666666669</v>
      </c>
      <c r="E15" s="65">
        <f t="shared" si="7"/>
        <v>0.12926577042399173</v>
      </c>
      <c r="F15" s="65" t="str">
        <f t="shared" si="0"/>
        <v>Yes</v>
      </c>
      <c r="G15" s="65" t="str">
        <f t="shared" si="1"/>
        <v>Yes</v>
      </c>
      <c r="H15" s="301" t="str">
        <f>IF(OR('TANF-VIEW'!L19&gt;0,'TANF-VIEW'!T19&gt;0),"Yes","No")</f>
        <v>Yes</v>
      </c>
      <c r="I15" s="63">
        <f t="shared" si="8"/>
        <v>10</v>
      </c>
      <c r="J15" s="6">
        <f>(IF(B15&gt;$N$2,0,VLOOKUP('Total income package'!$B$3,'Location specific data'!$A$3:$AO$135,33,FALSE))*$C$2)*20</f>
        <v>1400</v>
      </c>
      <c r="K15" s="6">
        <f>IF(B15&gt;$N$2,0,VLOOKUP('Total income package'!$B$3,'Location specific data'!$A$3:$AO$135,34,FALSE))*$D$2*20</f>
        <v>0</v>
      </c>
      <c r="L15" s="6">
        <f>IF(B15&gt;$N$2,0,VLOOKUP('Total income package'!$B$3,'Location specific data'!$A$3:$AO$135,35,FALSE))*$E$2*20</f>
        <v>0</v>
      </c>
      <c r="M15" s="6">
        <f>IF(B15&gt;$N$2,0,VLOOKUP('Total income package'!$B$3,'Location specific data'!$A$3:$AO$135,36,FALSE))*$F$2*20</f>
        <v>0</v>
      </c>
      <c r="N15" s="6">
        <f>IF(B15&gt;$N$2,0,VLOOKUP('Total income package'!$B$3,'Location specific data'!$A$3:$AO$135,37,FALSE))*($G$2+$H$2)*20</f>
        <v>600</v>
      </c>
      <c r="O15" s="6">
        <f t="shared" si="2"/>
        <v>20</v>
      </c>
      <c r="P15" s="312">
        <f t="shared" si="3"/>
        <v>20.833333333333336</v>
      </c>
      <c r="Q15" s="312">
        <f t="shared" si="4"/>
        <v>30</v>
      </c>
      <c r="R15" s="312">
        <f t="shared" si="9"/>
        <v>20</v>
      </c>
      <c r="S15" s="160">
        <f>IF(AND('Total income package'!$A$8=TRUE,OR(F15="Yes",G15="Yes",H15="Yes")),SUM(J15:N15)-R15,0)</f>
        <v>1980</v>
      </c>
    </row>
    <row r="16" spans="1:19" s="5" customFormat="1" x14ac:dyDescent="0.3">
      <c r="A16" s="6">
        <v>5500</v>
      </c>
      <c r="B16" s="7">
        <f t="shared" si="5"/>
        <v>458.33333333333331</v>
      </c>
      <c r="C16" s="7">
        <f>'Total income package'!$D$80</f>
        <v>0</v>
      </c>
      <c r="D16" s="7">
        <f t="shared" si="6"/>
        <v>458.33333333333331</v>
      </c>
      <c r="E16" s="65">
        <f t="shared" si="7"/>
        <v>0.14219234746639089</v>
      </c>
      <c r="F16" s="65" t="str">
        <f t="shared" si="0"/>
        <v>Yes</v>
      </c>
      <c r="G16" s="65" t="str">
        <f t="shared" si="1"/>
        <v>Yes</v>
      </c>
      <c r="H16" s="301" t="str">
        <f>IF(OR('TANF-VIEW'!L20&gt;0,'TANF-VIEW'!T20&gt;0),"Yes","No")</f>
        <v>Yes</v>
      </c>
      <c r="I16" s="63">
        <f t="shared" si="8"/>
        <v>10</v>
      </c>
      <c r="J16" s="6">
        <f>(IF(B16&gt;$N$2,0,VLOOKUP('Total income package'!$B$3,'Location specific data'!$A$3:$AO$135,33,FALSE))*$C$2)*20</f>
        <v>1400</v>
      </c>
      <c r="K16" s="6">
        <f>IF(B16&gt;$N$2,0,VLOOKUP('Total income package'!$B$3,'Location specific data'!$A$3:$AO$135,34,FALSE))*$D$2*20</f>
        <v>0</v>
      </c>
      <c r="L16" s="6">
        <f>IF(B16&gt;$N$2,0,VLOOKUP('Total income package'!$B$3,'Location specific data'!$A$3:$AO$135,35,FALSE))*$E$2*20</f>
        <v>0</v>
      </c>
      <c r="M16" s="6">
        <f>IF(B16&gt;$N$2,0,VLOOKUP('Total income package'!$B$3,'Location specific data'!$A$3:$AO$135,36,FALSE))*$F$2*20</f>
        <v>0</v>
      </c>
      <c r="N16" s="6">
        <f>IF(B16&gt;$N$2,0,VLOOKUP('Total income package'!$B$3,'Location specific data'!$A$3:$AO$135,37,FALSE))*($G$2+$H$2)*20</f>
        <v>600</v>
      </c>
      <c r="O16" s="6">
        <f t="shared" si="2"/>
        <v>20</v>
      </c>
      <c r="P16" s="312">
        <f t="shared" si="3"/>
        <v>22.916666666666668</v>
      </c>
      <c r="Q16" s="312">
        <f t="shared" si="4"/>
        <v>30</v>
      </c>
      <c r="R16" s="312">
        <f t="shared" si="9"/>
        <v>20</v>
      </c>
      <c r="S16" s="160">
        <f>IF(AND('Total income package'!$A$8=TRUE,OR(F16="Yes",G16="Yes",H16="Yes")),SUM(J16:N16)-R16,0)</f>
        <v>1980</v>
      </c>
    </row>
    <row r="17" spans="1:19" s="5" customFormat="1" x14ac:dyDescent="0.3">
      <c r="A17" s="6">
        <v>6000</v>
      </c>
      <c r="B17" s="7">
        <f t="shared" si="5"/>
        <v>500</v>
      </c>
      <c r="C17" s="7">
        <f>'Total income package'!$D$80</f>
        <v>0</v>
      </c>
      <c r="D17" s="7">
        <f t="shared" si="6"/>
        <v>500</v>
      </c>
      <c r="E17" s="65">
        <f t="shared" si="7"/>
        <v>0.15511892450879006</v>
      </c>
      <c r="F17" s="65" t="str">
        <f t="shared" si="0"/>
        <v>Yes</v>
      </c>
      <c r="G17" s="65" t="str">
        <f t="shared" si="1"/>
        <v>Yes</v>
      </c>
      <c r="H17" s="301" t="str">
        <f>IF(OR('TANF-VIEW'!L21&gt;0,'TANF-VIEW'!T21&gt;0),"Yes","No")</f>
        <v>Yes</v>
      </c>
      <c r="I17" s="63">
        <f t="shared" si="8"/>
        <v>10</v>
      </c>
      <c r="J17" s="6">
        <f>(IF(B17&gt;$N$2,0,VLOOKUP('Total income package'!$B$3,'Location specific data'!$A$3:$AO$135,33,FALSE))*$C$2)*20</f>
        <v>1400</v>
      </c>
      <c r="K17" s="6">
        <f>IF(B17&gt;$N$2,0,VLOOKUP('Total income package'!$B$3,'Location specific data'!$A$3:$AO$135,34,FALSE))*$D$2*20</f>
        <v>0</v>
      </c>
      <c r="L17" s="6">
        <f>IF(B17&gt;$N$2,0,VLOOKUP('Total income package'!$B$3,'Location specific data'!$A$3:$AO$135,35,FALSE))*$E$2*20</f>
        <v>0</v>
      </c>
      <c r="M17" s="6">
        <f>IF(B17&gt;$N$2,0,VLOOKUP('Total income package'!$B$3,'Location specific data'!$A$3:$AO$135,36,FALSE))*$F$2*20</f>
        <v>0</v>
      </c>
      <c r="N17" s="6">
        <f>IF(B17&gt;$N$2,0,VLOOKUP('Total income package'!$B$3,'Location specific data'!$A$3:$AO$135,37,FALSE))*($G$2+$H$2)*20</f>
        <v>600</v>
      </c>
      <c r="O17" s="6">
        <f t="shared" si="2"/>
        <v>20</v>
      </c>
      <c r="P17" s="312">
        <f t="shared" si="3"/>
        <v>25</v>
      </c>
      <c r="Q17" s="312">
        <f t="shared" si="4"/>
        <v>30</v>
      </c>
      <c r="R17" s="312">
        <f t="shared" si="9"/>
        <v>20</v>
      </c>
      <c r="S17" s="160">
        <f>IF(AND('Total income package'!$A$8=TRUE,OR(F17="Yes",G17="Yes",H17="Yes")),SUM(J17:N17)-R17,0)</f>
        <v>1980</v>
      </c>
    </row>
    <row r="18" spans="1:19" s="5" customFormat="1" x14ac:dyDescent="0.3">
      <c r="A18" s="6">
        <v>6500</v>
      </c>
      <c r="B18" s="7">
        <f t="shared" si="5"/>
        <v>541.66666666666663</v>
      </c>
      <c r="C18" s="7">
        <f>'Total income package'!$D$80</f>
        <v>0</v>
      </c>
      <c r="D18" s="7">
        <f t="shared" si="6"/>
        <v>541.66666666666663</v>
      </c>
      <c r="E18" s="65">
        <f t="shared" si="7"/>
        <v>0.16804550155118922</v>
      </c>
      <c r="F18" s="65" t="str">
        <f t="shared" si="0"/>
        <v>Yes</v>
      </c>
      <c r="G18" s="65" t="str">
        <f t="shared" si="1"/>
        <v>Yes</v>
      </c>
      <c r="H18" s="301" t="str">
        <f>IF(OR('TANF-VIEW'!L22&gt;0,'TANF-VIEW'!T22&gt;0),"Yes","No")</f>
        <v>Yes</v>
      </c>
      <c r="I18" s="63">
        <f t="shared" si="8"/>
        <v>10</v>
      </c>
      <c r="J18" s="6">
        <f>(IF(B18&gt;$N$2,0,VLOOKUP('Total income package'!$B$3,'Location specific data'!$A$3:$AO$135,33,FALSE))*$C$2)*20</f>
        <v>1400</v>
      </c>
      <c r="K18" s="6">
        <f>IF(B18&gt;$N$2,0,VLOOKUP('Total income package'!$B$3,'Location specific data'!$A$3:$AO$135,34,FALSE))*$D$2*20</f>
        <v>0</v>
      </c>
      <c r="L18" s="6">
        <f>IF(B18&gt;$N$2,0,VLOOKUP('Total income package'!$B$3,'Location specific data'!$A$3:$AO$135,35,FALSE))*$E$2*20</f>
        <v>0</v>
      </c>
      <c r="M18" s="6">
        <f>IF(B18&gt;$N$2,0,VLOOKUP('Total income package'!$B$3,'Location specific data'!$A$3:$AO$135,36,FALSE))*$F$2*20</f>
        <v>0</v>
      </c>
      <c r="N18" s="6">
        <f>IF(B18&gt;$N$2,0,VLOOKUP('Total income package'!$B$3,'Location specific data'!$A$3:$AO$135,37,FALSE))*($G$2+$H$2)*20</f>
        <v>600</v>
      </c>
      <c r="O18" s="6">
        <f t="shared" si="2"/>
        <v>20</v>
      </c>
      <c r="P18" s="312">
        <f t="shared" si="3"/>
        <v>27.083333333333332</v>
      </c>
      <c r="Q18" s="312">
        <f t="shared" si="4"/>
        <v>30</v>
      </c>
      <c r="R18" s="312">
        <f t="shared" si="9"/>
        <v>20</v>
      </c>
      <c r="S18" s="160">
        <f>IF(AND('Total income package'!$A$8=TRUE,OR(F18="Yes",G18="Yes",H18="Yes")),SUM(J18:N18)-R18,0)</f>
        <v>1980</v>
      </c>
    </row>
    <row r="19" spans="1:19" s="5" customFormat="1" x14ac:dyDescent="0.3">
      <c r="A19" s="6">
        <v>7000</v>
      </c>
      <c r="B19" s="7">
        <f t="shared" si="5"/>
        <v>583.33333333333337</v>
      </c>
      <c r="C19" s="7">
        <f>'Total income package'!$D$80</f>
        <v>0</v>
      </c>
      <c r="D19" s="7">
        <f t="shared" si="6"/>
        <v>583.33333333333337</v>
      </c>
      <c r="E19" s="65">
        <f t="shared" si="7"/>
        <v>0.18097207859358841</v>
      </c>
      <c r="F19" s="65" t="str">
        <f t="shared" si="0"/>
        <v>Yes</v>
      </c>
      <c r="G19" s="65" t="str">
        <f t="shared" si="1"/>
        <v>Yes</v>
      </c>
      <c r="H19" s="301" t="str">
        <f>IF(OR('TANF-VIEW'!L23&gt;0,'TANF-VIEW'!T23&gt;0),"Yes","No")</f>
        <v>Yes</v>
      </c>
      <c r="I19" s="63">
        <f t="shared" si="8"/>
        <v>10</v>
      </c>
      <c r="J19" s="6">
        <f>(IF(B19&gt;$N$2,0,VLOOKUP('Total income package'!$B$3,'Location specific data'!$A$3:$AO$135,33,FALSE))*$C$2)*20</f>
        <v>1400</v>
      </c>
      <c r="K19" s="6">
        <f>IF(B19&gt;$N$2,0,VLOOKUP('Total income package'!$B$3,'Location specific data'!$A$3:$AO$135,34,FALSE))*$D$2*20</f>
        <v>0</v>
      </c>
      <c r="L19" s="6">
        <f>IF(B19&gt;$N$2,0,VLOOKUP('Total income package'!$B$3,'Location specific data'!$A$3:$AO$135,35,FALSE))*$E$2*20</f>
        <v>0</v>
      </c>
      <c r="M19" s="6">
        <f>IF(B19&gt;$N$2,0,VLOOKUP('Total income package'!$B$3,'Location specific data'!$A$3:$AO$135,36,FALSE))*$F$2*20</f>
        <v>0</v>
      </c>
      <c r="N19" s="6">
        <f>IF(B19&gt;$N$2,0,VLOOKUP('Total income package'!$B$3,'Location specific data'!$A$3:$AO$135,37,FALSE))*($G$2+$H$2)*20</f>
        <v>600</v>
      </c>
      <c r="O19" s="6">
        <f t="shared" si="2"/>
        <v>20</v>
      </c>
      <c r="P19" s="312">
        <f t="shared" si="3"/>
        <v>29.166666666666671</v>
      </c>
      <c r="Q19" s="312">
        <f t="shared" si="4"/>
        <v>30</v>
      </c>
      <c r="R19" s="312">
        <f t="shared" si="9"/>
        <v>20</v>
      </c>
      <c r="S19" s="160">
        <f>IF(AND('Total income package'!$A$8=TRUE,OR(F19="Yes",G19="Yes",H19="Yes")),SUM(J19:N19)-R19,0)</f>
        <v>1980</v>
      </c>
    </row>
    <row r="20" spans="1:19" s="5" customFormat="1" x14ac:dyDescent="0.3">
      <c r="A20" s="6">
        <v>7500</v>
      </c>
      <c r="B20" s="7">
        <f>A20/12</f>
        <v>625</v>
      </c>
      <c r="C20" s="7">
        <f>'Total income package'!$D$80</f>
        <v>0</v>
      </c>
      <c r="D20" s="7">
        <f t="shared" si="6"/>
        <v>625</v>
      </c>
      <c r="E20" s="65">
        <f t="shared" si="7"/>
        <v>0.19389865563598757</v>
      </c>
      <c r="F20" s="65" t="str">
        <f t="shared" si="0"/>
        <v>Yes</v>
      </c>
      <c r="G20" s="65" t="str">
        <f t="shared" si="1"/>
        <v>Yes</v>
      </c>
      <c r="H20" s="301" t="str">
        <f>IF(OR('TANF-VIEW'!L24&gt;0,'TANF-VIEW'!T24&gt;0),"Yes","No")</f>
        <v>Yes</v>
      </c>
      <c r="I20" s="63">
        <f t="shared" si="8"/>
        <v>10</v>
      </c>
      <c r="J20" s="6">
        <f>(IF(B20&gt;$N$2,0,VLOOKUP('Total income package'!$B$3,'Location specific data'!$A$3:$AO$135,33,FALSE))*$C$2)*20</f>
        <v>1400</v>
      </c>
      <c r="K20" s="6">
        <f>IF(B20&gt;$N$2,0,VLOOKUP('Total income package'!$B$3,'Location specific data'!$A$3:$AO$135,34,FALSE))*$D$2*20</f>
        <v>0</v>
      </c>
      <c r="L20" s="6">
        <f>IF(B20&gt;$N$2,0,VLOOKUP('Total income package'!$B$3,'Location specific data'!$A$3:$AO$135,35,FALSE))*$E$2*20</f>
        <v>0</v>
      </c>
      <c r="M20" s="6">
        <f>IF(B20&gt;$N$2,0,VLOOKUP('Total income package'!$B$3,'Location specific data'!$A$3:$AO$135,36,FALSE))*$F$2*20</f>
        <v>0</v>
      </c>
      <c r="N20" s="6">
        <f>IF(B20&gt;$N$2,0,VLOOKUP('Total income package'!$B$3,'Location specific data'!$A$3:$AO$135,37,FALSE))*($G$2+$H$2)*20</f>
        <v>600</v>
      </c>
      <c r="O20" s="6">
        <f t="shared" si="2"/>
        <v>20</v>
      </c>
      <c r="P20" s="312">
        <f t="shared" si="3"/>
        <v>31.25</v>
      </c>
      <c r="Q20" s="312">
        <f t="shared" si="4"/>
        <v>30</v>
      </c>
      <c r="R20" s="312">
        <f t="shared" si="9"/>
        <v>20</v>
      </c>
      <c r="S20" s="160">
        <f>IF(AND('Total income package'!$A$8=TRUE,OR(F20="Yes",G20="Yes",H20="Yes")),SUM(J20:N20)-R20,0)</f>
        <v>1980</v>
      </c>
    </row>
    <row r="21" spans="1:19" s="5" customFormat="1" x14ac:dyDescent="0.3">
      <c r="A21" s="6">
        <v>8000</v>
      </c>
      <c r="B21" s="7">
        <f t="shared" si="5"/>
        <v>666.66666666666663</v>
      </c>
      <c r="C21" s="7">
        <f>'Total income package'!$D$80</f>
        <v>0</v>
      </c>
      <c r="D21" s="7">
        <f t="shared" si="6"/>
        <v>666.66666666666663</v>
      </c>
      <c r="E21" s="65">
        <f t="shared" si="7"/>
        <v>0.20682523267838673</v>
      </c>
      <c r="F21" s="65" t="str">
        <f t="shared" si="0"/>
        <v>Yes</v>
      </c>
      <c r="G21" s="65" t="str">
        <f t="shared" si="1"/>
        <v>Yes</v>
      </c>
      <c r="H21" s="301" t="str">
        <f>IF(OR('TANF-VIEW'!L25&gt;0,'TANF-VIEW'!T25&gt;0),"Yes","No")</f>
        <v>Yes</v>
      </c>
      <c r="I21" s="63">
        <f t="shared" si="8"/>
        <v>10</v>
      </c>
      <c r="J21" s="6">
        <f>(IF(B21&gt;$N$2,0,VLOOKUP('Total income package'!$B$3,'Location specific data'!$A$3:$AO$135,33,FALSE))*$C$2)*20</f>
        <v>1400</v>
      </c>
      <c r="K21" s="6">
        <f>IF(B21&gt;$N$2,0,VLOOKUP('Total income package'!$B$3,'Location specific data'!$A$3:$AO$135,34,FALSE))*$D$2*20</f>
        <v>0</v>
      </c>
      <c r="L21" s="6">
        <f>IF(B21&gt;$N$2,0,VLOOKUP('Total income package'!$B$3,'Location specific data'!$A$3:$AO$135,35,FALSE))*$E$2*20</f>
        <v>0</v>
      </c>
      <c r="M21" s="6">
        <f>IF(B21&gt;$N$2,0,VLOOKUP('Total income package'!$B$3,'Location specific data'!$A$3:$AO$135,36,FALSE))*$F$2*20</f>
        <v>0</v>
      </c>
      <c r="N21" s="6">
        <f>IF(B21&gt;$N$2,0,VLOOKUP('Total income package'!$B$3,'Location specific data'!$A$3:$AO$135,37,FALSE))*($G$2+$H$2)*20</f>
        <v>600</v>
      </c>
      <c r="O21" s="6">
        <f t="shared" si="2"/>
        <v>20</v>
      </c>
      <c r="P21" s="312">
        <f t="shared" si="3"/>
        <v>33.333333333333336</v>
      </c>
      <c r="Q21" s="312">
        <f t="shared" si="4"/>
        <v>30</v>
      </c>
      <c r="R21" s="312">
        <f t="shared" si="9"/>
        <v>20</v>
      </c>
      <c r="S21" s="160">
        <f>IF(AND('Total income package'!$A$8=TRUE,OR(F21="Yes",G21="Yes",H21="Yes")),SUM(J21:N21)-R21,0)</f>
        <v>1980</v>
      </c>
    </row>
    <row r="22" spans="1:19" s="5" customFormat="1" x14ac:dyDescent="0.3">
      <c r="A22" s="6">
        <v>8500</v>
      </c>
      <c r="B22" s="7">
        <f t="shared" si="5"/>
        <v>708.33333333333337</v>
      </c>
      <c r="C22" s="7">
        <f>'Total income package'!$D$80</f>
        <v>0</v>
      </c>
      <c r="D22" s="7">
        <f t="shared" si="6"/>
        <v>708.33333333333337</v>
      </c>
      <c r="E22" s="65">
        <f t="shared" si="7"/>
        <v>0.21975180972078595</v>
      </c>
      <c r="F22" s="65" t="str">
        <f t="shared" si="0"/>
        <v>Yes</v>
      </c>
      <c r="G22" s="65" t="str">
        <f t="shared" si="1"/>
        <v>Yes</v>
      </c>
      <c r="H22" s="301" t="str">
        <f>IF(OR('TANF-VIEW'!L26&gt;0,'TANF-VIEW'!T26&gt;0),"Yes","No")</f>
        <v>No</v>
      </c>
      <c r="I22" s="63">
        <f t="shared" si="8"/>
        <v>10</v>
      </c>
      <c r="J22" s="6">
        <f>(IF(B22&gt;$N$2,0,VLOOKUP('Total income package'!$B$3,'Location specific data'!$A$3:$AO$135,33,FALSE))*$C$2)*20</f>
        <v>1400</v>
      </c>
      <c r="K22" s="6">
        <f>IF(B22&gt;$N$2,0,VLOOKUP('Total income package'!$B$3,'Location specific data'!$A$3:$AO$135,34,FALSE))*$D$2*20</f>
        <v>0</v>
      </c>
      <c r="L22" s="6">
        <f>IF(B22&gt;$N$2,0,VLOOKUP('Total income package'!$B$3,'Location specific data'!$A$3:$AO$135,35,FALSE))*$E$2*20</f>
        <v>0</v>
      </c>
      <c r="M22" s="6">
        <f>IF(B22&gt;$N$2,0,VLOOKUP('Total income package'!$B$3,'Location specific data'!$A$3:$AO$135,36,FALSE))*$F$2*20</f>
        <v>0</v>
      </c>
      <c r="N22" s="6">
        <f>IF(B22&gt;$N$2,0,VLOOKUP('Total income package'!$B$3,'Location specific data'!$A$3:$AO$135,37,FALSE))*($G$2+$H$2)*20</f>
        <v>600</v>
      </c>
      <c r="O22" s="6">
        <f t="shared" si="2"/>
        <v>20</v>
      </c>
      <c r="P22" s="312">
        <f t="shared" si="3"/>
        <v>35.416666666666671</v>
      </c>
      <c r="Q22" s="312">
        <f t="shared" si="4"/>
        <v>30</v>
      </c>
      <c r="R22" s="312">
        <f t="shared" si="9"/>
        <v>20</v>
      </c>
      <c r="S22" s="160">
        <f>IF(AND('Total income package'!$A$8=TRUE,OR(F22="Yes",G22="Yes",H22="Yes")),SUM(J22:N22)-R22,0)</f>
        <v>1980</v>
      </c>
    </row>
    <row r="23" spans="1:19" s="5" customFormat="1" x14ac:dyDescent="0.3">
      <c r="A23" s="6">
        <v>9000</v>
      </c>
      <c r="B23" s="7">
        <f t="shared" si="5"/>
        <v>750</v>
      </c>
      <c r="C23" s="7">
        <f>'Total income package'!$D$80</f>
        <v>0</v>
      </c>
      <c r="D23" s="7">
        <f t="shared" si="6"/>
        <v>750</v>
      </c>
      <c r="E23" s="65">
        <f t="shared" si="7"/>
        <v>0.23267838676318509</v>
      </c>
      <c r="F23" s="65" t="str">
        <f t="shared" si="0"/>
        <v>Yes</v>
      </c>
      <c r="G23" s="65" t="str">
        <f t="shared" si="1"/>
        <v>Yes</v>
      </c>
      <c r="H23" s="301" t="str">
        <f>IF(OR('TANF-VIEW'!L27&gt;0,'TANF-VIEW'!T27&gt;0),"Yes","No")</f>
        <v>No</v>
      </c>
      <c r="I23" s="63">
        <f t="shared" si="8"/>
        <v>10</v>
      </c>
      <c r="J23" s="6">
        <f>(IF(B23&gt;$N$2,0,VLOOKUP('Total income package'!$B$3,'Location specific data'!$A$3:$AO$135,33,FALSE))*$C$2)*20</f>
        <v>1400</v>
      </c>
      <c r="K23" s="6">
        <f>IF(B23&gt;$N$2,0,VLOOKUP('Total income package'!$B$3,'Location specific data'!$A$3:$AO$135,34,FALSE))*$D$2*20</f>
        <v>0</v>
      </c>
      <c r="L23" s="6">
        <f>IF(B23&gt;$N$2,0,VLOOKUP('Total income package'!$B$3,'Location specific data'!$A$3:$AO$135,35,FALSE))*$E$2*20</f>
        <v>0</v>
      </c>
      <c r="M23" s="6">
        <f>IF(B23&gt;$N$2,0,VLOOKUP('Total income package'!$B$3,'Location specific data'!$A$3:$AO$135,36,FALSE))*$F$2*20</f>
        <v>0</v>
      </c>
      <c r="N23" s="6">
        <f>IF(B23&gt;$N$2,0,VLOOKUP('Total income package'!$B$3,'Location specific data'!$A$3:$AO$135,37,FALSE))*($G$2+$H$2)*20</f>
        <v>600</v>
      </c>
      <c r="O23" s="6">
        <f t="shared" si="2"/>
        <v>20</v>
      </c>
      <c r="P23" s="312">
        <f t="shared" si="3"/>
        <v>37.5</v>
      </c>
      <c r="Q23" s="312">
        <f t="shared" si="4"/>
        <v>30</v>
      </c>
      <c r="R23" s="312">
        <f t="shared" si="9"/>
        <v>20</v>
      </c>
      <c r="S23" s="160">
        <f>IF(AND('Total income package'!$A$8=TRUE,OR(F23="Yes",G23="Yes",H23="Yes")),SUM(J23:N23)-R23,0)</f>
        <v>1980</v>
      </c>
    </row>
    <row r="24" spans="1:19" s="5" customFormat="1" x14ac:dyDescent="0.3">
      <c r="A24" s="6">
        <v>9500</v>
      </c>
      <c r="B24" s="7">
        <f t="shared" si="5"/>
        <v>791.66666666666663</v>
      </c>
      <c r="C24" s="7">
        <f>'Total income package'!$D$80</f>
        <v>0</v>
      </c>
      <c r="D24" s="7">
        <f t="shared" si="6"/>
        <v>791.66666666666663</v>
      </c>
      <c r="E24" s="65">
        <f t="shared" si="7"/>
        <v>0.24560496380558425</v>
      </c>
      <c r="F24" s="65" t="str">
        <f t="shared" si="0"/>
        <v>Yes</v>
      </c>
      <c r="G24" s="65" t="str">
        <f t="shared" si="1"/>
        <v>Yes</v>
      </c>
      <c r="H24" s="301" t="str">
        <f>IF(OR('TANF-VIEW'!L28&gt;0,'TANF-VIEW'!T28&gt;0),"Yes","No")</f>
        <v>No</v>
      </c>
      <c r="I24" s="63">
        <f t="shared" si="8"/>
        <v>10</v>
      </c>
      <c r="J24" s="6">
        <f>(IF(B24&gt;$N$2,0,VLOOKUP('Total income package'!$B$3,'Location specific data'!$A$3:$AO$135,33,FALSE))*$C$2)*20</f>
        <v>1400</v>
      </c>
      <c r="K24" s="6">
        <f>IF(B24&gt;$N$2,0,VLOOKUP('Total income package'!$B$3,'Location specific data'!$A$3:$AO$135,34,FALSE))*$D$2*20</f>
        <v>0</v>
      </c>
      <c r="L24" s="6">
        <f>IF(B24&gt;$N$2,0,VLOOKUP('Total income package'!$B$3,'Location specific data'!$A$3:$AO$135,35,FALSE))*$E$2*20</f>
        <v>0</v>
      </c>
      <c r="M24" s="6">
        <f>IF(B24&gt;$N$2,0,VLOOKUP('Total income package'!$B$3,'Location specific data'!$A$3:$AO$135,36,FALSE))*$F$2*20</f>
        <v>0</v>
      </c>
      <c r="N24" s="6">
        <f>IF(B24&gt;$N$2,0,VLOOKUP('Total income package'!$B$3,'Location specific data'!$A$3:$AO$135,37,FALSE))*($G$2+$H$2)*20</f>
        <v>600</v>
      </c>
      <c r="O24" s="6">
        <f t="shared" si="2"/>
        <v>20</v>
      </c>
      <c r="P24" s="312">
        <f t="shared" si="3"/>
        <v>39.583333333333336</v>
      </c>
      <c r="Q24" s="312">
        <f t="shared" si="4"/>
        <v>30</v>
      </c>
      <c r="R24" s="312">
        <f t="shared" si="9"/>
        <v>20</v>
      </c>
      <c r="S24" s="160">
        <f>IF(AND('Total income package'!$A$8=TRUE,OR(F24="Yes",G24="Yes",H24="Yes")),SUM(J24:N24)-R24,0)</f>
        <v>1980</v>
      </c>
    </row>
    <row r="25" spans="1:19" s="5" customFormat="1" x14ac:dyDescent="0.3">
      <c r="A25" s="6">
        <v>10000</v>
      </c>
      <c r="B25" s="7">
        <f t="shared" si="5"/>
        <v>833.33333333333337</v>
      </c>
      <c r="C25" s="7">
        <f>'Total income package'!$D$80</f>
        <v>0</v>
      </c>
      <c r="D25" s="7">
        <f t="shared" si="6"/>
        <v>833.33333333333337</v>
      </c>
      <c r="E25" s="65">
        <f t="shared" si="7"/>
        <v>0.25853154084798347</v>
      </c>
      <c r="F25" s="65" t="str">
        <f t="shared" si="0"/>
        <v>Yes</v>
      </c>
      <c r="G25" s="65" t="str">
        <f t="shared" si="1"/>
        <v>Yes</v>
      </c>
      <c r="H25" s="301" t="str">
        <f>IF(OR('TANF-VIEW'!L29&gt;0,'TANF-VIEW'!T29&gt;0),"Yes","No")</f>
        <v>No</v>
      </c>
      <c r="I25" s="63">
        <f t="shared" si="8"/>
        <v>10</v>
      </c>
      <c r="J25" s="6">
        <f>(IF(B25&gt;$N$2,0,VLOOKUP('Total income package'!$B$3,'Location specific data'!$A$3:$AO$135,33,FALSE))*$C$2)*20</f>
        <v>1400</v>
      </c>
      <c r="K25" s="6">
        <f>IF(B25&gt;$N$2,0,VLOOKUP('Total income package'!$B$3,'Location specific data'!$A$3:$AO$135,34,FALSE))*$D$2*20</f>
        <v>0</v>
      </c>
      <c r="L25" s="6">
        <f>IF(B25&gt;$N$2,0,VLOOKUP('Total income package'!$B$3,'Location specific data'!$A$3:$AO$135,35,FALSE))*$E$2*20</f>
        <v>0</v>
      </c>
      <c r="M25" s="6">
        <f>IF(B25&gt;$N$2,0,VLOOKUP('Total income package'!$B$3,'Location specific data'!$A$3:$AO$135,36,FALSE))*$F$2*20</f>
        <v>0</v>
      </c>
      <c r="N25" s="6">
        <f>IF(B25&gt;$N$2,0,VLOOKUP('Total income package'!$B$3,'Location specific data'!$A$3:$AO$135,37,FALSE))*($G$2+$H$2)*20</f>
        <v>600</v>
      </c>
      <c r="O25" s="6">
        <f t="shared" si="2"/>
        <v>20</v>
      </c>
      <c r="P25" s="312">
        <f t="shared" si="3"/>
        <v>41.666666666666671</v>
      </c>
      <c r="Q25" s="312">
        <f t="shared" si="4"/>
        <v>30</v>
      </c>
      <c r="R25" s="312">
        <f t="shared" si="9"/>
        <v>20</v>
      </c>
      <c r="S25" s="160">
        <f>IF(AND('Total income package'!$A$8=TRUE,OR(F25="Yes",G25="Yes",H25="Yes")),SUM(J25:N25)-R25,0)</f>
        <v>1980</v>
      </c>
    </row>
    <row r="26" spans="1:19" s="5" customFormat="1" x14ac:dyDescent="0.3">
      <c r="A26" s="6">
        <v>10500</v>
      </c>
      <c r="B26" s="7">
        <f t="shared" si="5"/>
        <v>875</v>
      </c>
      <c r="C26" s="7">
        <f>'Total income package'!$D$80</f>
        <v>0</v>
      </c>
      <c r="D26" s="7">
        <f t="shared" si="6"/>
        <v>875</v>
      </c>
      <c r="E26" s="65">
        <f t="shared" si="7"/>
        <v>0.2714581178903826</v>
      </c>
      <c r="F26" s="65" t="str">
        <f t="shared" si="0"/>
        <v>Yes</v>
      </c>
      <c r="G26" s="65" t="str">
        <f t="shared" si="1"/>
        <v>Yes</v>
      </c>
      <c r="H26" s="301" t="str">
        <f>IF(OR('TANF-VIEW'!L30&gt;0,'TANF-VIEW'!T30&gt;0),"Yes","No")</f>
        <v>No</v>
      </c>
      <c r="I26" s="63">
        <f t="shared" si="8"/>
        <v>10</v>
      </c>
      <c r="J26" s="6">
        <f>(IF(B26&gt;$N$2,0,VLOOKUP('Total income package'!$B$3,'Location specific data'!$A$3:$AO$135,33,FALSE))*$C$2)*20</f>
        <v>1400</v>
      </c>
      <c r="K26" s="6">
        <f>IF(B26&gt;$N$2,0,VLOOKUP('Total income package'!$B$3,'Location specific data'!$A$3:$AO$135,34,FALSE))*$D$2*20</f>
        <v>0</v>
      </c>
      <c r="L26" s="6">
        <f>IF(B26&gt;$N$2,0,VLOOKUP('Total income package'!$B$3,'Location specific data'!$A$3:$AO$135,35,FALSE))*$E$2*20</f>
        <v>0</v>
      </c>
      <c r="M26" s="6">
        <f>IF(B26&gt;$N$2,0,VLOOKUP('Total income package'!$B$3,'Location specific data'!$A$3:$AO$135,36,FALSE))*$F$2*20</f>
        <v>0</v>
      </c>
      <c r="N26" s="6">
        <f>IF(B26&gt;$N$2,0,VLOOKUP('Total income package'!$B$3,'Location specific data'!$A$3:$AO$135,37,FALSE))*($G$2+$H$2)*20</f>
        <v>600</v>
      </c>
      <c r="O26" s="6">
        <f t="shared" si="2"/>
        <v>20</v>
      </c>
      <c r="P26" s="312">
        <f t="shared" si="3"/>
        <v>43.75</v>
      </c>
      <c r="Q26" s="312">
        <f t="shared" si="4"/>
        <v>30</v>
      </c>
      <c r="R26" s="312">
        <f t="shared" si="9"/>
        <v>20</v>
      </c>
      <c r="S26" s="160">
        <f>IF(AND('Total income package'!$A$8=TRUE,OR(F26="Yes",G26="Yes",H26="Yes")),SUM(J26:N26)-R26,0)</f>
        <v>1980</v>
      </c>
    </row>
    <row r="27" spans="1:19" s="5" customFormat="1" x14ac:dyDescent="0.3">
      <c r="A27" s="6">
        <v>11000</v>
      </c>
      <c r="B27" s="7">
        <f t="shared" si="5"/>
        <v>916.66666666666663</v>
      </c>
      <c r="C27" s="7">
        <f>'Total income package'!$D$80</f>
        <v>0</v>
      </c>
      <c r="D27" s="7">
        <f t="shared" si="6"/>
        <v>916.66666666666663</v>
      </c>
      <c r="E27" s="65">
        <f t="shared" si="7"/>
        <v>0.28438469493278179</v>
      </c>
      <c r="F27" s="65" t="str">
        <f t="shared" si="0"/>
        <v>Yes</v>
      </c>
      <c r="G27" s="65" t="str">
        <f t="shared" si="1"/>
        <v>Yes</v>
      </c>
      <c r="H27" s="301" t="str">
        <f>IF(OR('TANF-VIEW'!L31&gt;0,'TANF-VIEW'!T31&gt;0),"Yes","No")</f>
        <v>No</v>
      </c>
      <c r="I27" s="63">
        <f t="shared" si="8"/>
        <v>10</v>
      </c>
      <c r="J27" s="6">
        <f>(IF(B27&gt;$N$2,0,VLOOKUP('Total income package'!$B$3,'Location specific data'!$A$3:$AO$135,33,FALSE))*$C$2)*20</f>
        <v>1400</v>
      </c>
      <c r="K27" s="6">
        <f>IF(B27&gt;$N$2,0,VLOOKUP('Total income package'!$B$3,'Location specific data'!$A$3:$AO$135,34,FALSE))*$D$2*20</f>
        <v>0</v>
      </c>
      <c r="L27" s="6">
        <f>IF(B27&gt;$N$2,0,VLOOKUP('Total income package'!$B$3,'Location specific data'!$A$3:$AO$135,35,FALSE))*$E$2*20</f>
        <v>0</v>
      </c>
      <c r="M27" s="6">
        <f>IF(B27&gt;$N$2,0,VLOOKUP('Total income package'!$B$3,'Location specific data'!$A$3:$AO$135,36,FALSE))*$F$2*20</f>
        <v>0</v>
      </c>
      <c r="N27" s="6">
        <f>IF(B27&gt;$N$2,0,VLOOKUP('Total income package'!$B$3,'Location specific data'!$A$3:$AO$135,37,FALSE))*($G$2+$H$2)*20</f>
        <v>600</v>
      </c>
      <c r="O27" s="6">
        <f t="shared" si="2"/>
        <v>20</v>
      </c>
      <c r="P27" s="312">
        <f t="shared" si="3"/>
        <v>45.833333333333336</v>
      </c>
      <c r="Q27" s="312">
        <f t="shared" si="4"/>
        <v>30</v>
      </c>
      <c r="R27" s="312">
        <f t="shared" si="9"/>
        <v>20</v>
      </c>
      <c r="S27" s="160">
        <f>IF(AND('Total income package'!$A$8=TRUE,OR(F27="Yes",G27="Yes",H27="Yes")),SUM(J27:N27)-R27,0)</f>
        <v>1980</v>
      </c>
    </row>
    <row r="28" spans="1:19" s="5" customFormat="1" x14ac:dyDescent="0.3">
      <c r="A28" s="6">
        <v>11500</v>
      </c>
      <c r="B28" s="7">
        <f t="shared" si="5"/>
        <v>958.33333333333337</v>
      </c>
      <c r="C28" s="7">
        <f>'Total income package'!$D$80</f>
        <v>0</v>
      </c>
      <c r="D28" s="7">
        <f t="shared" si="6"/>
        <v>958.33333333333337</v>
      </c>
      <c r="E28" s="65">
        <f t="shared" si="7"/>
        <v>0.29731127197518098</v>
      </c>
      <c r="F28" s="65" t="str">
        <f t="shared" si="0"/>
        <v>Yes</v>
      </c>
      <c r="G28" s="65" t="str">
        <f t="shared" si="1"/>
        <v>Yes</v>
      </c>
      <c r="H28" s="301" t="str">
        <f>IF(OR('TANF-VIEW'!L32&gt;0,'TANF-VIEW'!T32&gt;0),"Yes","No")</f>
        <v>No</v>
      </c>
      <c r="I28" s="63">
        <f t="shared" si="8"/>
        <v>10</v>
      </c>
      <c r="J28" s="6">
        <f>(IF(B28&gt;$N$2,0,VLOOKUP('Total income package'!$B$3,'Location specific data'!$A$3:$AO$135,33,FALSE))*$C$2)*20</f>
        <v>1400</v>
      </c>
      <c r="K28" s="6">
        <f>IF(B28&gt;$N$2,0,VLOOKUP('Total income package'!$B$3,'Location specific data'!$A$3:$AO$135,34,FALSE))*$D$2*20</f>
        <v>0</v>
      </c>
      <c r="L28" s="6">
        <f>IF(B28&gt;$N$2,0,VLOOKUP('Total income package'!$B$3,'Location specific data'!$A$3:$AO$135,35,FALSE))*$E$2*20</f>
        <v>0</v>
      </c>
      <c r="M28" s="6">
        <f>IF(B28&gt;$N$2,0,VLOOKUP('Total income package'!$B$3,'Location specific data'!$A$3:$AO$135,36,FALSE))*$F$2*20</f>
        <v>0</v>
      </c>
      <c r="N28" s="6">
        <f>IF(B28&gt;$N$2,0,VLOOKUP('Total income package'!$B$3,'Location specific data'!$A$3:$AO$135,37,FALSE))*($G$2+$H$2)*20</f>
        <v>600</v>
      </c>
      <c r="O28" s="6">
        <f t="shared" si="2"/>
        <v>20</v>
      </c>
      <c r="P28" s="312">
        <f t="shared" si="3"/>
        <v>47.916666666666671</v>
      </c>
      <c r="Q28" s="312">
        <f t="shared" si="4"/>
        <v>30</v>
      </c>
      <c r="R28" s="312">
        <f t="shared" si="9"/>
        <v>20</v>
      </c>
      <c r="S28" s="160">
        <f>IF(AND('Total income package'!$A$8=TRUE,OR(F28="Yes",G28="Yes",H28="Yes")),SUM(J28:N28)-R28,0)</f>
        <v>1980</v>
      </c>
    </row>
    <row r="29" spans="1:19" s="5" customFormat="1" x14ac:dyDescent="0.3">
      <c r="A29" s="6">
        <v>12000</v>
      </c>
      <c r="B29" s="7">
        <f t="shared" si="5"/>
        <v>1000</v>
      </c>
      <c r="C29" s="7">
        <f>'Total income package'!$D$80</f>
        <v>0</v>
      </c>
      <c r="D29" s="7">
        <f t="shared" si="6"/>
        <v>1000</v>
      </c>
      <c r="E29" s="65">
        <f>D29/$K$2</f>
        <v>0.31023784901758011</v>
      </c>
      <c r="F29" s="65" t="str">
        <f t="shared" si="0"/>
        <v>Yes</v>
      </c>
      <c r="G29" s="65" t="str">
        <f t="shared" si="1"/>
        <v>Yes</v>
      </c>
      <c r="H29" s="301" t="str">
        <f>IF(OR('TANF-VIEW'!L33&gt;0,'TANF-VIEW'!T33&gt;0),"Yes","No")</f>
        <v>No</v>
      </c>
      <c r="I29" s="63">
        <f t="shared" si="8"/>
        <v>10</v>
      </c>
      <c r="J29" s="6">
        <f>(IF(B29&gt;$N$2,0,VLOOKUP('Total income package'!$B$3,'Location specific data'!$A$3:$AO$135,33,FALSE))*$C$2)*20</f>
        <v>1400</v>
      </c>
      <c r="K29" s="6">
        <f>IF(B29&gt;$N$2,0,VLOOKUP('Total income package'!$B$3,'Location specific data'!$A$3:$AO$135,34,FALSE))*$D$2*20</f>
        <v>0</v>
      </c>
      <c r="L29" s="6">
        <f>IF(B29&gt;$N$2,0,VLOOKUP('Total income package'!$B$3,'Location specific data'!$A$3:$AO$135,35,FALSE))*$E$2*20</f>
        <v>0</v>
      </c>
      <c r="M29" s="6">
        <f>IF(B29&gt;$N$2,0,VLOOKUP('Total income package'!$B$3,'Location specific data'!$A$3:$AO$135,36,FALSE))*$F$2*20</f>
        <v>0</v>
      </c>
      <c r="N29" s="6">
        <f>IF(B29&gt;$N$2,0,VLOOKUP('Total income package'!$B$3,'Location specific data'!$A$3:$AO$135,37,FALSE))*($G$2+$H$2)*20</f>
        <v>600</v>
      </c>
      <c r="O29" s="6">
        <f t="shared" si="2"/>
        <v>20</v>
      </c>
      <c r="P29" s="312">
        <f t="shared" si="3"/>
        <v>50</v>
      </c>
      <c r="Q29" s="312">
        <f t="shared" si="4"/>
        <v>30</v>
      </c>
      <c r="R29" s="312">
        <f t="shared" si="9"/>
        <v>20</v>
      </c>
      <c r="S29" s="160">
        <f>IF(AND('Total income package'!$A$8=TRUE,OR(F29="Yes",G29="Yes",H29="Yes")),SUM(J29:N29)-R29,0)</f>
        <v>1980</v>
      </c>
    </row>
    <row r="30" spans="1:19" s="5" customFormat="1" x14ac:dyDescent="0.3">
      <c r="A30" s="6">
        <v>12500</v>
      </c>
      <c r="B30" s="7">
        <f t="shared" si="5"/>
        <v>1041.6666666666667</v>
      </c>
      <c r="C30" s="7">
        <f>'Total income package'!$D$80</f>
        <v>0</v>
      </c>
      <c r="D30" s="7">
        <f t="shared" si="6"/>
        <v>1041.6666666666667</v>
      </c>
      <c r="E30" s="65">
        <f t="shared" si="7"/>
        <v>0.3231644260599793</v>
      </c>
      <c r="F30" s="65" t="str">
        <f t="shared" si="0"/>
        <v>Yes</v>
      </c>
      <c r="G30" s="65" t="str">
        <f t="shared" si="1"/>
        <v>Yes</v>
      </c>
      <c r="H30" s="301" t="str">
        <f>IF(OR('TANF-VIEW'!L34&gt;0,'TANF-VIEW'!T34&gt;0),"Yes","No")</f>
        <v>No</v>
      </c>
      <c r="I30" s="63">
        <f t="shared" si="8"/>
        <v>10</v>
      </c>
      <c r="J30" s="6">
        <f>(IF(B30&gt;$N$2,0,VLOOKUP('Total income package'!$B$3,'Location specific data'!$A$3:$AO$135,33,FALSE))*$C$2)*20</f>
        <v>1400</v>
      </c>
      <c r="K30" s="6">
        <f>IF(B30&gt;$N$2,0,VLOOKUP('Total income package'!$B$3,'Location specific data'!$A$3:$AO$135,34,FALSE))*$D$2*20</f>
        <v>0</v>
      </c>
      <c r="L30" s="6">
        <f>IF(B30&gt;$N$2,0,VLOOKUP('Total income package'!$B$3,'Location specific data'!$A$3:$AO$135,35,FALSE))*$E$2*20</f>
        <v>0</v>
      </c>
      <c r="M30" s="6">
        <f>IF(B30&gt;$N$2,0,VLOOKUP('Total income package'!$B$3,'Location specific data'!$A$3:$AO$135,36,FALSE))*$F$2*20</f>
        <v>0</v>
      </c>
      <c r="N30" s="6">
        <f>IF(B30&gt;$N$2,0,VLOOKUP('Total income package'!$B$3,'Location specific data'!$A$3:$AO$135,37,FALSE))*($G$2+$H$2)*20</f>
        <v>600</v>
      </c>
      <c r="O30" s="6">
        <f t="shared" si="2"/>
        <v>20</v>
      </c>
      <c r="P30" s="312">
        <f t="shared" si="3"/>
        <v>52.083333333333343</v>
      </c>
      <c r="Q30" s="312">
        <f t="shared" si="4"/>
        <v>30</v>
      </c>
      <c r="R30" s="312">
        <f t="shared" si="9"/>
        <v>20</v>
      </c>
      <c r="S30" s="160">
        <f>IF(AND('Total income package'!$A$8=TRUE,OR(F30="Yes",G30="Yes",H30="Yes")),SUM(J30:N30)-R30,0)</f>
        <v>1980</v>
      </c>
    </row>
    <row r="31" spans="1:19" s="5" customFormat="1" x14ac:dyDescent="0.3">
      <c r="A31" s="6">
        <v>13000</v>
      </c>
      <c r="B31" s="7">
        <f t="shared" si="5"/>
        <v>1083.3333333333333</v>
      </c>
      <c r="C31" s="7">
        <f>'Total income package'!$D$80</f>
        <v>0</v>
      </c>
      <c r="D31" s="7">
        <f t="shared" si="6"/>
        <v>1083.3333333333333</v>
      </c>
      <c r="E31" s="65">
        <f t="shared" si="7"/>
        <v>0.33609100310237844</v>
      </c>
      <c r="F31" s="65" t="str">
        <f t="shared" si="0"/>
        <v>Yes</v>
      </c>
      <c r="G31" s="65" t="str">
        <f t="shared" si="1"/>
        <v>Yes</v>
      </c>
      <c r="H31" s="301" t="str">
        <f>IF(OR('TANF-VIEW'!L35&gt;0,'TANF-VIEW'!T35&gt;0),"Yes","No")</f>
        <v>No</v>
      </c>
      <c r="I31" s="63">
        <f t="shared" si="8"/>
        <v>10</v>
      </c>
      <c r="J31" s="6">
        <f>(IF(B31&gt;$N$2,0,VLOOKUP('Total income package'!$B$3,'Location specific data'!$A$3:$AO$135,33,FALSE))*$C$2)*20</f>
        <v>1400</v>
      </c>
      <c r="K31" s="6">
        <f>IF(B31&gt;$N$2,0,VLOOKUP('Total income package'!$B$3,'Location specific data'!$A$3:$AO$135,34,FALSE))*$D$2*20</f>
        <v>0</v>
      </c>
      <c r="L31" s="6">
        <f>IF(B31&gt;$N$2,0,VLOOKUP('Total income package'!$B$3,'Location specific data'!$A$3:$AO$135,35,FALSE))*$E$2*20</f>
        <v>0</v>
      </c>
      <c r="M31" s="6">
        <f>IF(B31&gt;$N$2,0,VLOOKUP('Total income package'!$B$3,'Location specific data'!$A$3:$AO$135,36,FALSE))*$F$2*20</f>
        <v>0</v>
      </c>
      <c r="N31" s="6">
        <f>IF(B31&gt;$N$2,0,VLOOKUP('Total income package'!$B$3,'Location specific data'!$A$3:$AO$135,37,FALSE))*($G$2+$H$2)*20</f>
        <v>600</v>
      </c>
      <c r="O31" s="6">
        <f t="shared" si="2"/>
        <v>20</v>
      </c>
      <c r="P31" s="312">
        <f t="shared" si="3"/>
        <v>54.166666666666664</v>
      </c>
      <c r="Q31" s="312">
        <f t="shared" si="4"/>
        <v>30</v>
      </c>
      <c r="R31" s="312">
        <f t="shared" si="9"/>
        <v>20</v>
      </c>
      <c r="S31" s="160">
        <f>IF(AND('Total income package'!$A$8=TRUE,OR(F31="Yes",G31="Yes",H31="Yes")),SUM(J31:N31)-R31,0)</f>
        <v>1980</v>
      </c>
    </row>
    <row r="32" spans="1:19" s="5" customFormat="1" x14ac:dyDescent="0.3">
      <c r="A32" s="6">
        <v>13500</v>
      </c>
      <c r="B32" s="7">
        <f t="shared" si="5"/>
        <v>1125</v>
      </c>
      <c r="C32" s="7">
        <f>'Total income package'!$D$80</f>
        <v>0</v>
      </c>
      <c r="D32" s="7">
        <f t="shared" si="6"/>
        <v>1125</v>
      </c>
      <c r="E32" s="65">
        <f t="shared" si="7"/>
        <v>0.34901758014477763</v>
      </c>
      <c r="F32" s="65" t="str">
        <f t="shared" si="0"/>
        <v>Yes</v>
      </c>
      <c r="G32" s="65" t="str">
        <f t="shared" si="1"/>
        <v>Yes</v>
      </c>
      <c r="H32" s="301" t="str">
        <f>IF(OR('TANF-VIEW'!L36&gt;0,'TANF-VIEW'!T36&gt;0),"Yes","No")</f>
        <v>No</v>
      </c>
      <c r="I32" s="63">
        <f t="shared" si="8"/>
        <v>10</v>
      </c>
      <c r="J32" s="6">
        <f>(IF(B32&gt;$N$2,0,VLOOKUP('Total income package'!$B$3,'Location specific data'!$A$3:$AO$135,33,FALSE))*$C$2)*20</f>
        <v>1400</v>
      </c>
      <c r="K32" s="6">
        <f>IF(B32&gt;$N$2,0,VLOOKUP('Total income package'!$B$3,'Location specific data'!$A$3:$AO$135,34,FALSE))*$D$2*20</f>
        <v>0</v>
      </c>
      <c r="L32" s="6">
        <f>IF(B32&gt;$N$2,0,VLOOKUP('Total income package'!$B$3,'Location specific data'!$A$3:$AO$135,35,FALSE))*$E$2*20</f>
        <v>0</v>
      </c>
      <c r="M32" s="6">
        <f>IF(B32&gt;$N$2,0,VLOOKUP('Total income package'!$B$3,'Location specific data'!$A$3:$AO$135,36,FALSE))*$F$2*20</f>
        <v>0</v>
      </c>
      <c r="N32" s="6">
        <f>IF(B32&gt;$N$2,0,VLOOKUP('Total income package'!$B$3,'Location specific data'!$A$3:$AO$135,37,FALSE))*($G$2+$H$2)*20</f>
        <v>600</v>
      </c>
      <c r="O32" s="6">
        <f t="shared" si="2"/>
        <v>20</v>
      </c>
      <c r="P32" s="312">
        <f t="shared" si="3"/>
        <v>56.25</v>
      </c>
      <c r="Q32" s="312">
        <f t="shared" si="4"/>
        <v>30</v>
      </c>
      <c r="R32" s="312">
        <f t="shared" si="9"/>
        <v>20</v>
      </c>
      <c r="S32" s="160">
        <f>IF(AND('Total income package'!$A$8=TRUE,OR(F32="Yes",G32="Yes",H32="Yes")),SUM(J32:N32)-R32,0)</f>
        <v>1980</v>
      </c>
    </row>
    <row r="33" spans="1:19" s="5" customFormat="1" x14ac:dyDescent="0.3">
      <c r="A33" s="6">
        <v>14000</v>
      </c>
      <c r="B33" s="7">
        <f t="shared" si="5"/>
        <v>1166.6666666666667</v>
      </c>
      <c r="C33" s="7">
        <f>'Total income package'!$D$80</f>
        <v>0</v>
      </c>
      <c r="D33" s="7">
        <f t="shared" si="6"/>
        <v>1166.6666666666667</v>
      </c>
      <c r="E33" s="65">
        <f t="shared" si="7"/>
        <v>0.36194415718717682</v>
      </c>
      <c r="F33" s="65" t="str">
        <f t="shared" si="0"/>
        <v>Yes</v>
      </c>
      <c r="G33" s="65" t="str">
        <f t="shared" si="1"/>
        <v>Yes</v>
      </c>
      <c r="H33" s="301" t="str">
        <f>IF(OR('TANF-VIEW'!L37&gt;0,'TANF-VIEW'!T37&gt;0),"Yes","No")</f>
        <v>No</v>
      </c>
      <c r="I33" s="63">
        <f t="shared" si="8"/>
        <v>10</v>
      </c>
      <c r="J33" s="6">
        <f>(IF(B33&gt;$N$2,0,VLOOKUP('Total income package'!$B$3,'Location specific data'!$A$3:$AO$135,33,FALSE))*$C$2)*20</f>
        <v>1400</v>
      </c>
      <c r="K33" s="6">
        <f>IF(B33&gt;$N$2,0,VLOOKUP('Total income package'!$B$3,'Location specific data'!$A$3:$AO$135,34,FALSE))*$D$2*20</f>
        <v>0</v>
      </c>
      <c r="L33" s="6">
        <f>IF(B33&gt;$N$2,0,VLOOKUP('Total income package'!$B$3,'Location specific data'!$A$3:$AO$135,35,FALSE))*$E$2*20</f>
        <v>0</v>
      </c>
      <c r="M33" s="6">
        <f>IF(B33&gt;$N$2,0,VLOOKUP('Total income package'!$B$3,'Location specific data'!$A$3:$AO$135,36,FALSE))*$F$2*20</f>
        <v>0</v>
      </c>
      <c r="N33" s="6">
        <f>IF(B33&gt;$N$2,0,VLOOKUP('Total income package'!$B$3,'Location specific data'!$A$3:$AO$135,37,FALSE))*($G$2+$H$2)*20</f>
        <v>600</v>
      </c>
      <c r="O33" s="6">
        <f t="shared" si="2"/>
        <v>20</v>
      </c>
      <c r="P33" s="312">
        <f t="shared" si="3"/>
        <v>58.333333333333343</v>
      </c>
      <c r="Q33" s="312">
        <f t="shared" si="4"/>
        <v>30</v>
      </c>
      <c r="R33" s="312">
        <f t="shared" si="9"/>
        <v>20</v>
      </c>
      <c r="S33" s="160">
        <f>IF(AND('Total income package'!$A$8=TRUE,OR(F33="Yes",G33="Yes",H33="Yes")),SUM(J33:N33)-R33,0)</f>
        <v>1980</v>
      </c>
    </row>
    <row r="34" spans="1:19" s="5" customFormat="1" x14ac:dyDescent="0.3">
      <c r="A34" s="6">
        <v>14500</v>
      </c>
      <c r="B34" s="7">
        <f t="shared" si="5"/>
        <v>1208.3333333333333</v>
      </c>
      <c r="C34" s="7">
        <f>'Total income package'!$D$80</f>
        <v>0</v>
      </c>
      <c r="D34" s="7">
        <f t="shared" si="6"/>
        <v>1208.3333333333333</v>
      </c>
      <c r="E34" s="65">
        <f t="shared" si="7"/>
        <v>0.37487073422957595</v>
      </c>
      <c r="F34" s="65" t="str">
        <f t="shared" si="0"/>
        <v>Yes</v>
      </c>
      <c r="G34" s="65" t="str">
        <f t="shared" si="1"/>
        <v>Yes</v>
      </c>
      <c r="H34" s="301" t="str">
        <f>IF(OR('TANF-VIEW'!L38&gt;0,'TANF-VIEW'!T38&gt;0),"Yes","No")</f>
        <v>No</v>
      </c>
      <c r="I34" s="63">
        <f t="shared" si="8"/>
        <v>10</v>
      </c>
      <c r="J34" s="6">
        <f>(IF(B34&gt;$N$2,0,VLOOKUP('Total income package'!$B$3,'Location specific data'!$A$3:$AO$135,33,FALSE))*$C$2)*20</f>
        <v>1400</v>
      </c>
      <c r="K34" s="6">
        <f>IF(B34&gt;$N$2,0,VLOOKUP('Total income package'!$B$3,'Location specific data'!$A$3:$AO$135,34,FALSE))*$D$2*20</f>
        <v>0</v>
      </c>
      <c r="L34" s="6">
        <f>IF(B34&gt;$N$2,0,VLOOKUP('Total income package'!$B$3,'Location specific data'!$A$3:$AO$135,35,FALSE))*$E$2*20</f>
        <v>0</v>
      </c>
      <c r="M34" s="6">
        <f>IF(B34&gt;$N$2,0,VLOOKUP('Total income package'!$B$3,'Location specific data'!$A$3:$AO$135,36,FALSE))*$F$2*20</f>
        <v>0</v>
      </c>
      <c r="N34" s="6">
        <f>IF(B34&gt;$N$2,0,VLOOKUP('Total income package'!$B$3,'Location specific data'!$A$3:$AO$135,37,FALSE))*($G$2+$H$2)*20</f>
        <v>600</v>
      </c>
      <c r="O34" s="6">
        <f t="shared" si="2"/>
        <v>20</v>
      </c>
      <c r="P34" s="312">
        <f t="shared" si="3"/>
        <v>60.416666666666664</v>
      </c>
      <c r="Q34" s="312">
        <f t="shared" si="4"/>
        <v>30</v>
      </c>
      <c r="R34" s="312">
        <f t="shared" si="9"/>
        <v>20</v>
      </c>
      <c r="S34" s="160">
        <f>IF(AND('Total income package'!$A$8=TRUE,OR(F34="Yes",G34="Yes",H34="Yes")),SUM(J34:N34)-R34,0)</f>
        <v>1980</v>
      </c>
    </row>
    <row r="35" spans="1:19" s="5" customFormat="1" x14ac:dyDescent="0.3">
      <c r="A35" s="6">
        <v>15000</v>
      </c>
      <c r="B35" s="7">
        <f t="shared" si="5"/>
        <v>1250</v>
      </c>
      <c r="C35" s="7">
        <f>'Total income package'!$D$80</f>
        <v>0</v>
      </c>
      <c r="D35" s="7">
        <f t="shared" si="6"/>
        <v>1250</v>
      </c>
      <c r="E35" s="65">
        <f t="shared" si="7"/>
        <v>0.38779731127197514</v>
      </c>
      <c r="F35" s="65" t="str">
        <f t="shared" si="0"/>
        <v>Yes</v>
      </c>
      <c r="G35" s="65" t="str">
        <f t="shared" si="1"/>
        <v>Yes</v>
      </c>
      <c r="H35" s="301" t="str">
        <f>IF(OR('TANF-VIEW'!L39&gt;0,'TANF-VIEW'!T39&gt;0),"Yes","No")</f>
        <v>No</v>
      </c>
      <c r="I35" s="63">
        <f t="shared" si="8"/>
        <v>10</v>
      </c>
      <c r="J35" s="6">
        <f>(IF(B35&gt;$N$2,0,VLOOKUP('Total income package'!$B$3,'Location specific data'!$A$3:$AO$135,33,FALSE))*$C$2)*20</f>
        <v>1400</v>
      </c>
      <c r="K35" s="6">
        <f>IF(B35&gt;$N$2,0,VLOOKUP('Total income package'!$B$3,'Location specific data'!$A$3:$AO$135,34,FALSE))*$D$2*20</f>
        <v>0</v>
      </c>
      <c r="L35" s="6">
        <f>IF(B35&gt;$N$2,0,VLOOKUP('Total income package'!$B$3,'Location specific data'!$A$3:$AO$135,35,FALSE))*$E$2*20</f>
        <v>0</v>
      </c>
      <c r="M35" s="6">
        <f>IF(B35&gt;$N$2,0,VLOOKUP('Total income package'!$B$3,'Location specific data'!$A$3:$AO$135,36,FALSE))*$F$2*20</f>
        <v>0</v>
      </c>
      <c r="N35" s="6">
        <f>IF(B35&gt;$N$2,0,VLOOKUP('Total income package'!$B$3,'Location specific data'!$A$3:$AO$135,37,FALSE))*($G$2+$H$2)*20</f>
        <v>600</v>
      </c>
      <c r="O35" s="6">
        <f t="shared" si="2"/>
        <v>20</v>
      </c>
      <c r="P35" s="312">
        <f t="shared" si="3"/>
        <v>62.5</v>
      </c>
      <c r="Q35" s="312">
        <f t="shared" si="4"/>
        <v>30</v>
      </c>
      <c r="R35" s="312">
        <f t="shared" si="9"/>
        <v>20</v>
      </c>
      <c r="S35" s="160">
        <f>IF(AND('Total income package'!$A$8=TRUE,OR(F35="Yes",G35="Yes",H35="Yes")),SUM(J35:N35)-R35,0)</f>
        <v>1980</v>
      </c>
    </row>
    <row r="36" spans="1:19" s="5" customFormat="1" x14ac:dyDescent="0.3">
      <c r="A36" s="6">
        <v>15500</v>
      </c>
      <c r="B36" s="7">
        <f t="shared" si="5"/>
        <v>1291.6666666666667</v>
      </c>
      <c r="C36" s="7">
        <f>'Total income package'!$D$80</f>
        <v>0</v>
      </c>
      <c r="D36" s="7">
        <f t="shared" si="6"/>
        <v>1291.6666666666667</v>
      </c>
      <c r="E36" s="65">
        <f t="shared" si="7"/>
        <v>0.40072388831437433</v>
      </c>
      <c r="F36" s="65" t="str">
        <f t="shared" si="0"/>
        <v>Yes</v>
      </c>
      <c r="G36" s="65" t="str">
        <f t="shared" si="1"/>
        <v>Yes</v>
      </c>
      <c r="H36" s="301" t="str">
        <f>IF(OR('TANF-VIEW'!L40&gt;0,'TANF-VIEW'!T40&gt;0),"Yes","No")</f>
        <v>No</v>
      </c>
      <c r="I36" s="63">
        <f t="shared" si="8"/>
        <v>10</v>
      </c>
      <c r="J36" s="6">
        <f>(IF(B36&gt;$N$2,0,VLOOKUP('Total income package'!$B$3,'Location specific data'!$A$3:$AO$135,33,FALSE))*$C$2)*20</f>
        <v>1400</v>
      </c>
      <c r="K36" s="6">
        <f>IF(B36&gt;$N$2,0,VLOOKUP('Total income package'!$B$3,'Location specific data'!$A$3:$AO$135,34,FALSE))*$D$2*20</f>
        <v>0</v>
      </c>
      <c r="L36" s="6">
        <f>IF(B36&gt;$N$2,0,VLOOKUP('Total income package'!$B$3,'Location specific data'!$A$3:$AO$135,35,FALSE))*$E$2*20</f>
        <v>0</v>
      </c>
      <c r="M36" s="6">
        <f>IF(B36&gt;$N$2,0,VLOOKUP('Total income package'!$B$3,'Location specific data'!$A$3:$AO$135,36,FALSE))*$F$2*20</f>
        <v>0</v>
      </c>
      <c r="N36" s="6">
        <f>IF(B36&gt;$N$2,0,VLOOKUP('Total income package'!$B$3,'Location specific data'!$A$3:$AO$135,37,FALSE))*($G$2+$H$2)*20</f>
        <v>600</v>
      </c>
      <c r="O36" s="6">
        <f t="shared" si="2"/>
        <v>20</v>
      </c>
      <c r="P36" s="312">
        <f t="shared" si="3"/>
        <v>64.583333333333343</v>
      </c>
      <c r="Q36" s="312">
        <f t="shared" si="4"/>
        <v>30</v>
      </c>
      <c r="R36" s="312">
        <f t="shared" si="9"/>
        <v>20</v>
      </c>
      <c r="S36" s="160">
        <f>IF(AND('Total income package'!$A$8=TRUE,OR(F36="Yes",G36="Yes",H36="Yes")),SUM(J36:N36)-R36,0)</f>
        <v>1980</v>
      </c>
    </row>
    <row r="37" spans="1:19" s="5" customFormat="1" x14ac:dyDescent="0.3">
      <c r="A37" s="6">
        <v>16000</v>
      </c>
      <c r="B37" s="7">
        <f t="shared" si="5"/>
        <v>1333.3333333333333</v>
      </c>
      <c r="C37" s="7">
        <f>'Total income package'!$D$80</f>
        <v>0</v>
      </c>
      <c r="D37" s="7">
        <f t="shared" si="6"/>
        <v>1333.3333333333333</v>
      </c>
      <c r="E37" s="65">
        <f t="shared" si="7"/>
        <v>0.41365046535677347</v>
      </c>
      <c r="F37" s="65" t="str">
        <f t="shared" si="0"/>
        <v>Yes</v>
      </c>
      <c r="G37" s="65" t="str">
        <f t="shared" si="1"/>
        <v>Yes</v>
      </c>
      <c r="H37" s="301" t="str">
        <f>IF(OR('TANF-VIEW'!L41&gt;0,'TANF-VIEW'!T41&gt;0),"Yes","No")</f>
        <v>No</v>
      </c>
      <c r="I37" s="63">
        <f t="shared" si="8"/>
        <v>10</v>
      </c>
      <c r="J37" s="6">
        <f>(IF(B37&gt;$N$2,0,VLOOKUP('Total income package'!$B$3,'Location specific data'!$A$3:$AO$135,33,FALSE))*$C$2)*20</f>
        <v>1400</v>
      </c>
      <c r="K37" s="6">
        <f>IF(B37&gt;$N$2,0,VLOOKUP('Total income package'!$B$3,'Location specific data'!$A$3:$AO$135,34,FALSE))*$D$2*20</f>
        <v>0</v>
      </c>
      <c r="L37" s="6">
        <f>IF(B37&gt;$N$2,0,VLOOKUP('Total income package'!$B$3,'Location specific data'!$A$3:$AO$135,35,FALSE))*$E$2*20</f>
        <v>0</v>
      </c>
      <c r="M37" s="6">
        <f>IF(B37&gt;$N$2,0,VLOOKUP('Total income package'!$B$3,'Location specific data'!$A$3:$AO$135,36,FALSE))*$F$2*20</f>
        <v>0</v>
      </c>
      <c r="N37" s="6">
        <f>IF(B37&gt;$N$2,0,VLOOKUP('Total income package'!$B$3,'Location specific data'!$A$3:$AO$135,37,FALSE))*($G$2+$H$2)*20</f>
        <v>600</v>
      </c>
      <c r="O37" s="6">
        <f t="shared" si="2"/>
        <v>20</v>
      </c>
      <c r="P37" s="312">
        <f t="shared" ref="P37:P68" si="10">B37*0.05</f>
        <v>66.666666666666671</v>
      </c>
      <c r="Q37" s="312">
        <f t="shared" si="4"/>
        <v>30</v>
      </c>
      <c r="R37" s="312">
        <f t="shared" si="9"/>
        <v>20</v>
      </c>
      <c r="S37" s="160">
        <f>IF(AND('Total income package'!$A$8=TRUE,OR(F37="Yes",G37="Yes",H37="Yes")),SUM(J37:N37)-R37,0)</f>
        <v>1980</v>
      </c>
    </row>
    <row r="38" spans="1:19" s="5" customFormat="1" x14ac:dyDescent="0.3">
      <c r="A38" s="6">
        <v>16500</v>
      </c>
      <c r="B38" s="7">
        <f t="shared" si="5"/>
        <v>1375</v>
      </c>
      <c r="C38" s="7">
        <f>'Total income package'!$D$80</f>
        <v>0</v>
      </c>
      <c r="D38" s="7">
        <f t="shared" si="6"/>
        <v>1375</v>
      </c>
      <c r="E38" s="65">
        <f t="shared" si="7"/>
        <v>0.42657704239917266</v>
      </c>
      <c r="F38" s="65" t="str">
        <f t="shared" si="0"/>
        <v>Yes</v>
      </c>
      <c r="G38" s="65" t="str">
        <f t="shared" si="1"/>
        <v>Yes</v>
      </c>
      <c r="H38" s="301" t="str">
        <f>IF(OR('TANF-VIEW'!L42&gt;0,'TANF-VIEW'!T42&gt;0),"Yes","No")</f>
        <v>No</v>
      </c>
      <c r="I38" s="63">
        <f t="shared" si="8"/>
        <v>10</v>
      </c>
      <c r="J38" s="6">
        <f>(IF(B38&gt;$N$2,0,VLOOKUP('Total income package'!$B$3,'Location specific data'!$A$3:$AO$135,33,FALSE))*$C$2)*20</f>
        <v>1400</v>
      </c>
      <c r="K38" s="6">
        <f>IF(B38&gt;$N$2,0,VLOOKUP('Total income package'!$B$3,'Location specific data'!$A$3:$AO$135,34,FALSE))*$D$2*20</f>
        <v>0</v>
      </c>
      <c r="L38" s="6">
        <f>IF(B38&gt;$N$2,0,VLOOKUP('Total income package'!$B$3,'Location specific data'!$A$3:$AO$135,35,FALSE))*$E$2*20</f>
        <v>0</v>
      </c>
      <c r="M38" s="6">
        <f>IF(B38&gt;$N$2,0,VLOOKUP('Total income package'!$B$3,'Location specific data'!$A$3:$AO$135,36,FALSE))*$F$2*20</f>
        <v>0</v>
      </c>
      <c r="N38" s="6">
        <f>IF(B38&gt;$N$2,0,VLOOKUP('Total income package'!$B$3,'Location specific data'!$A$3:$AO$135,37,FALSE))*($G$2+$H$2)*20</f>
        <v>600</v>
      </c>
      <c r="O38" s="6">
        <f t="shared" si="2"/>
        <v>20</v>
      </c>
      <c r="P38" s="312">
        <f t="shared" si="10"/>
        <v>68.75</v>
      </c>
      <c r="Q38" s="312">
        <f t="shared" si="4"/>
        <v>30</v>
      </c>
      <c r="R38" s="312">
        <f t="shared" si="9"/>
        <v>20</v>
      </c>
      <c r="S38" s="160">
        <f>IF(AND('Total income package'!$A$8=TRUE,OR(F38="Yes",G38="Yes",H38="Yes")),SUM(J38:N38)-R38,0)</f>
        <v>1980</v>
      </c>
    </row>
    <row r="39" spans="1:19" s="5" customFormat="1" x14ac:dyDescent="0.3">
      <c r="A39" s="6">
        <v>17000</v>
      </c>
      <c r="B39" s="7">
        <f t="shared" si="5"/>
        <v>1416.6666666666667</v>
      </c>
      <c r="C39" s="7">
        <f>'Total income package'!$D$80</f>
        <v>0</v>
      </c>
      <c r="D39" s="7">
        <f t="shared" si="6"/>
        <v>1416.6666666666667</v>
      </c>
      <c r="E39" s="65">
        <f t="shared" si="7"/>
        <v>0.4395036194415719</v>
      </c>
      <c r="F39" s="65" t="str">
        <f t="shared" si="0"/>
        <v>Yes</v>
      </c>
      <c r="G39" s="65" t="str">
        <f t="shared" si="1"/>
        <v>Yes</v>
      </c>
      <c r="H39" s="301" t="str">
        <f>IF(OR('TANF-VIEW'!L43&gt;0,'TANF-VIEW'!T43&gt;0),"Yes","No")</f>
        <v>No</v>
      </c>
      <c r="I39" s="63">
        <f t="shared" si="8"/>
        <v>10</v>
      </c>
      <c r="J39" s="6">
        <f>(IF(B39&gt;$N$2,0,VLOOKUP('Total income package'!$B$3,'Location specific data'!$A$3:$AO$135,33,FALSE))*$C$2)*20</f>
        <v>1400</v>
      </c>
      <c r="K39" s="6">
        <f>IF(B39&gt;$N$2,0,VLOOKUP('Total income package'!$B$3,'Location specific data'!$A$3:$AO$135,34,FALSE))*$D$2*20</f>
        <v>0</v>
      </c>
      <c r="L39" s="6">
        <f>IF(B39&gt;$N$2,0,VLOOKUP('Total income package'!$B$3,'Location specific data'!$A$3:$AO$135,35,FALSE))*$E$2*20</f>
        <v>0</v>
      </c>
      <c r="M39" s="6">
        <f>IF(B39&gt;$N$2,0,VLOOKUP('Total income package'!$B$3,'Location specific data'!$A$3:$AO$135,36,FALSE))*$F$2*20</f>
        <v>0</v>
      </c>
      <c r="N39" s="6">
        <f>IF(B39&gt;$N$2,0,VLOOKUP('Total income package'!$B$3,'Location specific data'!$A$3:$AO$135,37,FALSE))*($G$2+$H$2)*20</f>
        <v>600</v>
      </c>
      <c r="O39" s="6">
        <f t="shared" si="2"/>
        <v>20</v>
      </c>
      <c r="P39" s="312">
        <f t="shared" si="10"/>
        <v>70.833333333333343</v>
      </c>
      <c r="Q39" s="312">
        <f t="shared" si="4"/>
        <v>30</v>
      </c>
      <c r="R39" s="312">
        <f t="shared" si="9"/>
        <v>20</v>
      </c>
      <c r="S39" s="160">
        <f>IF(AND('Total income package'!$A$8=TRUE,OR(F39="Yes",G39="Yes",H39="Yes")),SUM(J39:N39)-R39,0)</f>
        <v>1980</v>
      </c>
    </row>
    <row r="40" spans="1:19" s="5" customFormat="1" x14ac:dyDescent="0.3">
      <c r="A40" s="6">
        <v>17500</v>
      </c>
      <c r="B40" s="7">
        <f t="shared" si="5"/>
        <v>1458.3333333333333</v>
      </c>
      <c r="C40" s="7">
        <f>'Total income package'!$D$80</f>
        <v>0</v>
      </c>
      <c r="D40" s="7">
        <f t="shared" si="6"/>
        <v>1458.3333333333333</v>
      </c>
      <c r="E40" s="65">
        <f t="shared" si="7"/>
        <v>0.45243019648397098</v>
      </c>
      <c r="F40" s="65" t="str">
        <f t="shared" si="0"/>
        <v>Yes</v>
      </c>
      <c r="G40" s="65" t="str">
        <f t="shared" si="1"/>
        <v>Yes</v>
      </c>
      <c r="H40" s="301" t="str">
        <f>IF(OR('TANF-VIEW'!L44&gt;0,'TANF-VIEW'!T44&gt;0),"Yes","No")</f>
        <v>No</v>
      </c>
      <c r="I40" s="63">
        <f t="shared" si="8"/>
        <v>10</v>
      </c>
      <c r="J40" s="6">
        <f>(IF(B40&gt;$N$2,0,VLOOKUP('Total income package'!$B$3,'Location specific data'!$A$3:$AO$135,33,FALSE))*$C$2)*20</f>
        <v>1400</v>
      </c>
      <c r="K40" s="6">
        <f>IF(B40&gt;$N$2,0,VLOOKUP('Total income package'!$B$3,'Location specific data'!$A$3:$AO$135,34,FALSE))*$D$2*20</f>
        <v>0</v>
      </c>
      <c r="L40" s="6">
        <f>IF(B40&gt;$N$2,0,VLOOKUP('Total income package'!$B$3,'Location specific data'!$A$3:$AO$135,35,FALSE))*$E$2*20</f>
        <v>0</v>
      </c>
      <c r="M40" s="6">
        <f>IF(B40&gt;$N$2,0,VLOOKUP('Total income package'!$B$3,'Location specific data'!$A$3:$AO$135,36,FALSE))*$F$2*20</f>
        <v>0</v>
      </c>
      <c r="N40" s="6">
        <f>IF(B40&gt;$N$2,0,VLOOKUP('Total income package'!$B$3,'Location specific data'!$A$3:$AO$135,37,FALSE))*($G$2+$H$2)*20</f>
        <v>600</v>
      </c>
      <c r="O40" s="6">
        <f t="shared" si="2"/>
        <v>20</v>
      </c>
      <c r="P40" s="312">
        <f t="shared" si="10"/>
        <v>72.916666666666671</v>
      </c>
      <c r="Q40" s="312">
        <f t="shared" si="4"/>
        <v>30</v>
      </c>
      <c r="R40" s="312">
        <f t="shared" si="9"/>
        <v>20</v>
      </c>
      <c r="S40" s="160">
        <f>IF(AND('Total income package'!$A$8=TRUE,OR(F40="Yes",G40="Yes",H40="Yes")),SUM(J40:N40)-R40,0)</f>
        <v>1980</v>
      </c>
    </row>
    <row r="41" spans="1:19" s="5" customFormat="1" x14ac:dyDescent="0.3">
      <c r="A41" s="6">
        <v>18000</v>
      </c>
      <c r="B41" s="7">
        <f t="shared" si="5"/>
        <v>1500</v>
      </c>
      <c r="C41" s="7">
        <f>'Total income package'!$D$80</f>
        <v>0</v>
      </c>
      <c r="D41" s="7">
        <f t="shared" si="6"/>
        <v>1500</v>
      </c>
      <c r="E41" s="65">
        <f t="shared" si="7"/>
        <v>0.46535677352637017</v>
      </c>
      <c r="F41" s="65" t="str">
        <f t="shared" si="0"/>
        <v>Yes</v>
      </c>
      <c r="G41" s="65" t="str">
        <f t="shared" si="1"/>
        <v>Yes</v>
      </c>
      <c r="H41" s="301" t="str">
        <f>IF(OR('TANF-VIEW'!L45&gt;0,'TANF-VIEW'!T45&gt;0),"Yes","No")</f>
        <v>No</v>
      </c>
      <c r="I41" s="63">
        <f t="shared" si="8"/>
        <v>10</v>
      </c>
      <c r="J41" s="6">
        <f>(IF(B41&gt;$N$2,0,VLOOKUP('Total income package'!$B$3,'Location specific data'!$A$3:$AO$135,33,FALSE))*$C$2)*20</f>
        <v>1400</v>
      </c>
      <c r="K41" s="6">
        <f>IF(B41&gt;$N$2,0,VLOOKUP('Total income package'!$B$3,'Location specific data'!$A$3:$AO$135,34,FALSE))*$D$2*20</f>
        <v>0</v>
      </c>
      <c r="L41" s="6">
        <f>IF(B41&gt;$N$2,0,VLOOKUP('Total income package'!$B$3,'Location specific data'!$A$3:$AO$135,35,FALSE))*$E$2*20</f>
        <v>0</v>
      </c>
      <c r="M41" s="6">
        <f>IF(B41&gt;$N$2,0,VLOOKUP('Total income package'!$B$3,'Location specific data'!$A$3:$AO$135,36,FALSE))*$F$2*20</f>
        <v>0</v>
      </c>
      <c r="N41" s="6">
        <f>IF(B41&gt;$N$2,0,VLOOKUP('Total income package'!$B$3,'Location specific data'!$A$3:$AO$135,37,FALSE))*($G$2+$H$2)*20</f>
        <v>600</v>
      </c>
      <c r="O41" s="6">
        <f t="shared" si="2"/>
        <v>20</v>
      </c>
      <c r="P41" s="312">
        <f t="shared" si="10"/>
        <v>75</v>
      </c>
      <c r="Q41" s="312">
        <f t="shared" si="4"/>
        <v>30</v>
      </c>
      <c r="R41" s="312">
        <f t="shared" si="9"/>
        <v>20</v>
      </c>
      <c r="S41" s="160">
        <f>IF(AND('Total income package'!$A$8=TRUE,OR(F41="Yes",G41="Yes",H41="Yes")),SUM(J41:N41)-R41,0)</f>
        <v>1980</v>
      </c>
    </row>
    <row r="42" spans="1:19" s="5" customFormat="1" x14ac:dyDescent="0.3">
      <c r="A42" s="6">
        <v>18500</v>
      </c>
      <c r="B42" s="7">
        <f t="shared" si="5"/>
        <v>1541.6666666666667</v>
      </c>
      <c r="C42" s="7">
        <f>'Total income package'!$D$80</f>
        <v>0</v>
      </c>
      <c r="D42" s="7">
        <f t="shared" si="6"/>
        <v>1541.6666666666667</v>
      </c>
      <c r="E42" s="65">
        <f t="shared" si="7"/>
        <v>0.47828335056876942</v>
      </c>
      <c r="F42" s="65" t="str">
        <f t="shared" si="0"/>
        <v>Yes</v>
      </c>
      <c r="G42" s="65" t="str">
        <f t="shared" si="1"/>
        <v>Yes</v>
      </c>
      <c r="H42" s="301" t="str">
        <f>IF(OR('TANF-VIEW'!L46&gt;0,'TANF-VIEW'!T46&gt;0),"Yes","No")</f>
        <v>No</v>
      </c>
      <c r="I42" s="63">
        <f t="shared" si="8"/>
        <v>10</v>
      </c>
      <c r="J42" s="6">
        <f>(IF(B42&gt;$N$2,0,VLOOKUP('Total income package'!$B$3,'Location specific data'!$A$3:$AO$135,33,FALSE))*$C$2)*20</f>
        <v>1400</v>
      </c>
      <c r="K42" s="6">
        <f>IF(B42&gt;$N$2,0,VLOOKUP('Total income package'!$B$3,'Location specific data'!$A$3:$AO$135,34,FALSE))*$D$2*20</f>
        <v>0</v>
      </c>
      <c r="L42" s="6">
        <f>IF(B42&gt;$N$2,0,VLOOKUP('Total income package'!$B$3,'Location specific data'!$A$3:$AO$135,35,FALSE))*$E$2*20</f>
        <v>0</v>
      </c>
      <c r="M42" s="6">
        <f>IF(B42&gt;$N$2,0,VLOOKUP('Total income package'!$B$3,'Location specific data'!$A$3:$AO$135,36,FALSE))*$F$2*20</f>
        <v>0</v>
      </c>
      <c r="N42" s="6">
        <f>IF(B42&gt;$N$2,0,VLOOKUP('Total income package'!$B$3,'Location specific data'!$A$3:$AO$135,37,FALSE))*($G$2+$H$2)*20</f>
        <v>600</v>
      </c>
      <c r="O42" s="6">
        <f t="shared" si="2"/>
        <v>20</v>
      </c>
      <c r="P42" s="312">
        <f t="shared" si="10"/>
        <v>77.083333333333343</v>
      </c>
      <c r="Q42" s="312">
        <f t="shared" si="4"/>
        <v>30</v>
      </c>
      <c r="R42" s="312">
        <f t="shared" si="9"/>
        <v>20</v>
      </c>
      <c r="S42" s="160">
        <f>IF(AND('Total income package'!$A$8=TRUE,OR(F42="Yes",G42="Yes",H42="Yes")),SUM(J42:N42)-R42,0)</f>
        <v>1980</v>
      </c>
    </row>
    <row r="43" spans="1:19" s="5" customFormat="1" x14ac:dyDescent="0.3">
      <c r="A43" s="6">
        <v>19000</v>
      </c>
      <c r="B43" s="7">
        <f t="shared" si="5"/>
        <v>1583.3333333333333</v>
      </c>
      <c r="C43" s="7">
        <f>'Total income package'!$D$80</f>
        <v>0</v>
      </c>
      <c r="D43" s="7">
        <f t="shared" si="6"/>
        <v>1583.3333333333333</v>
      </c>
      <c r="E43" s="65">
        <f t="shared" si="7"/>
        <v>0.4912099276111685</v>
      </c>
      <c r="F43" s="65" t="str">
        <f t="shared" si="0"/>
        <v>Yes</v>
      </c>
      <c r="G43" s="65" t="str">
        <f t="shared" si="1"/>
        <v>Yes</v>
      </c>
      <c r="H43" s="301" t="str">
        <f>IF(OR('TANF-VIEW'!L47&gt;0,'TANF-VIEW'!T47&gt;0),"Yes","No")</f>
        <v>No</v>
      </c>
      <c r="I43" s="63">
        <f t="shared" si="8"/>
        <v>10</v>
      </c>
      <c r="J43" s="6">
        <f>(IF(B43&gt;$N$2,0,VLOOKUP('Total income package'!$B$3,'Location specific data'!$A$3:$AO$135,33,FALSE))*$C$2)*20</f>
        <v>1400</v>
      </c>
      <c r="K43" s="6">
        <f>IF(B43&gt;$N$2,0,VLOOKUP('Total income package'!$B$3,'Location specific data'!$A$3:$AO$135,34,FALSE))*$D$2*20</f>
        <v>0</v>
      </c>
      <c r="L43" s="6">
        <f>IF(B43&gt;$N$2,0,VLOOKUP('Total income package'!$B$3,'Location specific data'!$A$3:$AO$135,35,FALSE))*$E$2*20</f>
        <v>0</v>
      </c>
      <c r="M43" s="6">
        <f>IF(B43&gt;$N$2,0,VLOOKUP('Total income package'!$B$3,'Location specific data'!$A$3:$AO$135,36,FALSE))*$F$2*20</f>
        <v>0</v>
      </c>
      <c r="N43" s="6">
        <f>IF(B43&gt;$N$2,0,VLOOKUP('Total income package'!$B$3,'Location specific data'!$A$3:$AO$135,37,FALSE))*($G$2+$H$2)*20</f>
        <v>600</v>
      </c>
      <c r="O43" s="6">
        <f t="shared" si="2"/>
        <v>20</v>
      </c>
      <c r="P43" s="312">
        <f t="shared" si="10"/>
        <v>79.166666666666671</v>
      </c>
      <c r="Q43" s="312">
        <f t="shared" si="4"/>
        <v>30</v>
      </c>
      <c r="R43" s="312">
        <f t="shared" si="9"/>
        <v>20</v>
      </c>
      <c r="S43" s="160">
        <f>IF(AND('Total income package'!$A$8=TRUE,OR(F43="Yes",G43="Yes",H43="Yes")),SUM(J43:N43)-R43,0)</f>
        <v>1980</v>
      </c>
    </row>
    <row r="44" spans="1:19" s="5" customFormat="1" x14ac:dyDescent="0.3">
      <c r="A44" s="6">
        <v>19500</v>
      </c>
      <c r="B44" s="7">
        <f t="shared" si="5"/>
        <v>1625</v>
      </c>
      <c r="C44" s="7">
        <f>'Total income package'!$D$80</f>
        <v>0</v>
      </c>
      <c r="D44" s="7">
        <f t="shared" si="6"/>
        <v>1625</v>
      </c>
      <c r="E44" s="65">
        <f t="shared" si="7"/>
        <v>0.50413650465356774</v>
      </c>
      <c r="F44" s="65" t="str">
        <f t="shared" si="0"/>
        <v>Yes</v>
      </c>
      <c r="G44" s="65" t="str">
        <f t="shared" si="1"/>
        <v>Yes</v>
      </c>
      <c r="H44" s="301" t="str">
        <f>IF(OR('TANF-VIEW'!L48&gt;0,'TANF-VIEW'!T48&gt;0),"Yes","No")</f>
        <v>No</v>
      </c>
      <c r="I44" s="63">
        <f t="shared" si="8"/>
        <v>10</v>
      </c>
      <c r="J44" s="6">
        <f>(IF(B44&gt;$N$2,0,VLOOKUP('Total income package'!$B$3,'Location specific data'!$A$3:$AO$135,33,FALSE))*$C$2)*20</f>
        <v>1400</v>
      </c>
      <c r="K44" s="6">
        <f>IF(B44&gt;$N$2,0,VLOOKUP('Total income package'!$B$3,'Location specific data'!$A$3:$AO$135,34,FALSE))*$D$2*20</f>
        <v>0</v>
      </c>
      <c r="L44" s="6">
        <f>IF(B44&gt;$N$2,0,VLOOKUP('Total income package'!$B$3,'Location specific data'!$A$3:$AO$135,35,FALSE))*$E$2*20</f>
        <v>0</v>
      </c>
      <c r="M44" s="6">
        <f>IF(B44&gt;$N$2,0,VLOOKUP('Total income package'!$B$3,'Location specific data'!$A$3:$AO$135,36,FALSE))*$F$2*20</f>
        <v>0</v>
      </c>
      <c r="N44" s="6">
        <f>IF(B44&gt;$N$2,0,VLOOKUP('Total income package'!$B$3,'Location specific data'!$A$3:$AO$135,37,FALSE))*($G$2+$H$2)*20</f>
        <v>600</v>
      </c>
      <c r="O44" s="6">
        <f t="shared" si="2"/>
        <v>20</v>
      </c>
      <c r="P44" s="312">
        <f t="shared" si="10"/>
        <v>81.25</v>
      </c>
      <c r="Q44" s="312">
        <f t="shared" si="4"/>
        <v>30</v>
      </c>
      <c r="R44" s="312">
        <f t="shared" si="9"/>
        <v>20</v>
      </c>
      <c r="S44" s="160">
        <f>IF(AND('Total income package'!$A$8=TRUE,OR(F44="Yes",G44="Yes",H44="Yes")),SUM(J44:N44)-R44,0)</f>
        <v>1980</v>
      </c>
    </row>
    <row r="45" spans="1:19" s="5" customFormat="1" x14ac:dyDescent="0.3">
      <c r="A45" s="6">
        <v>20000</v>
      </c>
      <c r="B45" s="7">
        <f t="shared" si="5"/>
        <v>1666.6666666666667</v>
      </c>
      <c r="C45" s="7">
        <f>'Total income package'!$D$80</f>
        <v>0</v>
      </c>
      <c r="D45" s="7">
        <f t="shared" si="6"/>
        <v>1666.6666666666667</v>
      </c>
      <c r="E45" s="65">
        <f t="shared" si="7"/>
        <v>0.51706308169596693</v>
      </c>
      <c r="F45" s="65" t="str">
        <f t="shared" si="0"/>
        <v>Yes</v>
      </c>
      <c r="G45" s="65" t="str">
        <f t="shared" si="1"/>
        <v>Yes</v>
      </c>
      <c r="H45" s="301" t="str">
        <f>IF(OR('TANF-VIEW'!L49&gt;0,'TANF-VIEW'!T49&gt;0),"Yes","No")</f>
        <v>No</v>
      </c>
      <c r="I45" s="63">
        <f t="shared" si="8"/>
        <v>10</v>
      </c>
      <c r="J45" s="6">
        <f>(IF(B45&gt;$N$2,0,VLOOKUP('Total income package'!$B$3,'Location specific data'!$A$3:$AO$135,33,FALSE))*$C$2)*20</f>
        <v>1400</v>
      </c>
      <c r="K45" s="6">
        <f>IF(B45&gt;$N$2,0,VLOOKUP('Total income package'!$B$3,'Location specific data'!$A$3:$AO$135,34,FALSE))*$D$2*20</f>
        <v>0</v>
      </c>
      <c r="L45" s="6">
        <f>IF(B45&gt;$N$2,0,VLOOKUP('Total income package'!$B$3,'Location specific data'!$A$3:$AO$135,35,FALSE))*$E$2*20</f>
        <v>0</v>
      </c>
      <c r="M45" s="6">
        <f>IF(B45&gt;$N$2,0,VLOOKUP('Total income package'!$B$3,'Location specific data'!$A$3:$AO$135,36,FALSE))*$F$2*20</f>
        <v>0</v>
      </c>
      <c r="N45" s="6">
        <f>IF(B45&gt;$N$2,0,VLOOKUP('Total income package'!$B$3,'Location specific data'!$A$3:$AO$135,37,FALSE))*($G$2+$H$2)*20</f>
        <v>600</v>
      </c>
      <c r="O45" s="6">
        <f t="shared" si="2"/>
        <v>20</v>
      </c>
      <c r="P45" s="312">
        <f t="shared" si="10"/>
        <v>83.333333333333343</v>
      </c>
      <c r="Q45" s="312">
        <f t="shared" si="4"/>
        <v>30</v>
      </c>
      <c r="R45" s="312">
        <f t="shared" si="9"/>
        <v>20</v>
      </c>
      <c r="S45" s="160">
        <f>IF(AND('Total income package'!$A$8=TRUE,OR(F45="Yes",G45="Yes",H45="Yes")),SUM(J45:N45)-R45,0)</f>
        <v>1980</v>
      </c>
    </row>
    <row r="46" spans="1:19" s="5" customFormat="1" x14ac:dyDescent="0.3">
      <c r="A46" s="6">
        <v>20500</v>
      </c>
      <c r="B46" s="7">
        <f t="shared" si="5"/>
        <v>1708.3333333333333</v>
      </c>
      <c r="C46" s="7">
        <f>'Total income package'!$D$80</f>
        <v>0</v>
      </c>
      <c r="D46" s="7">
        <f t="shared" si="6"/>
        <v>1708.3333333333333</v>
      </c>
      <c r="E46" s="65">
        <f t="shared" si="7"/>
        <v>0.52998965873836601</v>
      </c>
      <c r="F46" s="65" t="str">
        <f t="shared" si="0"/>
        <v>Yes</v>
      </c>
      <c r="G46" s="65" t="str">
        <f t="shared" si="1"/>
        <v>Yes</v>
      </c>
      <c r="H46" s="301" t="str">
        <f>IF(OR('TANF-VIEW'!L50&gt;0,'TANF-VIEW'!T50&gt;0),"Yes","No")</f>
        <v>No</v>
      </c>
      <c r="I46" s="63">
        <f t="shared" si="8"/>
        <v>10</v>
      </c>
      <c r="J46" s="6">
        <f>(IF(B46&gt;$N$2,0,VLOOKUP('Total income package'!$B$3,'Location specific data'!$A$3:$AO$135,33,FALSE))*$C$2)*20</f>
        <v>1400</v>
      </c>
      <c r="K46" s="6">
        <f>IF(B46&gt;$N$2,0,VLOOKUP('Total income package'!$B$3,'Location specific data'!$A$3:$AO$135,34,FALSE))*$D$2*20</f>
        <v>0</v>
      </c>
      <c r="L46" s="6">
        <f>IF(B46&gt;$N$2,0,VLOOKUP('Total income package'!$B$3,'Location specific data'!$A$3:$AO$135,35,FALSE))*$E$2*20</f>
        <v>0</v>
      </c>
      <c r="M46" s="6">
        <f>IF(B46&gt;$N$2,0,VLOOKUP('Total income package'!$B$3,'Location specific data'!$A$3:$AO$135,36,FALSE))*$F$2*20</f>
        <v>0</v>
      </c>
      <c r="N46" s="6">
        <f>IF(B46&gt;$N$2,0,VLOOKUP('Total income package'!$B$3,'Location specific data'!$A$3:$AO$135,37,FALSE))*($G$2+$H$2)*20</f>
        <v>600</v>
      </c>
      <c r="O46" s="6">
        <f t="shared" si="2"/>
        <v>20</v>
      </c>
      <c r="P46" s="312">
        <f t="shared" si="10"/>
        <v>85.416666666666671</v>
      </c>
      <c r="Q46" s="312">
        <f t="shared" si="4"/>
        <v>30</v>
      </c>
      <c r="R46" s="312">
        <f t="shared" si="9"/>
        <v>20</v>
      </c>
      <c r="S46" s="160">
        <f>IF(AND('Total income package'!$A$8=TRUE,OR(F46="Yes",G46="Yes",H46="Yes")),SUM(J46:N46)-R46,0)</f>
        <v>1980</v>
      </c>
    </row>
    <row r="47" spans="1:19" s="5" customFormat="1" x14ac:dyDescent="0.3">
      <c r="A47" s="6">
        <v>21000</v>
      </c>
      <c r="B47" s="7">
        <f t="shared" si="5"/>
        <v>1750</v>
      </c>
      <c r="C47" s="7">
        <f>'Total income package'!$D$80</f>
        <v>0</v>
      </c>
      <c r="D47" s="7">
        <f t="shared" si="6"/>
        <v>1750</v>
      </c>
      <c r="E47" s="65">
        <f t="shared" si="7"/>
        <v>0.5429162357807652</v>
      </c>
      <c r="F47" s="65" t="str">
        <f t="shared" si="0"/>
        <v>Yes</v>
      </c>
      <c r="G47" s="65" t="str">
        <f t="shared" si="1"/>
        <v>Yes</v>
      </c>
      <c r="H47" s="301" t="str">
        <f>IF(OR('TANF-VIEW'!L51&gt;0,'TANF-VIEW'!T51&gt;0),"Yes","No")</f>
        <v>No</v>
      </c>
      <c r="I47" s="63">
        <f t="shared" si="8"/>
        <v>10</v>
      </c>
      <c r="J47" s="6">
        <f>(IF(B47&gt;$N$2,0,VLOOKUP('Total income package'!$B$3,'Location specific data'!$A$3:$AO$135,33,FALSE))*$C$2)*20</f>
        <v>1400</v>
      </c>
      <c r="K47" s="6">
        <f>IF(B47&gt;$N$2,0,VLOOKUP('Total income package'!$B$3,'Location specific data'!$A$3:$AO$135,34,FALSE))*$D$2*20</f>
        <v>0</v>
      </c>
      <c r="L47" s="6">
        <f>IF(B47&gt;$N$2,0,VLOOKUP('Total income package'!$B$3,'Location specific data'!$A$3:$AO$135,35,FALSE))*$E$2*20</f>
        <v>0</v>
      </c>
      <c r="M47" s="6">
        <f>IF(B47&gt;$N$2,0,VLOOKUP('Total income package'!$B$3,'Location specific data'!$A$3:$AO$135,36,FALSE))*$F$2*20</f>
        <v>0</v>
      </c>
      <c r="N47" s="6">
        <f>IF(B47&gt;$N$2,0,VLOOKUP('Total income package'!$B$3,'Location specific data'!$A$3:$AO$135,37,FALSE))*($G$2+$H$2)*20</f>
        <v>600</v>
      </c>
      <c r="O47" s="6">
        <f t="shared" si="2"/>
        <v>20</v>
      </c>
      <c r="P47" s="312">
        <f t="shared" si="10"/>
        <v>87.5</v>
      </c>
      <c r="Q47" s="312">
        <f t="shared" si="4"/>
        <v>30</v>
      </c>
      <c r="R47" s="312">
        <f t="shared" si="9"/>
        <v>20</v>
      </c>
      <c r="S47" s="160">
        <f>IF(AND('Total income package'!$A$8=TRUE,OR(F47="Yes",G47="Yes",H47="Yes")),SUM(J47:N47)-R47,0)</f>
        <v>1980</v>
      </c>
    </row>
    <row r="48" spans="1:19" s="5" customFormat="1" x14ac:dyDescent="0.3">
      <c r="A48" s="6">
        <v>21500</v>
      </c>
      <c r="B48" s="7">
        <f t="shared" si="5"/>
        <v>1791.6666666666667</v>
      </c>
      <c r="C48" s="7">
        <f>'Total income package'!$D$80</f>
        <v>0</v>
      </c>
      <c r="D48" s="7">
        <f t="shared" si="6"/>
        <v>1791.6666666666667</v>
      </c>
      <c r="E48" s="65">
        <f t="shared" si="7"/>
        <v>0.55584281282316439</v>
      </c>
      <c r="F48" s="65" t="str">
        <f t="shared" si="0"/>
        <v>Yes</v>
      </c>
      <c r="G48" s="65" t="str">
        <f t="shared" si="1"/>
        <v>Yes</v>
      </c>
      <c r="H48" s="301" t="str">
        <f>IF(OR('TANF-VIEW'!L52&gt;0,'TANF-VIEW'!T52&gt;0),"Yes","No")</f>
        <v>No</v>
      </c>
      <c r="I48" s="63">
        <f t="shared" si="8"/>
        <v>10</v>
      </c>
      <c r="J48" s="6">
        <f>(IF(B48&gt;$N$2,0,VLOOKUP('Total income package'!$B$3,'Location specific data'!$A$3:$AO$135,33,FALSE))*$C$2)*20</f>
        <v>1400</v>
      </c>
      <c r="K48" s="6">
        <f>IF(B48&gt;$N$2,0,VLOOKUP('Total income package'!$B$3,'Location specific data'!$A$3:$AO$135,34,FALSE))*$D$2*20</f>
        <v>0</v>
      </c>
      <c r="L48" s="6">
        <f>IF(B48&gt;$N$2,0,VLOOKUP('Total income package'!$B$3,'Location specific data'!$A$3:$AO$135,35,FALSE))*$E$2*20</f>
        <v>0</v>
      </c>
      <c r="M48" s="6">
        <f>IF(B48&gt;$N$2,0,VLOOKUP('Total income package'!$B$3,'Location specific data'!$A$3:$AO$135,36,FALSE))*$F$2*20</f>
        <v>0</v>
      </c>
      <c r="N48" s="6">
        <f>IF(B48&gt;$N$2,0,VLOOKUP('Total income package'!$B$3,'Location specific data'!$A$3:$AO$135,37,FALSE))*($G$2+$H$2)*20</f>
        <v>600</v>
      </c>
      <c r="O48" s="6">
        <f t="shared" si="2"/>
        <v>20</v>
      </c>
      <c r="P48" s="312">
        <f t="shared" si="10"/>
        <v>89.583333333333343</v>
      </c>
      <c r="Q48" s="312">
        <f t="shared" si="4"/>
        <v>30</v>
      </c>
      <c r="R48" s="312">
        <f t="shared" si="9"/>
        <v>20</v>
      </c>
      <c r="S48" s="160">
        <f>IF(AND('Total income package'!$A$8=TRUE,OR(F48="Yes",G48="Yes",H48="Yes")),SUM(J48:N48)-R48,0)</f>
        <v>1980</v>
      </c>
    </row>
    <row r="49" spans="1:19" s="5" customFormat="1" x14ac:dyDescent="0.3">
      <c r="A49" s="6">
        <v>22000</v>
      </c>
      <c r="B49" s="7">
        <f t="shared" si="5"/>
        <v>1833.3333333333333</v>
      </c>
      <c r="C49" s="7">
        <f>'Total income package'!$D$80</f>
        <v>0</v>
      </c>
      <c r="D49" s="7">
        <f t="shared" si="6"/>
        <v>1833.3333333333333</v>
      </c>
      <c r="E49" s="65">
        <f t="shared" si="7"/>
        <v>0.56876938986556358</v>
      </c>
      <c r="F49" s="65" t="str">
        <f t="shared" si="0"/>
        <v>Yes</v>
      </c>
      <c r="G49" s="65" t="str">
        <f t="shared" si="1"/>
        <v>Yes</v>
      </c>
      <c r="H49" s="301" t="str">
        <f>IF(OR('TANF-VIEW'!L53&gt;0,'TANF-VIEW'!T53&gt;0),"Yes","No")</f>
        <v>No</v>
      </c>
      <c r="I49" s="63">
        <f t="shared" si="8"/>
        <v>10</v>
      </c>
      <c r="J49" s="6">
        <f>(IF(B49&gt;$N$2,0,VLOOKUP('Total income package'!$B$3,'Location specific data'!$A$3:$AO$135,33,FALSE))*$C$2)*20</f>
        <v>1400</v>
      </c>
      <c r="K49" s="6">
        <f>IF(B49&gt;$N$2,0,VLOOKUP('Total income package'!$B$3,'Location specific data'!$A$3:$AO$135,34,FALSE))*$D$2*20</f>
        <v>0</v>
      </c>
      <c r="L49" s="6">
        <f>IF(B49&gt;$N$2,0,VLOOKUP('Total income package'!$B$3,'Location specific data'!$A$3:$AO$135,35,FALSE))*$E$2*20</f>
        <v>0</v>
      </c>
      <c r="M49" s="6">
        <f>IF(B49&gt;$N$2,0,VLOOKUP('Total income package'!$B$3,'Location specific data'!$A$3:$AO$135,36,FALSE))*$F$2*20</f>
        <v>0</v>
      </c>
      <c r="N49" s="6">
        <f>IF(B49&gt;$N$2,0,VLOOKUP('Total income package'!$B$3,'Location specific data'!$A$3:$AO$135,37,FALSE))*($G$2+$H$2)*20</f>
        <v>600</v>
      </c>
      <c r="O49" s="6">
        <f t="shared" si="2"/>
        <v>20</v>
      </c>
      <c r="P49" s="312">
        <f t="shared" si="10"/>
        <v>91.666666666666671</v>
      </c>
      <c r="Q49" s="312">
        <f t="shared" si="4"/>
        <v>30</v>
      </c>
      <c r="R49" s="312">
        <f t="shared" si="9"/>
        <v>20</v>
      </c>
      <c r="S49" s="160">
        <f>IF(AND('Total income package'!$A$8=TRUE,OR(F49="Yes",G49="Yes",H49="Yes")),SUM(J49:N49)-R49,0)</f>
        <v>1980</v>
      </c>
    </row>
    <row r="50" spans="1:19" s="5" customFormat="1" x14ac:dyDescent="0.3">
      <c r="A50" s="6">
        <v>22500</v>
      </c>
      <c r="B50" s="7">
        <f t="shared" si="5"/>
        <v>1875</v>
      </c>
      <c r="C50" s="7">
        <f>'Total income package'!$D$80</f>
        <v>0</v>
      </c>
      <c r="D50" s="7">
        <f t="shared" si="6"/>
        <v>1875</v>
      </c>
      <c r="E50" s="65">
        <f t="shared" si="7"/>
        <v>0.58169596690796277</v>
      </c>
      <c r="F50" s="65" t="str">
        <f t="shared" si="0"/>
        <v>Yes</v>
      </c>
      <c r="G50" s="65" t="str">
        <f t="shared" si="1"/>
        <v>Yes</v>
      </c>
      <c r="H50" s="301" t="str">
        <f>IF(OR('TANF-VIEW'!L54&gt;0,'TANF-VIEW'!T54&gt;0),"Yes","No")</f>
        <v>No</v>
      </c>
      <c r="I50" s="63">
        <f t="shared" si="8"/>
        <v>10</v>
      </c>
      <c r="J50" s="6">
        <f>(IF(B50&gt;$N$2,0,VLOOKUP('Total income package'!$B$3,'Location specific data'!$A$3:$AO$135,33,FALSE))*$C$2)*20</f>
        <v>1400</v>
      </c>
      <c r="K50" s="6">
        <f>IF(B50&gt;$N$2,0,VLOOKUP('Total income package'!$B$3,'Location specific data'!$A$3:$AO$135,34,FALSE))*$D$2*20</f>
        <v>0</v>
      </c>
      <c r="L50" s="6">
        <f>IF(B50&gt;$N$2,0,VLOOKUP('Total income package'!$B$3,'Location specific data'!$A$3:$AO$135,35,FALSE))*$E$2*20</f>
        <v>0</v>
      </c>
      <c r="M50" s="6">
        <f>IF(B50&gt;$N$2,0,VLOOKUP('Total income package'!$B$3,'Location specific data'!$A$3:$AO$135,36,FALSE))*$F$2*20</f>
        <v>0</v>
      </c>
      <c r="N50" s="6">
        <f>IF(B50&gt;$N$2,0,VLOOKUP('Total income package'!$B$3,'Location specific data'!$A$3:$AO$135,37,FALSE))*($G$2+$H$2)*20</f>
        <v>600</v>
      </c>
      <c r="O50" s="6">
        <f t="shared" si="2"/>
        <v>20</v>
      </c>
      <c r="P50" s="312">
        <f t="shared" si="10"/>
        <v>93.75</v>
      </c>
      <c r="Q50" s="312">
        <f t="shared" si="4"/>
        <v>30</v>
      </c>
      <c r="R50" s="312">
        <f t="shared" si="9"/>
        <v>20</v>
      </c>
      <c r="S50" s="160">
        <f>IF(AND('Total income package'!$A$8=TRUE,OR(F50="Yes",G50="Yes",H50="Yes")),SUM(J50:N50)-R50,0)</f>
        <v>1980</v>
      </c>
    </row>
    <row r="51" spans="1:19" s="5" customFormat="1" x14ac:dyDescent="0.3">
      <c r="A51" s="6">
        <v>23000</v>
      </c>
      <c r="B51" s="7">
        <f t="shared" si="5"/>
        <v>1916.6666666666667</v>
      </c>
      <c r="C51" s="7">
        <f>'Total income package'!$D$80</f>
        <v>0</v>
      </c>
      <c r="D51" s="7">
        <f t="shared" si="6"/>
        <v>1916.6666666666667</v>
      </c>
      <c r="E51" s="65">
        <f t="shared" si="7"/>
        <v>0.59462254395036196</v>
      </c>
      <c r="F51" s="65" t="str">
        <f t="shared" si="0"/>
        <v>Yes</v>
      </c>
      <c r="G51" s="65" t="str">
        <f t="shared" si="1"/>
        <v>Yes</v>
      </c>
      <c r="H51" s="301" t="str">
        <f>IF(OR('TANF-VIEW'!L55&gt;0,'TANF-VIEW'!T55&gt;0),"Yes","No")</f>
        <v>No</v>
      </c>
      <c r="I51" s="63">
        <f t="shared" si="8"/>
        <v>10</v>
      </c>
      <c r="J51" s="6">
        <f>(IF(B51&gt;$N$2,0,VLOOKUP('Total income package'!$B$3,'Location specific data'!$A$3:$AO$135,33,FALSE))*$C$2)*20</f>
        <v>1400</v>
      </c>
      <c r="K51" s="6">
        <f>IF(B51&gt;$N$2,0,VLOOKUP('Total income package'!$B$3,'Location specific data'!$A$3:$AO$135,34,FALSE))*$D$2*20</f>
        <v>0</v>
      </c>
      <c r="L51" s="6">
        <f>IF(B51&gt;$N$2,0,VLOOKUP('Total income package'!$B$3,'Location specific data'!$A$3:$AO$135,35,FALSE))*$E$2*20</f>
        <v>0</v>
      </c>
      <c r="M51" s="6">
        <f>IF(B51&gt;$N$2,0,VLOOKUP('Total income package'!$B$3,'Location specific data'!$A$3:$AO$135,36,FALSE))*$F$2*20</f>
        <v>0</v>
      </c>
      <c r="N51" s="6">
        <f>IF(B51&gt;$N$2,0,VLOOKUP('Total income package'!$B$3,'Location specific data'!$A$3:$AO$135,37,FALSE))*($G$2+$H$2)*20</f>
        <v>600</v>
      </c>
      <c r="O51" s="6">
        <f t="shared" si="2"/>
        <v>20</v>
      </c>
      <c r="P51" s="312">
        <f t="shared" si="10"/>
        <v>95.833333333333343</v>
      </c>
      <c r="Q51" s="312">
        <f t="shared" si="4"/>
        <v>30</v>
      </c>
      <c r="R51" s="312">
        <f t="shared" si="9"/>
        <v>20</v>
      </c>
      <c r="S51" s="160">
        <f>IF(AND('Total income package'!$A$8=TRUE,OR(F51="Yes",G51="Yes",H51="Yes")),SUM(J51:N51)-R51,0)</f>
        <v>1980</v>
      </c>
    </row>
    <row r="52" spans="1:19" s="5" customFormat="1" x14ac:dyDescent="0.3">
      <c r="A52" s="6">
        <v>23500</v>
      </c>
      <c r="B52" s="7">
        <f t="shared" si="5"/>
        <v>1958.3333333333333</v>
      </c>
      <c r="C52" s="7">
        <f>'Total income package'!$D$80</f>
        <v>0</v>
      </c>
      <c r="D52" s="7">
        <f t="shared" si="6"/>
        <v>1958.3333333333333</v>
      </c>
      <c r="E52" s="65">
        <f t="shared" si="7"/>
        <v>0.60754912099276104</v>
      </c>
      <c r="F52" s="65" t="str">
        <f t="shared" si="0"/>
        <v>Yes</v>
      </c>
      <c r="G52" s="65" t="str">
        <f t="shared" si="1"/>
        <v>Yes</v>
      </c>
      <c r="H52" s="301" t="str">
        <f>IF(OR('TANF-VIEW'!L56&gt;0,'TANF-VIEW'!T56&gt;0),"Yes","No")</f>
        <v>No</v>
      </c>
      <c r="I52" s="63">
        <f t="shared" si="8"/>
        <v>10</v>
      </c>
      <c r="J52" s="6">
        <f>(IF(B52&gt;$N$2,0,VLOOKUP('Total income package'!$B$3,'Location specific data'!$A$3:$AO$135,33,FALSE))*$C$2)*20</f>
        <v>1400</v>
      </c>
      <c r="K52" s="6">
        <f>IF(B52&gt;$N$2,0,VLOOKUP('Total income package'!$B$3,'Location specific data'!$A$3:$AO$135,34,FALSE))*$D$2*20</f>
        <v>0</v>
      </c>
      <c r="L52" s="6">
        <f>IF(B52&gt;$N$2,0,VLOOKUP('Total income package'!$B$3,'Location specific data'!$A$3:$AO$135,35,FALSE))*$E$2*20</f>
        <v>0</v>
      </c>
      <c r="M52" s="6">
        <f>IF(B52&gt;$N$2,0,VLOOKUP('Total income package'!$B$3,'Location specific data'!$A$3:$AO$135,36,FALSE))*$F$2*20</f>
        <v>0</v>
      </c>
      <c r="N52" s="6">
        <f>IF(B52&gt;$N$2,0,VLOOKUP('Total income package'!$B$3,'Location specific data'!$A$3:$AO$135,37,FALSE))*($G$2+$H$2)*20</f>
        <v>600</v>
      </c>
      <c r="O52" s="6">
        <f t="shared" si="2"/>
        <v>20</v>
      </c>
      <c r="P52" s="312">
        <f t="shared" si="10"/>
        <v>97.916666666666671</v>
      </c>
      <c r="Q52" s="312">
        <f t="shared" si="4"/>
        <v>30</v>
      </c>
      <c r="R52" s="312">
        <f t="shared" si="9"/>
        <v>20</v>
      </c>
      <c r="S52" s="160">
        <f>IF(AND('Total income package'!$A$8=TRUE,OR(F52="Yes",G52="Yes",H52="Yes")),SUM(J52:N52)-R52,0)</f>
        <v>1980</v>
      </c>
    </row>
    <row r="53" spans="1:19" s="5" customFormat="1" x14ac:dyDescent="0.3">
      <c r="A53" s="6">
        <v>24000</v>
      </c>
      <c r="B53" s="7">
        <f t="shared" si="5"/>
        <v>2000</v>
      </c>
      <c r="C53" s="7">
        <f>'Total income package'!$D$80</f>
        <v>0</v>
      </c>
      <c r="D53" s="7">
        <f t="shared" si="6"/>
        <v>2000</v>
      </c>
      <c r="E53" s="65">
        <f t="shared" si="7"/>
        <v>0.62047569803516023</v>
      </c>
      <c r="F53" s="65" t="str">
        <f t="shared" si="0"/>
        <v>Yes</v>
      </c>
      <c r="G53" s="65" t="str">
        <f t="shared" si="1"/>
        <v>Yes</v>
      </c>
      <c r="H53" s="301" t="str">
        <f>IF(OR('TANF-VIEW'!L57&gt;0,'TANF-VIEW'!T57&gt;0),"Yes","No")</f>
        <v>No</v>
      </c>
      <c r="I53" s="63">
        <f t="shared" si="8"/>
        <v>10</v>
      </c>
      <c r="J53" s="6">
        <f>(IF(B53&gt;$N$2,0,VLOOKUP('Total income package'!$B$3,'Location specific data'!$A$3:$AO$135,33,FALSE))*$C$2)*20</f>
        <v>1400</v>
      </c>
      <c r="K53" s="6">
        <f>IF(B53&gt;$N$2,0,VLOOKUP('Total income package'!$B$3,'Location specific data'!$A$3:$AO$135,34,FALSE))*$D$2*20</f>
        <v>0</v>
      </c>
      <c r="L53" s="6">
        <f>IF(B53&gt;$N$2,0,VLOOKUP('Total income package'!$B$3,'Location specific data'!$A$3:$AO$135,35,FALSE))*$E$2*20</f>
        <v>0</v>
      </c>
      <c r="M53" s="6">
        <f>IF(B53&gt;$N$2,0,VLOOKUP('Total income package'!$B$3,'Location specific data'!$A$3:$AO$135,36,FALSE))*$F$2*20</f>
        <v>0</v>
      </c>
      <c r="N53" s="6">
        <f>IF(B53&gt;$N$2,0,VLOOKUP('Total income package'!$B$3,'Location specific data'!$A$3:$AO$135,37,FALSE))*($G$2+$H$2)*20</f>
        <v>600</v>
      </c>
      <c r="O53" s="6">
        <f t="shared" si="2"/>
        <v>20</v>
      </c>
      <c r="P53" s="312">
        <f t="shared" si="10"/>
        <v>100</v>
      </c>
      <c r="Q53" s="312">
        <f t="shared" si="4"/>
        <v>30</v>
      </c>
      <c r="R53" s="312">
        <f t="shared" si="9"/>
        <v>20</v>
      </c>
      <c r="S53" s="160">
        <f>IF(AND('Total income package'!$A$8=TRUE,OR(F53="Yes",G53="Yes",H53="Yes")),SUM(J53:N53)-R53,0)</f>
        <v>1980</v>
      </c>
    </row>
    <row r="54" spans="1:19" s="5" customFormat="1" x14ac:dyDescent="0.3">
      <c r="A54" s="6">
        <v>24500</v>
      </c>
      <c r="B54" s="7">
        <f t="shared" si="5"/>
        <v>2041.6666666666667</v>
      </c>
      <c r="C54" s="7">
        <f>'Total income package'!$D$80</f>
        <v>0</v>
      </c>
      <c r="D54" s="7">
        <f t="shared" si="6"/>
        <v>2041.6666666666667</v>
      </c>
      <c r="E54" s="65">
        <f t="shared" si="7"/>
        <v>0.63340227507755942</v>
      </c>
      <c r="F54" s="65" t="str">
        <f t="shared" si="0"/>
        <v>Yes</v>
      </c>
      <c r="G54" s="65" t="str">
        <f t="shared" si="1"/>
        <v>Yes</v>
      </c>
      <c r="H54" s="301" t="str">
        <f>IF(OR('TANF-VIEW'!L58&gt;0,'TANF-VIEW'!T58&gt;0),"Yes","No")</f>
        <v>No</v>
      </c>
      <c r="I54" s="63">
        <f t="shared" si="8"/>
        <v>10</v>
      </c>
      <c r="J54" s="6">
        <f>(IF(B54&gt;$N$2,0,VLOOKUP('Total income package'!$B$3,'Location specific data'!$A$3:$AO$135,33,FALSE))*$C$2)*20</f>
        <v>1400</v>
      </c>
      <c r="K54" s="6">
        <f>IF(B54&gt;$N$2,0,VLOOKUP('Total income package'!$B$3,'Location specific data'!$A$3:$AO$135,34,FALSE))*$D$2*20</f>
        <v>0</v>
      </c>
      <c r="L54" s="6">
        <f>IF(B54&gt;$N$2,0,VLOOKUP('Total income package'!$B$3,'Location specific data'!$A$3:$AO$135,35,FALSE))*$E$2*20</f>
        <v>0</v>
      </c>
      <c r="M54" s="6">
        <f>IF(B54&gt;$N$2,0,VLOOKUP('Total income package'!$B$3,'Location specific data'!$A$3:$AO$135,36,FALSE))*$F$2*20</f>
        <v>0</v>
      </c>
      <c r="N54" s="6">
        <f>IF(B54&gt;$N$2,0,VLOOKUP('Total income package'!$B$3,'Location specific data'!$A$3:$AO$135,37,FALSE))*($G$2+$H$2)*20</f>
        <v>600</v>
      </c>
      <c r="O54" s="6">
        <f t="shared" si="2"/>
        <v>20</v>
      </c>
      <c r="P54" s="312">
        <f t="shared" si="10"/>
        <v>102.08333333333334</v>
      </c>
      <c r="Q54" s="312">
        <f t="shared" si="4"/>
        <v>30</v>
      </c>
      <c r="R54" s="312">
        <f t="shared" si="9"/>
        <v>20</v>
      </c>
      <c r="S54" s="160">
        <f>IF(AND('Total income package'!$A$8=TRUE,OR(F54="Yes",G54="Yes",H54="Yes")),SUM(J54:N54)-R54,0)</f>
        <v>1980</v>
      </c>
    </row>
    <row r="55" spans="1:19" s="5" customFormat="1" x14ac:dyDescent="0.3">
      <c r="A55" s="6">
        <v>25000</v>
      </c>
      <c r="B55" s="7">
        <f t="shared" si="5"/>
        <v>2083.3333333333335</v>
      </c>
      <c r="C55" s="7">
        <f>'Total income package'!$D$80</f>
        <v>0</v>
      </c>
      <c r="D55" s="7">
        <f t="shared" si="6"/>
        <v>2083.3333333333335</v>
      </c>
      <c r="E55" s="65">
        <f t="shared" si="7"/>
        <v>0.64632885211995861</v>
      </c>
      <c r="F55" s="65" t="str">
        <f t="shared" si="0"/>
        <v>Yes</v>
      </c>
      <c r="G55" s="65" t="str">
        <f t="shared" si="1"/>
        <v>Yes</v>
      </c>
      <c r="H55" s="301" t="str">
        <f>IF(OR('TANF-VIEW'!L59&gt;0,'TANF-VIEW'!T59&gt;0),"Yes","No")</f>
        <v>No</v>
      </c>
      <c r="I55" s="63">
        <f t="shared" si="8"/>
        <v>10</v>
      </c>
      <c r="J55" s="6">
        <f>(IF(B55&gt;$N$2,0,VLOOKUP('Total income package'!$B$3,'Location specific data'!$A$3:$AO$135,33,FALSE))*$C$2)*20</f>
        <v>1400</v>
      </c>
      <c r="K55" s="6">
        <f>IF(B55&gt;$N$2,0,VLOOKUP('Total income package'!$B$3,'Location specific data'!$A$3:$AO$135,34,FALSE))*$D$2*20</f>
        <v>0</v>
      </c>
      <c r="L55" s="6">
        <f>IF(B55&gt;$N$2,0,VLOOKUP('Total income package'!$B$3,'Location specific data'!$A$3:$AO$135,35,FALSE))*$E$2*20</f>
        <v>0</v>
      </c>
      <c r="M55" s="6">
        <f>IF(B55&gt;$N$2,0,VLOOKUP('Total income package'!$B$3,'Location specific data'!$A$3:$AO$135,36,FALSE))*$F$2*20</f>
        <v>0</v>
      </c>
      <c r="N55" s="6">
        <f>IF(B55&gt;$N$2,0,VLOOKUP('Total income package'!$B$3,'Location specific data'!$A$3:$AO$135,37,FALSE))*($G$2+$H$2)*20</f>
        <v>600</v>
      </c>
      <c r="O55" s="6">
        <f t="shared" si="2"/>
        <v>20</v>
      </c>
      <c r="P55" s="312">
        <f t="shared" si="10"/>
        <v>104.16666666666669</v>
      </c>
      <c r="Q55" s="312">
        <f t="shared" si="4"/>
        <v>30</v>
      </c>
      <c r="R55" s="312">
        <f t="shared" si="9"/>
        <v>20</v>
      </c>
      <c r="S55" s="160">
        <f>IF(AND('Total income package'!$A$8=TRUE,OR(F55="Yes",G55="Yes",H55="Yes")),SUM(J55:N55)-R55,0)</f>
        <v>1980</v>
      </c>
    </row>
    <row r="56" spans="1:19" s="5" customFormat="1" x14ac:dyDescent="0.3">
      <c r="A56" s="6">
        <v>25500</v>
      </c>
      <c r="B56" s="7">
        <f t="shared" si="5"/>
        <v>2125</v>
      </c>
      <c r="C56" s="7">
        <f>'Total income package'!$D$80</f>
        <v>0</v>
      </c>
      <c r="D56" s="7">
        <f t="shared" si="6"/>
        <v>2125</v>
      </c>
      <c r="E56" s="65">
        <f t="shared" si="7"/>
        <v>0.6592554291623578</v>
      </c>
      <c r="F56" s="65" t="str">
        <f t="shared" si="0"/>
        <v>Yes</v>
      </c>
      <c r="G56" s="65" t="str">
        <f t="shared" si="1"/>
        <v>Yes</v>
      </c>
      <c r="H56" s="301" t="str">
        <f>IF(OR('TANF-VIEW'!L60&gt;0,'TANF-VIEW'!T60&gt;0),"Yes","No")</f>
        <v>No</v>
      </c>
      <c r="I56" s="63">
        <f t="shared" si="8"/>
        <v>10</v>
      </c>
      <c r="J56" s="6">
        <f>(IF(B56&gt;$N$2,0,VLOOKUP('Total income package'!$B$3,'Location specific data'!$A$3:$AO$135,33,FALSE))*$C$2)*20</f>
        <v>1400</v>
      </c>
      <c r="K56" s="6">
        <f>IF(B56&gt;$N$2,0,VLOOKUP('Total income package'!$B$3,'Location specific data'!$A$3:$AO$135,34,FALSE))*$D$2*20</f>
        <v>0</v>
      </c>
      <c r="L56" s="6">
        <f>IF(B56&gt;$N$2,0,VLOOKUP('Total income package'!$B$3,'Location specific data'!$A$3:$AO$135,35,FALSE))*$E$2*20</f>
        <v>0</v>
      </c>
      <c r="M56" s="6">
        <f>IF(B56&gt;$N$2,0,VLOOKUP('Total income package'!$B$3,'Location specific data'!$A$3:$AO$135,36,FALSE))*$F$2*20</f>
        <v>0</v>
      </c>
      <c r="N56" s="6">
        <f>IF(B56&gt;$N$2,0,VLOOKUP('Total income package'!$B$3,'Location specific data'!$A$3:$AO$135,37,FALSE))*($G$2+$H$2)*20</f>
        <v>600</v>
      </c>
      <c r="O56" s="6">
        <f t="shared" si="2"/>
        <v>20</v>
      </c>
      <c r="P56" s="312">
        <f t="shared" si="10"/>
        <v>106.25</v>
      </c>
      <c r="Q56" s="312">
        <f t="shared" si="4"/>
        <v>30</v>
      </c>
      <c r="R56" s="312">
        <f t="shared" si="9"/>
        <v>20</v>
      </c>
      <c r="S56" s="160">
        <f>IF(AND('Total income package'!$A$8=TRUE,OR(F56="Yes",G56="Yes",H56="Yes")),SUM(J56:N56)-R56,0)</f>
        <v>1980</v>
      </c>
    </row>
    <row r="57" spans="1:19" s="5" customFormat="1" x14ac:dyDescent="0.3">
      <c r="A57" s="6">
        <v>26000</v>
      </c>
      <c r="B57" s="7">
        <f t="shared" si="5"/>
        <v>2166.6666666666665</v>
      </c>
      <c r="C57" s="7">
        <f>'Total income package'!$D$80</f>
        <v>0</v>
      </c>
      <c r="D57" s="7">
        <f t="shared" si="6"/>
        <v>2166.6666666666665</v>
      </c>
      <c r="E57" s="65">
        <f t="shared" si="7"/>
        <v>0.67218200620475688</v>
      </c>
      <c r="F57" s="65" t="str">
        <f t="shared" si="0"/>
        <v>Yes</v>
      </c>
      <c r="G57" s="65" t="str">
        <f t="shared" si="1"/>
        <v>Yes</v>
      </c>
      <c r="H57" s="301" t="str">
        <f>IF(OR('TANF-VIEW'!L61&gt;0,'TANF-VIEW'!T61&gt;0),"Yes","No")</f>
        <v>No</v>
      </c>
      <c r="I57" s="63">
        <f t="shared" si="8"/>
        <v>10</v>
      </c>
      <c r="J57" s="6">
        <f>(IF(B57&gt;$N$2,0,VLOOKUP('Total income package'!$B$3,'Location specific data'!$A$3:$AO$135,33,FALSE))*$C$2)*20</f>
        <v>1400</v>
      </c>
      <c r="K57" s="6">
        <f>IF(B57&gt;$N$2,0,VLOOKUP('Total income package'!$B$3,'Location specific data'!$A$3:$AO$135,34,FALSE))*$D$2*20</f>
        <v>0</v>
      </c>
      <c r="L57" s="6">
        <f>IF(B57&gt;$N$2,0,VLOOKUP('Total income package'!$B$3,'Location specific data'!$A$3:$AO$135,35,FALSE))*$E$2*20</f>
        <v>0</v>
      </c>
      <c r="M57" s="6">
        <f>IF(B57&gt;$N$2,0,VLOOKUP('Total income package'!$B$3,'Location specific data'!$A$3:$AO$135,36,FALSE))*$F$2*20</f>
        <v>0</v>
      </c>
      <c r="N57" s="6">
        <f>IF(B57&gt;$N$2,0,VLOOKUP('Total income package'!$B$3,'Location specific data'!$A$3:$AO$135,37,FALSE))*($G$2+$H$2)*20</f>
        <v>600</v>
      </c>
      <c r="O57" s="6">
        <f t="shared" si="2"/>
        <v>20</v>
      </c>
      <c r="P57" s="312">
        <f t="shared" si="10"/>
        <v>108.33333333333333</v>
      </c>
      <c r="Q57" s="312">
        <f t="shared" si="4"/>
        <v>30</v>
      </c>
      <c r="R57" s="312">
        <f t="shared" si="9"/>
        <v>20</v>
      </c>
      <c r="S57" s="160">
        <f>IF(AND('Total income package'!$A$8=TRUE,OR(F57="Yes",G57="Yes",H57="Yes")),SUM(J57:N57)-R57,0)</f>
        <v>1980</v>
      </c>
    </row>
    <row r="58" spans="1:19" s="5" customFormat="1" x14ac:dyDescent="0.3">
      <c r="A58" s="6">
        <v>26500</v>
      </c>
      <c r="B58" s="7">
        <f t="shared" si="5"/>
        <v>2208.3333333333335</v>
      </c>
      <c r="C58" s="7">
        <f>'Total income package'!$D$80</f>
        <v>0</v>
      </c>
      <c r="D58" s="7">
        <f t="shared" si="6"/>
        <v>2208.3333333333335</v>
      </c>
      <c r="E58" s="65">
        <f t="shared" si="7"/>
        <v>0.68510858324715618</v>
      </c>
      <c r="F58" s="65" t="str">
        <f t="shared" si="0"/>
        <v>Yes</v>
      </c>
      <c r="G58" s="65" t="str">
        <f t="shared" si="1"/>
        <v>Yes</v>
      </c>
      <c r="H58" s="301" t="str">
        <f>IF(OR('TANF-VIEW'!L62&gt;0,'TANF-VIEW'!T62&gt;0),"Yes","No")</f>
        <v>No</v>
      </c>
      <c r="I58" s="63">
        <f t="shared" si="8"/>
        <v>10</v>
      </c>
      <c r="J58" s="6">
        <f>(IF(B58&gt;$N$2,0,VLOOKUP('Total income package'!$B$3,'Location specific data'!$A$3:$AO$135,33,FALSE))*$C$2)*20</f>
        <v>1400</v>
      </c>
      <c r="K58" s="6">
        <f>IF(B58&gt;$N$2,0,VLOOKUP('Total income package'!$B$3,'Location specific data'!$A$3:$AO$135,34,FALSE))*$D$2*20</f>
        <v>0</v>
      </c>
      <c r="L58" s="6">
        <f>IF(B58&gt;$N$2,0,VLOOKUP('Total income package'!$B$3,'Location specific data'!$A$3:$AO$135,35,FALSE))*$E$2*20</f>
        <v>0</v>
      </c>
      <c r="M58" s="6">
        <f>IF(B58&gt;$N$2,0,VLOOKUP('Total income package'!$B$3,'Location specific data'!$A$3:$AO$135,36,FALSE))*$F$2*20</f>
        <v>0</v>
      </c>
      <c r="N58" s="6">
        <f>IF(B58&gt;$N$2,0,VLOOKUP('Total income package'!$B$3,'Location specific data'!$A$3:$AO$135,37,FALSE))*($G$2+$H$2)*20</f>
        <v>600</v>
      </c>
      <c r="O58" s="6">
        <f t="shared" si="2"/>
        <v>20</v>
      </c>
      <c r="P58" s="312">
        <f t="shared" si="10"/>
        <v>110.41666666666669</v>
      </c>
      <c r="Q58" s="312">
        <f t="shared" si="4"/>
        <v>30</v>
      </c>
      <c r="R58" s="312">
        <f t="shared" si="9"/>
        <v>20</v>
      </c>
      <c r="S58" s="160">
        <f>IF(AND('Total income package'!$A$8=TRUE,OR(F58="Yes",G58="Yes",H58="Yes")),SUM(J58:N58)-R58,0)</f>
        <v>1980</v>
      </c>
    </row>
    <row r="59" spans="1:19" s="5" customFormat="1" x14ac:dyDescent="0.3">
      <c r="A59" s="6">
        <v>27000</v>
      </c>
      <c r="B59" s="7">
        <f t="shared" si="5"/>
        <v>2250</v>
      </c>
      <c r="C59" s="7">
        <f>'Total income package'!$D$80</f>
        <v>0</v>
      </c>
      <c r="D59" s="7">
        <f t="shared" si="6"/>
        <v>2250</v>
      </c>
      <c r="E59" s="65">
        <f t="shared" si="7"/>
        <v>0.69803516028955526</v>
      </c>
      <c r="F59" s="65" t="str">
        <f t="shared" si="0"/>
        <v>Yes</v>
      </c>
      <c r="G59" s="65" t="str">
        <f t="shared" si="1"/>
        <v>Yes</v>
      </c>
      <c r="H59" s="301" t="str">
        <f>IF(OR('TANF-VIEW'!L63&gt;0,'TANF-VIEW'!T63&gt;0),"Yes","No")</f>
        <v>No</v>
      </c>
      <c r="I59" s="63">
        <f t="shared" si="8"/>
        <v>10</v>
      </c>
      <c r="J59" s="6">
        <f>(IF(B59&gt;$N$2,0,VLOOKUP('Total income package'!$B$3,'Location specific data'!$A$3:$AO$135,33,FALSE))*$C$2)*20</f>
        <v>1400</v>
      </c>
      <c r="K59" s="6">
        <f>IF(B59&gt;$N$2,0,VLOOKUP('Total income package'!$B$3,'Location specific data'!$A$3:$AO$135,34,FALSE))*$D$2*20</f>
        <v>0</v>
      </c>
      <c r="L59" s="6">
        <f>IF(B59&gt;$N$2,0,VLOOKUP('Total income package'!$B$3,'Location specific data'!$A$3:$AO$135,35,FALSE))*$E$2*20</f>
        <v>0</v>
      </c>
      <c r="M59" s="6">
        <f>IF(B59&gt;$N$2,0,VLOOKUP('Total income package'!$B$3,'Location specific data'!$A$3:$AO$135,36,FALSE))*$F$2*20</f>
        <v>0</v>
      </c>
      <c r="N59" s="6">
        <f>IF(B59&gt;$N$2,0,VLOOKUP('Total income package'!$B$3,'Location specific data'!$A$3:$AO$135,37,FALSE))*($G$2+$H$2)*20</f>
        <v>600</v>
      </c>
      <c r="O59" s="6">
        <f t="shared" si="2"/>
        <v>20</v>
      </c>
      <c r="P59" s="312">
        <f t="shared" si="10"/>
        <v>112.5</v>
      </c>
      <c r="Q59" s="312">
        <f t="shared" si="4"/>
        <v>30</v>
      </c>
      <c r="R59" s="312">
        <f t="shared" si="9"/>
        <v>20</v>
      </c>
      <c r="S59" s="160">
        <f>IF(AND('Total income package'!$A$8=TRUE,OR(F59="Yes",G59="Yes",H59="Yes")),SUM(J59:N59)-R59,0)</f>
        <v>1980</v>
      </c>
    </row>
    <row r="60" spans="1:19" s="5" customFormat="1" x14ac:dyDescent="0.3">
      <c r="A60" s="6">
        <v>27500</v>
      </c>
      <c r="B60" s="7">
        <f t="shared" si="5"/>
        <v>2291.6666666666665</v>
      </c>
      <c r="C60" s="7">
        <f>'Total income package'!$D$80</f>
        <v>0</v>
      </c>
      <c r="D60" s="7">
        <f t="shared" si="6"/>
        <v>2291.6666666666665</v>
      </c>
      <c r="E60" s="65">
        <f t="shared" si="7"/>
        <v>0.71096173733195445</v>
      </c>
      <c r="F60" s="65" t="str">
        <f t="shared" si="0"/>
        <v>Yes</v>
      </c>
      <c r="G60" s="65" t="str">
        <f t="shared" si="1"/>
        <v>Yes</v>
      </c>
      <c r="H60" s="301" t="str">
        <f>IF(OR('TANF-VIEW'!L64&gt;0,'TANF-VIEW'!T64&gt;0),"Yes","No")</f>
        <v>No</v>
      </c>
      <c r="I60" s="63">
        <f t="shared" si="8"/>
        <v>10</v>
      </c>
      <c r="J60" s="6">
        <f>(IF(B60&gt;$N$2,0,VLOOKUP('Total income package'!$B$3,'Location specific data'!$A$3:$AO$135,33,FALSE))*$C$2)*20</f>
        <v>1400</v>
      </c>
      <c r="K60" s="6">
        <f>IF(B60&gt;$N$2,0,VLOOKUP('Total income package'!$B$3,'Location specific data'!$A$3:$AO$135,34,FALSE))*$D$2*20</f>
        <v>0</v>
      </c>
      <c r="L60" s="6">
        <f>IF(B60&gt;$N$2,0,VLOOKUP('Total income package'!$B$3,'Location specific data'!$A$3:$AO$135,35,FALSE))*$E$2*20</f>
        <v>0</v>
      </c>
      <c r="M60" s="6">
        <f>IF(B60&gt;$N$2,0,VLOOKUP('Total income package'!$B$3,'Location specific data'!$A$3:$AO$135,36,FALSE))*$F$2*20</f>
        <v>0</v>
      </c>
      <c r="N60" s="6">
        <f>IF(B60&gt;$N$2,0,VLOOKUP('Total income package'!$B$3,'Location specific data'!$A$3:$AO$135,37,FALSE))*($G$2+$H$2)*20</f>
        <v>600</v>
      </c>
      <c r="O60" s="6">
        <f t="shared" si="2"/>
        <v>20</v>
      </c>
      <c r="P60" s="312">
        <f t="shared" si="10"/>
        <v>114.58333333333333</v>
      </c>
      <c r="Q60" s="312">
        <f t="shared" si="4"/>
        <v>30</v>
      </c>
      <c r="R60" s="312">
        <f t="shared" si="9"/>
        <v>20</v>
      </c>
      <c r="S60" s="160">
        <f>IF(AND('Total income package'!$A$8=TRUE,OR(F60="Yes",G60="Yes",H60="Yes")),SUM(J60:N60)-R60,0)</f>
        <v>1980</v>
      </c>
    </row>
    <row r="61" spans="1:19" s="5" customFormat="1" x14ac:dyDescent="0.3">
      <c r="A61" s="6">
        <v>28000</v>
      </c>
      <c r="B61" s="7">
        <f t="shared" si="5"/>
        <v>2333.3333333333335</v>
      </c>
      <c r="C61" s="7">
        <f>'Total income package'!$D$80</f>
        <v>0</v>
      </c>
      <c r="D61" s="7">
        <f t="shared" si="6"/>
        <v>2333.3333333333335</v>
      </c>
      <c r="E61" s="65">
        <f t="shared" si="7"/>
        <v>0.72388831437435364</v>
      </c>
      <c r="F61" s="65" t="str">
        <f t="shared" si="0"/>
        <v>Yes</v>
      </c>
      <c r="G61" s="65" t="str">
        <f t="shared" si="1"/>
        <v>Yes</v>
      </c>
      <c r="H61" s="301" t="str">
        <f>IF(OR('TANF-VIEW'!L65&gt;0,'TANF-VIEW'!T65&gt;0),"Yes","No")</f>
        <v>No</v>
      </c>
      <c r="I61" s="63">
        <f t="shared" si="8"/>
        <v>10</v>
      </c>
      <c r="J61" s="6">
        <f>(IF(B61&gt;$N$2,0,VLOOKUP('Total income package'!$B$3,'Location specific data'!$A$3:$AO$135,33,FALSE))*$C$2)*20</f>
        <v>1400</v>
      </c>
      <c r="K61" s="6">
        <f>IF(B61&gt;$N$2,0,VLOOKUP('Total income package'!$B$3,'Location specific data'!$A$3:$AO$135,34,FALSE))*$D$2*20</f>
        <v>0</v>
      </c>
      <c r="L61" s="6">
        <f>IF(B61&gt;$N$2,0,VLOOKUP('Total income package'!$B$3,'Location specific data'!$A$3:$AO$135,35,FALSE))*$E$2*20</f>
        <v>0</v>
      </c>
      <c r="M61" s="6">
        <f>IF(B61&gt;$N$2,0,VLOOKUP('Total income package'!$B$3,'Location specific data'!$A$3:$AO$135,36,FALSE))*$F$2*20</f>
        <v>0</v>
      </c>
      <c r="N61" s="6">
        <f>IF(B61&gt;$N$2,0,VLOOKUP('Total income package'!$B$3,'Location specific data'!$A$3:$AO$135,37,FALSE))*($G$2+$H$2)*20</f>
        <v>600</v>
      </c>
      <c r="O61" s="6">
        <f t="shared" si="2"/>
        <v>20</v>
      </c>
      <c r="P61" s="312">
        <f t="shared" si="10"/>
        <v>116.66666666666669</v>
      </c>
      <c r="Q61" s="312">
        <f t="shared" si="4"/>
        <v>30</v>
      </c>
      <c r="R61" s="312">
        <f t="shared" si="9"/>
        <v>20</v>
      </c>
      <c r="S61" s="160">
        <f>IF(AND('Total income package'!$A$8=TRUE,OR(F61="Yes",G61="Yes",H61="Yes")),SUM(J61:N61)-R61,0)</f>
        <v>1980</v>
      </c>
    </row>
    <row r="62" spans="1:19" s="5" customFormat="1" x14ac:dyDescent="0.3">
      <c r="A62" s="6">
        <v>28500</v>
      </c>
      <c r="B62" s="7">
        <f t="shared" si="5"/>
        <v>2375</v>
      </c>
      <c r="C62" s="7">
        <f>'Total income package'!$D$80</f>
        <v>0</v>
      </c>
      <c r="D62" s="7">
        <f t="shared" si="6"/>
        <v>2375</v>
      </c>
      <c r="E62" s="65">
        <f t="shared" si="7"/>
        <v>0.73681489141675283</v>
      </c>
      <c r="F62" s="65" t="str">
        <f t="shared" si="0"/>
        <v>Yes</v>
      </c>
      <c r="G62" s="65" t="str">
        <f t="shared" si="1"/>
        <v>Yes</v>
      </c>
      <c r="H62" s="301" t="str">
        <f>IF(OR('TANF-VIEW'!L66&gt;0,'TANF-VIEW'!T66&gt;0),"Yes","No")</f>
        <v>No</v>
      </c>
      <c r="I62" s="63">
        <f t="shared" si="8"/>
        <v>10</v>
      </c>
      <c r="J62" s="6">
        <f>(IF(B62&gt;$N$2,0,VLOOKUP('Total income package'!$B$3,'Location specific data'!$A$3:$AO$135,33,FALSE))*$C$2)*20</f>
        <v>1400</v>
      </c>
      <c r="K62" s="6">
        <f>IF(B62&gt;$N$2,0,VLOOKUP('Total income package'!$B$3,'Location specific data'!$A$3:$AO$135,34,FALSE))*$D$2*20</f>
        <v>0</v>
      </c>
      <c r="L62" s="6">
        <f>IF(B62&gt;$N$2,0,VLOOKUP('Total income package'!$B$3,'Location specific data'!$A$3:$AO$135,35,FALSE))*$E$2*20</f>
        <v>0</v>
      </c>
      <c r="M62" s="6">
        <f>IF(B62&gt;$N$2,0,VLOOKUP('Total income package'!$B$3,'Location specific data'!$A$3:$AO$135,36,FALSE))*$F$2*20</f>
        <v>0</v>
      </c>
      <c r="N62" s="6">
        <f>IF(B62&gt;$N$2,0,VLOOKUP('Total income package'!$B$3,'Location specific data'!$A$3:$AO$135,37,FALSE))*($G$2+$H$2)*20</f>
        <v>600</v>
      </c>
      <c r="O62" s="6">
        <f t="shared" si="2"/>
        <v>20</v>
      </c>
      <c r="P62" s="312">
        <f t="shared" si="10"/>
        <v>118.75</v>
      </c>
      <c r="Q62" s="312">
        <f t="shared" si="4"/>
        <v>30</v>
      </c>
      <c r="R62" s="312">
        <f t="shared" si="9"/>
        <v>20</v>
      </c>
      <c r="S62" s="160">
        <f>IF(AND('Total income package'!$A$8=TRUE,OR(F62="Yes",G62="Yes",H62="Yes")),SUM(J62:N62)-R62,0)</f>
        <v>1980</v>
      </c>
    </row>
    <row r="63" spans="1:19" s="5" customFormat="1" x14ac:dyDescent="0.3">
      <c r="A63" s="6">
        <v>29000</v>
      </c>
      <c r="B63" s="7">
        <f t="shared" si="5"/>
        <v>2416.6666666666665</v>
      </c>
      <c r="C63" s="7">
        <f>'Total income package'!$D$80</f>
        <v>0</v>
      </c>
      <c r="D63" s="7">
        <f t="shared" si="6"/>
        <v>2416.6666666666665</v>
      </c>
      <c r="E63" s="65">
        <f t="shared" si="7"/>
        <v>0.74974146845915191</v>
      </c>
      <c r="F63" s="65" t="str">
        <f t="shared" si="0"/>
        <v>Yes</v>
      </c>
      <c r="G63" s="65" t="str">
        <f t="shared" si="1"/>
        <v>Yes</v>
      </c>
      <c r="H63" s="301" t="str">
        <f>IF(OR('TANF-VIEW'!L67&gt;0,'TANF-VIEW'!T67&gt;0),"Yes","No")</f>
        <v>No</v>
      </c>
      <c r="I63" s="63">
        <f t="shared" si="8"/>
        <v>10</v>
      </c>
      <c r="J63" s="6">
        <f>(IF(B63&gt;$N$2,0,VLOOKUP('Total income package'!$B$3,'Location specific data'!$A$3:$AO$135,33,FALSE))*$C$2)*20</f>
        <v>1400</v>
      </c>
      <c r="K63" s="6">
        <f>IF(B63&gt;$N$2,0,VLOOKUP('Total income package'!$B$3,'Location specific data'!$A$3:$AO$135,34,FALSE))*$D$2*20</f>
        <v>0</v>
      </c>
      <c r="L63" s="6">
        <f>IF(B63&gt;$N$2,0,VLOOKUP('Total income package'!$B$3,'Location specific data'!$A$3:$AO$135,35,FALSE))*$E$2*20</f>
        <v>0</v>
      </c>
      <c r="M63" s="6">
        <f>IF(B63&gt;$N$2,0,VLOOKUP('Total income package'!$B$3,'Location specific data'!$A$3:$AO$135,36,FALSE))*$F$2*20</f>
        <v>0</v>
      </c>
      <c r="N63" s="6">
        <f>IF(B63&gt;$N$2,0,VLOOKUP('Total income package'!$B$3,'Location specific data'!$A$3:$AO$135,37,FALSE))*($G$2+$H$2)*20</f>
        <v>600</v>
      </c>
      <c r="O63" s="6">
        <f t="shared" si="2"/>
        <v>20</v>
      </c>
      <c r="P63" s="312">
        <f t="shared" si="10"/>
        <v>120.83333333333333</v>
      </c>
      <c r="Q63" s="312">
        <f t="shared" si="4"/>
        <v>30</v>
      </c>
      <c r="R63" s="312">
        <f t="shared" si="9"/>
        <v>20</v>
      </c>
      <c r="S63" s="160">
        <f>IF(AND('Total income package'!$A$8=TRUE,OR(F63="Yes",G63="Yes",H63="Yes")),SUM(J63:N63)-R63,0)</f>
        <v>1980</v>
      </c>
    </row>
    <row r="64" spans="1:19" s="5" customFormat="1" x14ac:dyDescent="0.3">
      <c r="A64" s="6">
        <v>29500</v>
      </c>
      <c r="B64" s="7">
        <f t="shared" si="5"/>
        <v>2458.3333333333335</v>
      </c>
      <c r="C64" s="7">
        <f>'Total income package'!$D$80</f>
        <v>0</v>
      </c>
      <c r="D64" s="7">
        <f t="shared" si="6"/>
        <v>2458.3333333333335</v>
      </c>
      <c r="E64" s="65">
        <f t="shared" si="7"/>
        <v>0.76266804550155121</v>
      </c>
      <c r="F64" s="65" t="str">
        <f t="shared" si="0"/>
        <v>Yes</v>
      </c>
      <c r="G64" s="65" t="str">
        <f t="shared" si="1"/>
        <v>Yes</v>
      </c>
      <c r="H64" s="301" t="str">
        <f>IF(OR('TANF-VIEW'!L68&gt;0,'TANF-VIEW'!T68&gt;0),"Yes","No")</f>
        <v>No</v>
      </c>
      <c r="I64" s="63">
        <f t="shared" si="8"/>
        <v>10</v>
      </c>
      <c r="J64" s="6">
        <f>(IF(B64&gt;$N$2,0,VLOOKUP('Total income package'!$B$3,'Location specific data'!$A$3:$AO$135,33,FALSE))*$C$2)*20</f>
        <v>1400</v>
      </c>
      <c r="K64" s="6">
        <f>IF(B64&gt;$N$2,0,VLOOKUP('Total income package'!$B$3,'Location specific data'!$A$3:$AO$135,34,FALSE))*$D$2*20</f>
        <v>0</v>
      </c>
      <c r="L64" s="6">
        <f>IF(B64&gt;$N$2,0,VLOOKUP('Total income package'!$B$3,'Location specific data'!$A$3:$AO$135,35,FALSE))*$E$2*20</f>
        <v>0</v>
      </c>
      <c r="M64" s="6">
        <f>IF(B64&gt;$N$2,0,VLOOKUP('Total income package'!$B$3,'Location specific data'!$A$3:$AO$135,36,FALSE))*$F$2*20</f>
        <v>0</v>
      </c>
      <c r="N64" s="6">
        <f>IF(B64&gt;$N$2,0,VLOOKUP('Total income package'!$B$3,'Location specific data'!$A$3:$AO$135,37,FALSE))*($G$2+$H$2)*20</f>
        <v>600</v>
      </c>
      <c r="O64" s="6">
        <f t="shared" si="2"/>
        <v>20</v>
      </c>
      <c r="P64" s="312">
        <f t="shared" si="10"/>
        <v>122.91666666666669</v>
      </c>
      <c r="Q64" s="312">
        <f t="shared" si="4"/>
        <v>30</v>
      </c>
      <c r="R64" s="312">
        <f t="shared" si="9"/>
        <v>20</v>
      </c>
      <c r="S64" s="160">
        <f>IF(AND('Total income package'!$A$8=TRUE,OR(F64="Yes",G64="Yes",H64="Yes")),SUM(J64:N64)-R64,0)</f>
        <v>1980</v>
      </c>
    </row>
    <row r="65" spans="1:19" s="5" customFormat="1" x14ac:dyDescent="0.3">
      <c r="A65" s="6">
        <v>30000</v>
      </c>
      <c r="B65" s="7">
        <f t="shared" si="5"/>
        <v>2500</v>
      </c>
      <c r="C65" s="7">
        <f>'Total income package'!$D$80</f>
        <v>0</v>
      </c>
      <c r="D65" s="7">
        <f t="shared" si="6"/>
        <v>2500</v>
      </c>
      <c r="E65" s="65">
        <f t="shared" si="7"/>
        <v>0.77559462254395029</v>
      </c>
      <c r="F65" s="65" t="str">
        <f t="shared" si="0"/>
        <v>Yes</v>
      </c>
      <c r="G65" s="65" t="str">
        <f t="shared" si="1"/>
        <v>Yes</v>
      </c>
      <c r="H65" s="301" t="str">
        <f>IF(OR('TANF-VIEW'!L69&gt;0,'TANF-VIEW'!T69&gt;0),"Yes","No")</f>
        <v>No</v>
      </c>
      <c r="I65" s="63">
        <f t="shared" si="8"/>
        <v>10</v>
      </c>
      <c r="J65" s="6">
        <f>(IF(B65&gt;$N$2,0,VLOOKUP('Total income package'!$B$3,'Location specific data'!$A$3:$AO$135,33,FALSE))*$C$2)*20</f>
        <v>1400</v>
      </c>
      <c r="K65" s="6">
        <f>IF(B65&gt;$N$2,0,VLOOKUP('Total income package'!$B$3,'Location specific data'!$A$3:$AO$135,34,FALSE))*$D$2*20</f>
        <v>0</v>
      </c>
      <c r="L65" s="6">
        <f>IF(B65&gt;$N$2,0,VLOOKUP('Total income package'!$B$3,'Location specific data'!$A$3:$AO$135,35,FALSE))*$E$2*20</f>
        <v>0</v>
      </c>
      <c r="M65" s="6">
        <f>IF(B65&gt;$N$2,0,VLOOKUP('Total income package'!$B$3,'Location specific data'!$A$3:$AO$135,36,FALSE))*$F$2*20</f>
        <v>0</v>
      </c>
      <c r="N65" s="6">
        <f>IF(B65&gt;$N$2,0,VLOOKUP('Total income package'!$B$3,'Location specific data'!$A$3:$AO$135,37,FALSE))*($G$2+$H$2)*20</f>
        <v>600</v>
      </c>
      <c r="O65" s="6">
        <f t="shared" si="2"/>
        <v>20</v>
      </c>
      <c r="P65" s="312">
        <f t="shared" si="10"/>
        <v>125</v>
      </c>
      <c r="Q65" s="312">
        <f t="shared" si="4"/>
        <v>30</v>
      </c>
      <c r="R65" s="312">
        <f t="shared" si="9"/>
        <v>20</v>
      </c>
      <c r="S65" s="160">
        <f>IF(AND('Total income package'!$A$8=TRUE,OR(F65="Yes",G65="Yes",H65="Yes")),SUM(J65:N65)-R65,0)</f>
        <v>1980</v>
      </c>
    </row>
    <row r="66" spans="1:19" s="5" customFormat="1" x14ac:dyDescent="0.3">
      <c r="A66" s="6">
        <v>30500</v>
      </c>
      <c r="B66" s="7">
        <f t="shared" si="5"/>
        <v>2541.6666666666665</v>
      </c>
      <c r="C66" s="7">
        <f>'Total income package'!$D$80</f>
        <v>0</v>
      </c>
      <c r="D66" s="7">
        <f t="shared" si="6"/>
        <v>2541.6666666666665</v>
      </c>
      <c r="E66" s="65">
        <f t="shared" si="7"/>
        <v>0.78852119958634947</v>
      </c>
      <c r="F66" s="65" t="str">
        <f t="shared" si="0"/>
        <v>Yes</v>
      </c>
      <c r="G66" s="65" t="str">
        <f t="shared" si="1"/>
        <v>Yes</v>
      </c>
      <c r="H66" s="301" t="str">
        <f>IF(OR('TANF-VIEW'!L70&gt;0,'TANF-VIEW'!T70&gt;0),"Yes","No")</f>
        <v>No</v>
      </c>
      <c r="I66" s="63">
        <f t="shared" si="8"/>
        <v>10</v>
      </c>
      <c r="J66" s="6">
        <f>(IF(B66&gt;$N$2,0,VLOOKUP('Total income package'!$B$3,'Location specific data'!$A$3:$AO$135,33,FALSE))*$C$2)*20</f>
        <v>1400</v>
      </c>
      <c r="K66" s="6">
        <f>IF(B66&gt;$N$2,0,VLOOKUP('Total income package'!$B$3,'Location specific data'!$A$3:$AO$135,34,FALSE))*$D$2*20</f>
        <v>0</v>
      </c>
      <c r="L66" s="6">
        <f>IF(B66&gt;$N$2,0,VLOOKUP('Total income package'!$B$3,'Location specific data'!$A$3:$AO$135,35,FALSE))*$E$2*20</f>
        <v>0</v>
      </c>
      <c r="M66" s="6">
        <f>IF(B66&gt;$N$2,0,VLOOKUP('Total income package'!$B$3,'Location specific data'!$A$3:$AO$135,36,FALSE))*$F$2*20</f>
        <v>0</v>
      </c>
      <c r="N66" s="6">
        <f>IF(B66&gt;$N$2,0,VLOOKUP('Total income package'!$B$3,'Location specific data'!$A$3:$AO$135,37,FALSE))*($G$2+$H$2)*20</f>
        <v>600</v>
      </c>
      <c r="O66" s="6">
        <f t="shared" si="2"/>
        <v>20</v>
      </c>
      <c r="P66" s="312">
        <f t="shared" si="10"/>
        <v>127.08333333333333</v>
      </c>
      <c r="Q66" s="312">
        <f t="shared" si="4"/>
        <v>30</v>
      </c>
      <c r="R66" s="312">
        <f t="shared" si="9"/>
        <v>20</v>
      </c>
      <c r="S66" s="160">
        <f>IF(AND('Total income package'!$A$8=TRUE,OR(F66="Yes",G66="Yes",H66="Yes")),SUM(J66:N66)-R66,0)</f>
        <v>1980</v>
      </c>
    </row>
    <row r="67" spans="1:19" s="5" customFormat="1" x14ac:dyDescent="0.3">
      <c r="A67" s="6">
        <v>31000</v>
      </c>
      <c r="B67" s="7">
        <f t="shared" si="5"/>
        <v>2583.3333333333335</v>
      </c>
      <c r="C67" s="7">
        <f>'Total income package'!$D$80</f>
        <v>0</v>
      </c>
      <c r="D67" s="7">
        <f t="shared" si="6"/>
        <v>2583.3333333333335</v>
      </c>
      <c r="E67" s="65">
        <f t="shared" si="7"/>
        <v>0.80144777662874866</v>
      </c>
      <c r="F67" s="65" t="str">
        <f t="shared" si="0"/>
        <v>Yes</v>
      </c>
      <c r="G67" s="65" t="str">
        <f t="shared" si="1"/>
        <v>Yes</v>
      </c>
      <c r="H67" s="301" t="str">
        <f>IF(OR('TANF-VIEW'!L71&gt;0,'TANF-VIEW'!T71&gt;0),"Yes","No")</f>
        <v>No</v>
      </c>
      <c r="I67" s="63">
        <f t="shared" si="8"/>
        <v>10</v>
      </c>
      <c r="J67" s="6">
        <f>(IF(B67&gt;$N$2,0,VLOOKUP('Total income package'!$B$3,'Location specific data'!$A$3:$AO$135,33,FALSE))*$C$2)*20</f>
        <v>1400</v>
      </c>
      <c r="K67" s="6">
        <f>IF(B67&gt;$N$2,0,VLOOKUP('Total income package'!$B$3,'Location specific data'!$A$3:$AO$135,34,FALSE))*$D$2*20</f>
        <v>0</v>
      </c>
      <c r="L67" s="6">
        <f>IF(B67&gt;$N$2,0,VLOOKUP('Total income package'!$B$3,'Location specific data'!$A$3:$AO$135,35,FALSE))*$E$2*20</f>
        <v>0</v>
      </c>
      <c r="M67" s="6">
        <f>IF(B67&gt;$N$2,0,VLOOKUP('Total income package'!$B$3,'Location specific data'!$A$3:$AO$135,36,FALSE))*$F$2*20</f>
        <v>0</v>
      </c>
      <c r="N67" s="6">
        <f>IF(B67&gt;$N$2,0,VLOOKUP('Total income package'!$B$3,'Location specific data'!$A$3:$AO$135,37,FALSE))*($G$2+$H$2)*20</f>
        <v>600</v>
      </c>
      <c r="O67" s="6">
        <f t="shared" si="2"/>
        <v>20</v>
      </c>
      <c r="P67" s="312">
        <f t="shared" si="10"/>
        <v>129.16666666666669</v>
      </c>
      <c r="Q67" s="312">
        <f t="shared" si="4"/>
        <v>30</v>
      </c>
      <c r="R67" s="312">
        <f t="shared" si="9"/>
        <v>20</v>
      </c>
      <c r="S67" s="160">
        <f>IF(AND('Total income package'!$A$8=TRUE,OR(F67="Yes",G67="Yes",H67="Yes")),SUM(J67:N67)-R67,0)</f>
        <v>1980</v>
      </c>
    </row>
    <row r="68" spans="1:19" s="5" customFormat="1" x14ac:dyDescent="0.3">
      <c r="A68" s="6">
        <v>31500</v>
      </c>
      <c r="B68" s="7">
        <f t="shared" si="5"/>
        <v>2625</v>
      </c>
      <c r="C68" s="7">
        <f>'Total income package'!$D$80</f>
        <v>0</v>
      </c>
      <c r="D68" s="7">
        <f t="shared" si="6"/>
        <v>2625</v>
      </c>
      <c r="E68" s="65">
        <f t="shared" si="7"/>
        <v>0.81437435367114785</v>
      </c>
      <c r="F68" s="65" t="str">
        <f t="shared" si="0"/>
        <v>Yes</v>
      </c>
      <c r="G68" s="65" t="str">
        <f t="shared" si="1"/>
        <v>Yes</v>
      </c>
      <c r="H68" s="301" t="str">
        <f>IF(OR('TANF-VIEW'!L72&gt;0,'TANF-VIEW'!T72&gt;0),"Yes","No")</f>
        <v>No</v>
      </c>
      <c r="I68" s="63">
        <f t="shared" si="8"/>
        <v>10</v>
      </c>
      <c r="J68" s="6">
        <f>(IF(B68&gt;$N$2,0,VLOOKUP('Total income package'!$B$3,'Location specific data'!$A$3:$AO$135,33,FALSE))*$C$2)*20</f>
        <v>1400</v>
      </c>
      <c r="K68" s="6">
        <f>IF(B68&gt;$N$2,0,VLOOKUP('Total income package'!$B$3,'Location specific data'!$A$3:$AO$135,34,FALSE))*$D$2*20</f>
        <v>0</v>
      </c>
      <c r="L68" s="6">
        <f>IF(B68&gt;$N$2,0,VLOOKUP('Total income package'!$B$3,'Location specific data'!$A$3:$AO$135,35,FALSE))*$E$2*20</f>
        <v>0</v>
      </c>
      <c r="M68" s="6">
        <f>IF(B68&gt;$N$2,0,VLOOKUP('Total income package'!$B$3,'Location specific data'!$A$3:$AO$135,36,FALSE))*$F$2*20</f>
        <v>0</v>
      </c>
      <c r="N68" s="6">
        <f>IF(B68&gt;$N$2,0,VLOOKUP('Total income package'!$B$3,'Location specific data'!$A$3:$AO$135,37,FALSE))*($G$2+$H$2)*20</f>
        <v>600</v>
      </c>
      <c r="O68" s="6">
        <f t="shared" si="2"/>
        <v>20</v>
      </c>
      <c r="P68" s="312">
        <f t="shared" si="10"/>
        <v>131.25</v>
      </c>
      <c r="Q68" s="312">
        <f t="shared" si="4"/>
        <v>30</v>
      </c>
      <c r="R68" s="312">
        <f t="shared" si="9"/>
        <v>20</v>
      </c>
      <c r="S68" s="160">
        <f>IF(AND('Total income package'!$A$8=TRUE,OR(F68="Yes",G68="Yes",H68="Yes")),SUM(J68:N68)-R68,0)</f>
        <v>1980</v>
      </c>
    </row>
    <row r="69" spans="1:19" s="5" customFormat="1" x14ac:dyDescent="0.3">
      <c r="A69" s="6">
        <v>32000</v>
      </c>
      <c r="B69" s="7">
        <f t="shared" si="5"/>
        <v>2666.6666666666665</v>
      </c>
      <c r="C69" s="7">
        <f>'Total income package'!$D$80</f>
        <v>0</v>
      </c>
      <c r="D69" s="7">
        <f t="shared" si="6"/>
        <v>2666.6666666666665</v>
      </c>
      <c r="E69" s="65">
        <f t="shared" si="7"/>
        <v>0.82730093071354693</v>
      </c>
      <c r="F69" s="65" t="str">
        <f t="shared" ref="F69:F132" si="11">IF(AND(B69&lt;$N$2,SUM($C$2:$F$2)&gt;0),"Yes","No")</f>
        <v>Yes</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10</v>
      </c>
      <c r="J69" s="6">
        <f>(IF(B69&gt;$N$2,0,VLOOKUP('Total income package'!$B$3,'Location specific data'!$A$3:$AO$135,33,FALSE))*$C$2)*20</f>
        <v>1400</v>
      </c>
      <c r="K69" s="6">
        <f>IF(B69&gt;$N$2,0,VLOOKUP('Total income package'!$B$3,'Location specific data'!$A$3:$AO$135,34,FALSE))*$D$2*20</f>
        <v>0</v>
      </c>
      <c r="L69" s="6">
        <f>IF(B69&gt;$N$2,0,VLOOKUP('Total income package'!$B$3,'Location specific data'!$A$3:$AO$135,35,FALSE))*$E$2*20</f>
        <v>0</v>
      </c>
      <c r="M69" s="6">
        <f>IF(B69&gt;$N$2,0,VLOOKUP('Total income package'!$B$3,'Location specific data'!$A$3:$AO$135,36,FALSE))*$F$2*20</f>
        <v>0</v>
      </c>
      <c r="N69" s="6">
        <f>IF(B69&gt;$N$2,0,VLOOKUP('Total income package'!$B$3,'Location specific data'!$A$3:$AO$135,37,FALSE))*($G$2+$H$2)*20</f>
        <v>600</v>
      </c>
      <c r="O69" s="6">
        <f t="shared" ref="O69:O132" si="14">I69*SUM($C$2:$H$2)</f>
        <v>20</v>
      </c>
      <c r="P69" s="312">
        <f t="shared" ref="P69:P100" si="15">B69*0.05</f>
        <v>133.33333333333334</v>
      </c>
      <c r="Q69" s="312">
        <f t="shared" ref="Q69:Q132" si="16">I69*3</f>
        <v>30</v>
      </c>
      <c r="R69" s="312">
        <f t="shared" si="9"/>
        <v>20</v>
      </c>
      <c r="S69" s="160">
        <f>IF(AND('Total income package'!$A$8=TRUE,OR(F69="Yes",G69="Yes",H69="Yes")),SUM(J69:N69)-R69,0)</f>
        <v>1980</v>
      </c>
    </row>
    <row r="70" spans="1:19" s="5" customFormat="1" x14ac:dyDescent="0.3">
      <c r="A70" s="6">
        <v>32500</v>
      </c>
      <c r="B70" s="7">
        <f t="shared" ref="B70:B107" si="17">A70/12</f>
        <v>2708.3333333333335</v>
      </c>
      <c r="C70" s="7">
        <f>'Total income package'!$D$80</f>
        <v>0</v>
      </c>
      <c r="D70" s="7">
        <f t="shared" ref="D70:D133" si="18">B70+C70</f>
        <v>2708.3333333333335</v>
      </c>
      <c r="E70" s="65">
        <f t="shared" ref="E70:E133" si="19">D70/$K$2</f>
        <v>0.84022750775594623</v>
      </c>
      <c r="F70" s="65" t="str">
        <f t="shared" si="11"/>
        <v>Yes</v>
      </c>
      <c r="G70" s="65" t="str">
        <f t="shared" si="12"/>
        <v>Yes</v>
      </c>
      <c r="H70" s="301" t="str">
        <f>IF(OR('TANF-VIEW'!L74&gt;0,'TANF-VIEW'!T74&gt;0),"Yes","No")</f>
        <v>No</v>
      </c>
      <c r="I70" s="63">
        <f t="shared" si="13"/>
        <v>10</v>
      </c>
      <c r="J70" s="6">
        <f>(IF(B70&gt;$N$2,0,VLOOKUP('Total income package'!$B$3,'Location specific data'!$A$3:$AO$135,33,FALSE))*$C$2)*20</f>
        <v>1400</v>
      </c>
      <c r="K70" s="6">
        <f>IF(B70&gt;$N$2,0,VLOOKUP('Total income package'!$B$3,'Location specific data'!$A$3:$AO$135,34,FALSE))*$D$2*20</f>
        <v>0</v>
      </c>
      <c r="L70" s="6">
        <f>IF(B70&gt;$N$2,0,VLOOKUP('Total income package'!$B$3,'Location specific data'!$A$3:$AO$135,35,FALSE))*$E$2*20</f>
        <v>0</v>
      </c>
      <c r="M70" s="6">
        <f>IF(B70&gt;$N$2,0,VLOOKUP('Total income package'!$B$3,'Location specific data'!$A$3:$AO$135,36,FALSE))*$F$2*20</f>
        <v>0</v>
      </c>
      <c r="N70" s="6">
        <f>IF(B70&gt;$N$2,0,VLOOKUP('Total income package'!$B$3,'Location specific data'!$A$3:$AO$135,37,FALSE))*($G$2+$H$2)*20</f>
        <v>600</v>
      </c>
      <c r="O70" s="6">
        <f t="shared" si="14"/>
        <v>20</v>
      </c>
      <c r="P70" s="312">
        <f t="shared" si="15"/>
        <v>135.41666666666669</v>
      </c>
      <c r="Q70" s="312">
        <f t="shared" si="16"/>
        <v>30</v>
      </c>
      <c r="R70" s="312">
        <f t="shared" ref="R70:R133" si="20">IF(MIN(O70,P70)&lt;Q70,MIN(O70,P70),Q70)</f>
        <v>20</v>
      </c>
      <c r="S70" s="160">
        <f>IF(AND('Total income package'!$A$8=TRUE,OR(F70="Yes",G70="Yes",H70="Yes")),SUM(J70:N70)-R70,0)</f>
        <v>1980</v>
      </c>
    </row>
    <row r="71" spans="1:19" s="5" customFormat="1" x14ac:dyDescent="0.3">
      <c r="A71" s="6">
        <v>33000</v>
      </c>
      <c r="B71" s="7">
        <f t="shared" si="17"/>
        <v>2750</v>
      </c>
      <c r="C71" s="7">
        <f>'Total income package'!$D$80</f>
        <v>0</v>
      </c>
      <c r="D71" s="7">
        <f t="shared" si="18"/>
        <v>2750</v>
      </c>
      <c r="E71" s="65">
        <f t="shared" si="19"/>
        <v>0.85315408479834531</v>
      </c>
      <c r="F71" s="65" t="str">
        <f t="shared" si="11"/>
        <v>Yes</v>
      </c>
      <c r="G71" s="65" t="str">
        <f t="shared" si="12"/>
        <v>Yes</v>
      </c>
      <c r="H71" s="301" t="str">
        <f>IF(OR('TANF-VIEW'!L75&gt;0,'TANF-VIEW'!T75&gt;0),"Yes","No")</f>
        <v>No</v>
      </c>
      <c r="I71" s="63">
        <f t="shared" si="13"/>
        <v>10</v>
      </c>
      <c r="J71" s="6">
        <f>(IF(B71&gt;$N$2,0,VLOOKUP('Total income package'!$B$3,'Location specific data'!$A$3:$AO$135,33,FALSE))*$C$2)*20</f>
        <v>1400</v>
      </c>
      <c r="K71" s="6">
        <f>IF(B71&gt;$N$2,0,VLOOKUP('Total income package'!$B$3,'Location specific data'!$A$3:$AO$135,34,FALSE))*$D$2*20</f>
        <v>0</v>
      </c>
      <c r="L71" s="6">
        <f>IF(B71&gt;$N$2,0,VLOOKUP('Total income package'!$B$3,'Location specific data'!$A$3:$AO$135,35,FALSE))*$E$2*20</f>
        <v>0</v>
      </c>
      <c r="M71" s="6">
        <f>IF(B71&gt;$N$2,0,VLOOKUP('Total income package'!$B$3,'Location specific data'!$A$3:$AO$135,36,FALSE))*$F$2*20</f>
        <v>0</v>
      </c>
      <c r="N71" s="6">
        <f>IF(B71&gt;$N$2,0,VLOOKUP('Total income package'!$B$3,'Location specific data'!$A$3:$AO$135,37,FALSE))*($G$2+$H$2)*20</f>
        <v>600</v>
      </c>
      <c r="O71" s="6">
        <f t="shared" si="14"/>
        <v>20</v>
      </c>
      <c r="P71" s="312">
        <f t="shared" si="15"/>
        <v>137.5</v>
      </c>
      <c r="Q71" s="312">
        <f t="shared" si="16"/>
        <v>30</v>
      </c>
      <c r="R71" s="312">
        <f t="shared" si="20"/>
        <v>20</v>
      </c>
      <c r="S71" s="160">
        <f>IF(AND('Total income package'!$A$8=TRUE,OR(F71="Yes",G71="Yes",H71="Yes")),SUM(J71:N71)-R71,0)</f>
        <v>1980</v>
      </c>
    </row>
    <row r="72" spans="1:19" s="5" customFormat="1" x14ac:dyDescent="0.3">
      <c r="A72" s="6">
        <v>33500</v>
      </c>
      <c r="B72" s="7">
        <f t="shared" si="17"/>
        <v>2791.6666666666665</v>
      </c>
      <c r="C72" s="7">
        <f>'Total income package'!$D$80</f>
        <v>0</v>
      </c>
      <c r="D72" s="7">
        <f t="shared" si="18"/>
        <v>2791.6666666666665</v>
      </c>
      <c r="E72" s="65">
        <f t="shared" si="19"/>
        <v>0.8660806618407445</v>
      </c>
      <c r="F72" s="65" t="str">
        <f t="shared" si="11"/>
        <v>Yes</v>
      </c>
      <c r="G72" s="65" t="str">
        <f t="shared" si="12"/>
        <v>Yes</v>
      </c>
      <c r="H72" s="301" t="str">
        <f>IF(OR('TANF-VIEW'!L76&gt;0,'TANF-VIEW'!T76&gt;0),"Yes","No")</f>
        <v>No</v>
      </c>
      <c r="I72" s="63">
        <f t="shared" si="13"/>
        <v>10</v>
      </c>
      <c r="J72" s="6">
        <f>(IF(B72&gt;$N$2,0,VLOOKUP('Total income package'!$B$3,'Location specific data'!$A$3:$AO$135,33,FALSE))*$C$2)*20</f>
        <v>1400</v>
      </c>
      <c r="K72" s="6">
        <f>IF(B72&gt;$N$2,0,VLOOKUP('Total income package'!$B$3,'Location specific data'!$A$3:$AO$135,34,FALSE))*$D$2*20</f>
        <v>0</v>
      </c>
      <c r="L72" s="6">
        <f>IF(B72&gt;$N$2,0,VLOOKUP('Total income package'!$B$3,'Location specific data'!$A$3:$AO$135,35,FALSE))*$E$2*20</f>
        <v>0</v>
      </c>
      <c r="M72" s="6">
        <f>IF(B72&gt;$N$2,0,VLOOKUP('Total income package'!$B$3,'Location specific data'!$A$3:$AO$135,36,FALSE))*$F$2*20</f>
        <v>0</v>
      </c>
      <c r="N72" s="6">
        <f>IF(B72&gt;$N$2,0,VLOOKUP('Total income package'!$B$3,'Location specific data'!$A$3:$AO$135,37,FALSE))*($G$2+$H$2)*20</f>
        <v>600</v>
      </c>
      <c r="O72" s="6">
        <f t="shared" si="14"/>
        <v>20</v>
      </c>
      <c r="P72" s="312">
        <f t="shared" si="15"/>
        <v>139.58333333333334</v>
      </c>
      <c r="Q72" s="312">
        <f t="shared" si="16"/>
        <v>30</v>
      </c>
      <c r="R72" s="312">
        <f t="shared" si="20"/>
        <v>20</v>
      </c>
      <c r="S72" s="160">
        <f>IF(AND('Total income package'!$A$8=TRUE,OR(F72="Yes",G72="Yes",H72="Yes")),SUM(J72:N72)-R72,0)</f>
        <v>1980</v>
      </c>
    </row>
    <row r="73" spans="1:19" s="5" customFormat="1" x14ac:dyDescent="0.3">
      <c r="A73" s="6">
        <v>34000</v>
      </c>
      <c r="B73" s="7">
        <f t="shared" si="17"/>
        <v>2833.3333333333335</v>
      </c>
      <c r="C73" s="7">
        <f>'Total income package'!$D$80</f>
        <v>0</v>
      </c>
      <c r="D73" s="7">
        <f t="shared" si="18"/>
        <v>2833.3333333333335</v>
      </c>
      <c r="E73" s="65">
        <f t="shared" si="19"/>
        <v>0.8790072388831438</v>
      </c>
      <c r="F73" s="65" t="str">
        <f t="shared" si="11"/>
        <v>Yes</v>
      </c>
      <c r="G73" s="65" t="str">
        <f t="shared" si="12"/>
        <v>Yes</v>
      </c>
      <c r="H73" s="301" t="str">
        <f>IF(OR('TANF-VIEW'!L77&gt;0,'TANF-VIEW'!T77&gt;0),"Yes","No")</f>
        <v>No</v>
      </c>
      <c r="I73" s="63">
        <f t="shared" si="13"/>
        <v>10</v>
      </c>
      <c r="J73" s="6">
        <f>(IF(B73&gt;$N$2,0,VLOOKUP('Total income package'!$B$3,'Location specific data'!$A$3:$AO$135,33,FALSE))*$C$2)*20</f>
        <v>1400</v>
      </c>
      <c r="K73" s="6">
        <f>IF(B73&gt;$N$2,0,VLOOKUP('Total income package'!$B$3,'Location specific data'!$A$3:$AO$135,34,FALSE))*$D$2*20</f>
        <v>0</v>
      </c>
      <c r="L73" s="6">
        <f>IF(B73&gt;$N$2,0,VLOOKUP('Total income package'!$B$3,'Location specific data'!$A$3:$AO$135,35,FALSE))*$E$2*20</f>
        <v>0</v>
      </c>
      <c r="M73" s="6">
        <f>IF(B73&gt;$N$2,0,VLOOKUP('Total income package'!$B$3,'Location specific data'!$A$3:$AO$135,36,FALSE))*$F$2*20</f>
        <v>0</v>
      </c>
      <c r="N73" s="6">
        <f>IF(B73&gt;$N$2,0,VLOOKUP('Total income package'!$B$3,'Location specific data'!$A$3:$AO$135,37,FALSE))*($G$2+$H$2)*20</f>
        <v>600</v>
      </c>
      <c r="O73" s="6">
        <f t="shared" si="14"/>
        <v>20</v>
      </c>
      <c r="P73" s="312">
        <f t="shared" si="15"/>
        <v>141.66666666666669</v>
      </c>
      <c r="Q73" s="312">
        <f t="shared" si="16"/>
        <v>30</v>
      </c>
      <c r="R73" s="312">
        <f t="shared" si="20"/>
        <v>20</v>
      </c>
      <c r="S73" s="160">
        <f>IF(AND('Total income package'!$A$8=TRUE,OR(F73="Yes",G73="Yes",H73="Yes")),SUM(J73:N73)-R73,0)</f>
        <v>1980</v>
      </c>
    </row>
    <row r="74" spans="1:19" s="5" customFormat="1" x14ac:dyDescent="0.3">
      <c r="A74" s="6">
        <v>34500</v>
      </c>
      <c r="B74" s="7">
        <f t="shared" si="17"/>
        <v>2875</v>
      </c>
      <c r="C74" s="7">
        <f>'Total income package'!$D$80</f>
        <v>0</v>
      </c>
      <c r="D74" s="7">
        <f t="shared" si="18"/>
        <v>2875</v>
      </c>
      <c r="E74" s="65">
        <f t="shared" si="19"/>
        <v>0.89193381592554288</v>
      </c>
      <c r="F74" s="65" t="str">
        <f t="shared" si="11"/>
        <v>Yes</v>
      </c>
      <c r="G74" s="65" t="str">
        <f t="shared" si="12"/>
        <v>Yes</v>
      </c>
      <c r="H74" s="301" t="str">
        <f>IF(OR('TANF-VIEW'!L78&gt;0,'TANF-VIEW'!T78&gt;0),"Yes","No")</f>
        <v>No</v>
      </c>
      <c r="I74" s="63">
        <f t="shared" si="13"/>
        <v>10</v>
      </c>
      <c r="J74" s="6">
        <f>(IF(B74&gt;$N$2,0,VLOOKUP('Total income package'!$B$3,'Location specific data'!$A$3:$AO$135,33,FALSE))*$C$2)*20</f>
        <v>1400</v>
      </c>
      <c r="K74" s="6">
        <f>IF(B74&gt;$N$2,0,VLOOKUP('Total income package'!$B$3,'Location specific data'!$A$3:$AO$135,34,FALSE))*$D$2*20</f>
        <v>0</v>
      </c>
      <c r="L74" s="6">
        <f>IF(B74&gt;$N$2,0,VLOOKUP('Total income package'!$B$3,'Location specific data'!$A$3:$AO$135,35,FALSE))*$E$2*20</f>
        <v>0</v>
      </c>
      <c r="M74" s="6">
        <f>IF(B74&gt;$N$2,0,VLOOKUP('Total income package'!$B$3,'Location specific data'!$A$3:$AO$135,36,FALSE))*$F$2*20</f>
        <v>0</v>
      </c>
      <c r="N74" s="6">
        <f>IF(B74&gt;$N$2,0,VLOOKUP('Total income package'!$B$3,'Location specific data'!$A$3:$AO$135,37,FALSE))*($G$2+$H$2)*20</f>
        <v>600</v>
      </c>
      <c r="O74" s="6">
        <f t="shared" si="14"/>
        <v>20</v>
      </c>
      <c r="P74" s="312">
        <f t="shared" si="15"/>
        <v>143.75</v>
      </c>
      <c r="Q74" s="312">
        <f t="shared" si="16"/>
        <v>30</v>
      </c>
      <c r="R74" s="312">
        <f t="shared" si="20"/>
        <v>20</v>
      </c>
      <c r="S74" s="160">
        <f>IF(AND('Total income package'!$A$8=TRUE,OR(F74="Yes",G74="Yes",H74="Yes")),SUM(J74:N74)-R74,0)</f>
        <v>1980</v>
      </c>
    </row>
    <row r="75" spans="1:19" s="5" customFormat="1" x14ac:dyDescent="0.3">
      <c r="A75" s="6">
        <v>35000</v>
      </c>
      <c r="B75" s="7">
        <f t="shared" si="17"/>
        <v>2916.6666666666665</v>
      </c>
      <c r="C75" s="7">
        <f>'Total income package'!$D$80</f>
        <v>0</v>
      </c>
      <c r="D75" s="7">
        <f t="shared" si="18"/>
        <v>2916.6666666666665</v>
      </c>
      <c r="E75" s="65">
        <f t="shared" si="19"/>
        <v>0.90486039296794196</v>
      </c>
      <c r="F75" s="65" t="str">
        <f t="shared" si="11"/>
        <v>Yes</v>
      </c>
      <c r="G75" s="65" t="str">
        <f t="shared" si="12"/>
        <v>Yes</v>
      </c>
      <c r="H75" s="301" t="str">
        <f>IF(OR('TANF-VIEW'!L79&gt;0,'TANF-VIEW'!T79&gt;0),"Yes","No")</f>
        <v>No</v>
      </c>
      <c r="I75" s="63">
        <f t="shared" si="13"/>
        <v>10</v>
      </c>
      <c r="J75" s="6">
        <f>(IF(B75&gt;$N$2,0,VLOOKUP('Total income package'!$B$3,'Location specific data'!$A$3:$AO$135,33,FALSE))*$C$2)*20</f>
        <v>1400</v>
      </c>
      <c r="K75" s="6">
        <f>IF(B75&gt;$N$2,0,VLOOKUP('Total income package'!$B$3,'Location specific data'!$A$3:$AO$135,34,FALSE))*$D$2*20</f>
        <v>0</v>
      </c>
      <c r="L75" s="6">
        <f>IF(B75&gt;$N$2,0,VLOOKUP('Total income package'!$B$3,'Location specific data'!$A$3:$AO$135,35,FALSE))*$E$2*20</f>
        <v>0</v>
      </c>
      <c r="M75" s="6">
        <f>IF(B75&gt;$N$2,0,VLOOKUP('Total income package'!$B$3,'Location specific data'!$A$3:$AO$135,36,FALSE))*$F$2*20</f>
        <v>0</v>
      </c>
      <c r="N75" s="6">
        <f>IF(B75&gt;$N$2,0,VLOOKUP('Total income package'!$B$3,'Location specific data'!$A$3:$AO$135,37,FALSE))*($G$2+$H$2)*20</f>
        <v>600</v>
      </c>
      <c r="O75" s="6">
        <f t="shared" si="14"/>
        <v>20</v>
      </c>
      <c r="P75" s="312">
        <f t="shared" si="15"/>
        <v>145.83333333333334</v>
      </c>
      <c r="Q75" s="312">
        <f t="shared" si="16"/>
        <v>30</v>
      </c>
      <c r="R75" s="312">
        <f t="shared" si="20"/>
        <v>20</v>
      </c>
      <c r="S75" s="160">
        <f>IF(AND('Total income package'!$A$8=TRUE,OR(F75="Yes",G75="Yes",H75="Yes")),SUM(J75:N75)-R75,0)</f>
        <v>1980</v>
      </c>
    </row>
    <row r="76" spans="1:19" s="5" customFormat="1" x14ac:dyDescent="0.3">
      <c r="A76" s="6">
        <v>35500</v>
      </c>
      <c r="B76" s="7">
        <f t="shared" si="17"/>
        <v>2958.3333333333335</v>
      </c>
      <c r="C76" s="7">
        <f>'Total income package'!$D$80</f>
        <v>0</v>
      </c>
      <c r="D76" s="7">
        <f t="shared" si="18"/>
        <v>2958.3333333333335</v>
      </c>
      <c r="E76" s="65">
        <f t="shared" si="19"/>
        <v>0.91778697001034126</v>
      </c>
      <c r="F76" s="65" t="str">
        <f t="shared" si="11"/>
        <v>Yes</v>
      </c>
      <c r="G76" s="65" t="str">
        <f t="shared" si="12"/>
        <v>Yes</v>
      </c>
      <c r="H76" s="301" t="str">
        <f>IF(OR('TANF-VIEW'!L80&gt;0,'TANF-VIEW'!T80&gt;0),"Yes","No")</f>
        <v>No</v>
      </c>
      <c r="I76" s="63">
        <f t="shared" si="13"/>
        <v>10</v>
      </c>
      <c r="J76" s="6">
        <f>(IF(B76&gt;$N$2,0,VLOOKUP('Total income package'!$B$3,'Location specific data'!$A$3:$AO$135,33,FALSE))*$C$2)*20</f>
        <v>1400</v>
      </c>
      <c r="K76" s="6">
        <f>IF(B76&gt;$N$2,0,VLOOKUP('Total income package'!$B$3,'Location specific data'!$A$3:$AO$135,34,FALSE))*$D$2*20</f>
        <v>0</v>
      </c>
      <c r="L76" s="6">
        <f>IF(B76&gt;$N$2,0,VLOOKUP('Total income package'!$B$3,'Location specific data'!$A$3:$AO$135,35,FALSE))*$E$2*20</f>
        <v>0</v>
      </c>
      <c r="M76" s="6">
        <f>IF(B76&gt;$N$2,0,VLOOKUP('Total income package'!$B$3,'Location specific data'!$A$3:$AO$135,36,FALSE))*$F$2*20</f>
        <v>0</v>
      </c>
      <c r="N76" s="6">
        <f>IF(B76&gt;$N$2,0,VLOOKUP('Total income package'!$B$3,'Location specific data'!$A$3:$AO$135,37,FALSE))*($G$2+$H$2)*20</f>
        <v>600</v>
      </c>
      <c r="O76" s="6">
        <f t="shared" si="14"/>
        <v>20</v>
      </c>
      <c r="P76" s="312">
        <f t="shared" si="15"/>
        <v>147.91666666666669</v>
      </c>
      <c r="Q76" s="312">
        <f t="shared" si="16"/>
        <v>30</v>
      </c>
      <c r="R76" s="312">
        <f t="shared" si="20"/>
        <v>20</v>
      </c>
      <c r="S76" s="160">
        <f>IF(AND('Total income package'!$A$8=TRUE,OR(F76="Yes",G76="Yes",H76="Yes")),SUM(J76:N76)-R76,0)</f>
        <v>1980</v>
      </c>
    </row>
    <row r="77" spans="1:19" s="5" customFormat="1" x14ac:dyDescent="0.3">
      <c r="A77" s="6">
        <v>36000</v>
      </c>
      <c r="B77" s="7">
        <f t="shared" si="17"/>
        <v>3000</v>
      </c>
      <c r="C77" s="7">
        <f>'Total income package'!$D$80</f>
        <v>0</v>
      </c>
      <c r="D77" s="7">
        <f t="shared" si="18"/>
        <v>3000</v>
      </c>
      <c r="E77" s="65">
        <f t="shared" si="19"/>
        <v>0.93071354705274034</v>
      </c>
      <c r="F77" s="65" t="str">
        <f t="shared" si="11"/>
        <v>Yes</v>
      </c>
      <c r="G77" s="65" t="str">
        <f t="shared" si="12"/>
        <v>Yes</v>
      </c>
      <c r="H77" s="301" t="str">
        <f>IF(OR('TANF-VIEW'!L81&gt;0,'TANF-VIEW'!T81&gt;0),"Yes","No")</f>
        <v>No</v>
      </c>
      <c r="I77" s="63">
        <f t="shared" si="13"/>
        <v>10</v>
      </c>
      <c r="J77" s="6">
        <f>(IF(B77&gt;$N$2,0,VLOOKUP('Total income package'!$B$3,'Location specific data'!$A$3:$AO$135,33,FALSE))*$C$2)*20</f>
        <v>1400</v>
      </c>
      <c r="K77" s="6">
        <f>IF(B77&gt;$N$2,0,VLOOKUP('Total income package'!$B$3,'Location specific data'!$A$3:$AO$135,34,FALSE))*$D$2*20</f>
        <v>0</v>
      </c>
      <c r="L77" s="6">
        <f>IF(B77&gt;$N$2,0,VLOOKUP('Total income package'!$B$3,'Location specific data'!$A$3:$AO$135,35,FALSE))*$E$2*20</f>
        <v>0</v>
      </c>
      <c r="M77" s="6">
        <f>IF(B77&gt;$N$2,0,VLOOKUP('Total income package'!$B$3,'Location specific data'!$A$3:$AO$135,36,FALSE))*$F$2*20</f>
        <v>0</v>
      </c>
      <c r="N77" s="6">
        <f>IF(B77&gt;$N$2,0,VLOOKUP('Total income package'!$B$3,'Location specific data'!$A$3:$AO$135,37,FALSE))*($G$2+$H$2)*20</f>
        <v>600</v>
      </c>
      <c r="O77" s="6">
        <f t="shared" si="14"/>
        <v>20</v>
      </c>
      <c r="P77" s="312">
        <f t="shared" si="15"/>
        <v>150</v>
      </c>
      <c r="Q77" s="312">
        <f t="shared" si="16"/>
        <v>30</v>
      </c>
      <c r="R77" s="312">
        <f t="shared" si="20"/>
        <v>20</v>
      </c>
      <c r="S77" s="160">
        <f>IF(AND('Total income package'!$A$8=TRUE,OR(F77="Yes",G77="Yes",H77="Yes")),SUM(J77:N77)-R77,0)</f>
        <v>1980</v>
      </c>
    </row>
    <row r="78" spans="1:19" s="5" customFormat="1" x14ac:dyDescent="0.3">
      <c r="A78" s="6">
        <v>36500</v>
      </c>
      <c r="B78" s="7">
        <f t="shared" si="17"/>
        <v>3041.6666666666665</v>
      </c>
      <c r="C78" s="7">
        <f>'Total income package'!$D$80</f>
        <v>0</v>
      </c>
      <c r="D78" s="7">
        <f t="shared" si="18"/>
        <v>3041.6666666666665</v>
      </c>
      <c r="E78" s="65">
        <f t="shared" si="19"/>
        <v>0.94364012409513953</v>
      </c>
      <c r="F78" s="65" t="str">
        <f t="shared" si="11"/>
        <v>Yes</v>
      </c>
      <c r="G78" s="65" t="str">
        <f t="shared" si="12"/>
        <v>Yes</v>
      </c>
      <c r="H78" s="301" t="str">
        <f>IF(OR('TANF-VIEW'!L82&gt;0,'TANF-VIEW'!T82&gt;0),"Yes","No")</f>
        <v>No</v>
      </c>
      <c r="I78" s="63">
        <f t="shared" si="13"/>
        <v>10</v>
      </c>
      <c r="J78" s="6">
        <f>(IF(B78&gt;$N$2,0,VLOOKUP('Total income package'!$B$3,'Location specific data'!$A$3:$AO$135,33,FALSE))*$C$2)*20</f>
        <v>1400</v>
      </c>
      <c r="K78" s="6">
        <f>IF(B78&gt;$N$2,0,VLOOKUP('Total income package'!$B$3,'Location specific data'!$A$3:$AO$135,34,FALSE))*$D$2*20</f>
        <v>0</v>
      </c>
      <c r="L78" s="6">
        <f>IF(B78&gt;$N$2,0,VLOOKUP('Total income package'!$B$3,'Location specific data'!$A$3:$AO$135,35,FALSE))*$E$2*20</f>
        <v>0</v>
      </c>
      <c r="M78" s="6">
        <f>IF(B78&gt;$N$2,0,VLOOKUP('Total income package'!$B$3,'Location specific data'!$A$3:$AO$135,36,FALSE))*$F$2*20</f>
        <v>0</v>
      </c>
      <c r="N78" s="6">
        <f>IF(B78&gt;$N$2,0,VLOOKUP('Total income package'!$B$3,'Location specific data'!$A$3:$AO$135,37,FALSE))*($G$2+$H$2)*20</f>
        <v>600</v>
      </c>
      <c r="O78" s="6">
        <f t="shared" si="14"/>
        <v>20</v>
      </c>
      <c r="P78" s="312">
        <f t="shared" si="15"/>
        <v>152.08333333333334</v>
      </c>
      <c r="Q78" s="312">
        <f t="shared" si="16"/>
        <v>30</v>
      </c>
      <c r="R78" s="312">
        <f t="shared" si="20"/>
        <v>20</v>
      </c>
      <c r="S78" s="160">
        <f>IF(AND('Total income package'!$A$8=TRUE,OR(F78="Yes",G78="Yes",H78="Yes")),SUM(J78:N78)-R78,0)</f>
        <v>1980</v>
      </c>
    </row>
    <row r="79" spans="1:19" s="5" customFormat="1" x14ac:dyDescent="0.3">
      <c r="A79" s="6">
        <v>37000</v>
      </c>
      <c r="B79" s="7">
        <f t="shared" si="17"/>
        <v>3083.3333333333335</v>
      </c>
      <c r="C79" s="7">
        <f>'Total income package'!$D$80</f>
        <v>0</v>
      </c>
      <c r="D79" s="7">
        <f t="shared" si="18"/>
        <v>3083.3333333333335</v>
      </c>
      <c r="E79" s="65">
        <f t="shared" si="19"/>
        <v>0.95656670113753883</v>
      </c>
      <c r="F79" s="65" t="str">
        <f t="shared" si="11"/>
        <v>Yes</v>
      </c>
      <c r="G79" s="65" t="str">
        <f t="shared" si="12"/>
        <v>Yes</v>
      </c>
      <c r="H79" s="301" t="str">
        <f>IF(OR('TANF-VIEW'!L83&gt;0,'TANF-VIEW'!T83&gt;0),"Yes","No")</f>
        <v>No</v>
      </c>
      <c r="I79" s="63">
        <f t="shared" si="13"/>
        <v>10</v>
      </c>
      <c r="J79" s="6">
        <f>(IF(B79&gt;$N$2,0,VLOOKUP('Total income package'!$B$3,'Location specific data'!$A$3:$AO$135,33,FALSE))*$C$2)*20</f>
        <v>1400</v>
      </c>
      <c r="K79" s="6">
        <f>IF(B79&gt;$N$2,0,VLOOKUP('Total income package'!$B$3,'Location specific data'!$A$3:$AO$135,34,FALSE))*$D$2*20</f>
        <v>0</v>
      </c>
      <c r="L79" s="6">
        <f>IF(B79&gt;$N$2,0,VLOOKUP('Total income package'!$B$3,'Location specific data'!$A$3:$AO$135,35,FALSE))*$E$2*20</f>
        <v>0</v>
      </c>
      <c r="M79" s="6">
        <f>IF(B79&gt;$N$2,0,VLOOKUP('Total income package'!$B$3,'Location specific data'!$A$3:$AO$135,36,FALSE))*$F$2*20</f>
        <v>0</v>
      </c>
      <c r="N79" s="6">
        <f>IF(B79&gt;$N$2,0,VLOOKUP('Total income package'!$B$3,'Location specific data'!$A$3:$AO$135,37,FALSE))*($G$2+$H$2)*20</f>
        <v>600</v>
      </c>
      <c r="O79" s="6">
        <f t="shared" si="14"/>
        <v>20</v>
      </c>
      <c r="P79" s="312">
        <f t="shared" si="15"/>
        <v>154.16666666666669</v>
      </c>
      <c r="Q79" s="312">
        <f t="shared" si="16"/>
        <v>30</v>
      </c>
      <c r="R79" s="312">
        <f t="shared" si="20"/>
        <v>20</v>
      </c>
      <c r="S79" s="160">
        <f>IF(AND('Total income package'!$A$8=TRUE,OR(F79="Yes",G79="Yes",H79="Yes")),SUM(J79:N79)-R79,0)</f>
        <v>1980</v>
      </c>
    </row>
    <row r="80" spans="1:19" s="5" customFormat="1" x14ac:dyDescent="0.3">
      <c r="A80" s="6">
        <v>37500</v>
      </c>
      <c r="B80" s="7">
        <f t="shared" si="17"/>
        <v>3125</v>
      </c>
      <c r="C80" s="7">
        <f>'Total income package'!$D$80</f>
        <v>0</v>
      </c>
      <c r="D80" s="7">
        <f t="shared" si="18"/>
        <v>3125</v>
      </c>
      <c r="E80" s="65">
        <f t="shared" si="19"/>
        <v>0.96949327817993791</v>
      </c>
      <c r="F80" s="65" t="str">
        <f t="shared" si="11"/>
        <v>Yes</v>
      </c>
      <c r="G80" s="65" t="str">
        <f t="shared" si="12"/>
        <v>Yes</v>
      </c>
      <c r="H80" s="301" t="str">
        <f>IF(OR('TANF-VIEW'!L84&gt;0,'TANF-VIEW'!T84&gt;0),"Yes","No")</f>
        <v>No</v>
      </c>
      <c r="I80" s="63">
        <f t="shared" si="13"/>
        <v>10</v>
      </c>
      <c r="J80" s="6">
        <f>(IF(B80&gt;$N$2,0,VLOOKUP('Total income package'!$B$3,'Location specific data'!$A$3:$AO$135,33,FALSE))*$C$2)*20</f>
        <v>1400</v>
      </c>
      <c r="K80" s="6">
        <f>IF(B80&gt;$N$2,0,VLOOKUP('Total income package'!$B$3,'Location specific data'!$A$3:$AO$135,34,FALSE))*$D$2*20</f>
        <v>0</v>
      </c>
      <c r="L80" s="6">
        <f>IF(B80&gt;$N$2,0,VLOOKUP('Total income package'!$B$3,'Location specific data'!$A$3:$AO$135,35,FALSE))*$E$2*20</f>
        <v>0</v>
      </c>
      <c r="M80" s="6">
        <f>IF(B80&gt;$N$2,0,VLOOKUP('Total income package'!$B$3,'Location specific data'!$A$3:$AO$135,36,FALSE))*$F$2*20</f>
        <v>0</v>
      </c>
      <c r="N80" s="6">
        <f>IF(B80&gt;$N$2,0,VLOOKUP('Total income package'!$B$3,'Location specific data'!$A$3:$AO$135,37,FALSE))*($G$2+$H$2)*20</f>
        <v>600</v>
      </c>
      <c r="O80" s="6">
        <f t="shared" si="14"/>
        <v>20</v>
      </c>
      <c r="P80" s="312">
        <f t="shared" si="15"/>
        <v>156.25</v>
      </c>
      <c r="Q80" s="312">
        <f t="shared" si="16"/>
        <v>30</v>
      </c>
      <c r="R80" s="312">
        <f t="shared" si="20"/>
        <v>20</v>
      </c>
      <c r="S80" s="160">
        <f>IF(AND('Total income package'!$A$8=TRUE,OR(F80="Yes",G80="Yes",H80="Yes")),SUM(J80:N80)-R80,0)</f>
        <v>1980</v>
      </c>
    </row>
    <row r="81" spans="1:19" s="5" customFormat="1" x14ac:dyDescent="0.3">
      <c r="A81" s="6">
        <v>38000</v>
      </c>
      <c r="B81" s="7">
        <f t="shared" si="17"/>
        <v>3166.6666666666665</v>
      </c>
      <c r="C81" s="7">
        <f>'Total income package'!$D$80</f>
        <v>0</v>
      </c>
      <c r="D81" s="7">
        <f t="shared" si="18"/>
        <v>3166.6666666666665</v>
      </c>
      <c r="E81" s="65">
        <f t="shared" si="19"/>
        <v>0.98241985522233699</v>
      </c>
      <c r="F81" s="65" t="str">
        <f t="shared" si="11"/>
        <v>Yes</v>
      </c>
      <c r="G81" s="65" t="str">
        <f t="shared" si="12"/>
        <v>Yes</v>
      </c>
      <c r="H81" s="301" t="str">
        <f>IF(OR('TANF-VIEW'!L85&gt;0,'TANF-VIEW'!T85&gt;0),"Yes","No")</f>
        <v>No</v>
      </c>
      <c r="I81" s="63">
        <f t="shared" si="13"/>
        <v>10</v>
      </c>
      <c r="J81" s="6">
        <f>(IF(B81&gt;$N$2,0,VLOOKUP('Total income package'!$B$3,'Location specific data'!$A$3:$AO$135,33,FALSE))*$C$2)*20</f>
        <v>1400</v>
      </c>
      <c r="K81" s="6">
        <f>IF(B81&gt;$N$2,0,VLOOKUP('Total income package'!$B$3,'Location specific data'!$A$3:$AO$135,34,FALSE))*$D$2*20</f>
        <v>0</v>
      </c>
      <c r="L81" s="6">
        <f>IF(B81&gt;$N$2,0,VLOOKUP('Total income package'!$B$3,'Location specific data'!$A$3:$AO$135,35,FALSE))*$E$2*20</f>
        <v>0</v>
      </c>
      <c r="M81" s="6">
        <f>IF(B81&gt;$N$2,0,VLOOKUP('Total income package'!$B$3,'Location specific data'!$A$3:$AO$135,36,FALSE))*$F$2*20</f>
        <v>0</v>
      </c>
      <c r="N81" s="6">
        <f>IF(B81&gt;$N$2,0,VLOOKUP('Total income package'!$B$3,'Location specific data'!$A$3:$AO$135,37,FALSE))*($G$2+$H$2)*20</f>
        <v>600</v>
      </c>
      <c r="O81" s="6">
        <f t="shared" si="14"/>
        <v>20</v>
      </c>
      <c r="P81" s="312">
        <f t="shared" si="15"/>
        <v>158.33333333333334</v>
      </c>
      <c r="Q81" s="312">
        <f t="shared" si="16"/>
        <v>30</v>
      </c>
      <c r="R81" s="312">
        <f t="shared" si="20"/>
        <v>20</v>
      </c>
      <c r="S81" s="160">
        <f>IF(AND('Total income package'!$A$8=TRUE,OR(F81="Yes",G81="Yes",H81="Yes")),SUM(J81:N81)-R81,0)</f>
        <v>1980</v>
      </c>
    </row>
    <row r="82" spans="1:19" s="5" customFormat="1" x14ac:dyDescent="0.3">
      <c r="A82" s="6">
        <v>38500</v>
      </c>
      <c r="B82" s="7">
        <f t="shared" si="17"/>
        <v>3208.3333333333335</v>
      </c>
      <c r="C82" s="7">
        <f>'Total income package'!$D$80</f>
        <v>0</v>
      </c>
      <c r="D82" s="7">
        <f t="shared" si="18"/>
        <v>3208.3333333333335</v>
      </c>
      <c r="E82" s="65">
        <f t="shared" si="19"/>
        <v>0.99534643226473629</v>
      </c>
      <c r="F82" s="65" t="str">
        <f t="shared" si="11"/>
        <v>Yes</v>
      </c>
      <c r="G82" s="65" t="str">
        <f t="shared" si="12"/>
        <v>Yes</v>
      </c>
      <c r="H82" s="301" t="str">
        <f>IF(OR('TANF-VIEW'!L86&gt;0,'TANF-VIEW'!T86&gt;0),"Yes","No")</f>
        <v>No</v>
      </c>
      <c r="I82" s="63">
        <f t="shared" si="13"/>
        <v>10</v>
      </c>
      <c r="J82" s="6">
        <f>(IF(B82&gt;$N$2,0,VLOOKUP('Total income package'!$B$3,'Location specific data'!$A$3:$AO$135,33,FALSE))*$C$2)*20</f>
        <v>1400</v>
      </c>
      <c r="K82" s="6">
        <f>IF(B82&gt;$N$2,0,VLOOKUP('Total income package'!$B$3,'Location specific data'!$A$3:$AO$135,34,FALSE))*$D$2*20</f>
        <v>0</v>
      </c>
      <c r="L82" s="6">
        <f>IF(B82&gt;$N$2,0,VLOOKUP('Total income package'!$B$3,'Location specific data'!$A$3:$AO$135,35,FALSE))*$E$2*20</f>
        <v>0</v>
      </c>
      <c r="M82" s="6">
        <f>IF(B82&gt;$N$2,0,VLOOKUP('Total income package'!$B$3,'Location specific data'!$A$3:$AO$135,36,FALSE))*$F$2*20</f>
        <v>0</v>
      </c>
      <c r="N82" s="6">
        <f>IF(B82&gt;$N$2,0,VLOOKUP('Total income package'!$B$3,'Location specific data'!$A$3:$AO$135,37,FALSE))*($G$2+$H$2)*20</f>
        <v>600</v>
      </c>
      <c r="O82" s="6">
        <f t="shared" si="14"/>
        <v>20</v>
      </c>
      <c r="P82" s="312">
        <f t="shared" si="15"/>
        <v>160.41666666666669</v>
      </c>
      <c r="Q82" s="312">
        <f t="shared" si="16"/>
        <v>30</v>
      </c>
      <c r="R82" s="312">
        <f t="shared" si="20"/>
        <v>20</v>
      </c>
      <c r="S82" s="160">
        <f>IF(AND('Total income package'!$A$8=TRUE,OR(F82="Yes",G82="Yes",H82="Yes")),SUM(J82:N82)-R82,0)</f>
        <v>1980</v>
      </c>
    </row>
    <row r="83" spans="1:19" s="5" customFormat="1" x14ac:dyDescent="0.3">
      <c r="A83" s="6">
        <v>39000</v>
      </c>
      <c r="B83" s="7">
        <f t="shared" si="17"/>
        <v>3250</v>
      </c>
      <c r="C83" s="7">
        <f>'Total income package'!$D$80</f>
        <v>0</v>
      </c>
      <c r="D83" s="7">
        <f t="shared" si="18"/>
        <v>3250</v>
      </c>
      <c r="E83" s="65">
        <f t="shared" si="19"/>
        <v>1.0082730093071355</v>
      </c>
      <c r="F83" s="65" t="str">
        <f t="shared" si="11"/>
        <v>Yes</v>
      </c>
      <c r="G83" s="65" t="str">
        <f t="shared" si="12"/>
        <v>Yes</v>
      </c>
      <c r="H83" s="301" t="str">
        <f>IF(OR('TANF-VIEW'!L87&gt;0,'TANF-VIEW'!T87&gt;0),"Yes","No")</f>
        <v>No</v>
      </c>
      <c r="I83" s="63">
        <f t="shared" si="13"/>
        <v>250</v>
      </c>
      <c r="J83" s="6">
        <f>(IF(B83&gt;$N$2,0,VLOOKUP('Total income package'!$B$3,'Location specific data'!$A$3:$AO$135,33,FALSE))*$C$2)*20</f>
        <v>1400</v>
      </c>
      <c r="K83" s="6">
        <f>IF(B83&gt;$N$2,0,VLOOKUP('Total income package'!$B$3,'Location specific data'!$A$3:$AO$135,34,FALSE))*$D$2*20</f>
        <v>0</v>
      </c>
      <c r="L83" s="6">
        <f>IF(B83&gt;$N$2,0,VLOOKUP('Total income package'!$B$3,'Location specific data'!$A$3:$AO$135,35,FALSE))*$E$2*20</f>
        <v>0</v>
      </c>
      <c r="M83" s="6">
        <f>IF(B83&gt;$N$2,0,VLOOKUP('Total income package'!$B$3,'Location specific data'!$A$3:$AO$135,36,FALSE))*$F$2*20</f>
        <v>0</v>
      </c>
      <c r="N83" s="6">
        <f>IF(B83&gt;$N$2,0,VLOOKUP('Total income package'!$B$3,'Location specific data'!$A$3:$AO$135,37,FALSE))*($G$2+$H$2)*20</f>
        <v>600</v>
      </c>
      <c r="O83" s="6">
        <f t="shared" si="14"/>
        <v>500</v>
      </c>
      <c r="P83" s="312">
        <f t="shared" si="15"/>
        <v>162.5</v>
      </c>
      <c r="Q83" s="312">
        <f t="shared" si="16"/>
        <v>750</v>
      </c>
      <c r="R83" s="312">
        <f t="shared" si="20"/>
        <v>162.5</v>
      </c>
      <c r="S83" s="160">
        <f>IF(AND('Total income package'!$A$8=TRUE,OR(F83="Yes",G83="Yes",H83="Yes")),SUM(J83:N83)-R83,0)</f>
        <v>1837.5</v>
      </c>
    </row>
    <row r="84" spans="1:19" s="5" customFormat="1" x14ac:dyDescent="0.3">
      <c r="A84" s="6">
        <v>39500</v>
      </c>
      <c r="B84" s="7">
        <f t="shared" si="17"/>
        <v>3291.6666666666665</v>
      </c>
      <c r="C84" s="7">
        <f>'Total income package'!$D$80</f>
        <v>0</v>
      </c>
      <c r="D84" s="7">
        <f t="shared" si="18"/>
        <v>3291.6666666666665</v>
      </c>
      <c r="E84" s="65">
        <f t="shared" si="19"/>
        <v>1.0211995863495344</v>
      </c>
      <c r="F84" s="65" t="str">
        <f t="shared" si="11"/>
        <v>Yes</v>
      </c>
      <c r="G84" s="65" t="str">
        <f t="shared" si="12"/>
        <v>Yes</v>
      </c>
      <c r="H84" s="301" t="str">
        <f>IF(OR('TANF-VIEW'!L88&gt;0,'TANF-VIEW'!T88&gt;0),"Yes","No")</f>
        <v>No</v>
      </c>
      <c r="I84" s="63">
        <f t="shared" si="13"/>
        <v>250</v>
      </c>
      <c r="J84" s="6">
        <f>(IF(B84&gt;$N$2,0,VLOOKUP('Total income package'!$B$3,'Location specific data'!$A$3:$AO$135,33,FALSE))*$C$2)*20</f>
        <v>1400</v>
      </c>
      <c r="K84" s="6">
        <f>IF(B84&gt;$N$2,0,VLOOKUP('Total income package'!$B$3,'Location specific data'!$A$3:$AO$135,34,FALSE))*$D$2*20</f>
        <v>0</v>
      </c>
      <c r="L84" s="6">
        <f>IF(B84&gt;$N$2,0,VLOOKUP('Total income package'!$B$3,'Location specific data'!$A$3:$AO$135,35,FALSE))*$E$2*20</f>
        <v>0</v>
      </c>
      <c r="M84" s="6">
        <f>IF(B84&gt;$N$2,0,VLOOKUP('Total income package'!$B$3,'Location specific data'!$A$3:$AO$135,36,FALSE))*$F$2*20</f>
        <v>0</v>
      </c>
      <c r="N84" s="6">
        <f>IF(B84&gt;$N$2,0,VLOOKUP('Total income package'!$B$3,'Location specific data'!$A$3:$AO$135,37,FALSE))*($G$2+$H$2)*20</f>
        <v>600</v>
      </c>
      <c r="O84" s="6">
        <f t="shared" si="14"/>
        <v>500</v>
      </c>
      <c r="P84" s="312">
        <f t="shared" si="15"/>
        <v>164.58333333333334</v>
      </c>
      <c r="Q84" s="312">
        <f t="shared" si="16"/>
        <v>750</v>
      </c>
      <c r="R84" s="312">
        <f t="shared" si="20"/>
        <v>164.58333333333334</v>
      </c>
      <c r="S84" s="160">
        <f>IF(AND('Total income package'!$A$8=TRUE,OR(F84="Yes",G84="Yes",H84="Yes")),SUM(J84:N84)-R84,0)</f>
        <v>1835.4166666666667</v>
      </c>
    </row>
    <row r="85" spans="1:19" s="5" customFormat="1" x14ac:dyDescent="0.3">
      <c r="A85" s="6">
        <v>40000</v>
      </c>
      <c r="B85" s="7">
        <f>A85/12</f>
        <v>3333.3333333333335</v>
      </c>
      <c r="C85" s="7">
        <f>'Total income package'!$D$80</f>
        <v>0</v>
      </c>
      <c r="D85" s="7">
        <f t="shared" si="18"/>
        <v>3333.3333333333335</v>
      </c>
      <c r="E85" s="65">
        <f t="shared" si="19"/>
        <v>1.0341261633919339</v>
      </c>
      <c r="F85" s="65" t="str">
        <f t="shared" si="11"/>
        <v>Yes</v>
      </c>
      <c r="G85" s="65" t="str">
        <f t="shared" si="12"/>
        <v>Yes</v>
      </c>
      <c r="H85" s="301" t="str">
        <f>IF(OR('TANF-VIEW'!L89&gt;0,'TANF-VIEW'!T89&gt;0),"Yes","No")</f>
        <v>No</v>
      </c>
      <c r="I85" s="63">
        <f t="shared" si="13"/>
        <v>250</v>
      </c>
      <c r="J85" s="6">
        <f>(IF(B85&gt;$N$2,0,VLOOKUP('Total income package'!$B$3,'Location specific data'!$A$3:$AO$135,33,FALSE))*$C$2)*20</f>
        <v>1400</v>
      </c>
      <c r="K85" s="6">
        <f>IF(B85&gt;$N$2,0,VLOOKUP('Total income package'!$B$3,'Location specific data'!$A$3:$AO$135,34,FALSE))*$D$2*20</f>
        <v>0</v>
      </c>
      <c r="L85" s="6">
        <f>IF(B85&gt;$N$2,0,VLOOKUP('Total income package'!$B$3,'Location specific data'!$A$3:$AO$135,35,FALSE))*$E$2*20</f>
        <v>0</v>
      </c>
      <c r="M85" s="6">
        <f>IF(B85&gt;$N$2,0,VLOOKUP('Total income package'!$B$3,'Location specific data'!$A$3:$AO$135,36,FALSE))*$F$2*20</f>
        <v>0</v>
      </c>
      <c r="N85" s="6">
        <f>IF(B85&gt;$N$2,0,VLOOKUP('Total income package'!$B$3,'Location specific data'!$A$3:$AO$135,37,FALSE))*($G$2+$H$2)*20</f>
        <v>600</v>
      </c>
      <c r="O85" s="6">
        <f t="shared" si="14"/>
        <v>500</v>
      </c>
      <c r="P85" s="312">
        <f t="shared" si="15"/>
        <v>166.66666666666669</v>
      </c>
      <c r="Q85" s="312">
        <f t="shared" si="16"/>
        <v>750</v>
      </c>
      <c r="R85" s="312">
        <f t="shared" si="20"/>
        <v>166.66666666666669</v>
      </c>
      <c r="S85" s="160">
        <f>IF(AND('Total income package'!$A$8=TRUE,OR(F85="Yes",G85="Yes",H85="Yes")),SUM(J85:N85)-R85,0)</f>
        <v>1833.3333333333333</v>
      </c>
    </row>
    <row r="86" spans="1:19" s="5" customFormat="1" x14ac:dyDescent="0.3">
      <c r="A86" s="6">
        <v>40500</v>
      </c>
      <c r="B86" s="7">
        <f t="shared" si="17"/>
        <v>3375</v>
      </c>
      <c r="C86" s="7">
        <f>'Total income package'!$D$80</f>
        <v>0</v>
      </c>
      <c r="D86" s="7">
        <f t="shared" si="18"/>
        <v>3375</v>
      </c>
      <c r="E86" s="65">
        <f t="shared" si="19"/>
        <v>1.0470527404343328</v>
      </c>
      <c r="F86" s="65" t="str">
        <f t="shared" si="11"/>
        <v>Yes</v>
      </c>
      <c r="G86" s="65" t="str">
        <f t="shared" si="12"/>
        <v>Yes</v>
      </c>
      <c r="H86" s="301" t="str">
        <f>IF(OR('TANF-VIEW'!L90&gt;0,'TANF-VIEW'!T90&gt;0),"Yes","No")</f>
        <v>No</v>
      </c>
      <c r="I86" s="63">
        <f t="shared" si="13"/>
        <v>250</v>
      </c>
      <c r="J86" s="6">
        <f>(IF(B86&gt;$N$2,0,VLOOKUP('Total income package'!$B$3,'Location specific data'!$A$3:$AO$135,33,FALSE))*$C$2)*20</f>
        <v>1400</v>
      </c>
      <c r="K86" s="6">
        <f>IF(B86&gt;$N$2,0,VLOOKUP('Total income package'!$B$3,'Location specific data'!$A$3:$AO$135,34,FALSE))*$D$2*20</f>
        <v>0</v>
      </c>
      <c r="L86" s="6">
        <f>IF(B86&gt;$N$2,0,VLOOKUP('Total income package'!$B$3,'Location specific data'!$A$3:$AO$135,35,FALSE))*$E$2*20</f>
        <v>0</v>
      </c>
      <c r="M86" s="6">
        <f>IF(B86&gt;$N$2,0,VLOOKUP('Total income package'!$B$3,'Location specific data'!$A$3:$AO$135,36,FALSE))*$F$2*20</f>
        <v>0</v>
      </c>
      <c r="N86" s="6">
        <f>IF(B86&gt;$N$2,0,VLOOKUP('Total income package'!$B$3,'Location specific data'!$A$3:$AO$135,37,FALSE))*($G$2+$H$2)*20</f>
        <v>600</v>
      </c>
      <c r="O86" s="6">
        <f t="shared" si="14"/>
        <v>500</v>
      </c>
      <c r="P86" s="312">
        <f t="shared" si="15"/>
        <v>168.75</v>
      </c>
      <c r="Q86" s="312">
        <f t="shared" si="16"/>
        <v>750</v>
      </c>
      <c r="R86" s="312">
        <f t="shared" si="20"/>
        <v>168.75</v>
      </c>
      <c r="S86" s="160">
        <f>IF(AND('Total income package'!$A$8=TRUE,OR(F86="Yes",G86="Yes",H86="Yes")),SUM(J86:N86)-R86,0)</f>
        <v>1831.25</v>
      </c>
    </row>
    <row r="87" spans="1:19" s="5" customFormat="1" x14ac:dyDescent="0.3">
      <c r="A87" s="6">
        <v>41000</v>
      </c>
      <c r="B87" s="7">
        <f t="shared" si="17"/>
        <v>3416.6666666666665</v>
      </c>
      <c r="C87" s="7">
        <f>'Total income package'!$D$80</f>
        <v>0</v>
      </c>
      <c r="D87" s="7">
        <f t="shared" si="18"/>
        <v>3416.6666666666665</v>
      </c>
      <c r="E87" s="65">
        <f t="shared" si="19"/>
        <v>1.059979317476732</v>
      </c>
      <c r="F87" s="65" t="str">
        <f t="shared" si="11"/>
        <v>Yes</v>
      </c>
      <c r="G87" s="65" t="str">
        <f t="shared" si="12"/>
        <v>Yes</v>
      </c>
      <c r="H87" s="301" t="str">
        <f>IF(OR('TANF-VIEW'!L91&gt;0,'TANF-VIEW'!T91&gt;0),"Yes","No")</f>
        <v>No</v>
      </c>
      <c r="I87" s="63">
        <f t="shared" si="13"/>
        <v>250</v>
      </c>
      <c r="J87" s="6">
        <f>(IF(B87&gt;$N$2,0,VLOOKUP('Total income package'!$B$3,'Location specific data'!$A$3:$AO$135,33,FALSE))*$C$2)*20</f>
        <v>1400</v>
      </c>
      <c r="K87" s="6">
        <f>IF(B87&gt;$N$2,0,VLOOKUP('Total income package'!$B$3,'Location specific data'!$A$3:$AO$135,34,FALSE))*$D$2*20</f>
        <v>0</v>
      </c>
      <c r="L87" s="6">
        <f>IF(B87&gt;$N$2,0,VLOOKUP('Total income package'!$B$3,'Location specific data'!$A$3:$AO$135,35,FALSE))*$E$2*20</f>
        <v>0</v>
      </c>
      <c r="M87" s="6">
        <f>IF(B87&gt;$N$2,0,VLOOKUP('Total income package'!$B$3,'Location specific data'!$A$3:$AO$135,36,FALSE))*$F$2*20</f>
        <v>0</v>
      </c>
      <c r="N87" s="6">
        <f>IF(B87&gt;$N$2,0,VLOOKUP('Total income package'!$B$3,'Location specific data'!$A$3:$AO$135,37,FALSE))*($G$2+$H$2)*20</f>
        <v>600</v>
      </c>
      <c r="O87" s="6">
        <f t="shared" si="14"/>
        <v>500</v>
      </c>
      <c r="P87" s="312">
        <f t="shared" si="15"/>
        <v>170.83333333333334</v>
      </c>
      <c r="Q87" s="312">
        <f t="shared" si="16"/>
        <v>750</v>
      </c>
      <c r="R87" s="312">
        <f t="shared" si="20"/>
        <v>170.83333333333334</v>
      </c>
      <c r="S87" s="160">
        <f>IF(AND('Total income package'!$A$8=TRUE,OR(F87="Yes",G87="Yes",H87="Yes")),SUM(J87:N87)-R87,0)</f>
        <v>1829.1666666666667</v>
      </c>
    </row>
    <row r="88" spans="1:19" s="5" customFormat="1" x14ac:dyDescent="0.3">
      <c r="A88" s="6">
        <v>41500</v>
      </c>
      <c r="B88" s="7">
        <f t="shared" si="17"/>
        <v>3458.3333333333335</v>
      </c>
      <c r="C88" s="7">
        <f>'Total income package'!$D$80</f>
        <v>0</v>
      </c>
      <c r="D88" s="7">
        <f t="shared" si="18"/>
        <v>3458.3333333333335</v>
      </c>
      <c r="E88" s="65">
        <f t="shared" si="19"/>
        <v>1.0729058945191314</v>
      </c>
      <c r="F88" s="65" t="str">
        <f t="shared" si="11"/>
        <v>Yes</v>
      </c>
      <c r="G88" s="65" t="str">
        <f t="shared" si="12"/>
        <v>Yes</v>
      </c>
      <c r="H88" s="301" t="str">
        <f>IF(OR('TANF-VIEW'!L92&gt;0,'TANF-VIEW'!T92&gt;0),"Yes","No")</f>
        <v>No</v>
      </c>
      <c r="I88" s="63">
        <f t="shared" si="13"/>
        <v>250</v>
      </c>
      <c r="J88" s="6">
        <f>(IF(B88&gt;$N$2,0,VLOOKUP('Total income package'!$B$3,'Location specific data'!$A$3:$AO$135,33,FALSE))*$C$2)*20</f>
        <v>1400</v>
      </c>
      <c r="K88" s="6">
        <f>IF(B88&gt;$N$2,0,VLOOKUP('Total income package'!$B$3,'Location specific data'!$A$3:$AO$135,34,FALSE))*$D$2*20</f>
        <v>0</v>
      </c>
      <c r="L88" s="6">
        <f>IF(B88&gt;$N$2,0,VLOOKUP('Total income package'!$B$3,'Location specific data'!$A$3:$AO$135,35,FALSE))*$E$2*20</f>
        <v>0</v>
      </c>
      <c r="M88" s="6">
        <f>IF(B88&gt;$N$2,0,VLOOKUP('Total income package'!$B$3,'Location specific data'!$A$3:$AO$135,36,FALSE))*$F$2*20</f>
        <v>0</v>
      </c>
      <c r="N88" s="6">
        <f>IF(B88&gt;$N$2,0,VLOOKUP('Total income package'!$B$3,'Location specific data'!$A$3:$AO$135,37,FALSE))*($G$2+$H$2)*20</f>
        <v>600</v>
      </c>
      <c r="O88" s="6">
        <f t="shared" si="14"/>
        <v>500</v>
      </c>
      <c r="P88" s="312">
        <f t="shared" si="15"/>
        <v>172.91666666666669</v>
      </c>
      <c r="Q88" s="312">
        <f t="shared" si="16"/>
        <v>750</v>
      </c>
      <c r="R88" s="312">
        <f t="shared" si="20"/>
        <v>172.91666666666669</v>
      </c>
      <c r="S88" s="160">
        <f>IF(AND('Total income package'!$A$8=TRUE,OR(F88="Yes",G88="Yes",H88="Yes")),SUM(J88:N88)-R88,0)</f>
        <v>1827.0833333333333</v>
      </c>
    </row>
    <row r="89" spans="1:19" s="5" customFormat="1" x14ac:dyDescent="0.3">
      <c r="A89" s="6">
        <v>42000</v>
      </c>
      <c r="B89" s="7">
        <f t="shared" si="17"/>
        <v>3500</v>
      </c>
      <c r="C89" s="7">
        <f>'Total income package'!$D$80</f>
        <v>0</v>
      </c>
      <c r="D89" s="7">
        <f t="shared" si="18"/>
        <v>3500</v>
      </c>
      <c r="E89" s="65">
        <f t="shared" si="19"/>
        <v>1.0858324715615304</v>
      </c>
      <c r="F89" s="65" t="str">
        <f t="shared" si="11"/>
        <v>Yes</v>
      </c>
      <c r="G89" s="65" t="str">
        <f t="shared" si="12"/>
        <v>Yes</v>
      </c>
      <c r="H89" s="301" t="str">
        <f>IF(OR('TANF-VIEW'!L93&gt;0,'TANF-VIEW'!T93&gt;0),"Yes","No")</f>
        <v>No</v>
      </c>
      <c r="I89" s="63">
        <f t="shared" si="13"/>
        <v>250</v>
      </c>
      <c r="J89" s="6">
        <f>(IF(B89&gt;$N$2,0,VLOOKUP('Total income package'!$B$3,'Location specific data'!$A$3:$AO$135,33,FALSE))*$C$2)*20</f>
        <v>1400</v>
      </c>
      <c r="K89" s="6">
        <f>IF(B89&gt;$N$2,0,VLOOKUP('Total income package'!$B$3,'Location specific data'!$A$3:$AO$135,34,FALSE))*$D$2*20</f>
        <v>0</v>
      </c>
      <c r="L89" s="6">
        <f>IF(B89&gt;$N$2,0,VLOOKUP('Total income package'!$B$3,'Location specific data'!$A$3:$AO$135,35,FALSE))*$E$2*20</f>
        <v>0</v>
      </c>
      <c r="M89" s="6">
        <f>IF(B89&gt;$N$2,0,VLOOKUP('Total income package'!$B$3,'Location specific data'!$A$3:$AO$135,36,FALSE))*$F$2*20</f>
        <v>0</v>
      </c>
      <c r="N89" s="6">
        <f>IF(B89&gt;$N$2,0,VLOOKUP('Total income package'!$B$3,'Location specific data'!$A$3:$AO$135,37,FALSE))*($G$2+$H$2)*20</f>
        <v>600</v>
      </c>
      <c r="O89" s="6">
        <f t="shared" si="14"/>
        <v>500</v>
      </c>
      <c r="P89" s="312">
        <f t="shared" si="15"/>
        <v>175</v>
      </c>
      <c r="Q89" s="312">
        <f t="shared" si="16"/>
        <v>750</v>
      </c>
      <c r="R89" s="312">
        <f t="shared" si="20"/>
        <v>175</v>
      </c>
      <c r="S89" s="160">
        <f>IF(AND('Total income package'!$A$8=TRUE,OR(F89="Yes",G89="Yes",H89="Yes")),SUM(J89:N89)-R89,0)</f>
        <v>1825</v>
      </c>
    </row>
    <row r="90" spans="1:19" s="5" customFormat="1" x14ac:dyDescent="0.3">
      <c r="A90" s="6">
        <v>42500</v>
      </c>
      <c r="B90" s="7">
        <f t="shared" si="17"/>
        <v>3541.6666666666665</v>
      </c>
      <c r="C90" s="7">
        <f>'Total income package'!$D$80</f>
        <v>0</v>
      </c>
      <c r="D90" s="7">
        <f t="shared" si="18"/>
        <v>3541.6666666666665</v>
      </c>
      <c r="E90" s="65">
        <f t="shared" si="19"/>
        <v>1.0987590486039296</v>
      </c>
      <c r="F90" s="65" t="str">
        <f t="shared" si="11"/>
        <v>Yes</v>
      </c>
      <c r="G90" s="65" t="str">
        <f t="shared" si="12"/>
        <v>Yes</v>
      </c>
      <c r="H90" s="301" t="str">
        <f>IF(OR('TANF-VIEW'!L94&gt;0,'TANF-VIEW'!T94&gt;0),"Yes","No")</f>
        <v>No</v>
      </c>
      <c r="I90" s="63">
        <f t="shared" si="13"/>
        <v>250</v>
      </c>
      <c r="J90" s="6">
        <f>(IF(B90&gt;$N$2,0,VLOOKUP('Total income package'!$B$3,'Location specific data'!$A$3:$AO$135,33,FALSE))*$C$2)*20</f>
        <v>1400</v>
      </c>
      <c r="K90" s="6">
        <f>IF(B90&gt;$N$2,0,VLOOKUP('Total income package'!$B$3,'Location specific data'!$A$3:$AO$135,34,FALSE))*$D$2*20</f>
        <v>0</v>
      </c>
      <c r="L90" s="6">
        <f>IF(B90&gt;$N$2,0,VLOOKUP('Total income package'!$B$3,'Location specific data'!$A$3:$AO$135,35,FALSE))*$E$2*20</f>
        <v>0</v>
      </c>
      <c r="M90" s="6">
        <f>IF(B90&gt;$N$2,0,VLOOKUP('Total income package'!$B$3,'Location specific data'!$A$3:$AO$135,36,FALSE))*$F$2*20</f>
        <v>0</v>
      </c>
      <c r="N90" s="6">
        <f>IF(B90&gt;$N$2,0,VLOOKUP('Total income package'!$B$3,'Location specific data'!$A$3:$AO$135,37,FALSE))*($G$2+$H$2)*20</f>
        <v>600</v>
      </c>
      <c r="O90" s="6">
        <f t="shared" si="14"/>
        <v>500</v>
      </c>
      <c r="P90" s="312">
        <f t="shared" si="15"/>
        <v>177.08333333333334</v>
      </c>
      <c r="Q90" s="312">
        <f t="shared" si="16"/>
        <v>750</v>
      </c>
      <c r="R90" s="312">
        <f t="shared" si="20"/>
        <v>177.08333333333334</v>
      </c>
      <c r="S90" s="160">
        <f>IF(AND('Total income package'!$A$8=TRUE,OR(F90="Yes",G90="Yes",H90="Yes")),SUM(J90:N90)-R90,0)</f>
        <v>1822.9166666666667</v>
      </c>
    </row>
    <row r="91" spans="1:19" s="5" customFormat="1" x14ac:dyDescent="0.3">
      <c r="A91" s="6">
        <v>43000</v>
      </c>
      <c r="B91" s="7">
        <f t="shared" si="17"/>
        <v>3583.3333333333335</v>
      </c>
      <c r="C91" s="7">
        <f>'Total income package'!$D$80</f>
        <v>0</v>
      </c>
      <c r="D91" s="7">
        <f t="shared" si="18"/>
        <v>3583.3333333333335</v>
      </c>
      <c r="E91" s="65">
        <f t="shared" si="19"/>
        <v>1.1116856256463288</v>
      </c>
      <c r="F91" s="65" t="str">
        <f t="shared" si="11"/>
        <v>Yes</v>
      </c>
      <c r="G91" s="65" t="str">
        <f t="shared" si="12"/>
        <v>Yes</v>
      </c>
      <c r="H91" s="301" t="str">
        <f>IF(OR('TANF-VIEW'!L95&gt;0,'TANF-VIEW'!T95&gt;0),"Yes","No")</f>
        <v>No</v>
      </c>
      <c r="I91" s="63">
        <f t="shared" si="13"/>
        <v>250</v>
      </c>
      <c r="J91" s="6">
        <f>(IF(B91&gt;$N$2,0,VLOOKUP('Total income package'!$B$3,'Location specific data'!$A$3:$AO$135,33,FALSE))*$C$2)*20</f>
        <v>1400</v>
      </c>
      <c r="K91" s="6">
        <f>IF(B91&gt;$N$2,0,VLOOKUP('Total income package'!$B$3,'Location specific data'!$A$3:$AO$135,34,FALSE))*$D$2*20</f>
        <v>0</v>
      </c>
      <c r="L91" s="6">
        <f>IF(B91&gt;$N$2,0,VLOOKUP('Total income package'!$B$3,'Location specific data'!$A$3:$AO$135,35,FALSE))*$E$2*20</f>
        <v>0</v>
      </c>
      <c r="M91" s="6">
        <f>IF(B91&gt;$N$2,0,VLOOKUP('Total income package'!$B$3,'Location specific data'!$A$3:$AO$135,36,FALSE))*$F$2*20</f>
        <v>0</v>
      </c>
      <c r="N91" s="6">
        <f>IF(B91&gt;$N$2,0,VLOOKUP('Total income package'!$B$3,'Location specific data'!$A$3:$AO$135,37,FALSE))*($G$2+$H$2)*20</f>
        <v>600</v>
      </c>
      <c r="O91" s="6">
        <f t="shared" si="14"/>
        <v>500</v>
      </c>
      <c r="P91" s="312">
        <f t="shared" si="15"/>
        <v>179.16666666666669</v>
      </c>
      <c r="Q91" s="312">
        <f t="shared" si="16"/>
        <v>750</v>
      </c>
      <c r="R91" s="312">
        <f t="shared" si="20"/>
        <v>179.16666666666669</v>
      </c>
      <c r="S91" s="160">
        <f>IF(AND('Total income package'!$A$8=TRUE,OR(F91="Yes",G91="Yes",H91="Yes")),SUM(J91:N91)-R91,0)</f>
        <v>1820.8333333333333</v>
      </c>
    </row>
    <row r="92" spans="1:19" s="5" customFormat="1" x14ac:dyDescent="0.3">
      <c r="A92" s="6">
        <v>43500</v>
      </c>
      <c r="B92" s="7">
        <f t="shared" si="17"/>
        <v>3625</v>
      </c>
      <c r="C92" s="7">
        <f>'Total income package'!$D$80</f>
        <v>0</v>
      </c>
      <c r="D92" s="7">
        <f t="shared" si="18"/>
        <v>3625</v>
      </c>
      <c r="E92" s="65">
        <f t="shared" si="19"/>
        <v>1.124612202688728</v>
      </c>
      <c r="F92" s="65" t="str">
        <f t="shared" si="11"/>
        <v>Yes</v>
      </c>
      <c r="G92" s="65" t="str">
        <f t="shared" si="12"/>
        <v>Yes</v>
      </c>
      <c r="H92" s="301" t="str">
        <f>IF(OR('TANF-VIEW'!L96&gt;0,'TANF-VIEW'!T96&gt;0),"Yes","No")</f>
        <v>No</v>
      </c>
      <c r="I92" s="63">
        <f t="shared" si="13"/>
        <v>250</v>
      </c>
      <c r="J92" s="6">
        <f>(IF(B92&gt;$N$2,0,VLOOKUP('Total income package'!$B$3,'Location specific data'!$A$3:$AO$135,33,FALSE))*$C$2)*20</f>
        <v>1400</v>
      </c>
      <c r="K92" s="6">
        <f>IF(B92&gt;$N$2,0,VLOOKUP('Total income package'!$B$3,'Location specific data'!$A$3:$AO$135,34,FALSE))*$D$2*20</f>
        <v>0</v>
      </c>
      <c r="L92" s="6">
        <f>IF(B92&gt;$N$2,0,VLOOKUP('Total income package'!$B$3,'Location specific data'!$A$3:$AO$135,35,FALSE))*$E$2*20</f>
        <v>0</v>
      </c>
      <c r="M92" s="6">
        <f>IF(B92&gt;$N$2,0,VLOOKUP('Total income package'!$B$3,'Location specific data'!$A$3:$AO$135,36,FALSE))*$F$2*20</f>
        <v>0</v>
      </c>
      <c r="N92" s="6">
        <f>IF(B92&gt;$N$2,0,VLOOKUP('Total income package'!$B$3,'Location specific data'!$A$3:$AO$135,37,FALSE))*($G$2+$H$2)*20</f>
        <v>600</v>
      </c>
      <c r="O92" s="6">
        <f t="shared" si="14"/>
        <v>500</v>
      </c>
      <c r="P92" s="312">
        <f t="shared" si="15"/>
        <v>181.25</v>
      </c>
      <c r="Q92" s="312">
        <f t="shared" si="16"/>
        <v>750</v>
      </c>
      <c r="R92" s="312">
        <f t="shared" si="20"/>
        <v>181.25</v>
      </c>
      <c r="S92" s="160">
        <f>IF(AND('Total income package'!$A$8=TRUE,OR(F92="Yes",G92="Yes",H92="Yes")),SUM(J92:N92)-R92,0)</f>
        <v>1818.75</v>
      </c>
    </row>
    <row r="93" spans="1:19" s="5" customFormat="1" x14ac:dyDescent="0.3">
      <c r="A93" s="6">
        <v>44000</v>
      </c>
      <c r="B93" s="7">
        <f t="shared" si="17"/>
        <v>3666.6666666666665</v>
      </c>
      <c r="C93" s="7">
        <f>'Total income package'!$D$80</f>
        <v>0</v>
      </c>
      <c r="D93" s="7">
        <f t="shared" si="18"/>
        <v>3666.6666666666665</v>
      </c>
      <c r="E93" s="65">
        <f t="shared" si="19"/>
        <v>1.1375387797311272</v>
      </c>
      <c r="F93" s="65" t="str">
        <f t="shared" si="11"/>
        <v>Yes</v>
      </c>
      <c r="G93" s="65" t="str">
        <f t="shared" si="12"/>
        <v>Yes</v>
      </c>
      <c r="H93" s="301" t="str">
        <f>IF(OR('TANF-VIEW'!L97&gt;0,'TANF-VIEW'!T97&gt;0),"Yes","No")</f>
        <v>No</v>
      </c>
      <c r="I93" s="63">
        <f t="shared" si="13"/>
        <v>250</v>
      </c>
      <c r="J93" s="6">
        <f>(IF(B93&gt;$N$2,0,VLOOKUP('Total income package'!$B$3,'Location specific data'!$A$3:$AO$135,33,FALSE))*$C$2)*20</f>
        <v>1400</v>
      </c>
      <c r="K93" s="6">
        <f>IF(B93&gt;$N$2,0,VLOOKUP('Total income package'!$B$3,'Location specific data'!$A$3:$AO$135,34,FALSE))*$D$2*20</f>
        <v>0</v>
      </c>
      <c r="L93" s="6">
        <f>IF(B93&gt;$N$2,0,VLOOKUP('Total income package'!$B$3,'Location specific data'!$A$3:$AO$135,35,FALSE))*$E$2*20</f>
        <v>0</v>
      </c>
      <c r="M93" s="6">
        <f>IF(B93&gt;$N$2,0,VLOOKUP('Total income package'!$B$3,'Location specific data'!$A$3:$AO$135,36,FALSE))*$F$2*20</f>
        <v>0</v>
      </c>
      <c r="N93" s="6">
        <f>IF(B93&gt;$N$2,0,VLOOKUP('Total income package'!$B$3,'Location specific data'!$A$3:$AO$135,37,FALSE))*($G$2+$H$2)*20</f>
        <v>600</v>
      </c>
      <c r="O93" s="6">
        <f t="shared" si="14"/>
        <v>500</v>
      </c>
      <c r="P93" s="312">
        <f t="shared" si="15"/>
        <v>183.33333333333334</v>
      </c>
      <c r="Q93" s="312">
        <f t="shared" si="16"/>
        <v>750</v>
      </c>
      <c r="R93" s="312">
        <f t="shared" si="20"/>
        <v>183.33333333333334</v>
      </c>
      <c r="S93" s="160">
        <f>IF(AND('Total income package'!$A$8=TRUE,OR(F93="Yes",G93="Yes",H93="Yes")),SUM(J93:N93)-R93,0)</f>
        <v>1816.6666666666667</v>
      </c>
    </row>
    <row r="94" spans="1:19" s="5" customFormat="1" x14ac:dyDescent="0.3">
      <c r="A94" s="6">
        <v>44500</v>
      </c>
      <c r="B94" s="7">
        <f t="shared" si="17"/>
        <v>3708.3333333333335</v>
      </c>
      <c r="C94" s="7">
        <f>'Total income package'!$D$80</f>
        <v>0</v>
      </c>
      <c r="D94" s="7">
        <f t="shared" si="18"/>
        <v>3708.3333333333335</v>
      </c>
      <c r="E94" s="65">
        <f t="shared" si="19"/>
        <v>1.1504653567735263</v>
      </c>
      <c r="F94" s="65" t="str">
        <f t="shared" si="11"/>
        <v>Yes</v>
      </c>
      <c r="G94" s="65" t="str">
        <f t="shared" si="12"/>
        <v>Yes</v>
      </c>
      <c r="H94" s="301" t="str">
        <f>IF(OR('TANF-VIEW'!L98&gt;0,'TANF-VIEW'!T98&gt;0),"Yes","No")</f>
        <v>No</v>
      </c>
      <c r="I94" s="63">
        <f t="shared" si="13"/>
        <v>250</v>
      </c>
      <c r="J94" s="6">
        <f>(IF(B94&gt;$N$2,0,VLOOKUP('Total income package'!$B$3,'Location specific data'!$A$3:$AO$135,33,FALSE))*$C$2)*20</f>
        <v>1400</v>
      </c>
      <c r="K94" s="6">
        <f>IF(B94&gt;$N$2,0,VLOOKUP('Total income package'!$B$3,'Location specific data'!$A$3:$AO$135,34,FALSE))*$D$2*20</f>
        <v>0</v>
      </c>
      <c r="L94" s="6">
        <f>IF(B94&gt;$N$2,0,VLOOKUP('Total income package'!$B$3,'Location specific data'!$A$3:$AO$135,35,FALSE))*$E$2*20</f>
        <v>0</v>
      </c>
      <c r="M94" s="6">
        <f>IF(B94&gt;$N$2,0,VLOOKUP('Total income package'!$B$3,'Location specific data'!$A$3:$AO$135,36,FALSE))*$F$2*20</f>
        <v>0</v>
      </c>
      <c r="N94" s="6">
        <f>IF(B94&gt;$N$2,0,VLOOKUP('Total income package'!$B$3,'Location specific data'!$A$3:$AO$135,37,FALSE))*($G$2+$H$2)*20</f>
        <v>600</v>
      </c>
      <c r="O94" s="6">
        <f t="shared" si="14"/>
        <v>500</v>
      </c>
      <c r="P94" s="312">
        <f t="shared" si="15"/>
        <v>185.41666666666669</v>
      </c>
      <c r="Q94" s="312">
        <f t="shared" si="16"/>
        <v>750</v>
      </c>
      <c r="R94" s="312">
        <f t="shared" si="20"/>
        <v>185.41666666666669</v>
      </c>
      <c r="S94" s="160">
        <f>IF(AND('Total income package'!$A$8=TRUE,OR(F94="Yes",G94="Yes",H94="Yes")),SUM(J94:N94)-R94,0)</f>
        <v>1814.5833333333333</v>
      </c>
    </row>
    <row r="95" spans="1:19" s="5" customFormat="1" x14ac:dyDescent="0.3">
      <c r="A95" s="6">
        <v>45000</v>
      </c>
      <c r="B95" s="7">
        <f t="shared" si="17"/>
        <v>3750</v>
      </c>
      <c r="C95" s="7">
        <f>'Total income package'!$D$80</f>
        <v>0</v>
      </c>
      <c r="D95" s="7">
        <f t="shared" si="18"/>
        <v>3750</v>
      </c>
      <c r="E95" s="65">
        <f t="shared" si="19"/>
        <v>1.1633919338159255</v>
      </c>
      <c r="F95" s="65" t="str">
        <f t="shared" si="11"/>
        <v>Yes</v>
      </c>
      <c r="G95" s="65" t="str">
        <f t="shared" si="12"/>
        <v>Yes</v>
      </c>
      <c r="H95" s="301" t="str">
        <f>IF(OR('TANF-VIEW'!L99&gt;0,'TANF-VIEW'!T99&gt;0),"Yes","No")</f>
        <v>No</v>
      </c>
      <c r="I95" s="63">
        <f t="shared" si="13"/>
        <v>250</v>
      </c>
      <c r="J95" s="6">
        <f>(IF(B95&gt;$N$2,0,VLOOKUP('Total income package'!$B$3,'Location specific data'!$A$3:$AO$135,33,FALSE))*$C$2)*20</f>
        <v>1400</v>
      </c>
      <c r="K95" s="6">
        <f>IF(B95&gt;$N$2,0,VLOOKUP('Total income package'!$B$3,'Location specific data'!$A$3:$AO$135,34,FALSE))*$D$2*20</f>
        <v>0</v>
      </c>
      <c r="L95" s="6">
        <f>IF(B95&gt;$N$2,0,VLOOKUP('Total income package'!$B$3,'Location specific data'!$A$3:$AO$135,35,FALSE))*$E$2*20</f>
        <v>0</v>
      </c>
      <c r="M95" s="6">
        <f>IF(B95&gt;$N$2,0,VLOOKUP('Total income package'!$B$3,'Location specific data'!$A$3:$AO$135,36,FALSE))*$F$2*20</f>
        <v>0</v>
      </c>
      <c r="N95" s="6">
        <f>IF(B95&gt;$N$2,0,VLOOKUP('Total income package'!$B$3,'Location specific data'!$A$3:$AO$135,37,FALSE))*($G$2+$H$2)*20</f>
        <v>600</v>
      </c>
      <c r="O95" s="6">
        <f t="shared" si="14"/>
        <v>500</v>
      </c>
      <c r="P95" s="312">
        <f t="shared" si="15"/>
        <v>187.5</v>
      </c>
      <c r="Q95" s="312">
        <f t="shared" si="16"/>
        <v>750</v>
      </c>
      <c r="R95" s="312">
        <f t="shared" si="20"/>
        <v>187.5</v>
      </c>
      <c r="S95" s="160">
        <f>IF(AND('Total income package'!$A$8=TRUE,OR(F95="Yes",G95="Yes",H95="Yes")),SUM(J95:N95)-R95,0)</f>
        <v>1812.5</v>
      </c>
    </row>
    <row r="96" spans="1:19" s="5" customFormat="1" x14ac:dyDescent="0.3">
      <c r="A96" s="6">
        <v>45500</v>
      </c>
      <c r="B96" s="7">
        <f t="shared" si="17"/>
        <v>3791.6666666666665</v>
      </c>
      <c r="C96" s="7">
        <f>'Total income package'!$D$80</f>
        <v>0</v>
      </c>
      <c r="D96" s="7">
        <f t="shared" si="18"/>
        <v>3791.6666666666665</v>
      </c>
      <c r="E96" s="65">
        <f t="shared" si="19"/>
        <v>1.1763185108583245</v>
      </c>
      <c r="F96" s="65" t="str">
        <f t="shared" si="11"/>
        <v>Yes</v>
      </c>
      <c r="G96" s="65" t="str">
        <f t="shared" si="12"/>
        <v>Yes</v>
      </c>
      <c r="H96" s="301" t="str">
        <f>IF(OR('TANF-VIEW'!L100&gt;0,'TANF-VIEW'!T100&gt;0),"Yes","No")</f>
        <v>No</v>
      </c>
      <c r="I96" s="63">
        <f t="shared" si="13"/>
        <v>250</v>
      </c>
      <c r="J96" s="6">
        <f>(IF(B96&gt;$N$2,0,VLOOKUP('Total income package'!$B$3,'Location specific data'!$A$3:$AO$135,33,FALSE))*$C$2)*20</f>
        <v>1400</v>
      </c>
      <c r="K96" s="6">
        <f>IF(B96&gt;$N$2,0,VLOOKUP('Total income package'!$B$3,'Location specific data'!$A$3:$AO$135,34,FALSE))*$D$2*20</f>
        <v>0</v>
      </c>
      <c r="L96" s="6">
        <f>IF(B96&gt;$N$2,0,VLOOKUP('Total income package'!$B$3,'Location specific data'!$A$3:$AO$135,35,FALSE))*$E$2*20</f>
        <v>0</v>
      </c>
      <c r="M96" s="6">
        <f>IF(B96&gt;$N$2,0,VLOOKUP('Total income package'!$B$3,'Location specific data'!$A$3:$AO$135,36,FALSE))*$F$2*20</f>
        <v>0</v>
      </c>
      <c r="N96" s="6">
        <f>IF(B96&gt;$N$2,0,VLOOKUP('Total income package'!$B$3,'Location specific data'!$A$3:$AO$135,37,FALSE))*($G$2+$H$2)*20</f>
        <v>600</v>
      </c>
      <c r="O96" s="6">
        <f t="shared" si="14"/>
        <v>500</v>
      </c>
      <c r="P96" s="312">
        <f t="shared" si="15"/>
        <v>189.58333333333334</v>
      </c>
      <c r="Q96" s="312">
        <f t="shared" si="16"/>
        <v>750</v>
      </c>
      <c r="R96" s="312">
        <f t="shared" si="20"/>
        <v>189.58333333333334</v>
      </c>
      <c r="S96" s="160">
        <f>IF(AND('Total income package'!$A$8=TRUE,OR(F96="Yes",G96="Yes",H96="Yes")),SUM(J96:N96)-R96,0)</f>
        <v>1810.4166666666667</v>
      </c>
    </row>
    <row r="97" spans="1:19" s="5" customFormat="1" x14ac:dyDescent="0.3">
      <c r="A97" s="6">
        <v>46000</v>
      </c>
      <c r="B97" s="7">
        <f t="shared" si="17"/>
        <v>3833.3333333333335</v>
      </c>
      <c r="C97" s="7">
        <f>'Total income package'!$D$80</f>
        <v>0</v>
      </c>
      <c r="D97" s="7">
        <f t="shared" si="18"/>
        <v>3833.3333333333335</v>
      </c>
      <c r="E97" s="65">
        <f t="shared" si="19"/>
        <v>1.1892450879007239</v>
      </c>
      <c r="F97" s="65" t="str">
        <f t="shared" si="11"/>
        <v>Yes</v>
      </c>
      <c r="G97" s="65" t="str">
        <f t="shared" si="12"/>
        <v>Yes</v>
      </c>
      <c r="H97" s="301" t="str">
        <f>IF(OR('TANF-VIEW'!L101&gt;0,'TANF-VIEW'!T101&gt;0),"Yes","No")</f>
        <v>No</v>
      </c>
      <c r="I97" s="63">
        <f t="shared" si="13"/>
        <v>250</v>
      </c>
      <c r="J97" s="6">
        <f>(IF(B97&gt;$N$2,0,VLOOKUP('Total income package'!$B$3,'Location specific data'!$A$3:$AO$135,33,FALSE))*$C$2)*20</f>
        <v>1400</v>
      </c>
      <c r="K97" s="6">
        <f>IF(B97&gt;$N$2,0,VLOOKUP('Total income package'!$B$3,'Location specific data'!$A$3:$AO$135,34,FALSE))*$D$2*20</f>
        <v>0</v>
      </c>
      <c r="L97" s="6">
        <f>IF(B97&gt;$N$2,0,VLOOKUP('Total income package'!$B$3,'Location specific data'!$A$3:$AO$135,35,FALSE))*$E$2*20</f>
        <v>0</v>
      </c>
      <c r="M97" s="6">
        <f>IF(B97&gt;$N$2,0,VLOOKUP('Total income package'!$B$3,'Location specific data'!$A$3:$AO$135,36,FALSE))*$F$2*20</f>
        <v>0</v>
      </c>
      <c r="N97" s="6">
        <f>IF(B97&gt;$N$2,0,VLOOKUP('Total income package'!$B$3,'Location specific data'!$A$3:$AO$135,37,FALSE))*($G$2+$H$2)*20</f>
        <v>600</v>
      </c>
      <c r="O97" s="6">
        <f t="shared" si="14"/>
        <v>500</v>
      </c>
      <c r="P97" s="312">
        <f t="shared" si="15"/>
        <v>191.66666666666669</v>
      </c>
      <c r="Q97" s="312">
        <f t="shared" si="16"/>
        <v>750</v>
      </c>
      <c r="R97" s="312">
        <f t="shared" si="20"/>
        <v>191.66666666666669</v>
      </c>
      <c r="S97" s="160">
        <f>IF(AND('Total income package'!$A$8=TRUE,OR(F97="Yes",G97="Yes",H97="Yes")),SUM(J97:N97)-R97,0)</f>
        <v>1808.3333333333333</v>
      </c>
    </row>
    <row r="98" spans="1:19" s="5" customFormat="1" x14ac:dyDescent="0.3">
      <c r="A98" s="6">
        <v>46500</v>
      </c>
      <c r="B98" s="7">
        <f t="shared" si="17"/>
        <v>3875</v>
      </c>
      <c r="C98" s="7">
        <f>'Total income package'!$D$80</f>
        <v>0</v>
      </c>
      <c r="D98" s="7">
        <f t="shared" si="18"/>
        <v>3875</v>
      </c>
      <c r="E98" s="65">
        <f t="shared" si="19"/>
        <v>1.2021716649431231</v>
      </c>
      <c r="F98" s="65" t="str">
        <f t="shared" si="11"/>
        <v>Yes</v>
      </c>
      <c r="G98" s="65" t="str">
        <f t="shared" si="12"/>
        <v>Yes</v>
      </c>
      <c r="H98" s="301" t="str">
        <f>IF(OR('TANF-VIEW'!L102&gt;0,'TANF-VIEW'!T102&gt;0),"Yes","No")</f>
        <v>No</v>
      </c>
      <c r="I98" s="63">
        <f t="shared" si="13"/>
        <v>250</v>
      </c>
      <c r="J98" s="6">
        <f>(IF(B98&gt;$N$2,0,VLOOKUP('Total income package'!$B$3,'Location specific data'!$A$3:$AO$135,33,FALSE))*$C$2)*20</f>
        <v>1400</v>
      </c>
      <c r="K98" s="6">
        <f>IF(B98&gt;$N$2,0,VLOOKUP('Total income package'!$B$3,'Location specific data'!$A$3:$AO$135,34,FALSE))*$D$2*20</f>
        <v>0</v>
      </c>
      <c r="L98" s="6">
        <f>IF(B98&gt;$N$2,0,VLOOKUP('Total income package'!$B$3,'Location specific data'!$A$3:$AO$135,35,FALSE))*$E$2*20</f>
        <v>0</v>
      </c>
      <c r="M98" s="6">
        <f>IF(B98&gt;$N$2,0,VLOOKUP('Total income package'!$B$3,'Location specific data'!$A$3:$AO$135,36,FALSE))*$F$2*20</f>
        <v>0</v>
      </c>
      <c r="N98" s="6">
        <f>IF(B98&gt;$N$2,0,VLOOKUP('Total income package'!$B$3,'Location specific data'!$A$3:$AO$135,37,FALSE))*($G$2+$H$2)*20</f>
        <v>600</v>
      </c>
      <c r="O98" s="6">
        <f t="shared" si="14"/>
        <v>500</v>
      </c>
      <c r="P98" s="312">
        <f t="shared" si="15"/>
        <v>193.75</v>
      </c>
      <c r="Q98" s="312">
        <f t="shared" si="16"/>
        <v>750</v>
      </c>
      <c r="R98" s="312">
        <f t="shared" si="20"/>
        <v>193.75</v>
      </c>
      <c r="S98" s="160">
        <f>IF(AND('Total income package'!$A$8=TRUE,OR(F98="Yes",G98="Yes",H98="Yes")),SUM(J98:N98)-R98,0)</f>
        <v>1806.25</v>
      </c>
    </row>
    <row r="99" spans="1:19" s="5" customFormat="1" x14ac:dyDescent="0.3">
      <c r="A99" s="6">
        <v>47000</v>
      </c>
      <c r="B99" s="7">
        <f t="shared" si="17"/>
        <v>3916.6666666666665</v>
      </c>
      <c r="C99" s="7">
        <f>'Total income package'!$D$80</f>
        <v>0</v>
      </c>
      <c r="D99" s="7">
        <f t="shared" si="18"/>
        <v>3916.6666666666665</v>
      </c>
      <c r="E99" s="65">
        <f t="shared" si="19"/>
        <v>1.2150982419855221</v>
      </c>
      <c r="F99" s="65" t="str">
        <f t="shared" si="11"/>
        <v>Yes</v>
      </c>
      <c r="G99" s="65" t="str">
        <f t="shared" si="12"/>
        <v>Yes</v>
      </c>
      <c r="H99" s="301" t="str">
        <f>IF(OR('TANF-VIEW'!L103&gt;0,'TANF-VIEW'!T103&gt;0),"Yes","No")</f>
        <v>No</v>
      </c>
      <c r="I99" s="63">
        <f t="shared" si="13"/>
        <v>250</v>
      </c>
      <c r="J99" s="6">
        <f>(IF(B99&gt;$N$2,0,VLOOKUP('Total income package'!$B$3,'Location specific data'!$A$3:$AO$135,33,FALSE))*$C$2)*20</f>
        <v>1400</v>
      </c>
      <c r="K99" s="6">
        <f>IF(B99&gt;$N$2,0,VLOOKUP('Total income package'!$B$3,'Location specific data'!$A$3:$AO$135,34,FALSE))*$D$2*20</f>
        <v>0</v>
      </c>
      <c r="L99" s="6">
        <f>IF(B99&gt;$N$2,0,VLOOKUP('Total income package'!$B$3,'Location specific data'!$A$3:$AO$135,35,FALSE))*$E$2*20</f>
        <v>0</v>
      </c>
      <c r="M99" s="6">
        <f>IF(B99&gt;$N$2,0,VLOOKUP('Total income package'!$B$3,'Location specific data'!$A$3:$AO$135,36,FALSE))*$F$2*20</f>
        <v>0</v>
      </c>
      <c r="N99" s="6">
        <f>IF(B99&gt;$N$2,0,VLOOKUP('Total income package'!$B$3,'Location specific data'!$A$3:$AO$135,37,FALSE))*($G$2+$H$2)*20</f>
        <v>600</v>
      </c>
      <c r="O99" s="6">
        <f t="shared" si="14"/>
        <v>500</v>
      </c>
      <c r="P99" s="312">
        <f t="shared" si="15"/>
        <v>195.83333333333334</v>
      </c>
      <c r="Q99" s="312">
        <f t="shared" si="16"/>
        <v>750</v>
      </c>
      <c r="R99" s="312">
        <f t="shared" si="20"/>
        <v>195.83333333333334</v>
      </c>
      <c r="S99" s="160">
        <f>IF(AND('Total income package'!$A$8=TRUE,OR(F99="Yes",G99="Yes",H99="Yes")),SUM(J99:N99)-R99,0)</f>
        <v>1804.1666666666667</v>
      </c>
    </row>
    <row r="100" spans="1:19" s="5" customFormat="1" x14ac:dyDescent="0.3">
      <c r="A100" s="6">
        <v>47500</v>
      </c>
      <c r="B100" s="7">
        <f t="shared" si="17"/>
        <v>3958.3333333333335</v>
      </c>
      <c r="C100" s="7">
        <f>'Total income package'!$D$80</f>
        <v>0</v>
      </c>
      <c r="D100" s="7">
        <f t="shared" si="18"/>
        <v>3958.3333333333335</v>
      </c>
      <c r="E100" s="65">
        <f t="shared" si="19"/>
        <v>1.2280248190279215</v>
      </c>
      <c r="F100" s="65" t="str">
        <f t="shared" si="11"/>
        <v>Yes</v>
      </c>
      <c r="G100" s="65" t="str">
        <f t="shared" si="12"/>
        <v>Yes</v>
      </c>
      <c r="H100" s="301" t="str">
        <f>IF(OR('TANF-VIEW'!L104&gt;0,'TANF-VIEW'!T104&gt;0),"Yes","No")</f>
        <v>No</v>
      </c>
      <c r="I100" s="63">
        <f t="shared" si="13"/>
        <v>250</v>
      </c>
      <c r="J100" s="6">
        <f>(IF(B100&gt;$N$2,0,VLOOKUP('Total income package'!$B$3,'Location specific data'!$A$3:$AO$135,33,FALSE))*$C$2)*20</f>
        <v>1400</v>
      </c>
      <c r="K100" s="6">
        <f>IF(B100&gt;$N$2,0,VLOOKUP('Total income package'!$B$3,'Location specific data'!$A$3:$AO$135,34,FALSE))*$D$2*20</f>
        <v>0</v>
      </c>
      <c r="L100" s="6">
        <f>IF(B100&gt;$N$2,0,VLOOKUP('Total income package'!$B$3,'Location specific data'!$A$3:$AO$135,35,FALSE))*$E$2*20</f>
        <v>0</v>
      </c>
      <c r="M100" s="6">
        <f>IF(B100&gt;$N$2,0,VLOOKUP('Total income package'!$B$3,'Location specific data'!$A$3:$AO$135,36,FALSE))*$F$2*20</f>
        <v>0</v>
      </c>
      <c r="N100" s="6">
        <f>IF(B100&gt;$N$2,0,VLOOKUP('Total income package'!$B$3,'Location specific data'!$A$3:$AO$135,37,FALSE))*($G$2+$H$2)*20</f>
        <v>600</v>
      </c>
      <c r="O100" s="6">
        <f t="shared" si="14"/>
        <v>500</v>
      </c>
      <c r="P100" s="312">
        <f t="shared" si="15"/>
        <v>197.91666666666669</v>
      </c>
      <c r="Q100" s="312">
        <f t="shared" si="16"/>
        <v>750</v>
      </c>
      <c r="R100" s="312">
        <f t="shared" si="20"/>
        <v>197.91666666666669</v>
      </c>
      <c r="S100" s="160">
        <f>IF(AND('Total income package'!$A$8=TRUE,OR(F100="Yes",G100="Yes",H100="Yes")),SUM(J100:N100)-R100,0)</f>
        <v>1802.0833333333333</v>
      </c>
    </row>
    <row r="101" spans="1:19" s="5" customFormat="1" x14ac:dyDescent="0.3">
      <c r="A101" s="6">
        <v>48000</v>
      </c>
      <c r="B101" s="7">
        <f t="shared" si="17"/>
        <v>4000</v>
      </c>
      <c r="C101" s="7">
        <f>'Total income package'!$D$80</f>
        <v>0</v>
      </c>
      <c r="D101" s="7">
        <f t="shared" si="18"/>
        <v>4000</v>
      </c>
      <c r="E101" s="65">
        <f t="shared" si="19"/>
        <v>1.2409513960703205</v>
      </c>
      <c r="F101" s="65" t="str">
        <f t="shared" si="11"/>
        <v>Yes</v>
      </c>
      <c r="G101" s="65" t="str">
        <f t="shared" si="12"/>
        <v>Yes</v>
      </c>
      <c r="H101" s="301" t="str">
        <f>IF(OR('TANF-VIEW'!L105&gt;0,'TANF-VIEW'!T105&gt;0),"Yes","No")</f>
        <v>No</v>
      </c>
      <c r="I101" s="63">
        <f t="shared" si="13"/>
        <v>250</v>
      </c>
      <c r="J101" s="6">
        <f>(IF(B101&gt;$N$2,0,VLOOKUP('Total income package'!$B$3,'Location specific data'!$A$3:$AO$135,33,FALSE))*$C$2)*20</f>
        <v>1400</v>
      </c>
      <c r="K101" s="6">
        <f>IF(B101&gt;$N$2,0,VLOOKUP('Total income package'!$B$3,'Location specific data'!$A$3:$AO$135,34,FALSE))*$D$2*20</f>
        <v>0</v>
      </c>
      <c r="L101" s="6">
        <f>IF(B101&gt;$N$2,0,VLOOKUP('Total income package'!$B$3,'Location specific data'!$A$3:$AO$135,35,FALSE))*$E$2*20</f>
        <v>0</v>
      </c>
      <c r="M101" s="6">
        <f>IF(B101&gt;$N$2,0,VLOOKUP('Total income package'!$B$3,'Location specific data'!$A$3:$AO$135,36,FALSE))*$F$2*20</f>
        <v>0</v>
      </c>
      <c r="N101" s="6">
        <f>IF(B101&gt;$N$2,0,VLOOKUP('Total income package'!$B$3,'Location specific data'!$A$3:$AO$135,37,FALSE))*($G$2+$H$2)*20</f>
        <v>600</v>
      </c>
      <c r="O101" s="6">
        <f t="shared" si="14"/>
        <v>500</v>
      </c>
      <c r="P101" s="312">
        <f t="shared" ref="P101:P132" si="21">B101*0.05</f>
        <v>200</v>
      </c>
      <c r="Q101" s="312">
        <f t="shared" si="16"/>
        <v>750</v>
      </c>
      <c r="R101" s="312">
        <f t="shared" si="20"/>
        <v>200</v>
      </c>
      <c r="S101" s="160">
        <f>IF(AND('Total income package'!$A$8=TRUE,OR(F101="Yes",G101="Yes",H101="Yes")),SUM(J101:N101)-R101,0)</f>
        <v>1800</v>
      </c>
    </row>
    <row r="102" spans="1:19" s="5" customFormat="1" x14ac:dyDescent="0.3">
      <c r="A102" s="6">
        <v>48500</v>
      </c>
      <c r="B102" s="7">
        <f t="shared" si="17"/>
        <v>4041.6666666666665</v>
      </c>
      <c r="C102" s="7">
        <f>'Total income package'!$D$80</f>
        <v>0</v>
      </c>
      <c r="D102" s="7">
        <f t="shared" si="18"/>
        <v>4041.6666666666665</v>
      </c>
      <c r="E102" s="65">
        <f t="shared" si="19"/>
        <v>1.2538779731127196</v>
      </c>
      <c r="F102" s="65" t="str">
        <f t="shared" si="11"/>
        <v>Yes</v>
      </c>
      <c r="G102" s="65" t="str">
        <f t="shared" si="12"/>
        <v>Yes</v>
      </c>
      <c r="H102" s="301" t="str">
        <f>IF(OR('TANF-VIEW'!L106&gt;0,'TANF-VIEW'!T106&gt;0),"Yes","No")</f>
        <v>No</v>
      </c>
      <c r="I102" s="63">
        <f t="shared" si="13"/>
        <v>250</v>
      </c>
      <c r="J102" s="6">
        <f>(IF(B102&gt;$N$2,0,VLOOKUP('Total income package'!$B$3,'Location specific data'!$A$3:$AO$135,33,FALSE))*$C$2)*20</f>
        <v>1400</v>
      </c>
      <c r="K102" s="6">
        <f>IF(B102&gt;$N$2,0,VLOOKUP('Total income package'!$B$3,'Location specific data'!$A$3:$AO$135,34,FALSE))*$D$2*20</f>
        <v>0</v>
      </c>
      <c r="L102" s="6">
        <f>IF(B102&gt;$N$2,0,VLOOKUP('Total income package'!$B$3,'Location specific data'!$A$3:$AO$135,35,FALSE))*$E$2*20</f>
        <v>0</v>
      </c>
      <c r="M102" s="6">
        <f>IF(B102&gt;$N$2,0,VLOOKUP('Total income package'!$B$3,'Location specific data'!$A$3:$AO$135,36,FALSE))*$F$2*20</f>
        <v>0</v>
      </c>
      <c r="N102" s="6">
        <f>IF(B102&gt;$N$2,0,VLOOKUP('Total income package'!$B$3,'Location specific data'!$A$3:$AO$135,37,FALSE))*($G$2+$H$2)*20</f>
        <v>600</v>
      </c>
      <c r="O102" s="6">
        <f t="shared" si="14"/>
        <v>500</v>
      </c>
      <c r="P102" s="312">
        <f t="shared" si="21"/>
        <v>202.08333333333334</v>
      </c>
      <c r="Q102" s="312">
        <f t="shared" si="16"/>
        <v>750</v>
      </c>
      <c r="R102" s="312">
        <f t="shared" si="20"/>
        <v>202.08333333333334</v>
      </c>
      <c r="S102" s="160">
        <f>IF(AND('Total income package'!$A$8=TRUE,OR(F102="Yes",G102="Yes",H102="Yes")),SUM(J102:N102)-R102,0)</f>
        <v>1797.9166666666667</v>
      </c>
    </row>
    <row r="103" spans="1:19" s="5" customFormat="1" x14ac:dyDescent="0.3">
      <c r="A103" s="6">
        <v>49000</v>
      </c>
      <c r="B103" s="7">
        <f t="shared" si="17"/>
        <v>4083.3333333333335</v>
      </c>
      <c r="C103" s="7">
        <f>'Total income package'!$D$80</f>
        <v>0</v>
      </c>
      <c r="D103" s="7">
        <f t="shared" si="18"/>
        <v>4083.3333333333335</v>
      </c>
      <c r="E103" s="65">
        <f t="shared" si="19"/>
        <v>1.2668045501551188</v>
      </c>
      <c r="F103" s="65" t="str">
        <f t="shared" si="11"/>
        <v>Yes</v>
      </c>
      <c r="G103" s="65" t="str">
        <f t="shared" si="12"/>
        <v>Yes</v>
      </c>
      <c r="H103" s="301" t="str">
        <f>IF(OR('TANF-VIEW'!L107&gt;0,'TANF-VIEW'!T107&gt;0),"Yes","No")</f>
        <v>No</v>
      </c>
      <c r="I103" s="63">
        <f t="shared" si="13"/>
        <v>250</v>
      </c>
      <c r="J103" s="6">
        <f>(IF(B103&gt;$N$2,0,VLOOKUP('Total income package'!$B$3,'Location specific data'!$A$3:$AO$135,33,FALSE))*$C$2)*20</f>
        <v>1400</v>
      </c>
      <c r="K103" s="6">
        <f>IF(B103&gt;$N$2,0,VLOOKUP('Total income package'!$B$3,'Location specific data'!$A$3:$AO$135,34,FALSE))*$D$2*20</f>
        <v>0</v>
      </c>
      <c r="L103" s="6">
        <f>IF(B103&gt;$N$2,0,VLOOKUP('Total income package'!$B$3,'Location specific data'!$A$3:$AO$135,35,FALSE))*$E$2*20</f>
        <v>0</v>
      </c>
      <c r="M103" s="6">
        <f>IF(B103&gt;$N$2,0,VLOOKUP('Total income package'!$B$3,'Location specific data'!$A$3:$AO$135,36,FALSE))*$F$2*20</f>
        <v>0</v>
      </c>
      <c r="N103" s="6">
        <f>IF(B103&gt;$N$2,0,VLOOKUP('Total income package'!$B$3,'Location specific data'!$A$3:$AO$135,37,FALSE))*($G$2+$H$2)*20</f>
        <v>600</v>
      </c>
      <c r="O103" s="6">
        <f t="shared" si="14"/>
        <v>500</v>
      </c>
      <c r="P103" s="312">
        <f t="shared" si="21"/>
        <v>204.16666666666669</v>
      </c>
      <c r="Q103" s="312">
        <f t="shared" si="16"/>
        <v>750</v>
      </c>
      <c r="R103" s="312">
        <f t="shared" si="20"/>
        <v>204.16666666666669</v>
      </c>
      <c r="S103" s="160">
        <f>IF(AND('Total income package'!$A$8=TRUE,OR(F103="Yes",G103="Yes",H103="Yes")),SUM(J103:N103)-R103,0)</f>
        <v>1795.8333333333333</v>
      </c>
    </row>
    <row r="104" spans="1:19" s="5" customFormat="1" x14ac:dyDescent="0.3">
      <c r="A104" s="6">
        <v>49500</v>
      </c>
      <c r="B104" s="7">
        <f t="shared" si="17"/>
        <v>4125</v>
      </c>
      <c r="C104" s="7">
        <f>'Total income package'!$D$80</f>
        <v>0</v>
      </c>
      <c r="D104" s="7">
        <f t="shared" si="18"/>
        <v>4125</v>
      </c>
      <c r="E104" s="65">
        <f t="shared" si="19"/>
        <v>1.279731127197518</v>
      </c>
      <c r="F104" s="65" t="str">
        <f t="shared" si="11"/>
        <v>Yes</v>
      </c>
      <c r="G104" s="65" t="str">
        <f t="shared" si="12"/>
        <v>Yes</v>
      </c>
      <c r="H104" s="301" t="str">
        <f>IF(OR('TANF-VIEW'!L108&gt;0,'TANF-VIEW'!T108&gt;0),"Yes","No")</f>
        <v>No</v>
      </c>
      <c r="I104" s="63">
        <f t="shared" si="13"/>
        <v>250</v>
      </c>
      <c r="J104" s="6">
        <f>(IF(B104&gt;$N$2,0,VLOOKUP('Total income package'!$B$3,'Location specific data'!$A$3:$AO$135,33,FALSE))*$C$2)*20</f>
        <v>1400</v>
      </c>
      <c r="K104" s="6">
        <f>IF(B104&gt;$N$2,0,VLOOKUP('Total income package'!$B$3,'Location specific data'!$A$3:$AO$135,34,FALSE))*$D$2*20</f>
        <v>0</v>
      </c>
      <c r="L104" s="6">
        <f>IF(B104&gt;$N$2,0,VLOOKUP('Total income package'!$B$3,'Location specific data'!$A$3:$AO$135,35,FALSE))*$E$2*20</f>
        <v>0</v>
      </c>
      <c r="M104" s="6">
        <f>IF(B104&gt;$N$2,0,VLOOKUP('Total income package'!$B$3,'Location specific data'!$A$3:$AO$135,36,FALSE))*$F$2*20</f>
        <v>0</v>
      </c>
      <c r="N104" s="6">
        <f>IF(B104&gt;$N$2,0,VLOOKUP('Total income package'!$B$3,'Location specific data'!$A$3:$AO$135,37,FALSE))*($G$2+$H$2)*20</f>
        <v>600</v>
      </c>
      <c r="O104" s="6">
        <f t="shared" si="14"/>
        <v>500</v>
      </c>
      <c r="P104" s="312">
        <f t="shared" si="21"/>
        <v>206.25</v>
      </c>
      <c r="Q104" s="312">
        <f t="shared" si="16"/>
        <v>750</v>
      </c>
      <c r="R104" s="312">
        <f t="shared" si="20"/>
        <v>206.25</v>
      </c>
      <c r="S104" s="160">
        <f>IF(AND('Total income package'!$A$8=TRUE,OR(F104="Yes",G104="Yes",H104="Yes")),SUM(J104:N104)-R104,0)</f>
        <v>1793.75</v>
      </c>
    </row>
    <row r="105" spans="1:19" s="5" customFormat="1" x14ac:dyDescent="0.3">
      <c r="A105" s="6">
        <v>50000</v>
      </c>
      <c r="B105" s="7">
        <f t="shared" si="17"/>
        <v>4166.666666666667</v>
      </c>
      <c r="C105" s="7">
        <f>'Total income package'!$D$80</f>
        <v>0</v>
      </c>
      <c r="D105" s="7">
        <f t="shared" si="18"/>
        <v>4166.666666666667</v>
      </c>
      <c r="E105" s="65">
        <f t="shared" si="19"/>
        <v>1.2926577042399172</v>
      </c>
      <c r="F105" s="65" t="str">
        <f t="shared" si="11"/>
        <v>Yes</v>
      </c>
      <c r="G105" s="65" t="str">
        <f t="shared" si="12"/>
        <v>Yes</v>
      </c>
      <c r="H105" s="301" t="str">
        <f>IF(OR('TANF-VIEW'!L109&gt;0,'TANF-VIEW'!T109&gt;0),"Yes","No")</f>
        <v>No</v>
      </c>
      <c r="I105" s="63">
        <f t="shared" si="13"/>
        <v>250</v>
      </c>
      <c r="J105" s="6">
        <f>(IF(B105&gt;$N$2,0,VLOOKUP('Total income package'!$B$3,'Location specific data'!$A$3:$AO$135,33,FALSE))*$C$2)*20</f>
        <v>1400</v>
      </c>
      <c r="K105" s="6">
        <f>IF(B105&gt;$N$2,0,VLOOKUP('Total income package'!$B$3,'Location specific data'!$A$3:$AO$135,34,FALSE))*$D$2*20</f>
        <v>0</v>
      </c>
      <c r="L105" s="6">
        <f>IF(B105&gt;$N$2,0,VLOOKUP('Total income package'!$B$3,'Location specific data'!$A$3:$AO$135,35,FALSE))*$E$2*20</f>
        <v>0</v>
      </c>
      <c r="M105" s="6">
        <f>IF(B105&gt;$N$2,0,VLOOKUP('Total income package'!$B$3,'Location specific data'!$A$3:$AO$135,36,FALSE))*$F$2*20</f>
        <v>0</v>
      </c>
      <c r="N105" s="6">
        <f>IF(B105&gt;$N$2,0,VLOOKUP('Total income package'!$B$3,'Location specific data'!$A$3:$AO$135,37,FALSE))*($G$2+$H$2)*20</f>
        <v>600</v>
      </c>
      <c r="O105" s="6">
        <f t="shared" si="14"/>
        <v>500</v>
      </c>
      <c r="P105" s="312">
        <f t="shared" si="21"/>
        <v>208.33333333333337</v>
      </c>
      <c r="Q105" s="312">
        <f t="shared" si="16"/>
        <v>750</v>
      </c>
      <c r="R105" s="312">
        <f t="shared" si="20"/>
        <v>208.33333333333337</v>
      </c>
      <c r="S105" s="160">
        <f>IF(AND('Total income package'!$A$8=TRUE,OR(F105="Yes",G105="Yes",H105="Yes")),SUM(J105:N105)-R105,0)</f>
        <v>1791.6666666666665</v>
      </c>
    </row>
    <row r="106" spans="1:19" s="5" customFormat="1" x14ac:dyDescent="0.3">
      <c r="A106" s="6">
        <v>50500</v>
      </c>
      <c r="B106" s="7">
        <f t="shared" si="17"/>
        <v>4208.333333333333</v>
      </c>
      <c r="C106" s="7">
        <f>'Total income package'!$D$80</f>
        <v>0</v>
      </c>
      <c r="D106" s="7">
        <f t="shared" si="18"/>
        <v>4208.333333333333</v>
      </c>
      <c r="E106" s="65">
        <f t="shared" si="19"/>
        <v>1.3055842812823162</v>
      </c>
      <c r="F106" s="65" t="str">
        <f t="shared" si="11"/>
        <v>Yes</v>
      </c>
      <c r="G106" s="65" t="str">
        <f t="shared" si="12"/>
        <v>Yes</v>
      </c>
      <c r="H106" s="301" t="str">
        <f>IF(OR('TANF-VIEW'!L110&gt;0,'TANF-VIEW'!T110&gt;0),"Yes","No")</f>
        <v>No</v>
      </c>
      <c r="I106" s="63">
        <f t="shared" si="13"/>
        <v>250</v>
      </c>
      <c r="J106" s="6">
        <f>(IF(B106&gt;$N$2,0,VLOOKUP('Total income package'!$B$3,'Location specific data'!$A$3:$AO$135,33,FALSE))*$C$2)*20</f>
        <v>1400</v>
      </c>
      <c r="K106" s="6">
        <f>IF(B106&gt;$N$2,0,VLOOKUP('Total income package'!$B$3,'Location specific data'!$A$3:$AO$135,34,FALSE))*$D$2*20</f>
        <v>0</v>
      </c>
      <c r="L106" s="6">
        <f>IF(B106&gt;$N$2,0,VLOOKUP('Total income package'!$B$3,'Location specific data'!$A$3:$AO$135,35,FALSE))*$E$2*20</f>
        <v>0</v>
      </c>
      <c r="M106" s="6">
        <f>IF(B106&gt;$N$2,0,VLOOKUP('Total income package'!$B$3,'Location specific data'!$A$3:$AO$135,36,FALSE))*$F$2*20</f>
        <v>0</v>
      </c>
      <c r="N106" s="6">
        <f>IF(B106&gt;$N$2,0,VLOOKUP('Total income package'!$B$3,'Location specific data'!$A$3:$AO$135,37,FALSE))*($G$2+$H$2)*20</f>
        <v>600</v>
      </c>
      <c r="O106" s="6">
        <f t="shared" si="14"/>
        <v>500</v>
      </c>
      <c r="P106" s="312">
        <f t="shared" si="21"/>
        <v>210.41666666666666</v>
      </c>
      <c r="Q106" s="312">
        <f t="shared" si="16"/>
        <v>750</v>
      </c>
      <c r="R106" s="312">
        <f t="shared" si="20"/>
        <v>210.41666666666666</v>
      </c>
      <c r="S106" s="160">
        <f>IF(AND('Total income package'!$A$8=TRUE,OR(F106="Yes",G106="Yes",H106="Yes")),SUM(J106:N106)-R106,0)</f>
        <v>1789.5833333333333</v>
      </c>
    </row>
    <row r="107" spans="1:19" s="5" customFormat="1" x14ac:dyDescent="0.3">
      <c r="A107" s="6">
        <v>51000</v>
      </c>
      <c r="B107" s="7">
        <f t="shared" si="17"/>
        <v>4250</v>
      </c>
      <c r="C107" s="7">
        <f>'Total income package'!$D$80</f>
        <v>0</v>
      </c>
      <c r="D107" s="7">
        <f t="shared" si="18"/>
        <v>4250</v>
      </c>
      <c r="E107" s="65">
        <f t="shared" si="19"/>
        <v>1.3185108583247156</v>
      </c>
      <c r="F107" s="65" t="str">
        <f t="shared" si="11"/>
        <v>Yes</v>
      </c>
      <c r="G107" s="65" t="str">
        <f t="shared" si="12"/>
        <v>Yes</v>
      </c>
      <c r="H107" s="301" t="str">
        <f>IF(OR('TANF-VIEW'!L111&gt;0,'TANF-VIEW'!T111&gt;0),"Yes","No")</f>
        <v>No</v>
      </c>
      <c r="I107" s="63">
        <f t="shared" si="13"/>
        <v>250</v>
      </c>
      <c r="J107" s="6">
        <f>(IF(B107&gt;$N$2,0,VLOOKUP('Total income package'!$B$3,'Location specific data'!$A$3:$AO$135,33,FALSE))*$C$2)*20</f>
        <v>1400</v>
      </c>
      <c r="K107" s="6">
        <f>IF(B107&gt;$N$2,0,VLOOKUP('Total income package'!$B$3,'Location specific data'!$A$3:$AO$135,34,FALSE))*$D$2*20</f>
        <v>0</v>
      </c>
      <c r="L107" s="6">
        <f>IF(B107&gt;$N$2,0,VLOOKUP('Total income package'!$B$3,'Location specific data'!$A$3:$AO$135,35,FALSE))*$E$2*20</f>
        <v>0</v>
      </c>
      <c r="M107" s="6">
        <f>IF(B107&gt;$N$2,0,VLOOKUP('Total income package'!$B$3,'Location specific data'!$A$3:$AO$135,36,FALSE))*$F$2*20</f>
        <v>0</v>
      </c>
      <c r="N107" s="6">
        <f>IF(B107&gt;$N$2,0,VLOOKUP('Total income package'!$B$3,'Location specific data'!$A$3:$AO$135,37,FALSE))*($G$2+$H$2)*20</f>
        <v>600</v>
      </c>
      <c r="O107" s="6">
        <f t="shared" si="14"/>
        <v>500</v>
      </c>
      <c r="P107" s="312">
        <f t="shared" si="21"/>
        <v>212.5</v>
      </c>
      <c r="Q107" s="312">
        <f t="shared" si="16"/>
        <v>750</v>
      </c>
      <c r="R107" s="312">
        <f t="shared" si="20"/>
        <v>212.5</v>
      </c>
      <c r="S107" s="160">
        <f>IF(AND('Total income package'!$A$8=TRUE,OR(F107="Yes",G107="Yes",H107="Yes")),SUM(J107:N107)-R107,0)</f>
        <v>1787.5</v>
      </c>
    </row>
    <row r="108" spans="1:19" s="5" customFormat="1" x14ac:dyDescent="0.3">
      <c r="A108" s="6">
        <v>51500</v>
      </c>
      <c r="B108" s="7">
        <f>A108/12</f>
        <v>4291.666666666667</v>
      </c>
      <c r="C108" s="7">
        <f>'Total income package'!$D$80</f>
        <v>0</v>
      </c>
      <c r="D108" s="7">
        <f t="shared" si="18"/>
        <v>4291.666666666667</v>
      </c>
      <c r="E108" s="65">
        <f t="shared" si="19"/>
        <v>1.3314374353671148</v>
      </c>
      <c r="F108" s="65" t="str">
        <f t="shared" si="11"/>
        <v>Yes</v>
      </c>
      <c r="G108" s="65" t="str">
        <f t="shared" si="12"/>
        <v>Yes</v>
      </c>
      <c r="H108" s="301" t="str">
        <f>IF(OR('TANF-VIEW'!L112&gt;0,'TANF-VIEW'!T112&gt;0),"Yes","No")</f>
        <v>No</v>
      </c>
      <c r="I108" s="63">
        <f t="shared" si="13"/>
        <v>250</v>
      </c>
      <c r="J108" s="6">
        <f>(IF(B108&gt;$N$2,0,VLOOKUP('Total income package'!$B$3,'Location specific data'!$A$3:$AO$135,33,FALSE))*$C$2)*20</f>
        <v>1400</v>
      </c>
      <c r="K108" s="6">
        <f>IF(B108&gt;$N$2,0,VLOOKUP('Total income package'!$B$3,'Location specific data'!$A$3:$AO$135,34,FALSE))*$D$2*20</f>
        <v>0</v>
      </c>
      <c r="L108" s="6">
        <f>IF(B108&gt;$N$2,0,VLOOKUP('Total income package'!$B$3,'Location specific data'!$A$3:$AO$135,35,FALSE))*$E$2*20</f>
        <v>0</v>
      </c>
      <c r="M108" s="6">
        <f>IF(B108&gt;$N$2,0,VLOOKUP('Total income package'!$B$3,'Location specific data'!$A$3:$AO$135,36,FALSE))*$F$2*20</f>
        <v>0</v>
      </c>
      <c r="N108" s="6">
        <f>IF(B108&gt;$N$2,0,VLOOKUP('Total income package'!$B$3,'Location specific data'!$A$3:$AO$135,37,FALSE))*($G$2+$H$2)*20</f>
        <v>600</v>
      </c>
      <c r="O108" s="6">
        <f t="shared" si="14"/>
        <v>500</v>
      </c>
      <c r="P108" s="312">
        <f t="shared" si="21"/>
        <v>214.58333333333337</v>
      </c>
      <c r="Q108" s="312">
        <f t="shared" si="16"/>
        <v>750</v>
      </c>
      <c r="R108" s="312">
        <f t="shared" si="20"/>
        <v>214.58333333333337</v>
      </c>
      <c r="S108" s="160">
        <f>IF(AND('Total income package'!$A$8=TRUE,OR(F108="Yes",G108="Yes",H108="Yes")),SUM(J108:N108)-R108,0)</f>
        <v>1785.4166666666665</v>
      </c>
    </row>
    <row r="109" spans="1:19" x14ac:dyDescent="0.3">
      <c r="A109" s="6">
        <v>52000</v>
      </c>
      <c r="B109" s="7">
        <f t="shared" ref="B109:B172" si="22">A109/12</f>
        <v>4333.333333333333</v>
      </c>
      <c r="C109" s="7">
        <f>'Total income package'!$D$80</f>
        <v>0</v>
      </c>
      <c r="D109" s="7">
        <f t="shared" si="18"/>
        <v>4333.333333333333</v>
      </c>
      <c r="E109" s="65">
        <f t="shared" si="19"/>
        <v>1.3443640124095138</v>
      </c>
      <c r="F109" s="65" t="str">
        <f t="shared" si="11"/>
        <v>Yes</v>
      </c>
      <c r="G109" s="65" t="str">
        <f t="shared" si="12"/>
        <v>Yes</v>
      </c>
      <c r="H109" s="301" t="str">
        <f>IF(OR('TANF-VIEW'!L113&gt;0,'TANF-VIEW'!T113&gt;0),"Yes","No")</f>
        <v>No</v>
      </c>
      <c r="I109" s="63">
        <f t="shared" si="13"/>
        <v>250</v>
      </c>
      <c r="J109" s="6">
        <f>(IF(B109&gt;$N$2,0,VLOOKUP('Total income package'!$B$3,'Location specific data'!$A$3:$AO$135,33,FALSE))*$C$2)*20</f>
        <v>1400</v>
      </c>
      <c r="K109" s="6">
        <f>IF(B109&gt;$N$2,0,VLOOKUP('Total income package'!$B$3,'Location specific data'!$A$3:$AO$135,34,FALSE))*$D$2*20</f>
        <v>0</v>
      </c>
      <c r="L109" s="6">
        <f>IF(B109&gt;$N$2,0,VLOOKUP('Total income package'!$B$3,'Location specific data'!$A$3:$AO$135,35,FALSE))*$E$2*20</f>
        <v>0</v>
      </c>
      <c r="M109" s="6">
        <f>IF(B109&gt;$N$2,0,VLOOKUP('Total income package'!$B$3,'Location specific data'!$A$3:$AO$135,36,FALSE))*$F$2*20</f>
        <v>0</v>
      </c>
      <c r="N109" s="6">
        <f>IF(B109&gt;$N$2,0,VLOOKUP('Total income package'!$B$3,'Location specific data'!$A$3:$AO$135,37,FALSE))*($G$2+$H$2)*20</f>
        <v>600</v>
      </c>
      <c r="O109" s="6">
        <f t="shared" si="14"/>
        <v>500</v>
      </c>
      <c r="P109" s="312">
        <f t="shared" si="21"/>
        <v>216.66666666666666</v>
      </c>
      <c r="Q109" s="312">
        <f t="shared" si="16"/>
        <v>750</v>
      </c>
      <c r="R109" s="312">
        <f t="shared" si="20"/>
        <v>216.66666666666666</v>
      </c>
      <c r="S109" s="160">
        <f>IF(AND('Total income package'!$A$8=TRUE,OR(F109="Yes",G109="Yes",H109="Yes")),SUM(J109:N109)-R109,0)</f>
        <v>1783.3333333333333</v>
      </c>
    </row>
    <row r="110" spans="1:19" x14ac:dyDescent="0.3">
      <c r="A110" s="6">
        <v>52500</v>
      </c>
      <c r="B110" s="7">
        <f t="shared" si="22"/>
        <v>4375</v>
      </c>
      <c r="C110" s="7">
        <f>'Total income package'!$D$80</f>
        <v>0</v>
      </c>
      <c r="D110" s="7">
        <f t="shared" si="18"/>
        <v>4375</v>
      </c>
      <c r="E110" s="65">
        <f t="shared" si="19"/>
        <v>1.3572905894519132</v>
      </c>
      <c r="F110" s="65" t="str">
        <f t="shared" si="11"/>
        <v>Yes</v>
      </c>
      <c r="G110" s="65" t="str">
        <f t="shared" si="12"/>
        <v>Yes</v>
      </c>
      <c r="H110" s="301" t="str">
        <f>IF(OR('TANF-VIEW'!L114&gt;0,'TANF-VIEW'!T114&gt;0),"Yes","No")</f>
        <v>No</v>
      </c>
      <c r="I110" s="63">
        <f t="shared" si="13"/>
        <v>250</v>
      </c>
      <c r="J110" s="6">
        <f>(IF(B110&gt;$N$2,0,VLOOKUP('Total income package'!$B$3,'Location specific data'!$A$3:$AO$135,33,FALSE))*$C$2)*20</f>
        <v>1400</v>
      </c>
      <c r="K110" s="6">
        <f>IF(B110&gt;$N$2,0,VLOOKUP('Total income package'!$B$3,'Location specific data'!$A$3:$AO$135,34,FALSE))*$D$2*20</f>
        <v>0</v>
      </c>
      <c r="L110" s="6">
        <f>IF(B110&gt;$N$2,0,VLOOKUP('Total income package'!$B$3,'Location specific data'!$A$3:$AO$135,35,FALSE))*$E$2*20</f>
        <v>0</v>
      </c>
      <c r="M110" s="6">
        <f>IF(B110&gt;$N$2,0,VLOOKUP('Total income package'!$B$3,'Location specific data'!$A$3:$AO$135,36,FALSE))*$F$2*20</f>
        <v>0</v>
      </c>
      <c r="N110" s="6">
        <f>IF(B110&gt;$N$2,0,VLOOKUP('Total income package'!$B$3,'Location specific data'!$A$3:$AO$135,37,FALSE))*($G$2+$H$2)*20</f>
        <v>600</v>
      </c>
      <c r="O110" s="6">
        <f t="shared" si="14"/>
        <v>500</v>
      </c>
      <c r="P110" s="312">
        <f t="shared" si="21"/>
        <v>218.75</v>
      </c>
      <c r="Q110" s="312">
        <f t="shared" si="16"/>
        <v>750</v>
      </c>
      <c r="R110" s="312">
        <f t="shared" si="20"/>
        <v>218.75</v>
      </c>
      <c r="S110" s="160">
        <f>IF(AND('Total income package'!$A$8=TRUE,OR(F110="Yes",G110="Yes",H110="Yes")),SUM(J110:N110)-R110,0)</f>
        <v>1781.25</v>
      </c>
    </row>
    <row r="111" spans="1:19" x14ac:dyDescent="0.3">
      <c r="A111" s="6">
        <v>53000</v>
      </c>
      <c r="B111" s="7">
        <f t="shared" si="22"/>
        <v>4416.666666666667</v>
      </c>
      <c r="C111" s="7">
        <f>'Total income package'!$D$80</f>
        <v>0</v>
      </c>
      <c r="D111" s="7">
        <f t="shared" si="18"/>
        <v>4416.666666666667</v>
      </c>
      <c r="E111" s="65">
        <f t="shared" si="19"/>
        <v>1.3702171664943124</v>
      </c>
      <c r="F111" s="65" t="str">
        <f t="shared" si="11"/>
        <v>Yes</v>
      </c>
      <c r="G111" s="65" t="str">
        <f t="shared" si="12"/>
        <v>Yes</v>
      </c>
      <c r="H111" s="301" t="str">
        <f>IF(OR('TANF-VIEW'!L115&gt;0,'TANF-VIEW'!T115&gt;0),"Yes","No")</f>
        <v>No</v>
      </c>
      <c r="I111" s="63">
        <f t="shared" si="13"/>
        <v>250</v>
      </c>
      <c r="J111" s="6">
        <f>(IF(B111&gt;$N$2,0,VLOOKUP('Total income package'!$B$3,'Location specific data'!$A$3:$AO$135,33,FALSE))*$C$2)*20</f>
        <v>1400</v>
      </c>
      <c r="K111" s="6">
        <f>IF(B111&gt;$N$2,0,VLOOKUP('Total income package'!$B$3,'Location specific data'!$A$3:$AO$135,34,FALSE))*$D$2*20</f>
        <v>0</v>
      </c>
      <c r="L111" s="6">
        <f>IF(B111&gt;$N$2,0,VLOOKUP('Total income package'!$B$3,'Location specific data'!$A$3:$AO$135,35,FALSE))*$E$2*20</f>
        <v>0</v>
      </c>
      <c r="M111" s="6">
        <f>IF(B111&gt;$N$2,0,VLOOKUP('Total income package'!$B$3,'Location specific data'!$A$3:$AO$135,36,FALSE))*$F$2*20</f>
        <v>0</v>
      </c>
      <c r="N111" s="6">
        <f>IF(B111&gt;$N$2,0,VLOOKUP('Total income package'!$B$3,'Location specific data'!$A$3:$AO$135,37,FALSE))*($G$2+$H$2)*20</f>
        <v>600</v>
      </c>
      <c r="O111" s="6">
        <f t="shared" si="14"/>
        <v>500</v>
      </c>
      <c r="P111" s="312">
        <f t="shared" si="21"/>
        <v>220.83333333333337</v>
      </c>
      <c r="Q111" s="312">
        <f t="shared" si="16"/>
        <v>750</v>
      </c>
      <c r="R111" s="312">
        <f t="shared" si="20"/>
        <v>220.83333333333337</v>
      </c>
      <c r="S111" s="160">
        <f>IF(AND('Total income package'!$A$8=TRUE,OR(F111="Yes",G111="Yes",H111="Yes")),SUM(J111:N111)-R111,0)</f>
        <v>1779.1666666666665</v>
      </c>
    </row>
    <row r="112" spans="1:19" x14ac:dyDescent="0.3">
      <c r="A112" s="6">
        <v>53500</v>
      </c>
      <c r="B112" s="7">
        <f t="shared" si="22"/>
        <v>4458.333333333333</v>
      </c>
      <c r="C112" s="7">
        <f>'Total income package'!$D$80</f>
        <v>0</v>
      </c>
      <c r="D112" s="7">
        <f t="shared" si="18"/>
        <v>4458.333333333333</v>
      </c>
      <c r="E112" s="65">
        <f t="shared" si="19"/>
        <v>1.3831437435367113</v>
      </c>
      <c r="F112" s="65" t="str">
        <f t="shared" si="11"/>
        <v>Yes</v>
      </c>
      <c r="G112" s="65" t="str">
        <f t="shared" si="12"/>
        <v>Yes</v>
      </c>
      <c r="H112" s="301" t="str">
        <f>IF(OR('TANF-VIEW'!L116&gt;0,'TANF-VIEW'!T116&gt;0),"Yes","No")</f>
        <v>No</v>
      </c>
      <c r="I112" s="63">
        <f t="shared" si="13"/>
        <v>250</v>
      </c>
      <c r="J112" s="6">
        <f>(IF(B112&gt;$N$2,0,VLOOKUP('Total income package'!$B$3,'Location specific data'!$A$3:$AO$135,33,FALSE))*$C$2)*20</f>
        <v>1400</v>
      </c>
      <c r="K112" s="6">
        <f>IF(B112&gt;$N$2,0,VLOOKUP('Total income package'!$B$3,'Location specific data'!$A$3:$AO$135,34,FALSE))*$D$2*20</f>
        <v>0</v>
      </c>
      <c r="L112" s="6">
        <f>IF(B112&gt;$N$2,0,VLOOKUP('Total income package'!$B$3,'Location specific data'!$A$3:$AO$135,35,FALSE))*$E$2*20</f>
        <v>0</v>
      </c>
      <c r="M112" s="6">
        <f>IF(B112&gt;$N$2,0,VLOOKUP('Total income package'!$B$3,'Location specific data'!$A$3:$AO$135,36,FALSE))*$F$2*20</f>
        <v>0</v>
      </c>
      <c r="N112" s="6">
        <f>IF(B112&gt;$N$2,0,VLOOKUP('Total income package'!$B$3,'Location specific data'!$A$3:$AO$135,37,FALSE))*($G$2+$H$2)*20</f>
        <v>600</v>
      </c>
      <c r="O112" s="6">
        <f t="shared" si="14"/>
        <v>500</v>
      </c>
      <c r="P112" s="312">
        <f t="shared" si="21"/>
        <v>222.91666666666666</v>
      </c>
      <c r="Q112" s="312">
        <f t="shared" si="16"/>
        <v>750</v>
      </c>
      <c r="R112" s="312">
        <f t="shared" si="20"/>
        <v>222.91666666666666</v>
      </c>
      <c r="S112" s="160">
        <f>IF(AND('Total income package'!$A$8=TRUE,OR(F112="Yes",G112="Yes",H112="Yes")),SUM(J112:N112)-R112,0)</f>
        <v>1777.0833333333333</v>
      </c>
    </row>
    <row r="113" spans="1:19" x14ac:dyDescent="0.3">
      <c r="A113" s="6">
        <v>54000</v>
      </c>
      <c r="B113" s="7">
        <f t="shared" si="22"/>
        <v>4500</v>
      </c>
      <c r="C113" s="7">
        <f>'Total income package'!$D$80</f>
        <v>0</v>
      </c>
      <c r="D113" s="7">
        <f t="shared" si="18"/>
        <v>4500</v>
      </c>
      <c r="E113" s="65">
        <f t="shared" si="19"/>
        <v>1.3960703205791105</v>
      </c>
      <c r="F113" s="65" t="str">
        <f t="shared" si="11"/>
        <v>Yes</v>
      </c>
      <c r="G113" s="65" t="str">
        <f t="shared" si="12"/>
        <v>Yes</v>
      </c>
      <c r="H113" s="301" t="str">
        <f>IF(OR('TANF-VIEW'!L117&gt;0,'TANF-VIEW'!T117&gt;0),"Yes","No")</f>
        <v>No</v>
      </c>
      <c r="I113" s="63">
        <f t="shared" si="13"/>
        <v>250</v>
      </c>
      <c r="J113" s="6">
        <f>(IF(B113&gt;$N$2,0,VLOOKUP('Total income package'!$B$3,'Location specific data'!$A$3:$AO$135,33,FALSE))*$C$2)*20</f>
        <v>1400</v>
      </c>
      <c r="K113" s="6">
        <f>IF(B113&gt;$N$2,0,VLOOKUP('Total income package'!$B$3,'Location specific data'!$A$3:$AO$135,34,FALSE))*$D$2*20</f>
        <v>0</v>
      </c>
      <c r="L113" s="6">
        <f>IF(B113&gt;$N$2,0,VLOOKUP('Total income package'!$B$3,'Location specific data'!$A$3:$AO$135,35,FALSE))*$E$2*20</f>
        <v>0</v>
      </c>
      <c r="M113" s="6">
        <f>IF(B113&gt;$N$2,0,VLOOKUP('Total income package'!$B$3,'Location specific data'!$A$3:$AO$135,36,FALSE))*$F$2*20</f>
        <v>0</v>
      </c>
      <c r="N113" s="6">
        <f>IF(B113&gt;$N$2,0,VLOOKUP('Total income package'!$B$3,'Location specific data'!$A$3:$AO$135,37,FALSE))*($G$2+$H$2)*20</f>
        <v>600</v>
      </c>
      <c r="O113" s="6">
        <f t="shared" si="14"/>
        <v>500</v>
      </c>
      <c r="P113" s="312">
        <f t="shared" si="21"/>
        <v>225</v>
      </c>
      <c r="Q113" s="312">
        <f t="shared" si="16"/>
        <v>750</v>
      </c>
      <c r="R113" s="312">
        <f t="shared" si="20"/>
        <v>225</v>
      </c>
      <c r="S113" s="160">
        <f>IF(AND('Total income package'!$A$8=TRUE,OR(F113="Yes",G113="Yes",H113="Yes")),SUM(J113:N113)-R113,0)</f>
        <v>1775</v>
      </c>
    </row>
    <row r="114" spans="1:19" x14ac:dyDescent="0.3">
      <c r="A114" s="6">
        <v>54500</v>
      </c>
      <c r="B114" s="7">
        <f t="shared" si="22"/>
        <v>4541.666666666667</v>
      </c>
      <c r="C114" s="7">
        <f>'Total income package'!$D$80</f>
        <v>0</v>
      </c>
      <c r="D114" s="7">
        <f t="shared" si="18"/>
        <v>4541.666666666667</v>
      </c>
      <c r="E114" s="65">
        <f t="shared" si="19"/>
        <v>1.4089968976215099</v>
      </c>
      <c r="F114" s="65" t="str">
        <f t="shared" si="11"/>
        <v>Yes</v>
      </c>
      <c r="G114" s="65" t="str">
        <f t="shared" si="12"/>
        <v>Yes</v>
      </c>
      <c r="H114" s="301" t="str">
        <f>IF(OR('TANF-VIEW'!L118&gt;0,'TANF-VIEW'!T118&gt;0),"Yes","No")</f>
        <v>No</v>
      </c>
      <c r="I114" s="63">
        <f t="shared" si="13"/>
        <v>250</v>
      </c>
      <c r="J114" s="6">
        <f>(IF(B114&gt;$N$2,0,VLOOKUP('Total income package'!$B$3,'Location specific data'!$A$3:$AO$135,33,FALSE))*$C$2)*20</f>
        <v>1400</v>
      </c>
      <c r="K114" s="6">
        <f>IF(B114&gt;$N$2,0,VLOOKUP('Total income package'!$B$3,'Location specific data'!$A$3:$AO$135,34,FALSE))*$D$2*20</f>
        <v>0</v>
      </c>
      <c r="L114" s="6">
        <f>IF(B114&gt;$N$2,0,VLOOKUP('Total income package'!$B$3,'Location specific data'!$A$3:$AO$135,35,FALSE))*$E$2*20</f>
        <v>0</v>
      </c>
      <c r="M114" s="6">
        <f>IF(B114&gt;$N$2,0,VLOOKUP('Total income package'!$B$3,'Location specific data'!$A$3:$AO$135,36,FALSE))*$F$2*20</f>
        <v>0</v>
      </c>
      <c r="N114" s="6">
        <f>IF(B114&gt;$N$2,0,VLOOKUP('Total income package'!$B$3,'Location specific data'!$A$3:$AO$135,37,FALSE))*($G$2+$H$2)*20</f>
        <v>600</v>
      </c>
      <c r="O114" s="6">
        <f t="shared" si="14"/>
        <v>500</v>
      </c>
      <c r="P114" s="312">
        <f t="shared" si="21"/>
        <v>227.08333333333337</v>
      </c>
      <c r="Q114" s="312">
        <f t="shared" si="16"/>
        <v>750</v>
      </c>
      <c r="R114" s="312">
        <f t="shared" si="20"/>
        <v>227.08333333333337</v>
      </c>
      <c r="S114" s="160">
        <f>IF(AND('Total income package'!$A$8=TRUE,OR(F114="Yes",G114="Yes",H114="Yes")),SUM(J114:N114)-R114,0)</f>
        <v>1772.9166666666665</v>
      </c>
    </row>
    <row r="115" spans="1:19" x14ac:dyDescent="0.3">
      <c r="A115" s="6">
        <v>55000</v>
      </c>
      <c r="B115" s="7">
        <f t="shared" si="22"/>
        <v>4583.333333333333</v>
      </c>
      <c r="C115" s="7">
        <f>'Total income package'!$D$80</f>
        <v>0</v>
      </c>
      <c r="D115" s="7">
        <f t="shared" si="18"/>
        <v>4583.333333333333</v>
      </c>
      <c r="E115" s="65">
        <f t="shared" si="19"/>
        <v>1.4219234746639089</v>
      </c>
      <c r="F115" s="65" t="str">
        <f t="shared" si="11"/>
        <v>Yes</v>
      </c>
      <c r="G115" s="65" t="str">
        <f t="shared" si="12"/>
        <v>Yes</v>
      </c>
      <c r="H115" s="301" t="str">
        <f>IF(OR('TANF-VIEW'!L119&gt;0,'TANF-VIEW'!T119&gt;0),"Yes","No")</f>
        <v>No</v>
      </c>
      <c r="I115" s="63">
        <f t="shared" si="13"/>
        <v>250</v>
      </c>
      <c r="J115" s="6">
        <f>(IF(B115&gt;$N$2,0,VLOOKUP('Total income package'!$B$3,'Location specific data'!$A$3:$AO$135,33,FALSE))*$C$2)*20</f>
        <v>1400</v>
      </c>
      <c r="K115" s="6">
        <f>IF(B115&gt;$N$2,0,VLOOKUP('Total income package'!$B$3,'Location specific data'!$A$3:$AO$135,34,FALSE))*$D$2*20</f>
        <v>0</v>
      </c>
      <c r="L115" s="6">
        <f>IF(B115&gt;$N$2,0,VLOOKUP('Total income package'!$B$3,'Location specific data'!$A$3:$AO$135,35,FALSE))*$E$2*20</f>
        <v>0</v>
      </c>
      <c r="M115" s="6">
        <f>IF(B115&gt;$N$2,0,VLOOKUP('Total income package'!$B$3,'Location specific data'!$A$3:$AO$135,36,FALSE))*$F$2*20</f>
        <v>0</v>
      </c>
      <c r="N115" s="6">
        <f>IF(B115&gt;$N$2,0,VLOOKUP('Total income package'!$B$3,'Location specific data'!$A$3:$AO$135,37,FALSE))*($G$2+$H$2)*20</f>
        <v>600</v>
      </c>
      <c r="O115" s="6">
        <f t="shared" si="14"/>
        <v>500</v>
      </c>
      <c r="P115" s="312">
        <f t="shared" si="21"/>
        <v>229.16666666666666</v>
      </c>
      <c r="Q115" s="312">
        <f t="shared" si="16"/>
        <v>750</v>
      </c>
      <c r="R115" s="312">
        <f t="shared" si="20"/>
        <v>229.16666666666666</v>
      </c>
      <c r="S115" s="160">
        <f>IF(AND('Total income package'!$A$8=TRUE,OR(F115="Yes",G115="Yes",H115="Yes")),SUM(J115:N115)-R115,0)</f>
        <v>1770.8333333333333</v>
      </c>
    </row>
    <row r="116" spans="1:19" x14ac:dyDescent="0.3">
      <c r="A116" s="6">
        <v>55500</v>
      </c>
      <c r="B116" s="7">
        <f t="shared" si="22"/>
        <v>4625</v>
      </c>
      <c r="C116" s="7">
        <f>'Total income package'!$D$80</f>
        <v>0</v>
      </c>
      <c r="D116" s="7">
        <f t="shared" si="18"/>
        <v>4625</v>
      </c>
      <c r="E116" s="65">
        <f t="shared" si="19"/>
        <v>1.4348500517063081</v>
      </c>
      <c r="F116" s="65" t="str">
        <f t="shared" si="11"/>
        <v>Yes</v>
      </c>
      <c r="G116" s="65" t="str">
        <f t="shared" si="12"/>
        <v>Yes</v>
      </c>
      <c r="H116" s="301" t="str">
        <f>IF(OR('TANF-VIEW'!L120&gt;0,'TANF-VIEW'!T120&gt;0),"Yes","No")</f>
        <v>No</v>
      </c>
      <c r="I116" s="63">
        <f t="shared" si="13"/>
        <v>250</v>
      </c>
      <c r="J116" s="6">
        <f>(IF(B116&gt;$N$2,0,VLOOKUP('Total income package'!$B$3,'Location specific data'!$A$3:$AO$135,33,FALSE))*$C$2)*20</f>
        <v>1400</v>
      </c>
      <c r="K116" s="6">
        <f>IF(B116&gt;$N$2,0,VLOOKUP('Total income package'!$B$3,'Location specific data'!$A$3:$AO$135,34,FALSE))*$D$2*20</f>
        <v>0</v>
      </c>
      <c r="L116" s="6">
        <f>IF(B116&gt;$N$2,0,VLOOKUP('Total income package'!$B$3,'Location specific data'!$A$3:$AO$135,35,FALSE))*$E$2*20</f>
        <v>0</v>
      </c>
      <c r="M116" s="6">
        <f>IF(B116&gt;$N$2,0,VLOOKUP('Total income package'!$B$3,'Location specific data'!$A$3:$AO$135,36,FALSE))*$F$2*20</f>
        <v>0</v>
      </c>
      <c r="N116" s="6">
        <f>IF(B116&gt;$N$2,0,VLOOKUP('Total income package'!$B$3,'Location specific data'!$A$3:$AO$135,37,FALSE))*($G$2+$H$2)*20</f>
        <v>600</v>
      </c>
      <c r="O116" s="6">
        <f t="shared" si="14"/>
        <v>500</v>
      </c>
      <c r="P116" s="312">
        <f t="shared" si="21"/>
        <v>231.25</v>
      </c>
      <c r="Q116" s="312">
        <f t="shared" si="16"/>
        <v>750</v>
      </c>
      <c r="R116" s="312">
        <f t="shared" si="20"/>
        <v>231.25</v>
      </c>
      <c r="S116" s="160">
        <f>IF(AND('Total income package'!$A$8=TRUE,OR(F116="Yes",G116="Yes",H116="Yes")),SUM(J116:N116)-R116,0)</f>
        <v>1768.75</v>
      </c>
    </row>
    <row r="117" spans="1:19" x14ac:dyDescent="0.3">
      <c r="A117" s="6">
        <v>56000</v>
      </c>
      <c r="B117" s="7">
        <f t="shared" si="22"/>
        <v>4666.666666666667</v>
      </c>
      <c r="C117" s="7">
        <f>'Total income package'!$D$80</f>
        <v>0</v>
      </c>
      <c r="D117" s="7">
        <f t="shared" si="18"/>
        <v>4666.666666666667</v>
      </c>
      <c r="E117" s="65">
        <f t="shared" si="19"/>
        <v>1.4477766287487073</v>
      </c>
      <c r="F117" s="65" t="str">
        <f t="shared" si="11"/>
        <v>Yes</v>
      </c>
      <c r="G117" s="65" t="str">
        <f t="shared" si="12"/>
        <v>Yes</v>
      </c>
      <c r="H117" s="301" t="str">
        <f>IF(OR('TANF-VIEW'!L121&gt;0,'TANF-VIEW'!T121&gt;0),"Yes","No")</f>
        <v>No</v>
      </c>
      <c r="I117" s="63">
        <f t="shared" si="13"/>
        <v>250</v>
      </c>
      <c r="J117" s="6">
        <f>(IF(B117&gt;$N$2,0,VLOOKUP('Total income package'!$B$3,'Location specific data'!$A$3:$AO$135,33,FALSE))*$C$2)*20</f>
        <v>1400</v>
      </c>
      <c r="K117" s="6">
        <f>IF(B117&gt;$N$2,0,VLOOKUP('Total income package'!$B$3,'Location specific data'!$A$3:$AO$135,34,FALSE))*$D$2*20</f>
        <v>0</v>
      </c>
      <c r="L117" s="6">
        <f>IF(B117&gt;$N$2,0,VLOOKUP('Total income package'!$B$3,'Location specific data'!$A$3:$AO$135,35,FALSE))*$E$2*20</f>
        <v>0</v>
      </c>
      <c r="M117" s="6">
        <f>IF(B117&gt;$N$2,0,VLOOKUP('Total income package'!$B$3,'Location specific data'!$A$3:$AO$135,36,FALSE))*$F$2*20</f>
        <v>0</v>
      </c>
      <c r="N117" s="6">
        <f>IF(B117&gt;$N$2,0,VLOOKUP('Total income package'!$B$3,'Location specific data'!$A$3:$AO$135,37,FALSE))*($G$2+$H$2)*20</f>
        <v>600</v>
      </c>
      <c r="O117" s="6">
        <f t="shared" si="14"/>
        <v>500</v>
      </c>
      <c r="P117" s="312">
        <f t="shared" si="21"/>
        <v>233.33333333333337</v>
      </c>
      <c r="Q117" s="312">
        <f t="shared" si="16"/>
        <v>750</v>
      </c>
      <c r="R117" s="312">
        <f t="shared" si="20"/>
        <v>233.33333333333337</v>
      </c>
      <c r="S117" s="160">
        <f>IF(AND('Total income package'!$A$8=TRUE,OR(F117="Yes",G117="Yes",H117="Yes")),SUM(J117:N117)-R117,0)</f>
        <v>1766.6666666666665</v>
      </c>
    </row>
    <row r="118" spans="1:19" x14ac:dyDescent="0.3">
      <c r="A118" s="6">
        <v>56500</v>
      </c>
      <c r="B118" s="7">
        <f t="shared" si="22"/>
        <v>4708.333333333333</v>
      </c>
      <c r="C118" s="7">
        <f>'Total income package'!$D$80</f>
        <v>0</v>
      </c>
      <c r="D118" s="7">
        <f t="shared" si="18"/>
        <v>4708.333333333333</v>
      </c>
      <c r="E118" s="65">
        <f t="shared" si="19"/>
        <v>1.4607032057911065</v>
      </c>
      <c r="F118" s="65" t="str">
        <f t="shared" si="11"/>
        <v>Yes</v>
      </c>
      <c r="G118" s="65" t="str">
        <f t="shared" si="12"/>
        <v>Yes</v>
      </c>
      <c r="H118" s="301" t="str">
        <f>IF(OR('TANF-VIEW'!L122&gt;0,'TANF-VIEW'!T122&gt;0),"Yes","No")</f>
        <v>No</v>
      </c>
      <c r="I118" s="63">
        <f t="shared" si="13"/>
        <v>250</v>
      </c>
      <c r="J118" s="6">
        <f>(IF(B118&gt;$N$2,0,VLOOKUP('Total income package'!$B$3,'Location specific data'!$A$3:$AO$135,33,FALSE))*$C$2)*20</f>
        <v>1400</v>
      </c>
      <c r="K118" s="6">
        <f>IF(B118&gt;$N$2,0,VLOOKUP('Total income package'!$B$3,'Location specific data'!$A$3:$AO$135,34,FALSE))*$D$2*20</f>
        <v>0</v>
      </c>
      <c r="L118" s="6">
        <f>IF(B118&gt;$N$2,0,VLOOKUP('Total income package'!$B$3,'Location specific data'!$A$3:$AO$135,35,FALSE))*$E$2*20</f>
        <v>0</v>
      </c>
      <c r="M118" s="6">
        <f>IF(B118&gt;$N$2,0,VLOOKUP('Total income package'!$B$3,'Location specific data'!$A$3:$AO$135,36,FALSE))*$F$2*20</f>
        <v>0</v>
      </c>
      <c r="N118" s="6">
        <f>IF(B118&gt;$N$2,0,VLOOKUP('Total income package'!$B$3,'Location specific data'!$A$3:$AO$135,37,FALSE))*($G$2+$H$2)*20</f>
        <v>600</v>
      </c>
      <c r="O118" s="6">
        <f t="shared" si="14"/>
        <v>500</v>
      </c>
      <c r="P118" s="312">
        <f t="shared" si="21"/>
        <v>235.41666666666666</v>
      </c>
      <c r="Q118" s="312">
        <f t="shared" si="16"/>
        <v>750</v>
      </c>
      <c r="R118" s="312">
        <f t="shared" si="20"/>
        <v>235.41666666666666</v>
      </c>
      <c r="S118" s="160">
        <f>IF(AND('Total income package'!$A$8=TRUE,OR(F118="Yes",G118="Yes",H118="Yes")),SUM(J118:N118)-R118,0)</f>
        <v>1764.5833333333333</v>
      </c>
    </row>
    <row r="119" spans="1:19" x14ac:dyDescent="0.3">
      <c r="A119" s="6">
        <v>57000</v>
      </c>
      <c r="B119" s="7">
        <f t="shared" si="22"/>
        <v>4750</v>
      </c>
      <c r="C119" s="7">
        <f>'Total income package'!$D$80</f>
        <v>0</v>
      </c>
      <c r="D119" s="7">
        <f t="shared" si="18"/>
        <v>4750</v>
      </c>
      <c r="E119" s="65">
        <f t="shared" si="19"/>
        <v>1.4736297828335057</v>
      </c>
      <c r="F119" s="65" t="str">
        <f t="shared" si="11"/>
        <v>Yes</v>
      </c>
      <c r="G119" s="65" t="str">
        <f t="shared" si="12"/>
        <v>Yes</v>
      </c>
      <c r="H119" s="301" t="str">
        <f>IF(OR('TANF-VIEW'!L123&gt;0,'TANF-VIEW'!T123&gt;0),"Yes","No")</f>
        <v>No</v>
      </c>
      <c r="I119" s="63">
        <f t="shared" si="13"/>
        <v>250</v>
      </c>
      <c r="J119" s="6">
        <f>(IF(B119&gt;$N$2,0,VLOOKUP('Total income package'!$B$3,'Location specific data'!$A$3:$AO$135,33,FALSE))*$C$2)*20</f>
        <v>1400</v>
      </c>
      <c r="K119" s="6">
        <f>IF(B119&gt;$N$2,0,VLOOKUP('Total income package'!$B$3,'Location specific data'!$A$3:$AO$135,34,FALSE))*$D$2*20</f>
        <v>0</v>
      </c>
      <c r="L119" s="6">
        <f>IF(B119&gt;$N$2,0,VLOOKUP('Total income package'!$B$3,'Location specific data'!$A$3:$AO$135,35,FALSE))*$E$2*20</f>
        <v>0</v>
      </c>
      <c r="M119" s="6">
        <f>IF(B119&gt;$N$2,0,VLOOKUP('Total income package'!$B$3,'Location specific data'!$A$3:$AO$135,36,FALSE))*$F$2*20</f>
        <v>0</v>
      </c>
      <c r="N119" s="6">
        <f>IF(B119&gt;$N$2,0,VLOOKUP('Total income package'!$B$3,'Location specific data'!$A$3:$AO$135,37,FALSE))*($G$2+$H$2)*20</f>
        <v>600</v>
      </c>
      <c r="O119" s="6">
        <f t="shared" si="14"/>
        <v>500</v>
      </c>
      <c r="P119" s="312">
        <f t="shared" si="21"/>
        <v>237.5</v>
      </c>
      <c r="Q119" s="312">
        <f t="shared" si="16"/>
        <v>750</v>
      </c>
      <c r="R119" s="312">
        <f t="shared" si="20"/>
        <v>237.5</v>
      </c>
      <c r="S119" s="160">
        <f>IF(AND('Total income package'!$A$8=TRUE,OR(F119="Yes",G119="Yes",H119="Yes")),SUM(J119:N119)-R119,0)</f>
        <v>1762.5</v>
      </c>
    </row>
    <row r="120" spans="1:19" x14ac:dyDescent="0.3">
      <c r="A120" s="6">
        <v>57500</v>
      </c>
      <c r="B120" s="7">
        <f t="shared" si="22"/>
        <v>4791.666666666667</v>
      </c>
      <c r="C120" s="7">
        <f>'Total income package'!$D$80</f>
        <v>0</v>
      </c>
      <c r="D120" s="7">
        <f t="shared" si="18"/>
        <v>4791.666666666667</v>
      </c>
      <c r="E120" s="65">
        <f t="shared" si="19"/>
        <v>1.4865563598759048</v>
      </c>
      <c r="F120" s="65" t="str">
        <f t="shared" si="11"/>
        <v>Yes</v>
      </c>
      <c r="G120" s="65" t="str">
        <f t="shared" si="12"/>
        <v>Yes</v>
      </c>
      <c r="H120" s="301" t="str">
        <f>IF(OR('TANF-VIEW'!L124&gt;0,'TANF-VIEW'!T124&gt;0),"Yes","No")</f>
        <v>No</v>
      </c>
      <c r="I120" s="63">
        <f t="shared" si="13"/>
        <v>250</v>
      </c>
      <c r="J120" s="6">
        <f>(IF(B120&gt;$N$2,0,VLOOKUP('Total income package'!$B$3,'Location specific data'!$A$3:$AO$135,33,FALSE))*$C$2)*20</f>
        <v>1400</v>
      </c>
      <c r="K120" s="6">
        <f>IF(B120&gt;$N$2,0,VLOOKUP('Total income package'!$B$3,'Location specific data'!$A$3:$AO$135,34,FALSE))*$D$2*20</f>
        <v>0</v>
      </c>
      <c r="L120" s="6">
        <f>IF(B120&gt;$N$2,0,VLOOKUP('Total income package'!$B$3,'Location specific data'!$A$3:$AO$135,35,FALSE))*$E$2*20</f>
        <v>0</v>
      </c>
      <c r="M120" s="6">
        <f>IF(B120&gt;$N$2,0,VLOOKUP('Total income package'!$B$3,'Location specific data'!$A$3:$AO$135,36,FALSE))*$F$2*20</f>
        <v>0</v>
      </c>
      <c r="N120" s="6">
        <f>IF(B120&gt;$N$2,0,VLOOKUP('Total income package'!$B$3,'Location specific data'!$A$3:$AO$135,37,FALSE))*($G$2+$H$2)*20</f>
        <v>600</v>
      </c>
      <c r="O120" s="6">
        <f t="shared" si="14"/>
        <v>500</v>
      </c>
      <c r="P120" s="312">
        <f t="shared" si="21"/>
        <v>239.58333333333337</v>
      </c>
      <c r="Q120" s="312">
        <f t="shared" si="16"/>
        <v>750</v>
      </c>
      <c r="R120" s="312">
        <f t="shared" si="20"/>
        <v>239.58333333333337</v>
      </c>
      <c r="S120" s="160">
        <f>IF(AND('Total income package'!$A$8=TRUE,OR(F120="Yes",G120="Yes",H120="Yes")),SUM(J120:N120)-R120,0)</f>
        <v>1760.4166666666665</v>
      </c>
    </row>
    <row r="121" spans="1:19" x14ac:dyDescent="0.3">
      <c r="A121" s="6">
        <v>58000</v>
      </c>
      <c r="B121" s="7">
        <f t="shared" si="22"/>
        <v>4833.333333333333</v>
      </c>
      <c r="C121" s="7">
        <f>'Total income package'!$D$80</f>
        <v>0</v>
      </c>
      <c r="D121" s="7">
        <f t="shared" si="18"/>
        <v>4833.333333333333</v>
      </c>
      <c r="E121" s="65">
        <f t="shared" si="19"/>
        <v>1.4994829369183038</v>
      </c>
      <c r="F121" s="65" t="str">
        <f t="shared" si="11"/>
        <v>Yes</v>
      </c>
      <c r="G121" s="65" t="str">
        <f t="shared" si="12"/>
        <v>Yes</v>
      </c>
      <c r="H121" s="301" t="str">
        <f>IF(OR('TANF-VIEW'!L125&gt;0,'TANF-VIEW'!T125&gt;0),"Yes","No")</f>
        <v>No</v>
      </c>
      <c r="I121" s="63">
        <f t="shared" si="13"/>
        <v>250</v>
      </c>
      <c r="J121" s="6">
        <f>(IF(B121&gt;$N$2,0,VLOOKUP('Total income package'!$B$3,'Location specific data'!$A$3:$AO$135,33,FALSE))*$C$2)*20</f>
        <v>1400</v>
      </c>
      <c r="K121" s="6">
        <f>IF(B121&gt;$N$2,0,VLOOKUP('Total income package'!$B$3,'Location specific data'!$A$3:$AO$135,34,FALSE))*$D$2*20</f>
        <v>0</v>
      </c>
      <c r="L121" s="6">
        <f>IF(B121&gt;$N$2,0,VLOOKUP('Total income package'!$B$3,'Location specific data'!$A$3:$AO$135,35,FALSE))*$E$2*20</f>
        <v>0</v>
      </c>
      <c r="M121" s="6">
        <f>IF(B121&gt;$N$2,0,VLOOKUP('Total income package'!$B$3,'Location specific data'!$A$3:$AO$135,36,FALSE))*$F$2*20</f>
        <v>0</v>
      </c>
      <c r="N121" s="6">
        <f>IF(B121&gt;$N$2,0,VLOOKUP('Total income package'!$B$3,'Location specific data'!$A$3:$AO$135,37,FALSE))*($G$2+$H$2)*20</f>
        <v>600</v>
      </c>
      <c r="O121" s="6">
        <f t="shared" si="14"/>
        <v>500</v>
      </c>
      <c r="P121" s="312">
        <f t="shared" si="21"/>
        <v>241.66666666666666</v>
      </c>
      <c r="Q121" s="312">
        <f t="shared" si="16"/>
        <v>750</v>
      </c>
      <c r="R121" s="312">
        <f t="shared" si="20"/>
        <v>241.66666666666666</v>
      </c>
      <c r="S121" s="160">
        <f>IF(AND('Total income package'!$A$8=TRUE,OR(F121="Yes",G121="Yes",H121="Yes")),SUM(J121:N121)-R121,0)</f>
        <v>1758.3333333333333</v>
      </c>
    </row>
    <row r="122" spans="1:19" x14ac:dyDescent="0.3">
      <c r="A122" s="6">
        <v>58500</v>
      </c>
      <c r="B122" s="7">
        <f t="shared" si="22"/>
        <v>4875</v>
      </c>
      <c r="C122" s="7">
        <f>'Total income package'!$D$80</f>
        <v>0</v>
      </c>
      <c r="D122" s="7">
        <f t="shared" si="18"/>
        <v>4875</v>
      </c>
      <c r="E122" s="65">
        <f t="shared" si="19"/>
        <v>1.5124095139607032</v>
      </c>
      <c r="F122" s="65" t="str">
        <f t="shared" si="11"/>
        <v>Yes</v>
      </c>
      <c r="G122" s="65" t="str">
        <f t="shared" si="12"/>
        <v>No</v>
      </c>
      <c r="H122" s="301" t="str">
        <f>IF(OR('TANF-VIEW'!L126&gt;0,'TANF-VIEW'!T126&gt;0),"Yes","No")</f>
        <v>No</v>
      </c>
      <c r="I122" s="63">
        <f t="shared" si="13"/>
        <v>350</v>
      </c>
      <c r="J122" s="6">
        <f>(IF(B122&gt;$N$2,0,VLOOKUP('Total income package'!$B$3,'Location specific data'!$A$3:$AO$135,33,FALSE))*$C$2)*20</f>
        <v>1400</v>
      </c>
      <c r="K122" s="6">
        <f>IF(B122&gt;$N$2,0,VLOOKUP('Total income package'!$B$3,'Location specific data'!$A$3:$AO$135,34,FALSE))*$D$2*20</f>
        <v>0</v>
      </c>
      <c r="L122" s="6">
        <f>IF(B122&gt;$N$2,0,VLOOKUP('Total income package'!$B$3,'Location specific data'!$A$3:$AO$135,35,FALSE))*$E$2*20</f>
        <v>0</v>
      </c>
      <c r="M122" s="6">
        <f>IF(B122&gt;$N$2,0,VLOOKUP('Total income package'!$B$3,'Location specific data'!$A$3:$AO$135,36,FALSE))*$F$2*20</f>
        <v>0</v>
      </c>
      <c r="N122" s="6">
        <f>IF(B122&gt;$N$2,0,VLOOKUP('Total income package'!$B$3,'Location specific data'!$A$3:$AO$135,37,FALSE))*($G$2+$H$2)*20</f>
        <v>600</v>
      </c>
      <c r="O122" s="6">
        <f t="shared" si="14"/>
        <v>700</v>
      </c>
      <c r="P122" s="312">
        <f t="shared" si="21"/>
        <v>243.75</v>
      </c>
      <c r="Q122" s="312">
        <f t="shared" si="16"/>
        <v>1050</v>
      </c>
      <c r="R122" s="312">
        <f t="shared" si="20"/>
        <v>243.75</v>
      </c>
      <c r="S122" s="160">
        <f>IF(AND('Total income package'!$A$8=TRUE,OR(F122="Yes",G122="Yes",H122="Yes")),SUM(J122:N122)-R122,0)</f>
        <v>1756.25</v>
      </c>
    </row>
    <row r="123" spans="1:19" x14ac:dyDescent="0.3">
      <c r="A123" s="6">
        <v>59000</v>
      </c>
      <c r="B123" s="7">
        <f t="shared" si="22"/>
        <v>4916.666666666667</v>
      </c>
      <c r="C123" s="7">
        <f>'Total income package'!$D$80</f>
        <v>0</v>
      </c>
      <c r="D123" s="7">
        <f t="shared" si="18"/>
        <v>4916.666666666667</v>
      </c>
      <c r="E123" s="65">
        <f t="shared" si="19"/>
        <v>1.5253360910031024</v>
      </c>
      <c r="F123" s="65" t="str">
        <f t="shared" si="11"/>
        <v>Yes</v>
      </c>
      <c r="G123" s="65" t="str">
        <f t="shared" si="12"/>
        <v>No</v>
      </c>
      <c r="H123" s="301" t="str">
        <f>IF(OR('TANF-VIEW'!L127&gt;0,'TANF-VIEW'!T127&gt;0),"Yes","No")</f>
        <v>No</v>
      </c>
      <c r="I123" s="63">
        <f t="shared" si="13"/>
        <v>350</v>
      </c>
      <c r="J123" s="6">
        <f>(IF(B123&gt;$N$2,0,VLOOKUP('Total income package'!$B$3,'Location specific data'!$A$3:$AO$135,33,FALSE))*$C$2)*20</f>
        <v>1400</v>
      </c>
      <c r="K123" s="6">
        <f>IF(B123&gt;$N$2,0,VLOOKUP('Total income package'!$B$3,'Location specific data'!$A$3:$AO$135,34,FALSE))*$D$2*20</f>
        <v>0</v>
      </c>
      <c r="L123" s="6">
        <f>IF(B123&gt;$N$2,0,VLOOKUP('Total income package'!$B$3,'Location specific data'!$A$3:$AO$135,35,FALSE))*$E$2*20</f>
        <v>0</v>
      </c>
      <c r="M123" s="6">
        <f>IF(B123&gt;$N$2,0,VLOOKUP('Total income package'!$B$3,'Location specific data'!$A$3:$AO$135,36,FALSE))*$F$2*20</f>
        <v>0</v>
      </c>
      <c r="N123" s="6">
        <f>IF(B123&gt;$N$2,0,VLOOKUP('Total income package'!$B$3,'Location specific data'!$A$3:$AO$135,37,FALSE))*($G$2+$H$2)*20</f>
        <v>600</v>
      </c>
      <c r="O123" s="6">
        <f t="shared" si="14"/>
        <v>700</v>
      </c>
      <c r="P123" s="312">
        <f t="shared" si="21"/>
        <v>245.83333333333337</v>
      </c>
      <c r="Q123" s="312">
        <f t="shared" si="16"/>
        <v>1050</v>
      </c>
      <c r="R123" s="312">
        <f t="shared" si="20"/>
        <v>245.83333333333337</v>
      </c>
      <c r="S123" s="160">
        <f>IF(AND('Total income package'!$A$8=TRUE,OR(F123="Yes",G123="Yes",H123="Yes")),SUM(J123:N123)-R123,0)</f>
        <v>1754.1666666666665</v>
      </c>
    </row>
    <row r="124" spans="1:19" x14ac:dyDescent="0.3">
      <c r="A124" s="6">
        <v>59500</v>
      </c>
      <c r="B124" s="7">
        <f t="shared" si="22"/>
        <v>4958.333333333333</v>
      </c>
      <c r="C124" s="7">
        <f>'Total income package'!$D$80</f>
        <v>0</v>
      </c>
      <c r="D124" s="7">
        <f t="shared" si="18"/>
        <v>4958.333333333333</v>
      </c>
      <c r="E124" s="65">
        <f t="shared" si="19"/>
        <v>1.5382626680455014</v>
      </c>
      <c r="F124" s="65" t="str">
        <f t="shared" si="11"/>
        <v>Yes</v>
      </c>
      <c r="G124" s="65" t="str">
        <f t="shared" si="12"/>
        <v>No</v>
      </c>
      <c r="H124" s="301" t="str">
        <f>IF(OR('TANF-VIEW'!L128&gt;0,'TANF-VIEW'!T128&gt;0),"Yes","No")</f>
        <v>No</v>
      </c>
      <c r="I124" s="63">
        <f t="shared" si="13"/>
        <v>350</v>
      </c>
      <c r="J124" s="6">
        <f>(IF(B124&gt;$N$2,0,VLOOKUP('Total income package'!$B$3,'Location specific data'!$A$3:$AO$135,33,FALSE))*$C$2)*20</f>
        <v>1400</v>
      </c>
      <c r="K124" s="6">
        <f>IF(B124&gt;$N$2,0,VLOOKUP('Total income package'!$B$3,'Location specific data'!$A$3:$AO$135,34,FALSE))*$D$2*20</f>
        <v>0</v>
      </c>
      <c r="L124" s="6">
        <f>IF(B124&gt;$N$2,0,VLOOKUP('Total income package'!$B$3,'Location specific data'!$A$3:$AO$135,35,FALSE))*$E$2*20</f>
        <v>0</v>
      </c>
      <c r="M124" s="6">
        <f>IF(B124&gt;$N$2,0,VLOOKUP('Total income package'!$B$3,'Location specific data'!$A$3:$AO$135,36,FALSE))*$F$2*20</f>
        <v>0</v>
      </c>
      <c r="N124" s="6">
        <f>IF(B124&gt;$N$2,0,VLOOKUP('Total income package'!$B$3,'Location specific data'!$A$3:$AO$135,37,FALSE))*($G$2+$H$2)*20</f>
        <v>600</v>
      </c>
      <c r="O124" s="6">
        <f t="shared" si="14"/>
        <v>700</v>
      </c>
      <c r="P124" s="312">
        <f t="shared" si="21"/>
        <v>247.91666666666666</v>
      </c>
      <c r="Q124" s="312">
        <f t="shared" si="16"/>
        <v>1050</v>
      </c>
      <c r="R124" s="312">
        <f t="shared" si="20"/>
        <v>247.91666666666666</v>
      </c>
      <c r="S124" s="160">
        <f>IF(AND('Total income package'!$A$8=TRUE,OR(F124="Yes",G124="Yes",H124="Yes")),SUM(J124:N124)-R124,0)</f>
        <v>1752.0833333333333</v>
      </c>
    </row>
    <row r="125" spans="1:19" x14ac:dyDescent="0.3">
      <c r="A125" s="6">
        <v>60000</v>
      </c>
      <c r="B125" s="7">
        <f t="shared" si="22"/>
        <v>5000</v>
      </c>
      <c r="C125" s="7">
        <f>'Total income package'!$D$80</f>
        <v>0</v>
      </c>
      <c r="D125" s="7">
        <f t="shared" si="18"/>
        <v>5000</v>
      </c>
      <c r="E125" s="65">
        <f t="shared" si="19"/>
        <v>1.5511892450879006</v>
      </c>
      <c r="F125" s="65" t="str">
        <f t="shared" si="11"/>
        <v>Yes</v>
      </c>
      <c r="G125" s="65" t="str">
        <f t="shared" si="12"/>
        <v>No</v>
      </c>
      <c r="H125" s="301" t="str">
        <f>IF(OR('TANF-VIEW'!L129&gt;0,'TANF-VIEW'!T129&gt;0),"Yes","No")</f>
        <v>No</v>
      </c>
      <c r="I125" s="63">
        <f t="shared" si="13"/>
        <v>350</v>
      </c>
      <c r="J125" s="6">
        <f>(IF(B125&gt;$N$2,0,VLOOKUP('Total income package'!$B$3,'Location specific data'!$A$3:$AO$135,33,FALSE))*$C$2)*20</f>
        <v>1400</v>
      </c>
      <c r="K125" s="6">
        <f>IF(B125&gt;$N$2,0,VLOOKUP('Total income package'!$B$3,'Location specific data'!$A$3:$AO$135,34,FALSE))*$D$2*20</f>
        <v>0</v>
      </c>
      <c r="L125" s="6">
        <f>IF(B125&gt;$N$2,0,VLOOKUP('Total income package'!$B$3,'Location specific data'!$A$3:$AO$135,35,FALSE))*$E$2*20</f>
        <v>0</v>
      </c>
      <c r="M125" s="6">
        <f>IF(B125&gt;$N$2,0,VLOOKUP('Total income package'!$B$3,'Location specific data'!$A$3:$AO$135,36,FALSE))*$F$2*20</f>
        <v>0</v>
      </c>
      <c r="N125" s="6">
        <f>IF(B125&gt;$N$2,0,VLOOKUP('Total income package'!$B$3,'Location specific data'!$A$3:$AO$135,37,FALSE))*($G$2+$H$2)*20</f>
        <v>600</v>
      </c>
      <c r="O125" s="6">
        <f t="shared" si="14"/>
        <v>700</v>
      </c>
      <c r="P125" s="312">
        <f t="shared" si="21"/>
        <v>250</v>
      </c>
      <c r="Q125" s="312">
        <f t="shared" si="16"/>
        <v>1050</v>
      </c>
      <c r="R125" s="312">
        <f t="shared" si="20"/>
        <v>250</v>
      </c>
      <c r="S125" s="160">
        <f>IF(AND('Total income package'!$A$8=TRUE,OR(F125="Yes",G125="Yes",H125="Yes")),SUM(J125:N125)-R125,0)</f>
        <v>1750</v>
      </c>
    </row>
    <row r="126" spans="1:19" x14ac:dyDescent="0.3">
      <c r="A126" s="6">
        <v>60500</v>
      </c>
      <c r="B126" s="7">
        <f t="shared" si="22"/>
        <v>5041.666666666667</v>
      </c>
      <c r="C126" s="7">
        <f>'Total income package'!$D$80</f>
        <v>0</v>
      </c>
      <c r="D126" s="7">
        <f t="shared" si="18"/>
        <v>5041.666666666667</v>
      </c>
      <c r="E126" s="65">
        <f t="shared" si="19"/>
        <v>1.5641158221303</v>
      </c>
      <c r="F126" s="65" t="str">
        <f t="shared" si="11"/>
        <v>Yes</v>
      </c>
      <c r="G126" s="65" t="str">
        <f t="shared" si="12"/>
        <v>No</v>
      </c>
      <c r="H126" s="301" t="str">
        <f>IF(OR('TANF-VIEW'!L130&gt;0,'TANF-VIEW'!T130&gt;0),"Yes","No")</f>
        <v>No</v>
      </c>
      <c r="I126" s="63">
        <f t="shared" si="13"/>
        <v>350</v>
      </c>
      <c r="J126" s="6">
        <f>(IF(B126&gt;$N$2,0,VLOOKUP('Total income package'!$B$3,'Location specific data'!$A$3:$AO$135,33,FALSE))*$C$2)*20</f>
        <v>1400</v>
      </c>
      <c r="K126" s="6">
        <f>IF(B126&gt;$N$2,0,VLOOKUP('Total income package'!$B$3,'Location specific data'!$A$3:$AO$135,34,FALSE))*$D$2*20</f>
        <v>0</v>
      </c>
      <c r="L126" s="6">
        <f>IF(B126&gt;$N$2,0,VLOOKUP('Total income package'!$B$3,'Location specific data'!$A$3:$AO$135,35,FALSE))*$E$2*20</f>
        <v>0</v>
      </c>
      <c r="M126" s="6">
        <f>IF(B126&gt;$N$2,0,VLOOKUP('Total income package'!$B$3,'Location specific data'!$A$3:$AO$135,36,FALSE))*$F$2*20</f>
        <v>0</v>
      </c>
      <c r="N126" s="6">
        <f>IF(B126&gt;$N$2,0,VLOOKUP('Total income package'!$B$3,'Location specific data'!$A$3:$AO$135,37,FALSE))*($G$2+$H$2)*20</f>
        <v>600</v>
      </c>
      <c r="O126" s="6">
        <f t="shared" si="14"/>
        <v>700</v>
      </c>
      <c r="P126" s="312">
        <f t="shared" si="21"/>
        <v>252.08333333333337</v>
      </c>
      <c r="Q126" s="312">
        <f t="shared" si="16"/>
        <v>1050</v>
      </c>
      <c r="R126" s="312">
        <f t="shared" si="20"/>
        <v>252.08333333333337</v>
      </c>
      <c r="S126" s="160">
        <f>IF(AND('Total income package'!$A$8=TRUE,OR(F126="Yes",G126="Yes",H126="Yes")),SUM(J126:N126)-R126,0)</f>
        <v>1747.9166666666665</v>
      </c>
    </row>
    <row r="127" spans="1:19" x14ac:dyDescent="0.3">
      <c r="A127" s="6">
        <v>61000</v>
      </c>
      <c r="B127" s="7">
        <f t="shared" si="22"/>
        <v>5083.333333333333</v>
      </c>
      <c r="C127" s="7">
        <f>'Total income package'!$D$80</f>
        <v>0</v>
      </c>
      <c r="D127" s="7">
        <f t="shared" si="18"/>
        <v>5083.333333333333</v>
      </c>
      <c r="E127" s="65">
        <f t="shared" si="19"/>
        <v>1.5770423991726989</v>
      </c>
      <c r="F127" s="65" t="str">
        <f t="shared" si="11"/>
        <v>Yes</v>
      </c>
      <c r="G127" s="65" t="str">
        <f t="shared" si="12"/>
        <v>No</v>
      </c>
      <c r="H127" s="301" t="str">
        <f>IF(OR('TANF-VIEW'!L131&gt;0,'TANF-VIEW'!T131&gt;0),"Yes","No")</f>
        <v>No</v>
      </c>
      <c r="I127" s="63">
        <f t="shared" si="13"/>
        <v>350</v>
      </c>
      <c r="J127" s="6">
        <f>(IF(B127&gt;$N$2,0,VLOOKUP('Total income package'!$B$3,'Location specific data'!$A$3:$AO$135,33,FALSE))*$C$2)*20</f>
        <v>1400</v>
      </c>
      <c r="K127" s="6">
        <f>IF(B127&gt;$N$2,0,VLOOKUP('Total income package'!$B$3,'Location specific data'!$A$3:$AO$135,34,FALSE))*$D$2*20</f>
        <v>0</v>
      </c>
      <c r="L127" s="6">
        <f>IF(B127&gt;$N$2,0,VLOOKUP('Total income package'!$B$3,'Location specific data'!$A$3:$AO$135,35,FALSE))*$E$2*20</f>
        <v>0</v>
      </c>
      <c r="M127" s="6">
        <f>IF(B127&gt;$N$2,0,VLOOKUP('Total income package'!$B$3,'Location specific data'!$A$3:$AO$135,36,FALSE))*$F$2*20</f>
        <v>0</v>
      </c>
      <c r="N127" s="6">
        <f>IF(B127&gt;$N$2,0,VLOOKUP('Total income package'!$B$3,'Location specific data'!$A$3:$AO$135,37,FALSE))*($G$2+$H$2)*20</f>
        <v>600</v>
      </c>
      <c r="O127" s="6">
        <f t="shared" si="14"/>
        <v>700</v>
      </c>
      <c r="P127" s="312">
        <f t="shared" si="21"/>
        <v>254.16666666666666</v>
      </c>
      <c r="Q127" s="312">
        <f t="shared" si="16"/>
        <v>1050</v>
      </c>
      <c r="R127" s="312">
        <f t="shared" si="20"/>
        <v>254.16666666666666</v>
      </c>
      <c r="S127" s="160">
        <f>IF(AND('Total income package'!$A$8=TRUE,OR(F127="Yes",G127="Yes",H127="Yes")),SUM(J127:N127)-R127,0)</f>
        <v>1745.8333333333333</v>
      </c>
    </row>
    <row r="128" spans="1:19" x14ac:dyDescent="0.3">
      <c r="A128" s="6">
        <v>61500</v>
      </c>
      <c r="B128" s="7">
        <f t="shared" si="22"/>
        <v>5125</v>
      </c>
      <c r="C128" s="7">
        <f>'Total income package'!$D$80</f>
        <v>0</v>
      </c>
      <c r="D128" s="7">
        <f t="shared" si="18"/>
        <v>5125</v>
      </c>
      <c r="E128" s="65">
        <f t="shared" si="19"/>
        <v>1.5899689762150981</v>
      </c>
      <c r="F128" s="65" t="str">
        <f t="shared" si="11"/>
        <v>Yes</v>
      </c>
      <c r="G128" s="65" t="str">
        <f t="shared" si="12"/>
        <v>No</v>
      </c>
      <c r="H128" s="301" t="str">
        <f>IF(OR('TANF-VIEW'!L132&gt;0,'TANF-VIEW'!T132&gt;0),"Yes","No")</f>
        <v>No</v>
      </c>
      <c r="I128" s="63">
        <f t="shared" si="13"/>
        <v>350</v>
      </c>
      <c r="J128" s="6">
        <f>(IF(B128&gt;$N$2,0,VLOOKUP('Total income package'!$B$3,'Location specific data'!$A$3:$AO$135,33,FALSE))*$C$2)*20</f>
        <v>1400</v>
      </c>
      <c r="K128" s="6">
        <f>IF(B128&gt;$N$2,0,VLOOKUP('Total income package'!$B$3,'Location specific data'!$A$3:$AO$135,34,FALSE))*$D$2*20</f>
        <v>0</v>
      </c>
      <c r="L128" s="6">
        <f>IF(B128&gt;$N$2,0,VLOOKUP('Total income package'!$B$3,'Location specific data'!$A$3:$AO$135,35,FALSE))*$E$2*20</f>
        <v>0</v>
      </c>
      <c r="M128" s="6">
        <f>IF(B128&gt;$N$2,0,VLOOKUP('Total income package'!$B$3,'Location specific data'!$A$3:$AO$135,36,FALSE))*$F$2*20</f>
        <v>0</v>
      </c>
      <c r="N128" s="6">
        <f>IF(B128&gt;$N$2,0,VLOOKUP('Total income package'!$B$3,'Location specific data'!$A$3:$AO$135,37,FALSE))*($G$2+$H$2)*20</f>
        <v>600</v>
      </c>
      <c r="O128" s="6">
        <f t="shared" si="14"/>
        <v>700</v>
      </c>
      <c r="P128" s="312">
        <f t="shared" si="21"/>
        <v>256.25</v>
      </c>
      <c r="Q128" s="312">
        <f t="shared" si="16"/>
        <v>1050</v>
      </c>
      <c r="R128" s="312">
        <f t="shared" si="20"/>
        <v>256.25</v>
      </c>
      <c r="S128" s="160">
        <f>IF(AND('Total income package'!$A$8=TRUE,OR(F128="Yes",G128="Yes",H128="Yes")),SUM(J128:N128)-R128,0)</f>
        <v>1743.75</v>
      </c>
    </row>
    <row r="129" spans="1:19" x14ac:dyDescent="0.3">
      <c r="A129" s="6">
        <v>62000</v>
      </c>
      <c r="B129" s="7">
        <f t="shared" si="22"/>
        <v>5166.666666666667</v>
      </c>
      <c r="C129" s="7">
        <f>'Total income package'!$D$80</f>
        <v>0</v>
      </c>
      <c r="D129" s="7">
        <f t="shared" si="18"/>
        <v>5166.666666666667</v>
      </c>
      <c r="E129" s="65">
        <f t="shared" si="19"/>
        <v>1.6028955532574973</v>
      </c>
      <c r="F129" s="65" t="str">
        <f t="shared" si="11"/>
        <v>Yes</v>
      </c>
      <c r="G129" s="65" t="str">
        <f t="shared" si="12"/>
        <v>No</v>
      </c>
      <c r="H129" s="301" t="str">
        <f>IF(OR('TANF-VIEW'!L133&gt;0,'TANF-VIEW'!T133&gt;0),"Yes","No")</f>
        <v>No</v>
      </c>
      <c r="I129" s="63">
        <f t="shared" si="13"/>
        <v>350</v>
      </c>
      <c r="J129" s="6">
        <f>(IF(B129&gt;$N$2,0,VLOOKUP('Total income package'!$B$3,'Location specific data'!$A$3:$AO$135,33,FALSE))*$C$2)*20</f>
        <v>1400</v>
      </c>
      <c r="K129" s="6">
        <f>IF(B129&gt;$N$2,0,VLOOKUP('Total income package'!$B$3,'Location specific data'!$A$3:$AO$135,34,FALSE))*$D$2*20</f>
        <v>0</v>
      </c>
      <c r="L129" s="6">
        <f>IF(B129&gt;$N$2,0,VLOOKUP('Total income package'!$B$3,'Location specific data'!$A$3:$AO$135,35,FALSE))*$E$2*20</f>
        <v>0</v>
      </c>
      <c r="M129" s="6">
        <f>IF(B129&gt;$N$2,0,VLOOKUP('Total income package'!$B$3,'Location specific data'!$A$3:$AO$135,36,FALSE))*$F$2*20</f>
        <v>0</v>
      </c>
      <c r="N129" s="6">
        <f>IF(B129&gt;$N$2,0,VLOOKUP('Total income package'!$B$3,'Location specific data'!$A$3:$AO$135,37,FALSE))*($G$2+$H$2)*20</f>
        <v>600</v>
      </c>
      <c r="O129" s="6">
        <f t="shared" si="14"/>
        <v>700</v>
      </c>
      <c r="P129" s="312">
        <f t="shared" si="21"/>
        <v>258.33333333333337</v>
      </c>
      <c r="Q129" s="312">
        <f t="shared" si="16"/>
        <v>1050</v>
      </c>
      <c r="R129" s="312">
        <f t="shared" si="20"/>
        <v>258.33333333333337</v>
      </c>
      <c r="S129" s="160">
        <f>IF(AND('Total income package'!$A$8=TRUE,OR(F129="Yes",G129="Yes",H129="Yes")),SUM(J129:N129)-R129,0)</f>
        <v>1741.6666666666665</v>
      </c>
    </row>
    <row r="130" spans="1:19" x14ac:dyDescent="0.3">
      <c r="A130" s="6">
        <v>62500</v>
      </c>
      <c r="B130" s="7">
        <f t="shared" si="22"/>
        <v>5208.333333333333</v>
      </c>
      <c r="C130" s="7">
        <f>'Total income package'!$D$80</f>
        <v>0</v>
      </c>
      <c r="D130" s="7">
        <f t="shared" si="18"/>
        <v>5208.333333333333</v>
      </c>
      <c r="E130" s="65">
        <f t="shared" si="19"/>
        <v>1.6158221302998965</v>
      </c>
      <c r="F130" s="65" t="str">
        <f t="shared" si="11"/>
        <v>Yes</v>
      </c>
      <c r="G130" s="65" t="str">
        <f t="shared" si="12"/>
        <v>No</v>
      </c>
      <c r="H130" s="301" t="str">
        <f>IF(OR('TANF-VIEW'!L134&gt;0,'TANF-VIEW'!T134&gt;0),"Yes","No")</f>
        <v>No</v>
      </c>
      <c r="I130" s="63">
        <f t="shared" si="13"/>
        <v>350</v>
      </c>
      <c r="J130" s="6">
        <f>(IF(B130&gt;$N$2,0,VLOOKUP('Total income package'!$B$3,'Location specific data'!$A$3:$AO$135,33,FALSE))*$C$2)*20</f>
        <v>1400</v>
      </c>
      <c r="K130" s="6">
        <f>IF(B130&gt;$N$2,0,VLOOKUP('Total income package'!$B$3,'Location specific data'!$A$3:$AO$135,34,FALSE))*$D$2*20</f>
        <v>0</v>
      </c>
      <c r="L130" s="6">
        <f>IF(B130&gt;$N$2,0,VLOOKUP('Total income package'!$B$3,'Location specific data'!$A$3:$AO$135,35,FALSE))*$E$2*20</f>
        <v>0</v>
      </c>
      <c r="M130" s="6">
        <f>IF(B130&gt;$N$2,0,VLOOKUP('Total income package'!$B$3,'Location specific data'!$A$3:$AO$135,36,FALSE))*$F$2*20</f>
        <v>0</v>
      </c>
      <c r="N130" s="6">
        <f>IF(B130&gt;$N$2,0,VLOOKUP('Total income package'!$B$3,'Location specific data'!$A$3:$AO$135,37,FALSE))*($G$2+$H$2)*20</f>
        <v>600</v>
      </c>
      <c r="O130" s="6">
        <f t="shared" si="14"/>
        <v>700</v>
      </c>
      <c r="P130" s="312">
        <f t="shared" si="21"/>
        <v>260.41666666666669</v>
      </c>
      <c r="Q130" s="312">
        <f t="shared" si="16"/>
        <v>1050</v>
      </c>
      <c r="R130" s="312">
        <f t="shared" si="20"/>
        <v>260.41666666666669</v>
      </c>
      <c r="S130" s="160">
        <f>IF(AND('Total income package'!$A$8=TRUE,OR(F130="Yes",G130="Yes",H130="Yes")),SUM(J130:N130)-R130,0)</f>
        <v>1739.5833333333333</v>
      </c>
    </row>
    <row r="131" spans="1:19" x14ac:dyDescent="0.3">
      <c r="A131" s="6">
        <v>63000</v>
      </c>
      <c r="B131" s="7">
        <f t="shared" si="22"/>
        <v>5250</v>
      </c>
      <c r="C131" s="7">
        <f>'Total income package'!$D$80</f>
        <v>0</v>
      </c>
      <c r="D131" s="7">
        <f t="shared" si="18"/>
        <v>5250</v>
      </c>
      <c r="E131" s="65">
        <f t="shared" si="19"/>
        <v>1.6287487073422957</v>
      </c>
      <c r="F131" s="65" t="str">
        <f t="shared" si="11"/>
        <v>Yes</v>
      </c>
      <c r="G131" s="65" t="str">
        <f t="shared" si="12"/>
        <v>No</v>
      </c>
      <c r="H131" s="301" t="str">
        <f>IF(OR('TANF-VIEW'!L135&gt;0,'TANF-VIEW'!T135&gt;0),"Yes","No")</f>
        <v>No</v>
      </c>
      <c r="I131" s="63">
        <f t="shared" si="13"/>
        <v>350</v>
      </c>
      <c r="J131" s="6">
        <f>(IF(B131&gt;$N$2,0,VLOOKUP('Total income package'!$B$3,'Location specific data'!$A$3:$AO$135,33,FALSE))*$C$2)*20</f>
        <v>1400</v>
      </c>
      <c r="K131" s="6">
        <f>IF(B131&gt;$N$2,0,VLOOKUP('Total income package'!$B$3,'Location specific data'!$A$3:$AO$135,34,FALSE))*$D$2*20</f>
        <v>0</v>
      </c>
      <c r="L131" s="6">
        <f>IF(B131&gt;$N$2,0,VLOOKUP('Total income package'!$B$3,'Location specific data'!$A$3:$AO$135,35,FALSE))*$E$2*20</f>
        <v>0</v>
      </c>
      <c r="M131" s="6">
        <f>IF(B131&gt;$N$2,0,VLOOKUP('Total income package'!$B$3,'Location specific data'!$A$3:$AO$135,36,FALSE))*$F$2*20</f>
        <v>0</v>
      </c>
      <c r="N131" s="6">
        <f>IF(B131&gt;$N$2,0,VLOOKUP('Total income package'!$B$3,'Location specific data'!$A$3:$AO$135,37,FALSE))*($G$2+$H$2)*20</f>
        <v>600</v>
      </c>
      <c r="O131" s="6">
        <f t="shared" si="14"/>
        <v>700</v>
      </c>
      <c r="P131" s="312">
        <f t="shared" si="21"/>
        <v>262.5</v>
      </c>
      <c r="Q131" s="312">
        <f t="shared" si="16"/>
        <v>1050</v>
      </c>
      <c r="R131" s="312">
        <f t="shared" si="20"/>
        <v>262.5</v>
      </c>
      <c r="S131" s="160">
        <f>IF(AND('Total income package'!$A$8=TRUE,OR(F131="Yes",G131="Yes",H131="Yes")),SUM(J131:N131)-R131,0)</f>
        <v>1737.5</v>
      </c>
    </row>
    <row r="132" spans="1:19" x14ac:dyDescent="0.3">
      <c r="A132" s="6">
        <v>63500</v>
      </c>
      <c r="B132" s="7">
        <f t="shared" si="22"/>
        <v>5291.666666666667</v>
      </c>
      <c r="C132" s="7">
        <f>'Total income package'!$D$80</f>
        <v>0</v>
      </c>
      <c r="D132" s="7">
        <f t="shared" si="18"/>
        <v>5291.666666666667</v>
      </c>
      <c r="E132" s="65">
        <f t="shared" si="19"/>
        <v>1.6416752843846949</v>
      </c>
      <c r="F132" s="65" t="str">
        <f t="shared" si="11"/>
        <v>Yes</v>
      </c>
      <c r="G132" s="65" t="str">
        <f t="shared" si="12"/>
        <v>No</v>
      </c>
      <c r="H132" s="301" t="str">
        <f>IF(OR('TANF-VIEW'!L136&gt;0,'TANF-VIEW'!T136&gt;0),"Yes","No")</f>
        <v>No</v>
      </c>
      <c r="I132" s="63">
        <f t="shared" si="13"/>
        <v>350</v>
      </c>
      <c r="J132" s="6">
        <f>(IF(B132&gt;$N$2,0,VLOOKUP('Total income package'!$B$3,'Location specific data'!$A$3:$AO$135,33,FALSE))*$C$2)*20</f>
        <v>1400</v>
      </c>
      <c r="K132" s="6">
        <f>IF(B132&gt;$N$2,0,VLOOKUP('Total income package'!$B$3,'Location specific data'!$A$3:$AO$135,34,FALSE))*$D$2*20</f>
        <v>0</v>
      </c>
      <c r="L132" s="6">
        <f>IF(B132&gt;$N$2,0,VLOOKUP('Total income package'!$B$3,'Location specific data'!$A$3:$AO$135,35,FALSE))*$E$2*20</f>
        <v>0</v>
      </c>
      <c r="M132" s="6">
        <f>IF(B132&gt;$N$2,0,VLOOKUP('Total income package'!$B$3,'Location specific data'!$A$3:$AO$135,36,FALSE))*$F$2*20</f>
        <v>0</v>
      </c>
      <c r="N132" s="6">
        <f>IF(B132&gt;$N$2,0,VLOOKUP('Total income package'!$B$3,'Location specific data'!$A$3:$AO$135,37,FALSE))*($G$2+$H$2)*20</f>
        <v>600</v>
      </c>
      <c r="O132" s="6">
        <f t="shared" si="14"/>
        <v>700</v>
      </c>
      <c r="P132" s="312">
        <f t="shared" si="21"/>
        <v>264.58333333333337</v>
      </c>
      <c r="Q132" s="312">
        <f t="shared" si="16"/>
        <v>1050</v>
      </c>
      <c r="R132" s="312">
        <f t="shared" si="20"/>
        <v>264.58333333333337</v>
      </c>
      <c r="S132" s="160">
        <f>IF(AND('Total income package'!$A$8=TRUE,OR(F132="Yes",G132="Yes",H132="Yes")),SUM(J132:N132)-R132,0)</f>
        <v>1735.4166666666665</v>
      </c>
    </row>
    <row r="133" spans="1:19" x14ac:dyDescent="0.3">
      <c r="A133" s="6">
        <v>64000</v>
      </c>
      <c r="B133" s="7">
        <f t="shared" si="22"/>
        <v>5333.333333333333</v>
      </c>
      <c r="C133" s="7">
        <f>'Total income package'!$D$80</f>
        <v>0</v>
      </c>
      <c r="D133" s="7">
        <f t="shared" si="18"/>
        <v>5333.333333333333</v>
      </c>
      <c r="E133" s="65">
        <f t="shared" si="19"/>
        <v>1.6546018614270939</v>
      </c>
      <c r="F133" s="65" t="str">
        <f t="shared" ref="F133:F196" si="23">IF(AND(B133&lt;$N$2,SUM($C$2:$F$2)&gt;0),"Yes","No")</f>
        <v>Yes</v>
      </c>
      <c r="G133" s="65" t="str">
        <f t="shared" ref="G133:G196" si="24">IF(B133&lt;$M$2,"Yes","No")</f>
        <v>No</v>
      </c>
      <c r="H133" s="301" t="str">
        <f>IF(OR('TANF-VIEW'!L137&gt;0,'TANF-VIEW'!T137&gt;0),"Yes","No")</f>
        <v>No</v>
      </c>
      <c r="I133" s="63">
        <f t="shared" ref="I133:I196" si="25">IF(B133&gt;=$N$2,0,IF(E133&gt;3.5,375*SUM($C$2:$H$2),IF(E133&gt;3,325*SUM($C$2:$H$2),IF(E133&gt;2.5,275*SUM($C$2:$H$2),IF(E133&gt;2,225*SUM($C$2:$H$2),IF(E133&gt;1.5,175*SUM($C$2:$H$2),IF(E133&gt;1,125*SUM($C$2:$H$2),IF(E133&gt;0,5*SUM($C$2:$H$2),0))))))))</f>
        <v>350</v>
      </c>
      <c r="J133" s="6">
        <f>(IF(B133&gt;$N$2,0,VLOOKUP('Total income package'!$B$3,'Location specific data'!$A$3:$AO$135,33,FALSE))*$C$2)*20</f>
        <v>1400</v>
      </c>
      <c r="K133" s="6">
        <f>IF(B133&gt;$N$2,0,VLOOKUP('Total income package'!$B$3,'Location specific data'!$A$3:$AO$135,34,FALSE))*$D$2*20</f>
        <v>0</v>
      </c>
      <c r="L133" s="6">
        <f>IF(B133&gt;$N$2,0,VLOOKUP('Total income package'!$B$3,'Location specific data'!$A$3:$AO$135,35,FALSE))*$E$2*20</f>
        <v>0</v>
      </c>
      <c r="M133" s="6">
        <f>IF(B133&gt;$N$2,0,VLOOKUP('Total income package'!$B$3,'Location specific data'!$A$3:$AO$135,36,FALSE))*$F$2*20</f>
        <v>0</v>
      </c>
      <c r="N133" s="6">
        <f>IF(B133&gt;$N$2,0,VLOOKUP('Total income package'!$B$3,'Location specific data'!$A$3:$AO$135,37,FALSE))*($G$2+$H$2)*20</f>
        <v>600</v>
      </c>
      <c r="O133" s="6">
        <f t="shared" ref="O133:O196" si="26">I133*SUM($C$2:$H$2)</f>
        <v>700</v>
      </c>
      <c r="P133" s="312">
        <f t="shared" ref="P133:P164" si="27">B133*0.05</f>
        <v>266.66666666666669</v>
      </c>
      <c r="Q133" s="312">
        <f t="shared" ref="Q133:Q196" si="28">I133*3</f>
        <v>1050</v>
      </c>
      <c r="R133" s="312">
        <f t="shared" si="20"/>
        <v>266.66666666666669</v>
      </c>
      <c r="S133" s="160">
        <f>IF(AND('Total income package'!$A$8=TRUE,OR(F133="Yes",G133="Yes",H133="Yes")),SUM(J133:N133)-R133,0)</f>
        <v>1733.3333333333333</v>
      </c>
    </row>
    <row r="134" spans="1:19" x14ac:dyDescent="0.3">
      <c r="A134" s="6">
        <v>64500</v>
      </c>
      <c r="B134" s="7">
        <f t="shared" si="22"/>
        <v>5375</v>
      </c>
      <c r="C134" s="7">
        <f>'Total income package'!$D$80</f>
        <v>0</v>
      </c>
      <c r="D134" s="7">
        <f t="shared" ref="D134:D197" si="29">B134+C134</f>
        <v>5375</v>
      </c>
      <c r="E134" s="65">
        <f t="shared" ref="E134:E197" si="30">D134/$K$2</f>
        <v>1.6675284384694933</v>
      </c>
      <c r="F134" s="65" t="str">
        <f t="shared" si="23"/>
        <v>Yes</v>
      </c>
      <c r="G134" s="65" t="str">
        <f t="shared" si="24"/>
        <v>No</v>
      </c>
      <c r="H134" s="301" t="str">
        <f>IF(OR('TANF-VIEW'!L138&gt;0,'TANF-VIEW'!T138&gt;0),"Yes","No")</f>
        <v>No</v>
      </c>
      <c r="I134" s="63">
        <f t="shared" si="25"/>
        <v>350</v>
      </c>
      <c r="J134" s="6">
        <f>(IF(B134&gt;$N$2,0,VLOOKUP('Total income package'!$B$3,'Location specific data'!$A$3:$AO$135,33,FALSE))*$C$2)*20</f>
        <v>1400</v>
      </c>
      <c r="K134" s="6">
        <f>IF(B134&gt;$N$2,0,VLOOKUP('Total income package'!$B$3,'Location specific data'!$A$3:$AO$135,34,FALSE))*$D$2*20</f>
        <v>0</v>
      </c>
      <c r="L134" s="6">
        <f>IF(B134&gt;$N$2,0,VLOOKUP('Total income package'!$B$3,'Location specific data'!$A$3:$AO$135,35,FALSE))*$E$2*20</f>
        <v>0</v>
      </c>
      <c r="M134" s="6">
        <f>IF(B134&gt;$N$2,0,VLOOKUP('Total income package'!$B$3,'Location specific data'!$A$3:$AO$135,36,FALSE))*$F$2*20</f>
        <v>0</v>
      </c>
      <c r="N134" s="6">
        <f>IF(B134&gt;$N$2,0,VLOOKUP('Total income package'!$B$3,'Location specific data'!$A$3:$AO$135,37,FALSE))*($G$2+$H$2)*20</f>
        <v>600</v>
      </c>
      <c r="O134" s="6">
        <f t="shared" si="26"/>
        <v>700</v>
      </c>
      <c r="P134" s="312">
        <f t="shared" si="27"/>
        <v>268.75</v>
      </c>
      <c r="Q134" s="312">
        <f t="shared" si="28"/>
        <v>1050</v>
      </c>
      <c r="R134" s="312">
        <f t="shared" ref="R134:R197" si="31">IF(MIN(O134,P134)&lt;Q134,MIN(O134,P134),Q134)</f>
        <v>268.75</v>
      </c>
      <c r="S134" s="160">
        <f>IF(AND('Total income package'!$A$8=TRUE,OR(F134="Yes",G134="Yes",H134="Yes")),SUM(J134:N134)-R134,0)</f>
        <v>1731.25</v>
      </c>
    </row>
    <row r="135" spans="1:19" x14ac:dyDescent="0.3">
      <c r="A135" s="6">
        <v>65000</v>
      </c>
      <c r="B135" s="7">
        <f t="shared" si="22"/>
        <v>5416.666666666667</v>
      </c>
      <c r="C135" s="7">
        <f>'Total income package'!$D$80</f>
        <v>0</v>
      </c>
      <c r="D135" s="7">
        <f t="shared" si="29"/>
        <v>5416.666666666667</v>
      </c>
      <c r="E135" s="65">
        <f t="shared" si="30"/>
        <v>1.6804550155118925</v>
      </c>
      <c r="F135" s="65" t="str">
        <f t="shared" si="23"/>
        <v>Yes</v>
      </c>
      <c r="G135" s="65" t="str">
        <f t="shared" si="24"/>
        <v>No</v>
      </c>
      <c r="H135" s="301" t="str">
        <f>IF(OR('TANF-VIEW'!L139&gt;0,'TANF-VIEW'!T139&gt;0),"Yes","No")</f>
        <v>No</v>
      </c>
      <c r="I135" s="63">
        <f t="shared" si="25"/>
        <v>350</v>
      </c>
      <c r="J135" s="6">
        <f>(IF(B135&gt;$N$2,0,VLOOKUP('Total income package'!$B$3,'Location specific data'!$A$3:$AO$135,33,FALSE))*$C$2)*20</f>
        <v>1400</v>
      </c>
      <c r="K135" s="6">
        <f>IF(B135&gt;$N$2,0,VLOOKUP('Total income package'!$B$3,'Location specific data'!$A$3:$AO$135,34,FALSE))*$D$2*20</f>
        <v>0</v>
      </c>
      <c r="L135" s="6">
        <f>IF(B135&gt;$N$2,0,VLOOKUP('Total income package'!$B$3,'Location specific data'!$A$3:$AO$135,35,FALSE))*$E$2*20</f>
        <v>0</v>
      </c>
      <c r="M135" s="6">
        <f>IF(B135&gt;$N$2,0,VLOOKUP('Total income package'!$B$3,'Location specific data'!$A$3:$AO$135,36,FALSE))*$F$2*20</f>
        <v>0</v>
      </c>
      <c r="N135" s="6">
        <f>IF(B135&gt;$N$2,0,VLOOKUP('Total income package'!$B$3,'Location specific data'!$A$3:$AO$135,37,FALSE))*($G$2+$H$2)*20</f>
        <v>600</v>
      </c>
      <c r="O135" s="6">
        <f t="shared" si="26"/>
        <v>700</v>
      </c>
      <c r="P135" s="312">
        <f t="shared" si="27"/>
        <v>270.83333333333337</v>
      </c>
      <c r="Q135" s="312">
        <f t="shared" si="28"/>
        <v>1050</v>
      </c>
      <c r="R135" s="312">
        <f t="shared" si="31"/>
        <v>270.83333333333337</v>
      </c>
      <c r="S135" s="160">
        <f>IF(AND('Total income package'!$A$8=TRUE,OR(F135="Yes",G135="Yes",H135="Yes")),SUM(J135:N135)-R135,0)</f>
        <v>1729.1666666666665</v>
      </c>
    </row>
    <row r="136" spans="1:19" x14ac:dyDescent="0.3">
      <c r="A136" s="6">
        <v>65500</v>
      </c>
      <c r="B136" s="7">
        <f t="shared" si="22"/>
        <v>5458.333333333333</v>
      </c>
      <c r="C136" s="7">
        <f>'Total income package'!$D$80</f>
        <v>0</v>
      </c>
      <c r="D136" s="7">
        <f t="shared" si="29"/>
        <v>5458.333333333333</v>
      </c>
      <c r="E136" s="65">
        <f t="shared" si="30"/>
        <v>1.6933815925542914</v>
      </c>
      <c r="F136" s="65" t="str">
        <f t="shared" si="23"/>
        <v>Yes</v>
      </c>
      <c r="G136" s="65" t="str">
        <f t="shared" si="24"/>
        <v>No</v>
      </c>
      <c r="H136" s="301" t="str">
        <f>IF(OR('TANF-VIEW'!L140&gt;0,'TANF-VIEW'!T140&gt;0),"Yes","No")</f>
        <v>No</v>
      </c>
      <c r="I136" s="63">
        <f t="shared" si="25"/>
        <v>350</v>
      </c>
      <c r="J136" s="6">
        <f>(IF(B136&gt;$N$2,0,VLOOKUP('Total income package'!$B$3,'Location specific data'!$A$3:$AO$135,33,FALSE))*$C$2)*20</f>
        <v>1400</v>
      </c>
      <c r="K136" s="6">
        <f>IF(B136&gt;$N$2,0,VLOOKUP('Total income package'!$B$3,'Location specific data'!$A$3:$AO$135,34,FALSE))*$D$2*20</f>
        <v>0</v>
      </c>
      <c r="L136" s="6">
        <f>IF(B136&gt;$N$2,0,VLOOKUP('Total income package'!$B$3,'Location specific data'!$A$3:$AO$135,35,FALSE))*$E$2*20</f>
        <v>0</v>
      </c>
      <c r="M136" s="6">
        <f>IF(B136&gt;$N$2,0,VLOOKUP('Total income package'!$B$3,'Location specific data'!$A$3:$AO$135,36,FALSE))*$F$2*20</f>
        <v>0</v>
      </c>
      <c r="N136" s="6">
        <f>IF(B136&gt;$N$2,0,VLOOKUP('Total income package'!$B$3,'Location specific data'!$A$3:$AO$135,37,FALSE))*($G$2+$H$2)*20</f>
        <v>600</v>
      </c>
      <c r="O136" s="6">
        <f t="shared" si="26"/>
        <v>700</v>
      </c>
      <c r="P136" s="312">
        <f t="shared" si="27"/>
        <v>272.91666666666669</v>
      </c>
      <c r="Q136" s="312">
        <f t="shared" si="28"/>
        <v>1050</v>
      </c>
      <c r="R136" s="312">
        <f t="shared" si="31"/>
        <v>272.91666666666669</v>
      </c>
      <c r="S136" s="160">
        <f>IF(AND('Total income package'!$A$8=TRUE,OR(F136="Yes",G136="Yes",H136="Yes")),SUM(J136:N136)-R136,0)</f>
        <v>1727.0833333333333</v>
      </c>
    </row>
    <row r="137" spans="1:19" x14ac:dyDescent="0.3">
      <c r="A137" s="6">
        <v>66000</v>
      </c>
      <c r="B137" s="7">
        <f t="shared" si="22"/>
        <v>5500</v>
      </c>
      <c r="C137" s="7">
        <f>'Total income package'!$D$80</f>
        <v>0</v>
      </c>
      <c r="D137" s="7">
        <f t="shared" si="29"/>
        <v>5500</v>
      </c>
      <c r="E137" s="65">
        <f t="shared" si="30"/>
        <v>1.7063081695966906</v>
      </c>
      <c r="F137" s="65" t="str">
        <f t="shared" si="23"/>
        <v>Yes</v>
      </c>
      <c r="G137" s="65" t="str">
        <f t="shared" si="24"/>
        <v>No</v>
      </c>
      <c r="H137" s="301" t="str">
        <f>IF(OR('TANF-VIEW'!L141&gt;0,'TANF-VIEW'!T141&gt;0),"Yes","No")</f>
        <v>No</v>
      </c>
      <c r="I137" s="63">
        <f t="shared" si="25"/>
        <v>350</v>
      </c>
      <c r="J137" s="6">
        <f>(IF(B137&gt;$N$2,0,VLOOKUP('Total income package'!$B$3,'Location specific data'!$A$3:$AO$135,33,FALSE))*$C$2)*20</f>
        <v>1400</v>
      </c>
      <c r="K137" s="6">
        <f>IF(B137&gt;$N$2,0,VLOOKUP('Total income package'!$B$3,'Location specific data'!$A$3:$AO$135,34,FALSE))*$D$2*20</f>
        <v>0</v>
      </c>
      <c r="L137" s="6">
        <f>IF(B137&gt;$N$2,0,VLOOKUP('Total income package'!$B$3,'Location specific data'!$A$3:$AO$135,35,FALSE))*$E$2*20</f>
        <v>0</v>
      </c>
      <c r="M137" s="6">
        <f>IF(B137&gt;$N$2,0,VLOOKUP('Total income package'!$B$3,'Location specific data'!$A$3:$AO$135,36,FALSE))*$F$2*20</f>
        <v>0</v>
      </c>
      <c r="N137" s="6">
        <f>IF(B137&gt;$N$2,0,VLOOKUP('Total income package'!$B$3,'Location specific data'!$A$3:$AO$135,37,FALSE))*($G$2+$H$2)*20</f>
        <v>600</v>
      </c>
      <c r="O137" s="6">
        <f t="shared" si="26"/>
        <v>700</v>
      </c>
      <c r="P137" s="312">
        <f t="shared" si="27"/>
        <v>275</v>
      </c>
      <c r="Q137" s="312">
        <f t="shared" si="28"/>
        <v>1050</v>
      </c>
      <c r="R137" s="312">
        <f t="shared" si="31"/>
        <v>275</v>
      </c>
      <c r="S137" s="160">
        <f>IF(AND('Total income package'!$A$8=TRUE,OR(F137="Yes",G137="Yes",H137="Yes")),SUM(J137:N137)-R137,0)</f>
        <v>1725</v>
      </c>
    </row>
    <row r="138" spans="1:19" x14ac:dyDescent="0.3">
      <c r="A138" s="6">
        <v>66500</v>
      </c>
      <c r="B138" s="7">
        <f t="shared" si="22"/>
        <v>5541.666666666667</v>
      </c>
      <c r="C138" s="7">
        <f>'Total income package'!$D$80</f>
        <v>0</v>
      </c>
      <c r="D138" s="7">
        <f t="shared" si="29"/>
        <v>5541.666666666667</v>
      </c>
      <c r="E138" s="65">
        <f t="shared" si="30"/>
        <v>1.71923474663909</v>
      </c>
      <c r="F138" s="65" t="str">
        <f t="shared" si="23"/>
        <v>Yes</v>
      </c>
      <c r="G138" s="65" t="str">
        <f t="shared" si="24"/>
        <v>No</v>
      </c>
      <c r="H138" s="301" t="str">
        <f>IF(OR('TANF-VIEW'!L142&gt;0,'TANF-VIEW'!T142&gt;0),"Yes","No")</f>
        <v>No</v>
      </c>
      <c r="I138" s="63">
        <f t="shared" si="25"/>
        <v>350</v>
      </c>
      <c r="J138" s="6">
        <f>(IF(B138&gt;$N$2,0,VLOOKUP('Total income package'!$B$3,'Location specific data'!$A$3:$AO$135,33,FALSE))*$C$2)*20</f>
        <v>1400</v>
      </c>
      <c r="K138" s="6">
        <f>IF(B138&gt;$N$2,0,VLOOKUP('Total income package'!$B$3,'Location specific data'!$A$3:$AO$135,34,FALSE))*$D$2*20</f>
        <v>0</v>
      </c>
      <c r="L138" s="6">
        <f>IF(B138&gt;$N$2,0,VLOOKUP('Total income package'!$B$3,'Location specific data'!$A$3:$AO$135,35,FALSE))*$E$2*20</f>
        <v>0</v>
      </c>
      <c r="M138" s="6">
        <f>IF(B138&gt;$N$2,0,VLOOKUP('Total income package'!$B$3,'Location specific data'!$A$3:$AO$135,36,FALSE))*$F$2*20</f>
        <v>0</v>
      </c>
      <c r="N138" s="6">
        <f>IF(B138&gt;$N$2,0,VLOOKUP('Total income package'!$B$3,'Location specific data'!$A$3:$AO$135,37,FALSE))*($G$2+$H$2)*20</f>
        <v>600</v>
      </c>
      <c r="O138" s="6">
        <f t="shared" si="26"/>
        <v>700</v>
      </c>
      <c r="P138" s="312">
        <f t="shared" si="27"/>
        <v>277.08333333333337</v>
      </c>
      <c r="Q138" s="312">
        <f t="shared" si="28"/>
        <v>1050</v>
      </c>
      <c r="R138" s="312">
        <f t="shared" si="31"/>
        <v>277.08333333333337</v>
      </c>
      <c r="S138" s="160">
        <f>IF(AND('Total income package'!$A$8=TRUE,OR(F138="Yes",G138="Yes",H138="Yes")),SUM(J138:N138)-R138,0)</f>
        <v>1722.9166666666665</v>
      </c>
    </row>
    <row r="139" spans="1:19" x14ac:dyDescent="0.3">
      <c r="A139" s="6">
        <v>67000</v>
      </c>
      <c r="B139" s="7">
        <f t="shared" si="22"/>
        <v>5583.333333333333</v>
      </c>
      <c r="C139" s="7">
        <f>'Total income package'!$D$80</f>
        <v>0</v>
      </c>
      <c r="D139" s="7">
        <f t="shared" si="29"/>
        <v>5583.333333333333</v>
      </c>
      <c r="E139" s="65">
        <f t="shared" si="30"/>
        <v>1.732161323681489</v>
      </c>
      <c r="F139" s="65" t="str">
        <f t="shared" si="23"/>
        <v>Yes</v>
      </c>
      <c r="G139" s="65" t="str">
        <f t="shared" si="24"/>
        <v>No</v>
      </c>
      <c r="H139" s="301" t="str">
        <f>IF(OR('TANF-VIEW'!L143&gt;0,'TANF-VIEW'!T143&gt;0),"Yes","No")</f>
        <v>No</v>
      </c>
      <c r="I139" s="63">
        <f t="shared" si="25"/>
        <v>350</v>
      </c>
      <c r="J139" s="6">
        <f>(IF(B139&gt;$N$2,0,VLOOKUP('Total income package'!$B$3,'Location specific data'!$A$3:$AO$135,33,FALSE))*$C$2)*20</f>
        <v>1400</v>
      </c>
      <c r="K139" s="6">
        <f>IF(B139&gt;$N$2,0,VLOOKUP('Total income package'!$B$3,'Location specific data'!$A$3:$AO$135,34,FALSE))*$D$2*20</f>
        <v>0</v>
      </c>
      <c r="L139" s="6">
        <f>IF(B139&gt;$N$2,0,VLOOKUP('Total income package'!$B$3,'Location specific data'!$A$3:$AO$135,35,FALSE))*$E$2*20</f>
        <v>0</v>
      </c>
      <c r="M139" s="6">
        <f>IF(B139&gt;$N$2,0,VLOOKUP('Total income package'!$B$3,'Location specific data'!$A$3:$AO$135,36,FALSE))*$F$2*20</f>
        <v>0</v>
      </c>
      <c r="N139" s="6">
        <f>IF(B139&gt;$N$2,0,VLOOKUP('Total income package'!$B$3,'Location specific data'!$A$3:$AO$135,37,FALSE))*($G$2+$H$2)*20</f>
        <v>600</v>
      </c>
      <c r="O139" s="6">
        <f t="shared" si="26"/>
        <v>700</v>
      </c>
      <c r="P139" s="312">
        <f t="shared" si="27"/>
        <v>279.16666666666669</v>
      </c>
      <c r="Q139" s="312">
        <f t="shared" si="28"/>
        <v>1050</v>
      </c>
      <c r="R139" s="312">
        <f t="shared" si="31"/>
        <v>279.16666666666669</v>
      </c>
      <c r="S139" s="160">
        <f>IF(AND('Total income package'!$A$8=TRUE,OR(F139="Yes",G139="Yes",H139="Yes")),SUM(J139:N139)-R139,0)</f>
        <v>1720.8333333333333</v>
      </c>
    </row>
    <row r="140" spans="1:19" x14ac:dyDescent="0.3">
      <c r="A140" s="6">
        <v>67500</v>
      </c>
      <c r="B140" s="7">
        <f t="shared" si="22"/>
        <v>5625</v>
      </c>
      <c r="C140" s="7">
        <f>'Total income package'!$D$80</f>
        <v>0</v>
      </c>
      <c r="D140" s="7">
        <f t="shared" si="29"/>
        <v>5625</v>
      </c>
      <c r="E140" s="65">
        <f t="shared" si="30"/>
        <v>1.7450879007238882</v>
      </c>
      <c r="F140" s="65" t="str">
        <f t="shared" si="23"/>
        <v>Yes</v>
      </c>
      <c r="G140" s="65" t="str">
        <f t="shared" si="24"/>
        <v>No</v>
      </c>
      <c r="H140" s="301" t="str">
        <f>IF(OR('TANF-VIEW'!L144&gt;0,'TANF-VIEW'!T144&gt;0),"Yes","No")</f>
        <v>No</v>
      </c>
      <c r="I140" s="63">
        <f t="shared" si="25"/>
        <v>350</v>
      </c>
      <c r="J140" s="6">
        <f>(IF(B140&gt;$N$2,0,VLOOKUP('Total income package'!$B$3,'Location specific data'!$A$3:$AO$135,33,FALSE))*$C$2)*20</f>
        <v>1400</v>
      </c>
      <c r="K140" s="6">
        <f>IF(B140&gt;$N$2,0,VLOOKUP('Total income package'!$B$3,'Location specific data'!$A$3:$AO$135,34,FALSE))*$D$2*20</f>
        <v>0</v>
      </c>
      <c r="L140" s="6">
        <f>IF(B140&gt;$N$2,0,VLOOKUP('Total income package'!$B$3,'Location specific data'!$A$3:$AO$135,35,FALSE))*$E$2*20</f>
        <v>0</v>
      </c>
      <c r="M140" s="6">
        <f>IF(B140&gt;$N$2,0,VLOOKUP('Total income package'!$B$3,'Location specific data'!$A$3:$AO$135,36,FALSE))*$F$2*20</f>
        <v>0</v>
      </c>
      <c r="N140" s="6">
        <f>IF(B140&gt;$N$2,0,VLOOKUP('Total income package'!$B$3,'Location specific data'!$A$3:$AO$135,37,FALSE))*($G$2+$H$2)*20</f>
        <v>600</v>
      </c>
      <c r="O140" s="6">
        <f t="shared" si="26"/>
        <v>700</v>
      </c>
      <c r="P140" s="312">
        <f t="shared" si="27"/>
        <v>281.25</v>
      </c>
      <c r="Q140" s="312">
        <f t="shared" si="28"/>
        <v>1050</v>
      </c>
      <c r="R140" s="312">
        <f t="shared" si="31"/>
        <v>281.25</v>
      </c>
      <c r="S140" s="160">
        <f>IF(AND('Total income package'!$A$8=TRUE,OR(F140="Yes",G140="Yes",H140="Yes")),SUM(J140:N140)-R140,0)</f>
        <v>1718.75</v>
      </c>
    </row>
    <row r="141" spans="1:19" x14ac:dyDescent="0.3">
      <c r="A141" s="6">
        <v>68000</v>
      </c>
      <c r="B141" s="7">
        <f t="shared" si="22"/>
        <v>5666.666666666667</v>
      </c>
      <c r="C141" s="7">
        <f>'Total income package'!$D$80</f>
        <v>0</v>
      </c>
      <c r="D141" s="7">
        <f t="shared" si="29"/>
        <v>5666.666666666667</v>
      </c>
      <c r="E141" s="65">
        <f t="shared" si="30"/>
        <v>1.7580144777662876</v>
      </c>
      <c r="F141" s="65" t="str">
        <f t="shared" si="23"/>
        <v>Yes</v>
      </c>
      <c r="G141" s="65" t="str">
        <f t="shared" si="24"/>
        <v>No</v>
      </c>
      <c r="H141" s="301" t="str">
        <f>IF(OR('TANF-VIEW'!L145&gt;0,'TANF-VIEW'!T145&gt;0),"Yes","No")</f>
        <v>No</v>
      </c>
      <c r="I141" s="63">
        <f t="shared" si="25"/>
        <v>350</v>
      </c>
      <c r="J141" s="6">
        <f>(IF(B141&gt;$N$2,0,VLOOKUP('Total income package'!$B$3,'Location specific data'!$A$3:$AO$135,33,FALSE))*$C$2)*20</f>
        <v>1400</v>
      </c>
      <c r="K141" s="6">
        <f>IF(B141&gt;$N$2,0,VLOOKUP('Total income package'!$B$3,'Location specific data'!$A$3:$AO$135,34,FALSE))*$D$2*20</f>
        <v>0</v>
      </c>
      <c r="L141" s="6">
        <f>IF(B141&gt;$N$2,0,VLOOKUP('Total income package'!$B$3,'Location specific data'!$A$3:$AO$135,35,FALSE))*$E$2*20</f>
        <v>0</v>
      </c>
      <c r="M141" s="6">
        <f>IF(B141&gt;$N$2,0,VLOOKUP('Total income package'!$B$3,'Location specific data'!$A$3:$AO$135,36,FALSE))*$F$2*20</f>
        <v>0</v>
      </c>
      <c r="N141" s="6">
        <f>IF(B141&gt;$N$2,0,VLOOKUP('Total income package'!$B$3,'Location specific data'!$A$3:$AO$135,37,FALSE))*($G$2+$H$2)*20</f>
        <v>600</v>
      </c>
      <c r="O141" s="6">
        <f t="shared" si="26"/>
        <v>700</v>
      </c>
      <c r="P141" s="312">
        <f t="shared" si="27"/>
        <v>283.33333333333337</v>
      </c>
      <c r="Q141" s="312">
        <f t="shared" si="28"/>
        <v>1050</v>
      </c>
      <c r="R141" s="312">
        <f t="shared" si="31"/>
        <v>283.33333333333337</v>
      </c>
      <c r="S141" s="160">
        <f>IF(AND('Total income package'!$A$8=TRUE,OR(F141="Yes",G141="Yes",H141="Yes")),SUM(J141:N141)-R141,0)</f>
        <v>1716.6666666666665</v>
      </c>
    </row>
    <row r="142" spans="1:19" x14ac:dyDescent="0.3">
      <c r="A142" s="6">
        <v>68500</v>
      </c>
      <c r="B142" s="7">
        <f t="shared" si="22"/>
        <v>5708.333333333333</v>
      </c>
      <c r="C142" s="7">
        <f>'Total income package'!$D$80</f>
        <v>0</v>
      </c>
      <c r="D142" s="7">
        <f t="shared" si="29"/>
        <v>5708.333333333333</v>
      </c>
      <c r="E142" s="65">
        <f t="shared" si="30"/>
        <v>1.7709410548086866</v>
      </c>
      <c r="F142" s="65" t="str">
        <f t="shared" si="23"/>
        <v>Yes</v>
      </c>
      <c r="G142" s="65" t="str">
        <f t="shared" si="24"/>
        <v>No</v>
      </c>
      <c r="H142" s="301" t="str">
        <f>IF(OR('TANF-VIEW'!L146&gt;0,'TANF-VIEW'!T146&gt;0),"Yes","No")</f>
        <v>No</v>
      </c>
      <c r="I142" s="63">
        <f t="shared" si="25"/>
        <v>350</v>
      </c>
      <c r="J142" s="6">
        <f>(IF(B142&gt;$N$2,0,VLOOKUP('Total income package'!$B$3,'Location specific data'!$A$3:$AO$135,33,FALSE))*$C$2)*20</f>
        <v>1400</v>
      </c>
      <c r="K142" s="6">
        <f>IF(B142&gt;$N$2,0,VLOOKUP('Total income package'!$B$3,'Location specific data'!$A$3:$AO$135,34,FALSE))*$D$2*20</f>
        <v>0</v>
      </c>
      <c r="L142" s="6">
        <f>IF(B142&gt;$N$2,0,VLOOKUP('Total income package'!$B$3,'Location specific data'!$A$3:$AO$135,35,FALSE))*$E$2*20</f>
        <v>0</v>
      </c>
      <c r="M142" s="6">
        <f>IF(B142&gt;$N$2,0,VLOOKUP('Total income package'!$B$3,'Location specific data'!$A$3:$AO$135,36,FALSE))*$F$2*20</f>
        <v>0</v>
      </c>
      <c r="N142" s="6">
        <f>IF(B142&gt;$N$2,0,VLOOKUP('Total income package'!$B$3,'Location specific data'!$A$3:$AO$135,37,FALSE))*($G$2+$H$2)*20</f>
        <v>600</v>
      </c>
      <c r="O142" s="6">
        <f t="shared" si="26"/>
        <v>700</v>
      </c>
      <c r="P142" s="312">
        <f t="shared" si="27"/>
        <v>285.41666666666669</v>
      </c>
      <c r="Q142" s="312">
        <f t="shared" si="28"/>
        <v>1050</v>
      </c>
      <c r="R142" s="312">
        <f t="shared" si="31"/>
        <v>285.41666666666669</v>
      </c>
      <c r="S142" s="160">
        <f>IF(AND('Total income package'!$A$8=TRUE,OR(F142="Yes",G142="Yes",H142="Yes")),SUM(J142:N142)-R142,0)</f>
        <v>1714.5833333333333</v>
      </c>
    </row>
    <row r="143" spans="1:19" x14ac:dyDescent="0.3">
      <c r="A143" s="6">
        <v>69000</v>
      </c>
      <c r="B143" s="7">
        <f t="shared" si="22"/>
        <v>5750</v>
      </c>
      <c r="C143" s="7">
        <f>'Total income package'!$D$80</f>
        <v>0</v>
      </c>
      <c r="D143" s="7">
        <f t="shared" si="29"/>
        <v>5750</v>
      </c>
      <c r="E143" s="65">
        <f t="shared" si="30"/>
        <v>1.7838676318510858</v>
      </c>
      <c r="F143" s="65" t="str">
        <f t="shared" si="23"/>
        <v>Yes</v>
      </c>
      <c r="G143" s="65" t="str">
        <f t="shared" si="24"/>
        <v>No</v>
      </c>
      <c r="H143" s="301" t="str">
        <f>IF(OR('TANF-VIEW'!L147&gt;0,'TANF-VIEW'!T147&gt;0),"Yes","No")</f>
        <v>No</v>
      </c>
      <c r="I143" s="63">
        <f t="shared" si="25"/>
        <v>350</v>
      </c>
      <c r="J143" s="6">
        <f>(IF(B143&gt;$N$2,0,VLOOKUP('Total income package'!$B$3,'Location specific data'!$A$3:$AO$135,33,FALSE))*$C$2)*20</f>
        <v>1400</v>
      </c>
      <c r="K143" s="6">
        <f>IF(B143&gt;$N$2,0,VLOOKUP('Total income package'!$B$3,'Location specific data'!$A$3:$AO$135,34,FALSE))*$D$2*20</f>
        <v>0</v>
      </c>
      <c r="L143" s="6">
        <f>IF(B143&gt;$N$2,0,VLOOKUP('Total income package'!$B$3,'Location specific data'!$A$3:$AO$135,35,FALSE))*$E$2*20</f>
        <v>0</v>
      </c>
      <c r="M143" s="6">
        <f>IF(B143&gt;$N$2,0,VLOOKUP('Total income package'!$B$3,'Location specific data'!$A$3:$AO$135,36,FALSE))*$F$2*20</f>
        <v>0</v>
      </c>
      <c r="N143" s="6">
        <f>IF(B143&gt;$N$2,0,VLOOKUP('Total income package'!$B$3,'Location specific data'!$A$3:$AO$135,37,FALSE))*($G$2+$H$2)*20</f>
        <v>600</v>
      </c>
      <c r="O143" s="6">
        <f t="shared" si="26"/>
        <v>700</v>
      </c>
      <c r="P143" s="312">
        <f t="shared" si="27"/>
        <v>287.5</v>
      </c>
      <c r="Q143" s="312">
        <f t="shared" si="28"/>
        <v>1050</v>
      </c>
      <c r="R143" s="312">
        <f t="shared" si="31"/>
        <v>287.5</v>
      </c>
      <c r="S143" s="160">
        <f>IF(AND('Total income package'!$A$8=TRUE,OR(F143="Yes",G143="Yes",H143="Yes")),SUM(J143:N143)-R143,0)</f>
        <v>1712.5</v>
      </c>
    </row>
    <row r="144" spans="1:19" x14ac:dyDescent="0.3">
      <c r="A144" s="6">
        <v>69500</v>
      </c>
      <c r="B144" s="7">
        <f t="shared" si="22"/>
        <v>5791.666666666667</v>
      </c>
      <c r="C144" s="7">
        <f>'Total income package'!$D$80</f>
        <v>0</v>
      </c>
      <c r="D144" s="7">
        <f t="shared" si="29"/>
        <v>5791.666666666667</v>
      </c>
      <c r="E144" s="65">
        <f t="shared" si="30"/>
        <v>1.796794208893485</v>
      </c>
      <c r="F144" s="65" t="str">
        <f t="shared" si="23"/>
        <v>Yes</v>
      </c>
      <c r="G144" s="65" t="str">
        <f t="shared" si="24"/>
        <v>No</v>
      </c>
      <c r="H144" s="301" t="str">
        <f>IF(OR('TANF-VIEW'!L148&gt;0,'TANF-VIEW'!T148&gt;0),"Yes","No")</f>
        <v>No</v>
      </c>
      <c r="I144" s="63">
        <f t="shared" si="25"/>
        <v>350</v>
      </c>
      <c r="J144" s="6">
        <f>(IF(B144&gt;$N$2,0,VLOOKUP('Total income package'!$B$3,'Location specific data'!$A$3:$AO$135,33,FALSE))*$C$2)*20</f>
        <v>1400</v>
      </c>
      <c r="K144" s="6">
        <f>IF(B144&gt;$N$2,0,VLOOKUP('Total income package'!$B$3,'Location specific data'!$A$3:$AO$135,34,FALSE))*$D$2*20</f>
        <v>0</v>
      </c>
      <c r="L144" s="6">
        <f>IF(B144&gt;$N$2,0,VLOOKUP('Total income package'!$B$3,'Location specific data'!$A$3:$AO$135,35,FALSE))*$E$2*20</f>
        <v>0</v>
      </c>
      <c r="M144" s="6">
        <f>IF(B144&gt;$N$2,0,VLOOKUP('Total income package'!$B$3,'Location specific data'!$A$3:$AO$135,36,FALSE))*$F$2*20</f>
        <v>0</v>
      </c>
      <c r="N144" s="6">
        <f>IF(B144&gt;$N$2,0,VLOOKUP('Total income package'!$B$3,'Location specific data'!$A$3:$AO$135,37,FALSE))*($G$2+$H$2)*20</f>
        <v>600</v>
      </c>
      <c r="O144" s="6">
        <f t="shared" si="26"/>
        <v>700</v>
      </c>
      <c r="P144" s="312">
        <f t="shared" si="27"/>
        <v>289.58333333333337</v>
      </c>
      <c r="Q144" s="312">
        <f t="shared" si="28"/>
        <v>1050</v>
      </c>
      <c r="R144" s="312">
        <f t="shared" si="31"/>
        <v>289.58333333333337</v>
      </c>
      <c r="S144" s="160">
        <f>IF(AND('Total income package'!$A$8=TRUE,OR(F144="Yes",G144="Yes",H144="Yes")),SUM(J144:N144)-R144,0)</f>
        <v>1710.4166666666665</v>
      </c>
    </row>
    <row r="145" spans="1:19" x14ac:dyDescent="0.3">
      <c r="A145" s="6">
        <v>70000</v>
      </c>
      <c r="B145" s="7">
        <f t="shared" si="22"/>
        <v>5833.333333333333</v>
      </c>
      <c r="C145" s="7">
        <f>'Total income package'!$D$80</f>
        <v>0</v>
      </c>
      <c r="D145" s="7">
        <f t="shared" si="29"/>
        <v>5833.333333333333</v>
      </c>
      <c r="E145" s="65">
        <f t="shared" si="30"/>
        <v>1.8097207859358839</v>
      </c>
      <c r="F145" s="65" t="str">
        <f t="shared" si="23"/>
        <v>Yes</v>
      </c>
      <c r="G145" s="65" t="str">
        <f t="shared" si="24"/>
        <v>No</v>
      </c>
      <c r="H145" s="301" t="str">
        <f>IF(OR('TANF-VIEW'!L149&gt;0,'TANF-VIEW'!T149&gt;0),"Yes","No")</f>
        <v>No</v>
      </c>
      <c r="I145" s="63">
        <f t="shared" si="25"/>
        <v>350</v>
      </c>
      <c r="J145" s="6">
        <f>(IF(B145&gt;$N$2,0,VLOOKUP('Total income package'!$B$3,'Location specific data'!$A$3:$AO$135,33,FALSE))*$C$2)*20</f>
        <v>1400</v>
      </c>
      <c r="K145" s="6">
        <f>IF(B145&gt;$N$2,0,VLOOKUP('Total income package'!$B$3,'Location specific data'!$A$3:$AO$135,34,FALSE))*$D$2*20</f>
        <v>0</v>
      </c>
      <c r="L145" s="6">
        <f>IF(B145&gt;$N$2,0,VLOOKUP('Total income package'!$B$3,'Location specific data'!$A$3:$AO$135,35,FALSE))*$E$2*20</f>
        <v>0</v>
      </c>
      <c r="M145" s="6">
        <f>IF(B145&gt;$N$2,0,VLOOKUP('Total income package'!$B$3,'Location specific data'!$A$3:$AO$135,36,FALSE))*$F$2*20</f>
        <v>0</v>
      </c>
      <c r="N145" s="6">
        <f>IF(B145&gt;$N$2,0,VLOOKUP('Total income package'!$B$3,'Location specific data'!$A$3:$AO$135,37,FALSE))*($G$2+$H$2)*20</f>
        <v>600</v>
      </c>
      <c r="O145" s="6">
        <f t="shared" si="26"/>
        <v>700</v>
      </c>
      <c r="P145" s="312">
        <f t="shared" si="27"/>
        <v>291.66666666666669</v>
      </c>
      <c r="Q145" s="312">
        <f t="shared" si="28"/>
        <v>1050</v>
      </c>
      <c r="R145" s="312">
        <f t="shared" si="31"/>
        <v>291.66666666666669</v>
      </c>
      <c r="S145" s="160">
        <f>IF(AND('Total income package'!$A$8=TRUE,OR(F145="Yes",G145="Yes",H145="Yes")),SUM(J145:N145)-R145,0)</f>
        <v>1708.3333333333333</v>
      </c>
    </row>
    <row r="146" spans="1:19" x14ac:dyDescent="0.3">
      <c r="A146" s="6">
        <v>70500</v>
      </c>
      <c r="B146" s="7">
        <f t="shared" si="22"/>
        <v>5875</v>
      </c>
      <c r="C146" s="7">
        <f>'Total income package'!$D$80</f>
        <v>0</v>
      </c>
      <c r="D146" s="7">
        <f t="shared" si="29"/>
        <v>5875</v>
      </c>
      <c r="E146" s="65">
        <f t="shared" si="30"/>
        <v>1.8226473629782833</v>
      </c>
      <c r="F146" s="65" t="str">
        <f t="shared" si="23"/>
        <v>Yes</v>
      </c>
      <c r="G146" s="65" t="str">
        <f t="shared" si="24"/>
        <v>No</v>
      </c>
      <c r="H146" s="301" t="str">
        <f>IF(OR('TANF-VIEW'!L150&gt;0,'TANF-VIEW'!T150&gt;0),"Yes","No")</f>
        <v>No</v>
      </c>
      <c r="I146" s="63">
        <f t="shared" si="25"/>
        <v>350</v>
      </c>
      <c r="J146" s="6">
        <f>(IF(B146&gt;$N$2,0,VLOOKUP('Total income package'!$B$3,'Location specific data'!$A$3:$AO$135,33,FALSE))*$C$2)*20</f>
        <v>1400</v>
      </c>
      <c r="K146" s="6">
        <f>IF(B146&gt;$N$2,0,VLOOKUP('Total income package'!$B$3,'Location specific data'!$A$3:$AO$135,34,FALSE))*$D$2*20</f>
        <v>0</v>
      </c>
      <c r="L146" s="6">
        <f>IF(B146&gt;$N$2,0,VLOOKUP('Total income package'!$B$3,'Location specific data'!$A$3:$AO$135,35,FALSE))*$E$2*20</f>
        <v>0</v>
      </c>
      <c r="M146" s="6">
        <f>IF(B146&gt;$N$2,0,VLOOKUP('Total income package'!$B$3,'Location specific data'!$A$3:$AO$135,36,FALSE))*$F$2*20</f>
        <v>0</v>
      </c>
      <c r="N146" s="6">
        <f>IF(B146&gt;$N$2,0,VLOOKUP('Total income package'!$B$3,'Location specific data'!$A$3:$AO$135,37,FALSE))*($G$2+$H$2)*20</f>
        <v>600</v>
      </c>
      <c r="O146" s="6">
        <f t="shared" si="26"/>
        <v>700</v>
      </c>
      <c r="P146" s="312">
        <f t="shared" si="27"/>
        <v>293.75</v>
      </c>
      <c r="Q146" s="312">
        <f t="shared" si="28"/>
        <v>1050</v>
      </c>
      <c r="R146" s="312">
        <f t="shared" si="31"/>
        <v>293.75</v>
      </c>
      <c r="S146" s="160">
        <f>IF(AND('Total income package'!$A$8=TRUE,OR(F146="Yes",G146="Yes",H146="Yes")),SUM(J146:N146)-R146,0)</f>
        <v>1706.25</v>
      </c>
    </row>
    <row r="147" spans="1:19" x14ac:dyDescent="0.3">
      <c r="A147" s="6">
        <v>71000</v>
      </c>
      <c r="B147" s="7">
        <f t="shared" si="22"/>
        <v>5916.666666666667</v>
      </c>
      <c r="C147" s="7">
        <f>'Total income package'!$D$80</f>
        <v>0</v>
      </c>
      <c r="D147" s="7">
        <f t="shared" si="29"/>
        <v>5916.666666666667</v>
      </c>
      <c r="E147" s="65">
        <f t="shared" si="30"/>
        <v>1.8355739400206825</v>
      </c>
      <c r="F147" s="65" t="str">
        <f t="shared" si="23"/>
        <v>Yes</v>
      </c>
      <c r="G147" s="65" t="str">
        <f t="shared" si="24"/>
        <v>No</v>
      </c>
      <c r="H147" s="301" t="str">
        <f>IF(OR('TANF-VIEW'!L151&gt;0,'TANF-VIEW'!T151&gt;0),"Yes","No")</f>
        <v>No</v>
      </c>
      <c r="I147" s="63">
        <f t="shared" si="25"/>
        <v>350</v>
      </c>
      <c r="J147" s="6">
        <f>(IF(B147&gt;$N$2,0,VLOOKUP('Total income package'!$B$3,'Location specific data'!$A$3:$AO$135,33,FALSE))*$C$2)*20</f>
        <v>1400</v>
      </c>
      <c r="K147" s="6">
        <f>IF(B147&gt;$N$2,0,VLOOKUP('Total income package'!$B$3,'Location specific data'!$A$3:$AO$135,34,FALSE))*$D$2*20</f>
        <v>0</v>
      </c>
      <c r="L147" s="6">
        <f>IF(B147&gt;$N$2,0,VLOOKUP('Total income package'!$B$3,'Location specific data'!$A$3:$AO$135,35,FALSE))*$E$2*20</f>
        <v>0</v>
      </c>
      <c r="M147" s="6">
        <f>IF(B147&gt;$N$2,0,VLOOKUP('Total income package'!$B$3,'Location specific data'!$A$3:$AO$135,36,FALSE))*$F$2*20</f>
        <v>0</v>
      </c>
      <c r="N147" s="6">
        <f>IF(B147&gt;$N$2,0,VLOOKUP('Total income package'!$B$3,'Location specific data'!$A$3:$AO$135,37,FALSE))*($G$2+$H$2)*20</f>
        <v>600</v>
      </c>
      <c r="O147" s="6">
        <f t="shared" si="26"/>
        <v>700</v>
      </c>
      <c r="P147" s="312">
        <f t="shared" si="27"/>
        <v>295.83333333333337</v>
      </c>
      <c r="Q147" s="312">
        <f t="shared" si="28"/>
        <v>1050</v>
      </c>
      <c r="R147" s="312">
        <f t="shared" si="31"/>
        <v>295.83333333333337</v>
      </c>
      <c r="S147" s="160">
        <f>IF(AND('Total income package'!$A$8=TRUE,OR(F147="Yes",G147="Yes",H147="Yes")),SUM(J147:N147)-R147,0)</f>
        <v>1704.1666666666665</v>
      </c>
    </row>
    <row r="148" spans="1:19" x14ac:dyDescent="0.3">
      <c r="A148" s="6">
        <v>71500</v>
      </c>
      <c r="B148" s="7">
        <f t="shared" si="22"/>
        <v>5958.333333333333</v>
      </c>
      <c r="C148" s="7">
        <f>'Total income package'!$D$80</f>
        <v>0</v>
      </c>
      <c r="D148" s="7">
        <f t="shared" si="29"/>
        <v>5958.333333333333</v>
      </c>
      <c r="E148" s="65">
        <f t="shared" si="30"/>
        <v>1.8485005170630815</v>
      </c>
      <c r="F148" s="65" t="str">
        <f t="shared" si="23"/>
        <v>Yes</v>
      </c>
      <c r="G148" s="65" t="str">
        <f t="shared" si="24"/>
        <v>No</v>
      </c>
      <c r="H148" s="301" t="str">
        <f>IF(OR('TANF-VIEW'!L152&gt;0,'TANF-VIEW'!T152&gt;0),"Yes","No")</f>
        <v>No</v>
      </c>
      <c r="I148" s="63">
        <f t="shared" si="25"/>
        <v>350</v>
      </c>
      <c r="J148" s="6">
        <f>(IF(B148&gt;$N$2,0,VLOOKUP('Total income package'!$B$3,'Location specific data'!$A$3:$AO$135,33,FALSE))*$C$2)*20</f>
        <v>1400</v>
      </c>
      <c r="K148" s="6">
        <f>IF(B148&gt;$N$2,0,VLOOKUP('Total income package'!$B$3,'Location specific data'!$A$3:$AO$135,34,FALSE))*$D$2*20</f>
        <v>0</v>
      </c>
      <c r="L148" s="6">
        <f>IF(B148&gt;$N$2,0,VLOOKUP('Total income package'!$B$3,'Location specific data'!$A$3:$AO$135,35,FALSE))*$E$2*20</f>
        <v>0</v>
      </c>
      <c r="M148" s="6">
        <f>IF(B148&gt;$N$2,0,VLOOKUP('Total income package'!$B$3,'Location specific data'!$A$3:$AO$135,36,FALSE))*$F$2*20</f>
        <v>0</v>
      </c>
      <c r="N148" s="6">
        <f>IF(B148&gt;$N$2,0,VLOOKUP('Total income package'!$B$3,'Location specific data'!$A$3:$AO$135,37,FALSE))*($G$2+$H$2)*20</f>
        <v>600</v>
      </c>
      <c r="O148" s="6">
        <f t="shared" si="26"/>
        <v>700</v>
      </c>
      <c r="P148" s="312">
        <f t="shared" si="27"/>
        <v>297.91666666666669</v>
      </c>
      <c r="Q148" s="312">
        <f t="shared" si="28"/>
        <v>1050</v>
      </c>
      <c r="R148" s="312">
        <f t="shared" si="31"/>
        <v>297.91666666666669</v>
      </c>
      <c r="S148" s="160">
        <f>IF(AND('Total income package'!$A$8=TRUE,OR(F148="Yes",G148="Yes",H148="Yes")),SUM(J148:N148)-R148,0)</f>
        <v>1702.0833333333333</v>
      </c>
    </row>
    <row r="149" spans="1:19" x14ac:dyDescent="0.3">
      <c r="A149" s="6">
        <v>72000</v>
      </c>
      <c r="B149" s="7">
        <f t="shared" si="22"/>
        <v>6000</v>
      </c>
      <c r="C149" s="7">
        <f>'Total income package'!$D$80</f>
        <v>0</v>
      </c>
      <c r="D149" s="7">
        <f t="shared" si="29"/>
        <v>6000</v>
      </c>
      <c r="E149" s="65">
        <f t="shared" si="30"/>
        <v>1.8614270941054807</v>
      </c>
      <c r="F149" s="65" t="str">
        <f t="shared" si="23"/>
        <v>Yes</v>
      </c>
      <c r="G149" s="65" t="str">
        <f t="shared" si="24"/>
        <v>No</v>
      </c>
      <c r="H149" s="301" t="str">
        <f>IF(OR('TANF-VIEW'!L153&gt;0,'TANF-VIEW'!T153&gt;0),"Yes","No")</f>
        <v>No</v>
      </c>
      <c r="I149" s="63">
        <f t="shared" si="25"/>
        <v>350</v>
      </c>
      <c r="J149" s="6">
        <f>(IF(B149&gt;$N$2,0,VLOOKUP('Total income package'!$B$3,'Location specific data'!$A$3:$AO$135,33,FALSE))*$C$2)*20</f>
        <v>1400</v>
      </c>
      <c r="K149" s="6">
        <f>IF(B149&gt;$N$2,0,VLOOKUP('Total income package'!$B$3,'Location specific data'!$A$3:$AO$135,34,FALSE))*$D$2*20</f>
        <v>0</v>
      </c>
      <c r="L149" s="6">
        <f>IF(B149&gt;$N$2,0,VLOOKUP('Total income package'!$B$3,'Location specific data'!$A$3:$AO$135,35,FALSE))*$E$2*20</f>
        <v>0</v>
      </c>
      <c r="M149" s="6">
        <f>IF(B149&gt;$N$2,0,VLOOKUP('Total income package'!$B$3,'Location specific data'!$A$3:$AO$135,36,FALSE))*$F$2*20</f>
        <v>0</v>
      </c>
      <c r="N149" s="6">
        <f>IF(B149&gt;$N$2,0,VLOOKUP('Total income package'!$B$3,'Location specific data'!$A$3:$AO$135,37,FALSE))*($G$2+$H$2)*20</f>
        <v>600</v>
      </c>
      <c r="O149" s="6">
        <f t="shared" si="26"/>
        <v>700</v>
      </c>
      <c r="P149" s="312">
        <f t="shared" si="27"/>
        <v>300</v>
      </c>
      <c r="Q149" s="312">
        <f t="shared" si="28"/>
        <v>1050</v>
      </c>
      <c r="R149" s="312">
        <f t="shared" si="31"/>
        <v>300</v>
      </c>
      <c r="S149" s="160">
        <f>IF(AND('Total income package'!$A$8=TRUE,OR(F149="Yes",G149="Yes",H149="Yes")),SUM(J149:N149)-R149,0)</f>
        <v>1700</v>
      </c>
    </row>
    <row r="150" spans="1:19" x14ac:dyDescent="0.3">
      <c r="A150" s="6">
        <v>72500</v>
      </c>
      <c r="B150" s="7">
        <f t="shared" si="22"/>
        <v>6041.666666666667</v>
      </c>
      <c r="C150" s="7">
        <f>'Total income package'!$D$80</f>
        <v>0</v>
      </c>
      <c r="D150" s="7">
        <f t="shared" si="29"/>
        <v>6041.666666666667</v>
      </c>
      <c r="E150" s="65">
        <f t="shared" si="30"/>
        <v>1.8743536711478801</v>
      </c>
      <c r="F150" s="65" t="str">
        <f t="shared" si="23"/>
        <v>Yes</v>
      </c>
      <c r="G150" s="65" t="str">
        <f t="shared" si="24"/>
        <v>No</v>
      </c>
      <c r="H150" s="301" t="str">
        <f>IF(OR('TANF-VIEW'!L154&gt;0,'TANF-VIEW'!T154&gt;0),"Yes","No")</f>
        <v>No</v>
      </c>
      <c r="I150" s="63">
        <f t="shared" si="25"/>
        <v>350</v>
      </c>
      <c r="J150" s="6">
        <f>(IF(B150&gt;$N$2,0,VLOOKUP('Total income package'!$B$3,'Location specific data'!$A$3:$AO$135,33,FALSE))*$C$2)*20</f>
        <v>1400</v>
      </c>
      <c r="K150" s="6">
        <f>IF(B150&gt;$N$2,0,VLOOKUP('Total income package'!$B$3,'Location specific data'!$A$3:$AO$135,34,FALSE))*$D$2*20</f>
        <v>0</v>
      </c>
      <c r="L150" s="6">
        <f>IF(B150&gt;$N$2,0,VLOOKUP('Total income package'!$B$3,'Location specific data'!$A$3:$AO$135,35,FALSE))*$E$2*20</f>
        <v>0</v>
      </c>
      <c r="M150" s="6">
        <f>IF(B150&gt;$N$2,0,VLOOKUP('Total income package'!$B$3,'Location specific data'!$A$3:$AO$135,36,FALSE))*$F$2*20</f>
        <v>0</v>
      </c>
      <c r="N150" s="6">
        <f>IF(B150&gt;$N$2,0,VLOOKUP('Total income package'!$B$3,'Location specific data'!$A$3:$AO$135,37,FALSE))*($G$2+$H$2)*20</f>
        <v>600</v>
      </c>
      <c r="O150" s="6">
        <f t="shared" si="26"/>
        <v>700</v>
      </c>
      <c r="P150" s="312">
        <f t="shared" si="27"/>
        <v>302.08333333333337</v>
      </c>
      <c r="Q150" s="312">
        <f t="shared" si="28"/>
        <v>1050</v>
      </c>
      <c r="R150" s="312">
        <f t="shared" si="31"/>
        <v>302.08333333333337</v>
      </c>
      <c r="S150" s="160">
        <f>IF(AND('Total income package'!$A$8=TRUE,OR(F150="Yes",G150="Yes",H150="Yes")),SUM(J150:N150)-R150,0)</f>
        <v>1697.9166666666665</v>
      </c>
    </row>
    <row r="151" spans="1:19" x14ac:dyDescent="0.3">
      <c r="A151" s="6">
        <v>73000</v>
      </c>
      <c r="B151" s="7">
        <f t="shared" si="22"/>
        <v>6083.333333333333</v>
      </c>
      <c r="C151" s="7">
        <f>'Total income package'!$D$80</f>
        <v>0</v>
      </c>
      <c r="D151" s="7">
        <f t="shared" si="29"/>
        <v>6083.333333333333</v>
      </c>
      <c r="E151" s="65">
        <f t="shared" si="30"/>
        <v>1.8872802481902791</v>
      </c>
      <c r="F151" s="65" t="str">
        <f t="shared" si="23"/>
        <v>Yes</v>
      </c>
      <c r="G151" s="65" t="str">
        <f t="shared" si="24"/>
        <v>No</v>
      </c>
      <c r="H151" s="301" t="str">
        <f>IF(OR('TANF-VIEW'!L155&gt;0,'TANF-VIEW'!T155&gt;0),"Yes","No")</f>
        <v>No</v>
      </c>
      <c r="I151" s="63">
        <f t="shared" si="25"/>
        <v>350</v>
      </c>
      <c r="J151" s="6">
        <f>(IF(B151&gt;$N$2,0,VLOOKUP('Total income package'!$B$3,'Location specific data'!$A$3:$AO$135,33,FALSE))*$C$2)*20</f>
        <v>1400</v>
      </c>
      <c r="K151" s="6">
        <f>IF(B151&gt;$N$2,0,VLOOKUP('Total income package'!$B$3,'Location specific data'!$A$3:$AO$135,34,FALSE))*$D$2*20</f>
        <v>0</v>
      </c>
      <c r="L151" s="6">
        <f>IF(B151&gt;$N$2,0,VLOOKUP('Total income package'!$B$3,'Location specific data'!$A$3:$AO$135,35,FALSE))*$E$2*20</f>
        <v>0</v>
      </c>
      <c r="M151" s="6">
        <f>IF(B151&gt;$N$2,0,VLOOKUP('Total income package'!$B$3,'Location specific data'!$A$3:$AO$135,36,FALSE))*$F$2*20</f>
        <v>0</v>
      </c>
      <c r="N151" s="6">
        <f>IF(B151&gt;$N$2,0,VLOOKUP('Total income package'!$B$3,'Location specific data'!$A$3:$AO$135,37,FALSE))*($G$2+$H$2)*20</f>
        <v>600</v>
      </c>
      <c r="O151" s="6">
        <f t="shared" si="26"/>
        <v>700</v>
      </c>
      <c r="P151" s="312">
        <f t="shared" si="27"/>
        <v>304.16666666666669</v>
      </c>
      <c r="Q151" s="312">
        <f t="shared" si="28"/>
        <v>1050</v>
      </c>
      <c r="R151" s="312">
        <f t="shared" si="31"/>
        <v>304.16666666666669</v>
      </c>
      <c r="S151" s="160">
        <f>IF(AND('Total income package'!$A$8=TRUE,OR(F151="Yes",G151="Yes",H151="Yes")),SUM(J151:N151)-R151,0)</f>
        <v>1695.8333333333333</v>
      </c>
    </row>
    <row r="152" spans="1:19" x14ac:dyDescent="0.3">
      <c r="A152" s="6">
        <v>73500</v>
      </c>
      <c r="B152" s="7">
        <f t="shared" si="22"/>
        <v>6125</v>
      </c>
      <c r="C152" s="7">
        <f>'Total income package'!$D$80</f>
        <v>0</v>
      </c>
      <c r="D152" s="7">
        <f t="shared" si="29"/>
        <v>6125</v>
      </c>
      <c r="E152" s="65">
        <f t="shared" si="30"/>
        <v>1.9002068252326783</v>
      </c>
      <c r="F152" s="65" t="str">
        <f t="shared" si="23"/>
        <v>Yes</v>
      </c>
      <c r="G152" s="65" t="str">
        <f t="shared" si="24"/>
        <v>No</v>
      </c>
      <c r="H152" s="301" t="str">
        <f>IF(OR('TANF-VIEW'!L156&gt;0,'TANF-VIEW'!T156&gt;0),"Yes","No")</f>
        <v>No</v>
      </c>
      <c r="I152" s="63">
        <f t="shared" si="25"/>
        <v>350</v>
      </c>
      <c r="J152" s="6">
        <f>(IF(B152&gt;$N$2,0,VLOOKUP('Total income package'!$B$3,'Location specific data'!$A$3:$AO$135,33,FALSE))*$C$2)*20</f>
        <v>1400</v>
      </c>
      <c r="K152" s="6">
        <f>IF(B152&gt;$N$2,0,VLOOKUP('Total income package'!$B$3,'Location specific data'!$A$3:$AO$135,34,FALSE))*$D$2*20</f>
        <v>0</v>
      </c>
      <c r="L152" s="6">
        <f>IF(B152&gt;$N$2,0,VLOOKUP('Total income package'!$B$3,'Location specific data'!$A$3:$AO$135,35,FALSE))*$E$2*20</f>
        <v>0</v>
      </c>
      <c r="M152" s="6">
        <f>IF(B152&gt;$N$2,0,VLOOKUP('Total income package'!$B$3,'Location specific data'!$A$3:$AO$135,36,FALSE))*$F$2*20</f>
        <v>0</v>
      </c>
      <c r="N152" s="6">
        <f>IF(B152&gt;$N$2,0,VLOOKUP('Total income package'!$B$3,'Location specific data'!$A$3:$AO$135,37,FALSE))*($G$2+$H$2)*20</f>
        <v>600</v>
      </c>
      <c r="O152" s="6">
        <f t="shared" si="26"/>
        <v>700</v>
      </c>
      <c r="P152" s="312">
        <f t="shared" si="27"/>
        <v>306.25</v>
      </c>
      <c r="Q152" s="312">
        <f t="shared" si="28"/>
        <v>1050</v>
      </c>
      <c r="R152" s="312">
        <f t="shared" si="31"/>
        <v>306.25</v>
      </c>
      <c r="S152" s="160">
        <f>IF(AND('Total income package'!$A$8=TRUE,OR(F152="Yes",G152="Yes",H152="Yes")),SUM(J152:N152)-R152,0)</f>
        <v>1693.75</v>
      </c>
    </row>
    <row r="153" spans="1:19" x14ac:dyDescent="0.3">
      <c r="A153" s="6">
        <v>74000</v>
      </c>
      <c r="B153" s="7">
        <f t="shared" si="22"/>
        <v>6166.666666666667</v>
      </c>
      <c r="C153" s="7">
        <f>'Total income package'!$D$80</f>
        <v>0</v>
      </c>
      <c r="D153" s="7">
        <f t="shared" si="29"/>
        <v>6166.666666666667</v>
      </c>
      <c r="E153" s="65">
        <f t="shared" si="30"/>
        <v>1.9131334022750777</v>
      </c>
      <c r="F153" s="65" t="str">
        <f t="shared" si="23"/>
        <v>Yes</v>
      </c>
      <c r="G153" s="65" t="str">
        <f t="shared" si="24"/>
        <v>No</v>
      </c>
      <c r="H153" s="301" t="str">
        <f>IF(OR('TANF-VIEW'!L157&gt;0,'TANF-VIEW'!T157&gt;0),"Yes","No")</f>
        <v>No</v>
      </c>
      <c r="I153" s="63">
        <f t="shared" si="25"/>
        <v>350</v>
      </c>
      <c r="J153" s="6">
        <f>(IF(B153&gt;$N$2,0,VLOOKUP('Total income package'!$B$3,'Location specific data'!$A$3:$AO$135,33,FALSE))*$C$2)*20</f>
        <v>1400</v>
      </c>
      <c r="K153" s="6">
        <f>IF(B153&gt;$N$2,0,VLOOKUP('Total income package'!$B$3,'Location specific data'!$A$3:$AO$135,34,FALSE))*$D$2*20</f>
        <v>0</v>
      </c>
      <c r="L153" s="6">
        <f>IF(B153&gt;$N$2,0,VLOOKUP('Total income package'!$B$3,'Location specific data'!$A$3:$AO$135,35,FALSE))*$E$2*20</f>
        <v>0</v>
      </c>
      <c r="M153" s="6">
        <f>IF(B153&gt;$N$2,0,VLOOKUP('Total income package'!$B$3,'Location specific data'!$A$3:$AO$135,36,FALSE))*$F$2*20</f>
        <v>0</v>
      </c>
      <c r="N153" s="6">
        <f>IF(B153&gt;$N$2,0,VLOOKUP('Total income package'!$B$3,'Location specific data'!$A$3:$AO$135,37,FALSE))*($G$2+$H$2)*20</f>
        <v>600</v>
      </c>
      <c r="O153" s="6">
        <f t="shared" si="26"/>
        <v>700</v>
      </c>
      <c r="P153" s="312">
        <f t="shared" si="27"/>
        <v>308.33333333333337</v>
      </c>
      <c r="Q153" s="312">
        <f t="shared" si="28"/>
        <v>1050</v>
      </c>
      <c r="R153" s="312">
        <f t="shared" si="31"/>
        <v>308.33333333333337</v>
      </c>
      <c r="S153" s="160">
        <f>IF(AND('Total income package'!$A$8=TRUE,OR(F153="Yes",G153="Yes",H153="Yes")),SUM(J153:N153)-R153,0)</f>
        <v>1691.6666666666665</v>
      </c>
    </row>
    <row r="154" spans="1:19" x14ac:dyDescent="0.3">
      <c r="A154" s="6">
        <v>74500</v>
      </c>
      <c r="B154" s="7">
        <f t="shared" si="22"/>
        <v>6208.333333333333</v>
      </c>
      <c r="C154" s="7">
        <f>'Total income package'!$D$80</f>
        <v>0</v>
      </c>
      <c r="D154" s="7">
        <f t="shared" si="29"/>
        <v>6208.333333333333</v>
      </c>
      <c r="E154" s="65">
        <f t="shared" si="30"/>
        <v>1.9260599793174766</v>
      </c>
      <c r="F154" s="65" t="str">
        <f t="shared" si="23"/>
        <v>Yes</v>
      </c>
      <c r="G154" s="65" t="str">
        <f t="shared" si="24"/>
        <v>No</v>
      </c>
      <c r="H154" s="301" t="str">
        <f>IF(OR('TANF-VIEW'!L158&gt;0,'TANF-VIEW'!T158&gt;0),"Yes","No")</f>
        <v>No</v>
      </c>
      <c r="I154" s="63">
        <f t="shared" si="25"/>
        <v>350</v>
      </c>
      <c r="J154" s="6">
        <f>(IF(B154&gt;$N$2,0,VLOOKUP('Total income package'!$B$3,'Location specific data'!$A$3:$AO$135,33,FALSE))*$C$2)*20</f>
        <v>1400</v>
      </c>
      <c r="K154" s="6">
        <f>IF(B154&gt;$N$2,0,VLOOKUP('Total income package'!$B$3,'Location specific data'!$A$3:$AO$135,34,FALSE))*$D$2*20</f>
        <v>0</v>
      </c>
      <c r="L154" s="6">
        <f>IF(B154&gt;$N$2,0,VLOOKUP('Total income package'!$B$3,'Location specific data'!$A$3:$AO$135,35,FALSE))*$E$2*20</f>
        <v>0</v>
      </c>
      <c r="M154" s="6">
        <f>IF(B154&gt;$N$2,0,VLOOKUP('Total income package'!$B$3,'Location specific data'!$A$3:$AO$135,36,FALSE))*$F$2*20</f>
        <v>0</v>
      </c>
      <c r="N154" s="6">
        <f>IF(B154&gt;$N$2,0,VLOOKUP('Total income package'!$B$3,'Location specific data'!$A$3:$AO$135,37,FALSE))*($G$2+$H$2)*20</f>
        <v>600</v>
      </c>
      <c r="O154" s="6">
        <f t="shared" si="26"/>
        <v>700</v>
      </c>
      <c r="P154" s="312">
        <f t="shared" si="27"/>
        <v>310.41666666666669</v>
      </c>
      <c r="Q154" s="312">
        <f t="shared" si="28"/>
        <v>1050</v>
      </c>
      <c r="R154" s="312">
        <f t="shared" si="31"/>
        <v>310.41666666666669</v>
      </c>
      <c r="S154" s="160">
        <f>IF(AND('Total income package'!$A$8=TRUE,OR(F154="Yes",G154="Yes",H154="Yes")),SUM(J154:N154)-R154,0)</f>
        <v>1689.5833333333333</v>
      </c>
    </row>
    <row r="155" spans="1:19" x14ac:dyDescent="0.3">
      <c r="A155" s="6">
        <v>75000</v>
      </c>
      <c r="B155" s="7">
        <f t="shared" si="22"/>
        <v>6250</v>
      </c>
      <c r="C155" s="7">
        <f>'Total income package'!$D$80</f>
        <v>0</v>
      </c>
      <c r="D155" s="7">
        <f t="shared" si="29"/>
        <v>6250</v>
      </c>
      <c r="E155" s="65">
        <f t="shared" si="30"/>
        <v>1.9389865563598758</v>
      </c>
      <c r="F155" s="65" t="str">
        <f t="shared" si="23"/>
        <v>Yes</v>
      </c>
      <c r="G155" s="65" t="str">
        <f t="shared" si="24"/>
        <v>No</v>
      </c>
      <c r="H155" s="301" t="str">
        <f>IF(OR('TANF-VIEW'!L159&gt;0,'TANF-VIEW'!T159&gt;0),"Yes","No")</f>
        <v>No</v>
      </c>
      <c r="I155" s="63">
        <f t="shared" si="25"/>
        <v>350</v>
      </c>
      <c r="J155" s="6">
        <f>(IF(B155&gt;$N$2,0,VLOOKUP('Total income package'!$B$3,'Location specific data'!$A$3:$AO$135,33,FALSE))*$C$2)*20</f>
        <v>1400</v>
      </c>
      <c r="K155" s="6">
        <f>IF(B155&gt;$N$2,0,VLOOKUP('Total income package'!$B$3,'Location specific data'!$A$3:$AO$135,34,FALSE))*$D$2*20</f>
        <v>0</v>
      </c>
      <c r="L155" s="6">
        <f>IF(B155&gt;$N$2,0,VLOOKUP('Total income package'!$B$3,'Location specific data'!$A$3:$AO$135,35,FALSE))*$E$2*20</f>
        <v>0</v>
      </c>
      <c r="M155" s="6">
        <f>IF(B155&gt;$N$2,0,VLOOKUP('Total income package'!$B$3,'Location specific data'!$A$3:$AO$135,36,FALSE))*$F$2*20</f>
        <v>0</v>
      </c>
      <c r="N155" s="6">
        <f>IF(B155&gt;$N$2,0,VLOOKUP('Total income package'!$B$3,'Location specific data'!$A$3:$AO$135,37,FALSE))*($G$2+$H$2)*20</f>
        <v>600</v>
      </c>
      <c r="O155" s="6">
        <f t="shared" si="26"/>
        <v>700</v>
      </c>
      <c r="P155" s="312">
        <f t="shared" si="27"/>
        <v>312.5</v>
      </c>
      <c r="Q155" s="312">
        <f t="shared" si="28"/>
        <v>1050</v>
      </c>
      <c r="R155" s="312">
        <f t="shared" si="31"/>
        <v>312.5</v>
      </c>
      <c r="S155" s="160">
        <f>IF(AND('Total income package'!$A$8=TRUE,OR(F155="Yes",G155="Yes",H155="Yes")),SUM(J155:N155)-R155,0)</f>
        <v>1687.5</v>
      </c>
    </row>
    <row r="156" spans="1:19" x14ac:dyDescent="0.3">
      <c r="A156" s="6">
        <v>75500</v>
      </c>
      <c r="B156" s="7">
        <f t="shared" si="22"/>
        <v>6291.666666666667</v>
      </c>
      <c r="C156" s="7">
        <f>'Total income package'!$D$80</f>
        <v>0</v>
      </c>
      <c r="D156" s="7">
        <f t="shared" si="29"/>
        <v>6291.666666666667</v>
      </c>
      <c r="E156" s="65">
        <f t="shared" si="30"/>
        <v>1.951913133402275</v>
      </c>
      <c r="F156" s="65" t="str">
        <f t="shared" si="23"/>
        <v>Yes</v>
      </c>
      <c r="G156" s="65" t="str">
        <f t="shared" si="24"/>
        <v>No</v>
      </c>
      <c r="H156" s="301" t="str">
        <f>IF(OR('TANF-VIEW'!L160&gt;0,'TANF-VIEW'!T160&gt;0),"Yes","No")</f>
        <v>No</v>
      </c>
      <c r="I156" s="63">
        <f t="shared" si="25"/>
        <v>350</v>
      </c>
      <c r="J156" s="6">
        <f>(IF(B156&gt;$N$2,0,VLOOKUP('Total income package'!$B$3,'Location specific data'!$A$3:$AO$135,33,FALSE))*$C$2)*20</f>
        <v>1400</v>
      </c>
      <c r="K156" s="6">
        <f>IF(B156&gt;$N$2,0,VLOOKUP('Total income package'!$B$3,'Location specific data'!$A$3:$AO$135,34,FALSE))*$D$2*20</f>
        <v>0</v>
      </c>
      <c r="L156" s="6">
        <f>IF(B156&gt;$N$2,0,VLOOKUP('Total income package'!$B$3,'Location specific data'!$A$3:$AO$135,35,FALSE))*$E$2*20</f>
        <v>0</v>
      </c>
      <c r="M156" s="6">
        <f>IF(B156&gt;$N$2,0,VLOOKUP('Total income package'!$B$3,'Location specific data'!$A$3:$AO$135,36,FALSE))*$F$2*20</f>
        <v>0</v>
      </c>
      <c r="N156" s="6">
        <f>IF(B156&gt;$N$2,0,VLOOKUP('Total income package'!$B$3,'Location specific data'!$A$3:$AO$135,37,FALSE))*($G$2+$H$2)*20</f>
        <v>600</v>
      </c>
      <c r="O156" s="6">
        <f t="shared" si="26"/>
        <v>700</v>
      </c>
      <c r="P156" s="312">
        <f t="shared" si="27"/>
        <v>314.58333333333337</v>
      </c>
      <c r="Q156" s="312">
        <f t="shared" si="28"/>
        <v>1050</v>
      </c>
      <c r="R156" s="312">
        <f t="shared" si="31"/>
        <v>314.58333333333337</v>
      </c>
      <c r="S156" s="160">
        <f>IF(AND('Total income package'!$A$8=TRUE,OR(F156="Yes",G156="Yes",H156="Yes")),SUM(J156:N156)-R156,0)</f>
        <v>1685.4166666666665</v>
      </c>
    </row>
    <row r="157" spans="1:19" x14ac:dyDescent="0.3">
      <c r="A157" s="6">
        <v>76000</v>
      </c>
      <c r="B157" s="7">
        <f t="shared" si="22"/>
        <v>6333.333333333333</v>
      </c>
      <c r="C157" s="7">
        <f>'Total income package'!$D$80</f>
        <v>0</v>
      </c>
      <c r="D157" s="7">
        <f t="shared" si="29"/>
        <v>6333.333333333333</v>
      </c>
      <c r="E157" s="65">
        <f t="shared" si="30"/>
        <v>1.964839710444674</v>
      </c>
      <c r="F157" s="65" t="str">
        <f t="shared" si="23"/>
        <v>Yes</v>
      </c>
      <c r="G157" s="65" t="str">
        <f t="shared" si="24"/>
        <v>No</v>
      </c>
      <c r="H157" s="301" t="str">
        <f>IF(OR('TANF-VIEW'!L161&gt;0,'TANF-VIEW'!T161&gt;0),"Yes","No")</f>
        <v>No</v>
      </c>
      <c r="I157" s="63">
        <f t="shared" si="25"/>
        <v>350</v>
      </c>
      <c r="J157" s="6">
        <f>(IF(B157&gt;$N$2,0,VLOOKUP('Total income package'!$B$3,'Location specific data'!$A$3:$AO$135,33,FALSE))*$C$2)*20</f>
        <v>1400</v>
      </c>
      <c r="K157" s="6">
        <f>IF(B157&gt;$N$2,0,VLOOKUP('Total income package'!$B$3,'Location specific data'!$A$3:$AO$135,34,FALSE))*$D$2*20</f>
        <v>0</v>
      </c>
      <c r="L157" s="6">
        <f>IF(B157&gt;$N$2,0,VLOOKUP('Total income package'!$B$3,'Location specific data'!$A$3:$AO$135,35,FALSE))*$E$2*20</f>
        <v>0</v>
      </c>
      <c r="M157" s="6">
        <f>IF(B157&gt;$N$2,0,VLOOKUP('Total income package'!$B$3,'Location specific data'!$A$3:$AO$135,36,FALSE))*$F$2*20</f>
        <v>0</v>
      </c>
      <c r="N157" s="6">
        <f>IF(B157&gt;$N$2,0,VLOOKUP('Total income package'!$B$3,'Location specific data'!$A$3:$AO$135,37,FALSE))*($G$2+$H$2)*20</f>
        <v>600</v>
      </c>
      <c r="O157" s="6">
        <f t="shared" si="26"/>
        <v>700</v>
      </c>
      <c r="P157" s="312">
        <f t="shared" si="27"/>
        <v>316.66666666666669</v>
      </c>
      <c r="Q157" s="312">
        <f t="shared" si="28"/>
        <v>1050</v>
      </c>
      <c r="R157" s="312">
        <f t="shared" si="31"/>
        <v>316.66666666666669</v>
      </c>
      <c r="S157" s="160">
        <f>IF(AND('Total income package'!$A$8=TRUE,OR(F157="Yes",G157="Yes",H157="Yes")),SUM(J157:N157)-R157,0)</f>
        <v>1683.3333333333333</v>
      </c>
    </row>
    <row r="158" spans="1:19" x14ac:dyDescent="0.3">
      <c r="A158" s="6">
        <v>76500</v>
      </c>
      <c r="B158" s="7">
        <f t="shared" si="22"/>
        <v>6375</v>
      </c>
      <c r="C158" s="7">
        <f>'Total income package'!$D$80</f>
        <v>0</v>
      </c>
      <c r="D158" s="7">
        <f t="shared" si="29"/>
        <v>6375</v>
      </c>
      <c r="E158" s="65">
        <f t="shared" si="30"/>
        <v>1.9777662874870734</v>
      </c>
      <c r="F158" s="65" t="str">
        <f t="shared" si="23"/>
        <v>Yes</v>
      </c>
      <c r="G158" s="65" t="str">
        <f t="shared" si="24"/>
        <v>No</v>
      </c>
      <c r="H158" s="301" t="str">
        <f>IF(OR('TANF-VIEW'!L162&gt;0,'TANF-VIEW'!T162&gt;0),"Yes","No")</f>
        <v>No</v>
      </c>
      <c r="I158" s="63">
        <f t="shared" si="25"/>
        <v>350</v>
      </c>
      <c r="J158" s="6">
        <f>(IF(B158&gt;$N$2,0,VLOOKUP('Total income package'!$B$3,'Location specific data'!$A$3:$AO$135,33,FALSE))*$C$2)*20</f>
        <v>1400</v>
      </c>
      <c r="K158" s="6">
        <f>IF(B158&gt;$N$2,0,VLOOKUP('Total income package'!$B$3,'Location specific data'!$A$3:$AO$135,34,FALSE))*$D$2*20</f>
        <v>0</v>
      </c>
      <c r="L158" s="6">
        <f>IF(B158&gt;$N$2,0,VLOOKUP('Total income package'!$B$3,'Location specific data'!$A$3:$AO$135,35,FALSE))*$E$2*20</f>
        <v>0</v>
      </c>
      <c r="M158" s="6">
        <f>IF(B158&gt;$N$2,0,VLOOKUP('Total income package'!$B$3,'Location specific data'!$A$3:$AO$135,36,FALSE))*$F$2*20</f>
        <v>0</v>
      </c>
      <c r="N158" s="6">
        <f>IF(B158&gt;$N$2,0,VLOOKUP('Total income package'!$B$3,'Location specific data'!$A$3:$AO$135,37,FALSE))*($G$2+$H$2)*20</f>
        <v>600</v>
      </c>
      <c r="O158" s="6">
        <f t="shared" si="26"/>
        <v>700</v>
      </c>
      <c r="P158" s="312">
        <f t="shared" si="27"/>
        <v>318.75</v>
      </c>
      <c r="Q158" s="312">
        <f t="shared" si="28"/>
        <v>1050</v>
      </c>
      <c r="R158" s="312">
        <f t="shared" si="31"/>
        <v>318.75</v>
      </c>
      <c r="S158" s="160">
        <f>IF(AND('Total income package'!$A$8=TRUE,OR(F158="Yes",G158="Yes",H158="Yes")),SUM(J158:N158)-R158,0)</f>
        <v>1681.25</v>
      </c>
    </row>
    <row r="159" spans="1:19" x14ac:dyDescent="0.3">
      <c r="A159" s="6">
        <v>77000</v>
      </c>
      <c r="B159" s="7">
        <f t="shared" si="22"/>
        <v>6416.666666666667</v>
      </c>
      <c r="C159" s="7">
        <f>'Total income package'!$D$80</f>
        <v>0</v>
      </c>
      <c r="D159" s="7">
        <f t="shared" si="29"/>
        <v>6416.666666666667</v>
      </c>
      <c r="E159" s="65">
        <f t="shared" si="30"/>
        <v>1.9906928645294726</v>
      </c>
      <c r="F159" s="65" t="str">
        <f t="shared" si="23"/>
        <v>Yes</v>
      </c>
      <c r="G159" s="65" t="str">
        <f t="shared" si="24"/>
        <v>No</v>
      </c>
      <c r="H159" s="301" t="str">
        <f>IF(OR('TANF-VIEW'!L163&gt;0,'TANF-VIEW'!T163&gt;0),"Yes","No")</f>
        <v>No</v>
      </c>
      <c r="I159" s="63">
        <f t="shared" si="25"/>
        <v>350</v>
      </c>
      <c r="J159" s="6">
        <f>(IF(B159&gt;$N$2,0,VLOOKUP('Total income package'!$B$3,'Location specific data'!$A$3:$AO$135,33,FALSE))*$C$2)*20</f>
        <v>1400</v>
      </c>
      <c r="K159" s="6">
        <f>IF(B159&gt;$N$2,0,VLOOKUP('Total income package'!$B$3,'Location specific data'!$A$3:$AO$135,34,FALSE))*$D$2*20</f>
        <v>0</v>
      </c>
      <c r="L159" s="6">
        <f>IF(B159&gt;$N$2,0,VLOOKUP('Total income package'!$B$3,'Location specific data'!$A$3:$AO$135,35,FALSE))*$E$2*20</f>
        <v>0</v>
      </c>
      <c r="M159" s="6">
        <f>IF(B159&gt;$N$2,0,VLOOKUP('Total income package'!$B$3,'Location specific data'!$A$3:$AO$135,36,FALSE))*$F$2*20</f>
        <v>0</v>
      </c>
      <c r="N159" s="6">
        <f>IF(B159&gt;$N$2,0,VLOOKUP('Total income package'!$B$3,'Location specific data'!$A$3:$AO$135,37,FALSE))*($G$2+$H$2)*20</f>
        <v>600</v>
      </c>
      <c r="O159" s="6">
        <f t="shared" si="26"/>
        <v>700</v>
      </c>
      <c r="P159" s="312">
        <f t="shared" si="27"/>
        <v>320.83333333333337</v>
      </c>
      <c r="Q159" s="312">
        <f t="shared" si="28"/>
        <v>1050</v>
      </c>
      <c r="R159" s="312">
        <f t="shared" si="31"/>
        <v>320.83333333333337</v>
      </c>
      <c r="S159" s="160">
        <f>IF(AND('Total income package'!$A$8=TRUE,OR(F159="Yes",G159="Yes",H159="Yes")),SUM(J159:N159)-R159,0)</f>
        <v>1679.1666666666665</v>
      </c>
    </row>
    <row r="160" spans="1:19" x14ac:dyDescent="0.3">
      <c r="A160" s="6">
        <v>77500</v>
      </c>
      <c r="B160" s="7">
        <f t="shared" si="22"/>
        <v>6458.333333333333</v>
      </c>
      <c r="C160" s="7">
        <f>'Total income package'!$D$80</f>
        <v>0</v>
      </c>
      <c r="D160" s="7">
        <f t="shared" si="29"/>
        <v>6458.333333333333</v>
      </c>
      <c r="E160" s="65">
        <f t="shared" si="30"/>
        <v>2.0036194415718716</v>
      </c>
      <c r="F160" s="65" t="str">
        <f t="shared" si="23"/>
        <v>Yes</v>
      </c>
      <c r="G160" s="65" t="str">
        <f t="shared" si="24"/>
        <v>No</v>
      </c>
      <c r="H160" s="301" t="str">
        <f>IF(OR('TANF-VIEW'!L164&gt;0,'TANF-VIEW'!T164&gt;0),"Yes","No")</f>
        <v>No</v>
      </c>
      <c r="I160" s="63">
        <f t="shared" si="25"/>
        <v>450</v>
      </c>
      <c r="J160" s="6">
        <f>(IF(B160&gt;$N$2,0,VLOOKUP('Total income package'!$B$3,'Location specific data'!$A$3:$AO$135,33,FALSE))*$C$2)*20</f>
        <v>1400</v>
      </c>
      <c r="K160" s="6">
        <f>IF(B160&gt;$N$2,0,VLOOKUP('Total income package'!$B$3,'Location specific data'!$A$3:$AO$135,34,FALSE))*$D$2*20</f>
        <v>0</v>
      </c>
      <c r="L160" s="6">
        <f>IF(B160&gt;$N$2,0,VLOOKUP('Total income package'!$B$3,'Location specific data'!$A$3:$AO$135,35,FALSE))*$E$2*20</f>
        <v>0</v>
      </c>
      <c r="M160" s="6">
        <f>IF(B160&gt;$N$2,0,VLOOKUP('Total income package'!$B$3,'Location specific data'!$A$3:$AO$135,36,FALSE))*$F$2*20</f>
        <v>0</v>
      </c>
      <c r="N160" s="6">
        <f>IF(B160&gt;$N$2,0,VLOOKUP('Total income package'!$B$3,'Location specific data'!$A$3:$AO$135,37,FALSE))*($G$2+$H$2)*20</f>
        <v>600</v>
      </c>
      <c r="O160" s="6">
        <f t="shared" si="26"/>
        <v>900</v>
      </c>
      <c r="P160" s="312">
        <f t="shared" si="27"/>
        <v>322.91666666666669</v>
      </c>
      <c r="Q160" s="312">
        <f t="shared" si="28"/>
        <v>1350</v>
      </c>
      <c r="R160" s="312">
        <f t="shared" si="31"/>
        <v>322.91666666666669</v>
      </c>
      <c r="S160" s="160">
        <f>IF(AND('Total income package'!$A$8=TRUE,OR(F160="Yes",G160="Yes",H160="Yes")),SUM(J160:N160)-R160,0)</f>
        <v>1677.0833333333333</v>
      </c>
    </row>
    <row r="161" spans="1:19" x14ac:dyDescent="0.3">
      <c r="A161" s="6">
        <v>78000</v>
      </c>
      <c r="B161" s="7">
        <f t="shared" si="22"/>
        <v>6500</v>
      </c>
      <c r="C161" s="7">
        <f>'Total income package'!$D$80</f>
        <v>0</v>
      </c>
      <c r="D161" s="7">
        <f t="shared" si="29"/>
        <v>6500</v>
      </c>
      <c r="E161" s="65">
        <f t="shared" si="30"/>
        <v>2.016546018614271</v>
      </c>
      <c r="F161" s="65" t="str">
        <f t="shared" si="23"/>
        <v>Yes</v>
      </c>
      <c r="G161" s="65" t="str">
        <f t="shared" si="24"/>
        <v>No</v>
      </c>
      <c r="H161" s="301" t="str">
        <f>IF(OR('TANF-VIEW'!L165&gt;0,'TANF-VIEW'!T165&gt;0),"Yes","No")</f>
        <v>No</v>
      </c>
      <c r="I161" s="63">
        <f t="shared" si="25"/>
        <v>450</v>
      </c>
      <c r="J161" s="6">
        <f>(IF(B161&gt;$N$2,0,VLOOKUP('Total income package'!$B$3,'Location specific data'!$A$3:$AO$135,33,FALSE))*$C$2)*20</f>
        <v>1400</v>
      </c>
      <c r="K161" s="6">
        <f>IF(B161&gt;$N$2,0,VLOOKUP('Total income package'!$B$3,'Location specific data'!$A$3:$AO$135,34,FALSE))*$D$2*20</f>
        <v>0</v>
      </c>
      <c r="L161" s="6">
        <f>IF(B161&gt;$N$2,0,VLOOKUP('Total income package'!$B$3,'Location specific data'!$A$3:$AO$135,35,FALSE))*$E$2*20</f>
        <v>0</v>
      </c>
      <c r="M161" s="6">
        <f>IF(B161&gt;$N$2,0,VLOOKUP('Total income package'!$B$3,'Location specific data'!$A$3:$AO$135,36,FALSE))*$F$2*20</f>
        <v>0</v>
      </c>
      <c r="N161" s="6">
        <f>IF(B161&gt;$N$2,0,VLOOKUP('Total income package'!$B$3,'Location specific data'!$A$3:$AO$135,37,FALSE))*($G$2+$H$2)*20</f>
        <v>600</v>
      </c>
      <c r="O161" s="6">
        <f t="shared" si="26"/>
        <v>900</v>
      </c>
      <c r="P161" s="312">
        <f t="shared" si="27"/>
        <v>325</v>
      </c>
      <c r="Q161" s="312">
        <f t="shared" si="28"/>
        <v>1350</v>
      </c>
      <c r="R161" s="312">
        <f t="shared" si="31"/>
        <v>325</v>
      </c>
      <c r="S161" s="160">
        <f>IF(AND('Total income package'!$A$8=TRUE,OR(F161="Yes",G161="Yes",H161="Yes")),SUM(J161:N161)-R161,0)</f>
        <v>1675</v>
      </c>
    </row>
    <row r="162" spans="1:19" x14ac:dyDescent="0.3">
      <c r="A162" s="6">
        <v>78500</v>
      </c>
      <c r="B162" s="7">
        <f t="shared" si="22"/>
        <v>6541.666666666667</v>
      </c>
      <c r="C162" s="7">
        <f>'Total income package'!$D$80</f>
        <v>0</v>
      </c>
      <c r="D162" s="7">
        <f t="shared" si="29"/>
        <v>6541.666666666667</v>
      </c>
      <c r="E162" s="65">
        <f t="shared" si="30"/>
        <v>2.0294725956566699</v>
      </c>
      <c r="F162" s="65" t="str">
        <f t="shared" si="23"/>
        <v>Yes</v>
      </c>
      <c r="G162" s="65" t="str">
        <f t="shared" si="24"/>
        <v>No</v>
      </c>
      <c r="H162" s="301" t="str">
        <f>IF(OR('TANF-VIEW'!L166&gt;0,'TANF-VIEW'!T166&gt;0),"Yes","No")</f>
        <v>No</v>
      </c>
      <c r="I162" s="63">
        <f t="shared" si="25"/>
        <v>450</v>
      </c>
      <c r="J162" s="6">
        <f>(IF(B162&gt;$N$2,0,VLOOKUP('Total income package'!$B$3,'Location specific data'!$A$3:$AO$135,33,FALSE))*$C$2)*20</f>
        <v>1400</v>
      </c>
      <c r="K162" s="6">
        <f>IF(B162&gt;$N$2,0,VLOOKUP('Total income package'!$B$3,'Location specific data'!$A$3:$AO$135,34,FALSE))*$D$2*20</f>
        <v>0</v>
      </c>
      <c r="L162" s="6">
        <f>IF(B162&gt;$N$2,0,VLOOKUP('Total income package'!$B$3,'Location specific data'!$A$3:$AO$135,35,FALSE))*$E$2*20</f>
        <v>0</v>
      </c>
      <c r="M162" s="6">
        <f>IF(B162&gt;$N$2,0,VLOOKUP('Total income package'!$B$3,'Location specific data'!$A$3:$AO$135,36,FALSE))*$F$2*20</f>
        <v>0</v>
      </c>
      <c r="N162" s="6">
        <f>IF(B162&gt;$N$2,0,VLOOKUP('Total income package'!$B$3,'Location specific data'!$A$3:$AO$135,37,FALSE))*($G$2+$H$2)*20</f>
        <v>600</v>
      </c>
      <c r="O162" s="6">
        <f t="shared" si="26"/>
        <v>900</v>
      </c>
      <c r="P162" s="312">
        <f t="shared" si="27"/>
        <v>327.08333333333337</v>
      </c>
      <c r="Q162" s="312">
        <f t="shared" si="28"/>
        <v>1350</v>
      </c>
      <c r="R162" s="312">
        <f t="shared" si="31"/>
        <v>327.08333333333337</v>
      </c>
      <c r="S162" s="160">
        <f>IF(AND('Total income package'!$A$8=TRUE,OR(F162="Yes",G162="Yes",H162="Yes")),SUM(J162:N162)-R162,0)</f>
        <v>1672.9166666666665</v>
      </c>
    </row>
    <row r="163" spans="1:19" x14ac:dyDescent="0.3">
      <c r="A163" s="6">
        <v>79000</v>
      </c>
      <c r="B163" s="7">
        <f t="shared" si="22"/>
        <v>6583.333333333333</v>
      </c>
      <c r="C163" s="7">
        <f>'Total income package'!$D$80</f>
        <v>0</v>
      </c>
      <c r="D163" s="7">
        <f t="shared" si="29"/>
        <v>6583.333333333333</v>
      </c>
      <c r="E163" s="65">
        <f t="shared" si="30"/>
        <v>2.0423991726990689</v>
      </c>
      <c r="F163" s="65" t="str">
        <f t="shared" si="23"/>
        <v>Yes</v>
      </c>
      <c r="G163" s="65" t="str">
        <f t="shared" si="24"/>
        <v>No</v>
      </c>
      <c r="H163" s="301" t="str">
        <f>IF(OR('TANF-VIEW'!L167&gt;0,'TANF-VIEW'!T167&gt;0),"Yes","No")</f>
        <v>No</v>
      </c>
      <c r="I163" s="63">
        <f t="shared" si="25"/>
        <v>450</v>
      </c>
      <c r="J163" s="6">
        <f>(IF(B163&gt;$N$2,0,VLOOKUP('Total income package'!$B$3,'Location specific data'!$A$3:$AO$135,33,FALSE))*$C$2)*20</f>
        <v>1400</v>
      </c>
      <c r="K163" s="6">
        <f>IF(B163&gt;$N$2,0,VLOOKUP('Total income package'!$B$3,'Location specific data'!$A$3:$AO$135,34,FALSE))*$D$2*20</f>
        <v>0</v>
      </c>
      <c r="L163" s="6">
        <f>IF(B163&gt;$N$2,0,VLOOKUP('Total income package'!$B$3,'Location specific data'!$A$3:$AO$135,35,FALSE))*$E$2*20</f>
        <v>0</v>
      </c>
      <c r="M163" s="6">
        <f>IF(B163&gt;$N$2,0,VLOOKUP('Total income package'!$B$3,'Location specific data'!$A$3:$AO$135,36,FALSE))*$F$2*20</f>
        <v>0</v>
      </c>
      <c r="N163" s="6">
        <f>IF(B163&gt;$N$2,0,VLOOKUP('Total income package'!$B$3,'Location specific data'!$A$3:$AO$135,37,FALSE))*($G$2+$H$2)*20</f>
        <v>600</v>
      </c>
      <c r="O163" s="6">
        <f t="shared" si="26"/>
        <v>900</v>
      </c>
      <c r="P163" s="312">
        <f t="shared" si="27"/>
        <v>329.16666666666669</v>
      </c>
      <c r="Q163" s="312">
        <f t="shared" si="28"/>
        <v>1350</v>
      </c>
      <c r="R163" s="312">
        <f t="shared" si="31"/>
        <v>329.16666666666669</v>
      </c>
      <c r="S163" s="160">
        <f>IF(AND('Total income package'!$A$8=TRUE,OR(F163="Yes",G163="Yes",H163="Yes")),SUM(J163:N163)-R163,0)</f>
        <v>1670.8333333333333</v>
      </c>
    </row>
    <row r="164" spans="1:19" x14ac:dyDescent="0.3">
      <c r="A164" s="6">
        <v>79500</v>
      </c>
      <c r="B164" s="7">
        <f t="shared" si="22"/>
        <v>6625</v>
      </c>
      <c r="C164" s="7">
        <f>'Total income package'!$D$80</f>
        <v>0</v>
      </c>
      <c r="D164" s="7">
        <f t="shared" si="29"/>
        <v>6625</v>
      </c>
      <c r="E164" s="65">
        <f t="shared" si="30"/>
        <v>2.0553257497414683</v>
      </c>
      <c r="F164" s="65" t="str">
        <f t="shared" si="23"/>
        <v>Yes</v>
      </c>
      <c r="G164" s="65" t="str">
        <f t="shared" si="24"/>
        <v>No</v>
      </c>
      <c r="H164" s="301" t="str">
        <f>IF(OR('TANF-VIEW'!L168&gt;0,'TANF-VIEW'!T168&gt;0),"Yes","No")</f>
        <v>No</v>
      </c>
      <c r="I164" s="63">
        <f t="shared" si="25"/>
        <v>450</v>
      </c>
      <c r="J164" s="6">
        <f>(IF(B164&gt;$N$2,0,VLOOKUP('Total income package'!$B$3,'Location specific data'!$A$3:$AO$135,33,FALSE))*$C$2)*20</f>
        <v>1400</v>
      </c>
      <c r="K164" s="6">
        <f>IF(B164&gt;$N$2,0,VLOOKUP('Total income package'!$B$3,'Location specific data'!$A$3:$AO$135,34,FALSE))*$D$2*20</f>
        <v>0</v>
      </c>
      <c r="L164" s="6">
        <f>IF(B164&gt;$N$2,0,VLOOKUP('Total income package'!$B$3,'Location specific data'!$A$3:$AO$135,35,FALSE))*$E$2*20</f>
        <v>0</v>
      </c>
      <c r="M164" s="6">
        <f>IF(B164&gt;$N$2,0,VLOOKUP('Total income package'!$B$3,'Location specific data'!$A$3:$AO$135,36,FALSE))*$F$2*20</f>
        <v>0</v>
      </c>
      <c r="N164" s="6">
        <f>IF(B164&gt;$N$2,0,VLOOKUP('Total income package'!$B$3,'Location specific data'!$A$3:$AO$135,37,FALSE))*($G$2+$H$2)*20</f>
        <v>600</v>
      </c>
      <c r="O164" s="6">
        <f t="shared" si="26"/>
        <v>900</v>
      </c>
      <c r="P164" s="312">
        <f t="shared" si="27"/>
        <v>331.25</v>
      </c>
      <c r="Q164" s="312">
        <f t="shared" si="28"/>
        <v>1350</v>
      </c>
      <c r="R164" s="312">
        <f t="shared" si="31"/>
        <v>331.25</v>
      </c>
      <c r="S164" s="160">
        <f>IF(AND('Total income package'!$A$8=TRUE,OR(F164="Yes",G164="Yes",H164="Yes")),SUM(J164:N164)-R164,0)</f>
        <v>1668.75</v>
      </c>
    </row>
    <row r="165" spans="1:19" x14ac:dyDescent="0.3">
      <c r="A165" s="6">
        <v>80000</v>
      </c>
      <c r="B165" s="7">
        <f t="shared" si="22"/>
        <v>6666.666666666667</v>
      </c>
      <c r="C165" s="7">
        <f>'Total income package'!$D$80</f>
        <v>0</v>
      </c>
      <c r="D165" s="7">
        <f t="shared" si="29"/>
        <v>6666.666666666667</v>
      </c>
      <c r="E165" s="65">
        <f t="shared" si="30"/>
        <v>2.0682523267838677</v>
      </c>
      <c r="F165" s="65" t="str">
        <f t="shared" si="23"/>
        <v>Yes</v>
      </c>
      <c r="G165" s="65" t="str">
        <f t="shared" si="24"/>
        <v>No</v>
      </c>
      <c r="H165" s="301" t="str">
        <f>IF(OR('TANF-VIEW'!L169&gt;0,'TANF-VIEW'!T169&gt;0),"Yes","No")</f>
        <v>No</v>
      </c>
      <c r="I165" s="63">
        <f t="shared" si="25"/>
        <v>450</v>
      </c>
      <c r="J165" s="6">
        <f>(IF(B165&gt;$N$2,0,VLOOKUP('Total income package'!$B$3,'Location specific data'!$A$3:$AO$135,33,FALSE))*$C$2)*20</f>
        <v>1400</v>
      </c>
      <c r="K165" s="6">
        <f>IF(B165&gt;$N$2,0,VLOOKUP('Total income package'!$B$3,'Location specific data'!$A$3:$AO$135,34,FALSE))*$D$2*20</f>
        <v>0</v>
      </c>
      <c r="L165" s="6">
        <f>IF(B165&gt;$N$2,0,VLOOKUP('Total income package'!$B$3,'Location specific data'!$A$3:$AO$135,35,FALSE))*$E$2*20</f>
        <v>0</v>
      </c>
      <c r="M165" s="6">
        <f>IF(B165&gt;$N$2,0,VLOOKUP('Total income package'!$B$3,'Location specific data'!$A$3:$AO$135,36,FALSE))*$F$2*20</f>
        <v>0</v>
      </c>
      <c r="N165" s="6">
        <f>IF(B165&gt;$N$2,0,VLOOKUP('Total income package'!$B$3,'Location specific data'!$A$3:$AO$135,37,FALSE))*($G$2+$H$2)*20</f>
        <v>600</v>
      </c>
      <c r="O165" s="6">
        <f t="shared" si="26"/>
        <v>900</v>
      </c>
      <c r="P165" s="312">
        <f t="shared" ref="P165:P196" si="32">B165*0.05</f>
        <v>333.33333333333337</v>
      </c>
      <c r="Q165" s="312">
        <f t="shared" si="28"/>
        <v>1350</v>
      </c>
      <c r="R165" s="312">
        <f t="shared" si="31"/>
        <v>333.33333333333337</v>
      </c>
      <c r="S165" s="160">
        <f>IF(AND('Total income package'!$A$8=TRUE,OR(F165="Yes",G165="Yes",H165="Yes")),SUM(J165:N165)-R165,0)</f>
        <v>1666.6666666666665</v>
      </c>
    </row>
    <row r="166" spans="1:19" x14ac:dyDescent="0.3">
      <c r="A166" s="6">
        <v>80500</v>
      </c>
      <c r="B166" s="7">
        <f t="shared" si="22"/>
        <v>6708.333333333333</v>
      </c>
      <c r="C166" s="7">
        <f>'Total income package'!$D$80</f>
        <v>0</v>
      </c>
      <c r="D166" s="7">
        <f t="shared" si="29"/>
        <v>6708.333333333333</v>
      </c>
      <c r="E166" s="65">
        <f t="shared" si="30"/>
        <v>2.0811789038262667</v>
      </c>
      <c r="F166" s="65" t="str">
        <f t="shared" si="23"/>
        <v>Yes</v>
      </c>
      <c r="G166" s="65" t="str">
        <f t="shared" si="24"/>
        <v>No</v>
      </c>
      <c r="H166" s="301" t="str">
        <f>IF(OR('TANF-VIEW'!L170&gt;0,'TANF-VIEW'!T170&gt;0),"Yes","No")</f>
        <v>No</v>
      </c>
      <c r="I166" s="63">
        <f t="shared" si="25"/>
        <v>450</v>
      </c>
      <c r="J166" s="6">
        <f>(IF(B166&gt;$N$2,0,VLOOKUP('Total income package'!$B$3,'Location specific data'!$A$3:$AO$135,33,FALSE))*$C$2)*20</f>
        <v>1400</v>
      </c>
      <c r="K166" s="6">
        <f>IF(B166&gt;$N$2,0,VLOOKUP('Total income package'!$B$3,'Location specific data'!$A$3:$AO$135,34,FALSE))*$D$2*20</f>
        <v>0</v>
      </c>
      <c r="L166" s="6">
        <f>IF(B166&gt;$N$2,0,VLOOKUP('Total income package'!$B$3,'Location specific data'!$A$3:$AO$135,35,FALSE))*$E$2*20</f>
        <v>0</v>
      </c>
      <c r="M166" s="6">
        <f>IF(B166&gt;$N$2,0,VLOOKUP('Total income package'!$B$3,'Location specific data'!$A$3:$AO$135,36,FALSE))*$F$2*20</f>
        <v>0</v>
      </c>
      <c r="N166" s="6">
        <f>IF(B166&gt;$N$2,0,VLOOKUP('Total income package'!$B$3,'Location specific data'!$A$3:$AO$135,37,FALSE))*($G$2+$H$2)*20</f>
        <v>600</v>
      </c>
      <c r="O166" s="6">
        <f t="shared" si="26"/>
        <v>900</v>
      </c>
      <c r="P166" s="312">
        <f t="shared" si="32"/>
        <v>335.41666666666669</v>
      </c>
      <c r="Q166" s="312">
        <f t="shared" si="28"/>
        <v>1350</v>
      </c>
      <c r="R166" s="312">
        <f t="shared" si="31"/>
        <v>335.41666666666669</v>
      </c>
      <c r="S166" s="160">
        <f>IF(AND('Total income package'!$A$8=TRUE,OR(F166="Yes",G166="Yes",H166="Yes")),SUM(J166:N166)-R166,0)</f>
        <v>1664.5833333333333</v>
      </c>
    </row>
    <row r="167" spans="1:19" x14ac:dyDescent="0.3">
      <c r="A167" s="6">
        <v>81000</v>
      </c>
      <c r="B167" s="7">
        <f t="shared" si="22"/>
        <v>6750</v>
      </c>
      <c r="C167" s="7">
        <f>'Total income package'!$D$80</f>
        <v>0</v>
      </c>
      <c r="D167" s="7">
        <f t="shared" si="29"/>
        <v>6750</v>
      </c>
      <c r="E167" s="65">
        <f t="shared" si="30"/>
        <v>2.0941054808686657</v>
      </c>
      <c r="F167" s="65" t="str">
        <f t="shared" si="23"/>
        <v>Yes</v>
      </c>
      <c r="G167" s="65" t="str">
        <f t="shared" si="24"/>
        <v>No</v>
      </c>
      <c r="H167" s="301" t="str">
        <f>IF(OR('TANF-VIEW'!L171&gt;0,'TANF-VIEW'!T171&gt;0),"Yes","No")</f>
        <v>No</v>
      </c>
      <c r="I167" s="63">
        <f t="shared" si="25"/>
        <v>450</v>
      </c>
      <c r="J167" s="6">
        <f>(IF(B167&gt;$N$2,0,VLOOKUP('Total income package'!$B$3,'Location specific data'!$A$3:$AO$135,33,FALSE))*$C$2)*20</f>
        <v>1400</v>
      </c>
      <c r="K167" s="6">
        <f>IF(B167&gt;$N$2,0,VLOOKUP('Total income package'!$B$3,'Location specific data'!$A$3:$AO$135,34,FALSE))*$D$2*20</f>
        <v>0</v>
      </c>
      <c r="L167" s="6">
        <f>IF(B167&gt;$N$2,0,VLOOKUP('Total income package'!$B$3,'Location specific data'!$A$3:$AO$135,35,FALSE))*$E$2*20</f>
        <v>0</v>
      </c>
      <c r="M167" s="6">
        <f>IF(B167&gt;$N$2,0,VLOOKUP('Total income package'!$B$3,'Location specific data'!$A$3:$AO$135,36,FALSE))*$F$2*20</f>
        <v>0</v>
      </c>
      <c r="N167" s="6">
        <f>IF(B167&gt;$N$2,0,VLOOKUP('Total income package'!$B$3,'Location specific data'!$A$3:$AO$135,37,FALSE))*($G$2+$H$2)*20</f>
        <v>600</v>
      </c>
      <c r="O167" s="6">
        <f t="shared" si="26"/>
        <v>900</v>
      </c>
      <c r="P167" s="312">
        <f t="shared" si="32"/>
        <v>337.5</v>
      </c>
      <c r="Q167" s="312">
        <f t="shared" si="28"/>
        <v>1350</v>
      </c>
      <c r="R167" s="312">
        <f t="shared" si="31"/>
        <v>337.5</v>
      </c>
      <c r="S167" s="160">
        <f>IF(AND('Total income package'!$A$8=TRUE,OR(F167="Yes",G167="Yes",H167="Yes")),SUM(J167:N167)-R167,0)</f>
        <v>1662.5</v>
      </c>
    </row>
    <row r="168" spans="1:19" x14ac:dyDescent="0.3">
      <c r="A168" s="6">
        <v>81500</v>
      </c>
      <c r="B168" s="7">
        <f t="shared" si="22"/>
        <v>6791.666666666667</v>
      </c>
      <c r="C168" s="7">
        <f>'Total income package'!$D$80</f>
        <v>0</v>
      </c>
      <c r="D168" s="7">
        <f t="shared" si="29"/>
        <v>6791.666666666667</v>
      </c>
      <c r="E168" s="65">
        <f t="shared" si="30"/>
        <v>2.1070320579110651</v>
      </c>
      <c r="F168" s="65" t="str">
        <f t="shared" si="23"/>
        <v>Yes</v>
      </c>
      <c r="G168" s="65" t="str">
        <f t="shared" si="24"/>
        <v>No</v>
      </c>
      <c r="H168" s="301" t="str">
        <f>IF(OR('TANF-VIEW'!L172&gt;0,'TANF-VIEW'!T172&gt;0),"Yes","No")</f>
        <v>No</v>
      </c>
      <c r="I168" s="63">
        <f t="shared" si="25"/>
        <v>450</v>
      </c>
      <c r="J168" s="6">
        <f>(IF(B168&gt;$N$2,0,VLOOKUP('Total income package'!$B$3,'Location specific data'!$A$3:$AO$135,33,FALSE))*$C$2)*20</f>
        <v>1400</v>
      </c>
      <c r="K168" s="6">
        <f>IF(B168&gt;$N$2,0,VLOOKUP('Total income package'!$B$3,'Location specific data'!$A$3:$AO$135,34,FALSE))*$D$2*20</f>
        <v>0</v>
      </c>
      <c r="L168" s="6">
        <f>IF(B168&gt;$N$2,0,VLOOKUP('Total income package'!$B$3,'Location specific data'!$A$3:$AO$135,35,FALSE))*$E$2*20</f>
        <v>0</v>
      </c>
      <c r="M168" s="6">
        <f>IF(B168&gt;$N$2,0,VLOOKUP('Total income package'!$B$3,'Location specific data'!$A$3:$AO$135,36,FALSE))*$F$2*20</f>
        <v>0</v>
      </c>
      <c r="N168" s="6">
        <f>IF(B168&gt;$N$2,0,VLOOKUP('Total income package'!$B$3,'Location specific data'!$A$3:$AO$135,37,FALSE))*($G$2+$H$2)*20</f>
        <v>600</v>
      </c>
      <c r="O168" s="6">
        <f t="shared" si="26"/>
        <v>900</v>
      </c>
      <c r="P168" s="312">
        <f t="shared" si="32"/>
        <v>339.58333333333337</v>
      </c>
      <c r="Q168" s="312">
        <f t="shared" si="28"/>
        <v>1350</v>
      </c>
      <c r="R168" s="312">
        <f t="shared" si="31"/>
        <v>339.58333333333337</v>
      </c>
      <c r="S168" s="160">
        <f>IF(AND('Total income package'!$A$8=TRUE,OR(F168="Yes",G168="Yes",H168="Yes")),SUM(J168:N168)-R168,0)</f>
        <v>1660.4166666666665</v>
      </c>
    </row>
    <row r="169" spans="1:19" x14ac:dyDescent="0.3">
      <c r="A169" s="6">
        <v>82000</v>
      </c>
      <c r="B169" s="7">
        <f t="shared" si="22"/>
        <v>6833.333333333333</v>
      </c>
      <c r="C169" s="7">
        <f>'Total income package'!$D$80</f>
        <v>0</v>
      </c>
      <c r="D169" s="7">
        <f t="shared" si="29"/>
        <v>6833.333333333333</v>
      </c>
      <c r="E169" s="65">
        <f t="shared" si="30"/>
        <v>2.119958634953464</v>
      </c>
      <c r="F169" s="65" t="str">
        <f t="shared" si="23"/>
        <v>Yes</v>
      </c>
      <c r="G169" s="65" t="str">
        <f t="shared" si="24"/>
        <v>No</v>
      </c>
      <c r="H169" s="301" t="str">
        <f>IF(OR('TANF-VIEW'!L173&gt;0,'TANF-VIEW'!T173&gt;0),"Yes","No")</f>
        <v>No</v>
      </c>
      <c r="I169" s="63">
        <f t="shared" si="25"/>
        <v>450</v>
      </c>
      <c r="J169" s="6">
        <f>(IF(B169&gt;$N$2,0,VLOOKUP('Total income package'!$B$3,'Location specific data'!$A$3:$AO$135,33,FALSE))*$C$2)*20</f>
        <v>1400</v>
      </c>
      <c r="K169" s="6">
        <f>IF(B169&gt;$N$2,0,VLOOKUP('Total income package'!$B$3,'Location specific data'!$A$3:$AO$135,34,FALSE))*$D$2*20</f>
        <v>0</v>
      </c>
      <c r="L169" s="6">
        <f>IF(B169&gt;$N$2,0,VLOOKUP('Total income package'!$B$3,'Location specific data'!$A$3:$AO$135,35,FALSE))*$E$2*20</f>
        <v>0</v>
      </c>
      <c r="M169" s="6">
        <f>IF(B169&gt;$N$2,0,VLOOKUP('Total income package'!$B$3,'Location specific data'!$A$3:$AO$135,36,FALSE))*$F$2*20</f>
        <v>0</v>
      </c>
      <c r="N169" s="6">
        <f>IF(B169&gt;$N$2,0,VLOOKUP('Total income package'!$B$3,'Location specific data'!$A$3:$AO$135,37,FALSE))*($G$2+$H$2)*20</f>
        <v>600</v>
      </c>
      <c r="O169" s="6">
        <f t="shared" si="26"/>
        <v>900</v>
      </c>
      <c r="P169" s="312">
        <f t="shared" si="32"/>
        <v>341.66666666666669</v>
      </c>
      <c r="Q169" s="312">
        <f t="shared" si="28"/>
        <v>1350</v>
      </c>
      <c r="R169" s="312">
        <f t="shared" si="31"/>
        <v>341.66666666666669</v>
      </c>
      <c r="S169" s="160">
        <f>IF(AND('Total income package'!$A$8=TRUE,OR(F169="Yes",G169="Yes",H169="Yes")),SUM(J169:N169)-R169,0)</f>
        <v>1658.3333333333333</v>
      </c>
    </row>
    <row r="170" spans="1:19" x14ac:dyDescent="0.3">
      <c r="A170" s="6">
        <v>82500</v>
      </c>
      <c r="B170" s="7">
        <f t="shared" si="22"/>
        <v>6875</v>
      </c>
      <c r="C170" s="7">
        <f>'Total income package'!$D$80</f>
        <v>0</v>
      </c>
      <c r="D170" s="7">
        <f t="shared" si="29"/>
        <v>6875</v>
      </c>
      <c r="E170" s="65">
        <f t="shared" si="30"/>
        <v>2.1328852119958635</v>
      </c>
      <c r="F170" s="65" t="str">
        <f t="shared" si="23"/>
        <v>Yes</v>
      </c>
      <c r="G170" s="65" t="str">
        <f t="shared" si="24"/>
        <v>No</v>
      </c>
      <c r="H170" s="301" t="str">
        <f>IF(OR('TANF-VIEW'!L174&gt;0,'TANF-VIEW'!T174&gt;0),"Yes","No")</f>
        <v>No</v>
      </c>
      <c r="I170" s="63">
        <f t="shared" si="25"/>
        <v>450</v>
      </c>
      <c r="J170" s="6">
        <f>(IF(B170&gt;$N$2,0,VLOOKUP('Total income package'!$B$3,'Location specific data'!$A$3:$AO$135,33,FALSE))*$C$2)*20</f>
        <v>1400</v>
      </c>
      <c r="K170" s="6">
        <f>IF(B170&gt;$N$2,0,VLOOKUP('Total income package'!$B$3,'Location specific data'!$A$3:$AO$135,34,FALSE))*$D$2*20</f>
        <v>0</v>
      </c>
      <c r="L170" s="6">
        <f>IF(B170&gt;$N$2,0,VLOOKUP('Total income package'!$B$3,'Location specific data'!$A$3:$AO$135,35,FALSE))*$E$2*20</f>
        <v>0</v>
      </c>
      <c r="M170" s="6">
        <f>IF(B170&gt;$N$2,0,VLOOKUP('Total income package'!$B$3,'Location specific data'!$A$3:$AO$135,36,FALSE))*$F$2*20</f>
        <v>0</v>
      </c>
      <c r="N170" s="6">
        <f>IF(B170&gt;$N$2,0,VLOOKUP('Total income package'!$B$3,'Location specific data'!$A$3:$AO$135,37,FALSE))*($G$2+$H$2)*20</f>
        <v>600</v>
      </c>
      <c r="O170" s="6">
        <f t="shared" si="26"/>
        <v>900</v>
      </c>
      <c r="P170" s="312">
        <f t="shared" si="32"/>
        <v>343.75</v>
      </c>
      <c r="Q170" s="312">
        <f t="shared" si="28"/>
        <v>1350</v>
      </c>
      <c r="R170" s="312">
        <f t="shared" si="31"/>
        <v>343.75</v>
      </c>
      <c r="S170" s="160">
        <f>IF(AND('Total income package'!$A$8=TRUE,OR(F170="Yes",G170="Yes",H170="Yes")),SUM(J170:N170)-R170,0)</f>
        <v>1656.25</v>
      </c>
    </row>
    <row r="171" spans="1:19" x14ac:dyDescent="0.3">
      <c r="A171" s="6">
        <v>83000</v>
      </c>
      <c r="B171" s="7">
        <f t="shared" si="22"/>
        <v>6916.666666666667</v>
      </c>
      <c r="C171" s="7">
        <f>'Total income package'!$D$80</f>
        <v>0</v>
      </c>
      <c r="D171" s="7">
        <f t="shared" si="29"/>
        <v>6916.666666666667</v>
      </c>
      <c r="E171" s="65">
        <f t="shared" si="30"/>
        <v>2.1458117890382629</v>
      </c>
      <c r="F171" s="65" t="str">
        <f t="shared" si="23"/>
        <v>Yes</v>
      </c>
      <c r="G171" s="65" t="str">
        <f t="shared" si="24"/>
        <v>No</v>
      </c>
      <c r="H171" s="301" t="str">
        <f>IF(OR('TANF-VIEW'!L175&gt;0,'TANF-VIEW'!T175&gt;0),"Yes","No")</f>
        <v>No</v>
      </c>
      <c r="I171" s="63">
        <f t="shared" si="25"/>
        <v>450</v>
      </c>
      <c r="J171" s="6">
        <f>(IF(B171&gt;$N$2,0,VLOOKUP('Total income package'!$B$3,'Location specific data'!$A$3:$AO$135,33,FALSE))*$C$2)*20</f>
        <v>1400</v>
      </c>
      <c r="K171" s="6">
        <f>IF(B171&gt;$N$2,0,VLOOKUP('Total income package'!$B$3,'Location specific data'!$A$3:$AO$135,34,FALSE))*$D$2*20</f>
        <v>0</v>
      </c>
      <c r="L171" s="6">
        <f>IF(B171&gt;$N$2,0,VLOOKUP('Total income package'!$B$3,'Location specific data'!$A$3:$AO$135,35,FALSE))*$E$2*20</f>
        <v>0</v>
      </c>
      <c r="M171" s="6">
        <f>IF(B171&gt;$N$2,0,VLOOKUP('Total income package'!$B$3,'Location specific data'!$A$3:$AO$135,36,FALSE))*$F$2*20</f>
        <v>0</v>
      </c>
      <c r="N171" s="6">
        <f>IF(B171&gt;$N$2,0,VLOOKUP('Total income package'!$B$3,'Location specific data'!$A$3:$AO$135,37,FALSE))*($G$2+$H$2)*20</f>
        <v>600</v>
      </c>
      <c r="O171" s="6">
        <f t="shared" si="26"/>
        <v>900</v>
      </c>
      <c r="P171" s="312">
        <f t="shared" si="32"/>
        <v>345.83333333333337</v>
      </c>
      <c r="Q171" s="312">
        <f t="shared" si="28"/>
        <v>1350</v>
      </c>
      <c r="R171" s="312">
        <f t="shared" si="31"/>
        <v>345.83333333333337</v>
      </c>
      <c r="S171" s="160">
        <f>IF(AND('Total income package'!$A$8=TRUE,OR(F171="Yes",G171="Yes",H171="Yes")),SUM(J171:N171)-R171,0)</f>
        <v>1654.1666666666665</v>
      </c>
    </row>
    <row r="172" spans="1:19" x14ac:dyDescent="0.3">
      <c r="A172" s="6">
        <v>83500</v>
      </c>
      <c r="B172" s="7">
        <f t="shared" si="22"/>
        <v>6958.333333333333</v>
      </c>
      <c r="C172" s="7">
        <f>'Total income package'!$D$80</f>
        <v>0</v>
      </c>
      <c r="D172" s="7">
        <f t="shared" si="29"/>
        <v>6958.333333333333</v>
      </c>
      <c r="E172" s="65">
        <f t="shared" si="30"/>
        <v>2.1587383660806618</v>
      </c>
      <c r="F172" s="65" t="str">
        <f t="shared" si="23"/>
        <v>Yes</v>
      </c>
      <c r="G172" s="65" t="str">
        <f t="shared" si="24"/>
        <v>No</v>
      </c>
      <c r="H172" s="301" t="str">
        <f>IF(OR('TANF-VIEW'!L176&gt;0,'TANF-VIEW'!T176&gt;0),"Yes","No")</f>
        <v>No</v>
      </c>
      <c r="I172" s="63">
        <f t="shared" si="25"/>
        <v>450</v>
      </c>
      <c r="J172" s="6">
        <f>(IF(B172&gt;$N$2,0,VLOOKUP('Total income package'!$B$3,'Location specific data'!$A$3:$AO$135,33,FALSE))*$C$2)*20</f>
        <v>1400</v>
      </c>
      <c r="K172" s="6">
        <f>IF(B172&gt;$N$2,0,VLOOKUP('Total income package'!$B$3,'Location specific data'!$A$3:$AO$135,34,FALSE))*$D$2*20</f>
        <v>0</v>
      </c>
      <c r="L172" s="6">
        <f>IF(B172&gt;$N$2,0,VLOOKUP('Total income package'!$B$3,'Location specific data'!$A$3:$AO$135,35,FALSE))*$E$2*20</f>
        <v>0</v>
      </c>
      <c r="M172" s="6">
        <f>IF(B172&gt;$N$2,0,VLOOKUP('Total income package'!$B$3,'Location specific data'!$A$3:$AO$135,36,FALSE))*$F$2*20</f>
        <v>0</v>
      </c>
      <c r="N172" s="6">
        <f>IF(B172&gt;$N$2,0,VLOOKUP('Total income package'!$B$3,'Location specific data'!$A$3:$AO$135,37,FALSE))*($G$2+$H$2)*20</f>
        <v>600</v>
      </c>
      <c r="O172" s="6">
        <f t="shared" si="26"/>
        <v>900</v>
      </c>
      <c r="P172" s="312">
        <f t="shared" si="32"/>
        <v>347.91666666666669</v>
      </c>
      <c r="Q172" s="312">
        <f t="shared" si="28"/>
        <v>1350</v>
      </c>
      <c r="R172" s="312">
        <f t="shared" si="31"/>
        <v>347.91666666666669</v>
      </c>
      <c r="S172" s="160">
        <f>IF(AND('Total income package'!$A$8=TRUE,OR(F172="Yes",G172="Yes",H172="Yes")),SUM(J172:N172)-R172,0)</f>
        <v>1652.0833333333333</v>
      </c>
    </row>
    <row r="173" spans="1:19" x14ac:dyDescent="0.3">
      <c r="A173" s="6">
        <v>84000</v>
      </c>
      <c r="B173" s="7">
        <f t="shared" ref="B173:B204" si="33">A173/12</f>
        <v>7000</v>
      </c>
      <c r="C173" s="7">
        <f>'Total income package'!$D$80</f>
        <v>0</v>
      </c>
      <c r="D173" s="7">
        <f t="shared" si="29"/>
        <v>7000</v>
      </c>
      <c r="E173" s="65">
        <f t="shared" si="30"/>
        <v>2.1716649431230608</v>
      </c>
      <c r="F173" s="65" t="str">
        <f t="shared" si="23"/>
        <v>Yes</v>
      </c>
      <c r="G173" s="65" t="str">
        <f t="shared" si="24"/>
        <v>No</v>
      </c>
      <c r="H173" s="301" t="str">
        <f>IF(OR('TANF-VIEW'!L177&gt;0,'TANF-VIEW'!T177&gt;0),"Yes","No")</f>
        <v>No</v>
      </c>
      <c r="I173" s="63">
        <f t="shared" si="25"/>
        <v>450</v>
      </c>
      <c r="J173" s="6">
        <f>(IF(B173&gt;$N$2,0,VLOOKUP('Total income package'!$B$3,'Location specific data'!$A$3:$AO$135,33,FALSE))*$C$2)*20</f>
        <v>1400</v>
      </c>
      <c r="K173" s="6">
        <f>IF(B173&gt;$N$2,0,VLOOKUP('Total income package'!$B$3,'Location specific data'!$A$3:$AO$135,34,FALSE))*$D$2*20</f>
        <v>0</v>
      </c>
      <c r="L173" s="6">
        <f>IF(B173&gt;$N$2,0,VLOOKUP('Total income package'!$B$3,'Location specific data'!$A$3:$AO$135,35,FALSE))*$E$2*20</f>
        <v>0</v>
      </c>
      <c r="M173" s="6">
        <f>IF(B173&gt;$N$2,0,VLOOKUP('Total income package'!$B$3,'Location specific data'!$A$3:$AO$135,36,FALSE))*$F$2*20</f>
        <v>0</v>
      </c>
      <c r="N173" s="6">
        <f>IF(B173&gt;$N$2,0,VLOOKUP('Total income package'!$B$3,'Location specific data'!$A$3:$AO$135,37,FALSE))*($G$2+$H$2)*20</f>
        <v>600</v>
      </c>
      <c r="O173" s="6">
        <f t="shared" si="26"/>
        <v>900</v>
      </c>
      <c r="P173" s="312">
        <f t="shared" si="32"/>
        <v>350</v>
      </c>
      <c r="Q173" s="312">
        <f t="shared" si="28"/>
        <v>1350</v>
      </c>
      <c r="R173" s="312">
        <f t="shared" si="31"/>
        <v>350</v>
      </c>
      <c r="S173" s="160">
        <f>IF(AND('Total income package'!$A$8=TRUE,OR(F173="Yes",G173="Yes",H173="Yes")),SUM(J173:N173)-R173,0)</f>
        <v>1650</v>
      </c>
    </row>
    <row r="174" spans="1:19" x14ac:dyDescent="0.3">
      <c r="A174" s="6">
        <v>84500</v>
      </c>
      <c r="B174" s="7">
        <f t="shared" si="33"/>
        <v>7041.666666666667</v>
      </c>
      <c r="C174" s="7">
        <f>'Total income package'!$D$80</f>
        <v>0</v>
      </c>
      <c r="D174" s="7">
        <f t="shared" si="29"/>
        <v>7041.666666666667</v>
      </c>
      <c r="E174" s="65">
        <f t="shared" si="30"/>
        <v>2.1845915201654602</v>
      </c>
      <c r="F174" s="65" t="str">
        <f t="shared" si="23"/>
        <v>Yes</v>
      </c>
      <c r="G174" s="65" t="str">
        <f t="shared" si="24"/>
        <v>No</v>
      </c>
      <c r="H174" s="301" t="str">
        <f>IF(OR('TANF-VIEW'!L178&gt;0,'TANF-VIEW'!T178&gt;0),"Yes","No")</f>
        <v>No</v>
      </c>
      <c r="I174" s="63">
        <f t="shared" si="25"/>
        <v>450</v>
      </c>
      <c r="J174" s="6">
        <f>(IF(B174&gt;$N$2,0,VLOOKUP('Total income package'!$B$3,'Location specific data'!$A$3:$AO$135,33,FALSE))*$C$2)*20</f>
        <v>1400</v>
      </c>
      <c r="K174" s="6">
        <f>IF(B174&gt;$N$2,0,VLOOKUP('Total income package'!$B$3,'Location specific data'!$A$3:$AO$135,34,FALSE))*$D$2*20</f>
        <v>0</v>
      </c>
      <c r="L174" s="6">
        <f>IF(B174&gt;$N$2,0,VLOOKUP('Total income package'!$B$3,'Location specific data'!$A$3:$AO$135,35,FALSE))*$E$2*20</f>
        <v>0</v>
      </c>
      <c r="M174" s="6">
        <f>IF(B174&gt;$N$2,0,VLOOKUP('Total income package'!$B$3,'Location specific data'!$A$3:$AO$135,36,FALSE))*$F$2*20</f>
        <v>0</v>
      </c>
      <c r="N174" s="6">
        <f>IF(B174&gt;$N$2,0,VLOOKUP('Total income package'!$B$3,'Location specific data'!$A$3:$AO$135,37,FALSE))*($G$2+$H$2)*20</f>
        <v>600</v>
      </c>
      <c r="O174" s="6">
        <f t="shared" si="26"/>
        <v>900</v>
      </c>
      <c r="P174" s="312">
        <f t="shared" si="32"/>
        <v>352.08333333333337</v>
      </c>
      <c r="Q174" s="312">
        <f t="shared" si="28"/>
        <v>1350</v>
      </c>
      <c r="R174" s="312">
        <f t="shared" si="31"/>
        <v>352.08333333333337</v>
      </c>
      <c r="S174" s="160">
        <f>IF(AND('Total income package'!$A$8=TRUE,OR(F174="Yes",G174="Yes",H174="Yes")),SUM(J174:N174)-R174,0)</f>
        <v>1647.9166666666665</v>
      </c>
    </row>
    <row r="175" spans="1:19" x14ac:dyDescent="0.3">
      <c r="A175" s="6">
        <v>85000</v>
      </c>
      <c r="B175" s="7">
        <f t="shared" si="33"/>
        <v>7083.333333333333</v>
      </c>
      <c r="C175" s="7">
        <f>'Total income package'!$D$80</f>
        <v>0</v>
      </c>
      <c r="D175" s="7">
        <f t="shared" si="29"/>
        <v>7083.333333333333</v>
      </c>
      <c r="E175" s="65">
        <f t="shared" si="30"/>
        <v>2.1975180972078592</v>
      </c>
      <c r="F175" s="65" t="str">
        <f t="shared" si="23"/>
        <v>Yes</v>
      </c>
      <c r="G175" s="65" t="str">
        <f t="shared" si="24"/>
        <v>No</v>
      </c>
      <c r="H175" s="301" t="str">
        <f>IF(OR('TANF-VIEW'!L179&gt;0,'TANF-VIEW'!T179&gt;0),"Yes","No")</f>
        <v>No</v>
      </c>
      <c r="I175" s="63">
        <f t="shared" si="25"/>
        <v>450</v>
      </c>
      <c r="J175" s="6">
        <f>(IF(B175&gt;$N$2,0,VLOOKUP('Total income package'!$B$3,'Location specific data'!$A$3:$AO$135,33,FALSE))*$C$2)*20</f>
        <v>1400</v>
      </c>
      <c r="K175" s="6">
        <f>IF(B175&gt;$N$2,0,VLOOKUP('Total income package'!$B$3,'Location specific data'!$A$3:$AO$135,34,FALSE))*$D$2*20</f>
        <v>0</v>
      </c>
      <c r="L175" s="6">
        <f>IF(B175&gt;$N$2,0,VLOOKUP('Total income package'!$B$3,'Location specific data'!$A$3:$AO$135,35,FALSE))*$E$2*20</f>
        <v>0</v>
      </c>
      <c r="M175" s="6">
        <f>IF(B175&gt;$N$2,0,VLOOKUP('Total income package'!$B$3,'Location specific data'!$A$3:$AO$135,36,FALSE))*$F$2*20</f>
        <v>0</v>
      </c>
      <c r="N175" s="6">
        <f>IF(B175&gt;$N$2,0,VLOOKUP('Total income package'!$B$3,'Location specific data'!$A$3:$AO$135,37,FALSE))*($G$2+$H$2)*20</f>
        <v>600</v>
      </c>
      <c r="O175" s="6">
        <f t="shared" si="26"/>
        <v>900</v>
      </c>
      <c r="P175" s="312">
        <f t="shared" si="32"/>
        <v>354.16666666666669</v>
      </c>
      <c r="Q175" s="312">
        <f t="shared" si="28"/>
        <v>1350</v>
      </c>
      <c r="R175" s="312">
        <f t="shared" si="31"/>
        <v>354.16666666666669</v>
      </c>
      <c r="S175" s="160">
        <f>IF(AND('Total income package'!$A$8=TRUE,OR(F175="Yes",G175="Yes",H175="Yes")),SUM(J175:N175)-R175,0)</f>
        <v>1645.8333333333333</v>
      </c>
    </row>
    <row r="176" spans="1:19" x14ac:dyDescent="0.3">
      <c r="A176" s="6">
        <v>85500</v>
      </c>
      <c r="B176" s="7">
        <f t="shared" si="33"/>
        <v>7125</v>
      </c>
      <c r="C176" s="7">
        <f>'Total income package'!$D$80</f>
        <v>0</v>
      </c>
      <c r="D176" s="7">
        <f t="shared" si="29"/>
        <v>7125</v>
      </c>
      <c r="E176" s="65">
        <f t="shared" si="30"/>
        <v>2.2104446742502586</v>
      </c>
      <c r="F176" s="65" t="str">
        <f t="shared" si="23"/>
        <v>Yes</v>
      </c>
      <c r="G176" s="65" t="str">
        <f t="shared" si="24"/>
        <v>No</v>
      </c>
      <c r="H176" s="301" t="str">
        <f>IF(OR('TANF-VIEW'!L180&gt;0,'TANF-VIEW'!T180&gt;0),"Yes","No")</f>
        <v>No</v>
      </c>
      <c r="I176" s="63">
        <f t="shared" si="25"/>
        <v>450</v>
      </c>
      <c r="J176" s="6">
        <f>(IF(B176&gt;$N$2,0,VLOOKUP('Total income package'!$B$3,'Location specific data'!$A$3:$AO$135,33,FALSE))*$C$2)*20</f>
        <v>1400</v>
      </c>
      <c r="K176" s="6">
        <f>IF(B176&gt;$N$2,0,VLOOKUP('Total income package'!$B$3,'Location specific data'!$A$3:$AO$135,34,FALSE))*$D$2*20</f>
        <v>0</v>
      </c>
      <c r="L176" s="6">
        <f>IF(B176&gt;$N$2,0,VLOOKUP('Total income package'!$B$3,'Location specific data'!$A$3:$AO$135,35,FALSE))*$E$2*20</f>
        <v>0</v>
      </c>
      <c r="M176" s="6">
        <f>IF(B176&gt;$N$2,0,VLOOKUP('Total income package'!$B$3,'Location specific data'!$A$3:$AO$135,36,FALSE))*$F$2*20</f>
        <v>0</v>
      </c>
      <c r="N176" s="6">
        <f>IF(B176&gt;$N$2,0,VLOOKUP('Total income package'!$B$3,'Location specific data'!$A$3:$AO$135,37,FALSE))*($G$2+$H$2)*20</f>
        <v>600</v>
      </c>
      <c r="O176" s="6">
        <f t="shared" si="26"/>
        <v>900</v>
      </c>
      <c r="P176" s="312">
        <f t="shared" si="32"/>
        <v>356.25</v>
      </c>
      <c r="Q176" s="312">
        <f t="shared" si="28"/>
        <v>1350</v>
      </c>
      <c r="R176" s="312">
        <f t="shared" si="31"/>
        <v>356.25</v>
      </c>
      <c r="S176" s="160">
        <f>IF(AND('Total income package'!$A$8=TRUE,OR(F176="Yes",G176="Yes",H176="Yes")),SUM(J176:N176)-R176,0)</f>
        <v>1643.75</v>
      </c>
    </row>
    <row r="177" spans="1:19" x14ac:dyDescent="0.3">
      <c r="A177" s="6">
        <v>86000</v>
      </c>
      <c r="B177" s="7">
        <f t="shared" si="33"/>
        <v>7166.666666666667</v>
      </c>
      <c r="C177" s="7">
        <f>'Total income package'!$D$80</f>
        <v>0</v>
      </c>
      <c r="D177" s="7">
        <f t="shared" si="29"/>
        <v>7166.666666666667</v>
      </c>
      <c r="E177" s="65">
        <f t="shared" si="30"/>
        <v>2.2233712512926576</v>
      </c>
      <c r="F177" s="65" t="str">
        <f t="shared" si="23"/>
        <v>Yes</v>
      </c>
      <c r="G177" s="65" t="str">
        <f t="shared" si="24"/>
        <v>No</v>
      </c>
      <c r="H177" s="301" t="str">
        <f>IF(OR('TANF-VIEW'!L181&gt;0,'TANF-VIEW'!T181&gt;0),"Yes","No")</f>
        <v>No</v>
      </c>
      <c r="I177" s="63">
        <f t="shared" si="25"/>
        <v>450</v>
      </c>
      <c r="J177" s="6">
        <f>(IF(B177&gt;$N$2,0,VLOOKUP('Total income package'!$B$3,'Location specific data'!$A$3:$AO$135,33,FALSE))*$C$2)*20</f>
        <v>1400</v>
      </c>
      <c r="K177" s="6">
        <f>IF(B177&gt;$N$2,0,VLOOKUP('Total income package'!$B$3,'Location specific data'!$A$3:$AO$135,34,FALSE))*$D$2*20</f>
        <v>0</v>
      </c>
      <c r="L177" s="6">
        <f>IF(B177&gt;$N$2,0,VLOOKUP('Total income package'!$B$3,'Location specific data'!$A$3:$AO$135,35,FALSE))*$E$2*20</f>
        <v>0</v>
      </c>
      <c r="M177" s="6">
        <f>IF(B177&gt;$N$2,0,VLOOKUP('Total income package'!$B$3,'Location specific data'!$A$3:$AO$135,36,FALSE))*$F$2*20</f>
        <v>0</v>
      </c>
      <c r="N177" s="6">
        <f>IF(B177&gt;$N$2,0,VLOOKUP('Total income package'!$B$3,'Location specific data'!$A$3:$AO$135,37,FALSE))*($G$2+$H$2)*20</f>
        <v>600</v>
      </c>
      <c r="O177" s="6">
        <f t="shared" si="26"/>
        <v>900</v>
      </c>
      <c r="P177" s="312">
        <f t="shared" si="32"/>
        <v>358.33333333333337</v>
      </c>
      <c r="Q177" s="312">
        <f t="shared" si="28"/>
        <v>1350</v>
      </c>
      <c r="R177" s="312">
        <f t="shared" si="31"/>
        <v>358.33333333333337</v>
      </c>
      <c r="S177" s="160">
        <f>IF(AND('Total income package'!$A$8=TRUE,OR(F177="Yes",G177="Yes",H177="Yes")),SUM(J177:N177)-R177,0)</f>
        <v>1641.6666666666665</v>
      </c>
    </row>
    <row r="178" spans="1:19" x14ac:dyDescent="0.3">
      <c r="A178" s="6">
        <v>86500</v>
      </c>
      <c r="B178" s="7">
        <f t="shared" si="33"/>
        <v>7208.333333333333</v>
      </c>
      <c r="C178" s="7">
        <f>'Total income package'!$D$80</f>
        <v>0</v>
      </c>
      <c r="D178" s="7">
        <f t="shared" si="29"/>
        <v>7208.333333333333</v>
      </c>
      <c r="E178" s="65">
        <f t="shared" si="30"/>
        <v>2.2362978283350565</v>
      </c>
      <c r="F178" s="65" t="str">
        <f t="shared" si="23"/>
        <v>Yes</v>
      </c>
      <c r="G178" s="65" t="str">
        <f t="shared" si="24"/>
        <v>No</v>
      </c>
      <c r="H178" s="301" t="str">
        <f>IF(OR('TANF-VIEW'!L182&gt;0,'TANF-VIEW'!T182&gt;0),"Yes","No")</f>
        <v>No</v>
      </c>
      <c r="I178" s="63">
        <f t="shared" si="25"/>
        <v>450</v>
      </c>
      <c r="J178" s="6">
        <f>(IF(B178&gt;$N$2,0,VLOOKUP('Total income package'!$B$3,'Location specific data'!$A$3:$AO$135,33,FALSE))*$C$2)*20</f>
        <v>1400</v>
      </c>
      <c r="K178" s="6">
        <f>IF(B178&gt;$N$2,0,VLOOKUP('Total income package'!$B$3,'Location specific data'!$A$3:$AO$135,34,FALSE))*$D$2*20</f>
        <v>0</v>
      </c>
      <c r="L178" s="6">
        <f>IF(B178&gt;$N$2,0,VLOOKUP('Total income package'!$B$3,'Location specific data'!$A$3:$AO$135,35,FALSE))*$E$2*20</f>
        <v>0</v>
      </c>
      <c r="M178" s="6">
        <f>IF(B178&gt;$N$2,0,VLOOKUP('Total income package'!$B$3,'Location specific data'!$A$3:$AO$135,36,FALSE))*$F$2*20</f>
        <v>0</v>
      </c>
      <c r="N178" s="6">
        <f>IF(B178&gt;$N$2,0,VLOOKUP('Total income package'!$B$3,'Location specific data'!$A$3:$AO$135,37,FALSE))*($G$2+$H$2)*20</f>
        <v>600</v>
      </c>
      <c r="O178" s="6">
        <f t="shared" si="26"/>
        <v>900</v>
      </c>
      <c r="P178" s="312">
        <f t="shared" si="32"/>
        <v>360.41666666666669</v>
      </c>
      <c r="Q178" s="312">
        <f t="shared" si="28"/>
        <v>1350</v>
      </c>
      <c r="R178" s="312">
        <f t="shared" si="31"/>
        <v>360.41666666666669</v>
      </c>
      <c r="S178" s="160">
        <f>IF(AND('Total income package'!$A$8=TRUE,OR(F178="Yes",G178="Yes",H178="Yes")),SUM(J178:N178)-R178,0)</f>
        <v>1639.5833333333333</v>
      </c>
    </row>
    <row r="179" spans="1:19" x14ac:dyDescent="0.3">
      <c r="A179" s="6">
        <v>87000</v>
      </c>
      <c r="B179" s="7">
        <f t="shared" si="33"/>
        <v>7250</v>
      </c>
      <c r="C179" s="7">
        <f>'Total income package'!$D$80</f>
        <v>0</v>
      </c>
      <c r="D179" s="7">
        <f t="shared" si="29"/>
        <v>7250</v>
      </c>
      <c r="E179" s="65">
        <f t="shared" si="30"/>
        <v>2.2492244053774559</v>
      </c>
      <c r="F179" s="65" t="str">
        <f t="shared" si="23"/>
        <v>Yes</v>
      </c>
      <c r="G179" s="65" t="str">
        <f t="shared" si="24"/>
        <v>No</v>
      </c>
      <c r="H179" s="301" t="str">
        <f>IF(OR('TANF-VIEW'!L183&gt;0,'TANF-VIEW'!T183&gt;0),"Yes","No")</f>
        <v>No</v>
      </c>
      <c r="I179" s="63">
        <f t="shared" si="25"/>
        <v>450</v>
      </c>
      <c r="J179" s="6">
        <f>(IF(B179&gt;$N$2,0,VLOOKUP('Total income package'!$B$3,'Location specific data'!$A$3:$AO$135,33,FALSE))*$C$2)*20</f>
        <v>1400</v>
      </c>
      <c r="K179" s="6">
        <f>IF(B179&gt;$N$2,0,VLOOKUP('Total income package'!$B$3,'Location specific data'!$A$3:$AO$135,34,FALSE))*$D$2*20</f>
        <v>0</v>
      </c>
      <c r="L179" s="6">
        <f>IF(B179&gt;$N$2,0,VLOOKUP('Total income package'!$B$3,'Location specific data'!$A$3:$AO$135,35,FALSE))*$E$2*20</f>
        <v>0</v>
      </c>
      <c r="M179" s="6">
        <f>IF(B179&gt;$N$2,0,VLOOKUP('Total income package'!$B$3,'Location specific data'!$A$3:$AO$135,36,FALSE))*$F$2*20</f>
        <v>0</v>
      </c>
      <c r="N179" s="6">
        <f>IF(B179&gt;$N$2,0,VLOOKUP('Total income package'!$B$3,'Location specific data'!$A$3:$AO$135,37,FALSE))*($G$2+$H$2)*20</f>
        <v>600</v>
      </c>
      <c r="O179" s="6">
        <f t="shared" si="26"/>
        <v>900</v>
      </c>
      <c r="P179" s="312">
        <f t="shared" si="32"/>
        <v>362.5</v>
      </c>
      <c r="Q179" s="312">
        <f t="shared" si="28"/>
        <v>1350</v>
      </c>
      <c r="R179" s="312">
        <f t="shared" si="31"/>
        <v>362.5</v>
      </c>
      <c r="S179" s="160">
        <f>IF(AND('Total income package'!$A$8=TRUE,OR(F179="Yes",G179="Yes",H179="Yes")),SUM(J179:N179)-R179,0)</f>
        <v>1637.5</v>
      </c>
    </row>
    <row r="180" spans="1:19" x14ac:dyDescent="0.3">
      <c r="A180" s="6">
        <v>87500</v>
      </c>
      <c r="B180" s="7">
        <f t="shared" si="33"/>
        <v>7291.666666666667</v>
      </c>
      <c r="C180" s="7">
        <f>'Total income package'!$D$80</f>
        <v>0</v>
      </c>
      <c r="D180" s="7">
        <f t="shared" si="29"/>
        <v>7291.666666666667</v>
      </c>
      <c r="E180" s="65">
        <f t="shared" si="30"/>
        <v>2.2621509824198553</v>
      </c>
      <c r="F180" s="65" t="str">
        <f t="shared" si="23"/>
        <v>Yes</v>
      </c>
      <c r="G180" s="65" t="str">
        <f t="shared" si="24"/>
        <v>No</v>
      </c>
      <c r="H180" s="301" t="str">
        <f>IF(OR('TANF-VIEW'!L184&gt;0,'TANF-VIEW'!T184&gt;0),"Yes","No")</f>
        <v>No</v>
      </c>
      <c r="I180" s="63">
        <f t="shared" si="25"/>
        <v>450</v>
      </c>
      <c r="J180" s="6">
        <f>(IF(B180&gt;$N$2,0,VLOOKUP('Total income package'!$B$3,'Location specific data'!$A$3:$AO$135,33,FALSE))*$C$2)*20</f>
        <v>1400</v>
      </c>
      <c r="K180" s="6">
        <f>IF(B180&gt;$N$2,0,VLOOKUP('Total income package'!$B$3,'Location specific data'!$A$3:$AO$135,34,FALSE))*$D$2*20</f>
        <v>0</v>
      </c>
      <c r="L180" s="6">
        <f>IF(B180&gt;$N$2,0,VLOOKUP('Total income package'!$B$3,'Location specific data'!$A$3:$AO$135,35,FALSE))*$E$2*20</f>
        <v>0</v>
      </c>
      <c r="M180" s="6">
        <f>IF(B180&gt;$N$2,0,VLOOKUP('Total income package'!$B$3,'Location specific data'!$A$3:$AO$135,36,FALSE))*$F$2*20</f>
        <v>0</v>
      </c>
      <c r="N180" s="6">
        <f>IF(B180&gt;$N$2,0,VLOOKUP('Total income package'!$B$3,'Location specific data'!$A$3:$AO$135,37,FALSE))*($G$2+$H$2)*20</f>
        <v>600</v>
      </c>
      <c r="O180" s="6">
        <f t="shared" si="26"/>
        <v>900</v>
      </c>
      <c r="P180" s="312">
        <f t="shared" si="32"/>
        <v>364.58333333333337</v>
      </c>
      <c r="Q180" s="312">
        <f t="shared" si="28"/>
        <v>1350</v>
      </c>
      <c r="R180" s="312">
        <f t="shared" si="31"/>
        <v>364.58333333333337</v>
      </c>
      <c r="S180" s="160">
        <f>IF(AND('Total income package'!$A$8=TRUE,OR(F180="Yes",G180="Yes",H180="Yes")),SUM(J180:N180)-R180,0)</f>
        <v>1635.4166666666665</v>
      </c>
    </row>
    <row r="181" spans="1:19" x14ac:dyDescent="0.3">
      <c r="A181" s="6">
        <v>88000</v>
      </c>
      <c r="B181" s="7">
        <f t="shared" si="33"/>
        <v>7333.333333333333</v>
      </c>
      <c r="C181" s="7">
        <f>'Total income package'!$D$80</f>
        <v>0</v>
      </c>
      <c r="D181" s="7">
        <f t="shared" si="29"/>
        <v>7333.333333333333</v>
      </c>
      <c r="E181" s="65">
        <f t="shared" si="30"/>
        <v>2.2750775594622543</v>
      </c>
      <c r="F181" s="65" t="str">
        <f t="shared" si="23"/>
        <v>Yes</v>
      </c>
      <c r="G181" s="65" t="str">
        <f t="shared" si="24"/>
        <v>No</v>
      </c>
      <c r="H181" s="301" t="str">
        <f>IF(OR('TANF-VIEW'!L185&gt;0,'TANF-VIEW'!T185&gt;0),"Yes","No")</f>
        <v>No</v>
      </c>
      <c r="I181" s="63">
        <f t="shared" si="25"/>
        <v>450</v>
      </c>
      <c r="J181" s="6">
        <f>(IF(B181&gt;$N$2,0,VLOOKUP('Total income package'!$B$3,'Location specific data'!$A$3:$AO$135,33,FALSE))*$C$2)*20</f>
        <v>1400</v>
      </c>
      <c r="K181" s="6">
        <f>IF(B181&gt;$N$2,0,VLOOKUP('Total income package'!$B$3,'Location specific data'!$A$3:$AO$135,34,FALSE))*$D$2*20</f>
        <v>0</v>
      </c>
      <c r="L181" s="6">
        <f>IF(B181&gt;$N$2,0,VLOOKUP('Total income package'!$B$3,'Location specific data'!$A$3:$AO$135,35,FALSE))*$E$2*20</f>
        <v>0</v>
      </c>
      <c r="M181" s="6">
        <f>IF(B181&gt;$N$2,0,VLOOKUP('Total income package'!$B$3,'Location specific data'!$A$3:$AO$135,36,FALSE))*$F$2*20</f>
        <v>0</v>
      </c>
      <c r="N181" s="6">
        <f>IF(B181&gt;$N$2,0,VLOOKUP('Total income package'!$B$3,'Location specific data'!$A$3:$AO$135,37,FALSE))*($G$2+$H$2)*20</f>
        <v>600</v>
      </c>
      <c r="O181" s="6">
        <f t="shared" si="26"/>
        <v>900</v>
      </c>
      <c r="P181" s="312">
        <f t="shared" si="32"/>
        <v>366.66666666666669</v>
      </c>
      <c r="Q181" s="312">
        <f t="shared" si="28"/>
        <v>1350</v>
      </c>
      <c r="R181" s="312">
        <f t="shared" si="31"/>
        <v>366.66666666666669</v>
      </c>
      <c r="S181" s="160">
        <f>IF(AND('Total income package'!$A$8=TRUE,OR(F181="Yes",G181="Yes",H181="Yes")),SUM(J181:N181)-R181,0)</f>
        <v>1633.3333333333333</v>
      </c>
    </row>
    <row r="182" spans="1:19" x14ac:dyDescent="0.3">
      <c r="A182" s="6">
        <v>88500</v>
      </c>
      <c r="B182" s="7">
        <f t="shared" si="33"/>
        <v>7375</v>
      </c>
      <c r="C182" s="7">
        <f>'Total income package'!$D$80</f>
        <v>0</v>
      </c>
      <c r="D182" s="7">
        <f t="shared" si="29"/>
        <v>7375</v>
      </c>
      <c r="E182" s="65">
        <f t="shared" si="30"/>
        <v>2.2880041365046533</v>
      </c>
      <c r="F182" s="65" t="str">
        <f t="shared" si="23"/>
        <v>Yes</v>
      </c>
      <c r="G182" s="65" t="str">
        <f t="shared" si="24"/>
        <v>No</v>
      </c>
      <c r="H182" s="301" t="str">
        <f>IF(OR('TANF-VIEW'!L186&gt;0,'TANF-VIEW'!T186&gt;0),"Yes","No")</f>
        <v>No</v>
      </c>
      <c r="I182" s="63">
        <f t="shared" si="25"/>
        <v>450</v>
      </c>
      <c r="J182" s="6">
        <f>(IF(B182&gt;$N$2,0,VLOOKUP('Total income package'!$B$3,'Location specific data'!$A$3:$AO$135,33,FALSE))*$C$2)*20</f>
        <v>1400</v>
      </c>
      <c r="K182" s="6">
        <f>IF(B182&gt;$N$2,0,VLOOKUP('Total income package'!$B$3,'Location specific data'!$A$3:$AO$135,34,FALSE))*$D$2*20</f>
        <v>0</v>
      </c>
      <c r="L182" s="6">
        <f>IF(B182&gt;$N$2,0,VLOOKUP('Total income package'!$B$3,'Location specific data'!$A$3:$AO$135,35,FALSE))*$E$2*20</f>
        <v>0</v>
      </c>
      <c r="M182" s="6">
        <f>IF(B182&gt;$N$2,0,VLOOKUP('Total income package'!$B$3,'Location specific data'!$A$3:$AO$135,36,FALSE))*$F$2*20</f>
        <v>0</v>
      </c>
      <c r="N182" s="6">
        <f>IF(B182&gt;$N$2,0,VLOOKUP('Total income package'!$B$3,'Location specific data'!$A$3:$AO$135,37,FALSE))*($G$2+$H$2)*20</f>
        <v>600</v>
      </c>
      <c r="O182" s="6">
        <f t="shared" si="26"/>
        <v>900</v>
      </c>
      <c r="P182" s="312">
        <f t="shared" si="32"/>
        <v>368.75</v>
      </c>
      <c r="Q182" s="312">
        <f t="shared" si="28"/>
        <v>1350</v>
      </c>
      <c r="R182" s="312">
        <f t="shared" si="31"/>
        <v>368.75</v>
      </c>
      <c r="S182" s="160">
        <f>IF(AND('Total income package'!$A$8=TRUE,OR(F182="Yes",G182="Yes",H182="Yes")),SUM(J182:N182)-R182,0)</f>
        <v>1631.25</v>
      </c>
    </row>
    <row r="183" spans="1:19" x14ac:dyDescent="0.3">
      <c r="A183" s="6">
        <v>89000</v>
      </c>
      <c r="B183" s="7">
        <f t="shared" si="33"/>
        <v>7416.666666666667</v>
      </c>
      <c r="C183" s="7">
        <f>'Total income package'!$D$80</f>
        <v>0</v>
      </c>
      <c r="D183" s="7">
        <f t="shared" si="29"/>
        <v>7416.666666666667</v>
      </c>
      <c r="E183" s="65">
        <f t="shared" si="30"/>
        <v>2.3009307135470527</v>
      </c>
      <c r="F183" s="65" t="str">
        <f t="shared" si="23"/>
        <v>Yes</v>
      </c>
      <c r="G183" s="65" t="str">
        <f t="shared" si="24"/>
        <v>No</v>
      </c>
      <c r="H183" s="301" t="str">
        <f>IF(OR('TANF-VIEW'!L187&gt;0,'TANF-VIEW'!T187&gt;0),"Yes","No")</f>
        <v>No</v>
      </c>
      <c r="I183" s="63">
        <f t="shared" si="25"/>
        <v>450</v>
      </c>
      <c r="J183" s="6">
        <f>(IF(B183&gt;$N$2,0,VLOOKUP('Total income package'!$B$3,'Location specific data'!$A$3:$AO$135,33,FALSE))*$C$2)*20</f>
        <v>1400</v>
      </c>
      <c r="K183" s="6">
        <f>IF(B183&gt;$N$2,0,VLOOKUP('Total income package'!$B$3,'Location specific data'!$A$3:$AO$135,34,FALSE))*$D$2*20</f>
        <v>0</v>
      </c>
      <c r="L183" s="6">
        <f>IF(B183&gt;$N$2,0,VLOOKUP('Total income package'!$B$3,'Location specific data'!$A$3:$AO$135,35,FALSE))*$E$2*20</f>
        <v>0</v>
      </c>
      <c r="M183" s="6">
        <f>IF(B183&gt;$N$2,0,VLOOKUP('Total income package'!$B$3,'Location specific data'!$A$3:$AO$135,36,FALSE))*$F$2*20</f>
        <v>0</v>
      </c>
      <c r="N183" s="6">
        <f>IF(B183&gt;$N$2,0,VLOOKUP('Total income package'!$B$3,'Location specific data'!$A$3:$AO$135,37,FALSE))*($G$2+$H$2)*20</f>
        <v>600</v>
      </c>
      <c r="O183" s="6">
        <f t="shared" si="26"/>
        <v>900</v>
      </c>
      <c r="P183" s="312">
        <f t="shared" si="32"/>
        <v>370.83333333333337</v>
      </c>
      <c r="Q183" s="312">
        <f t="shared" si="28"/>
        <v>1350</v>
      </c>
      <c r="R183" s="312">
        <f t="shared" si="31"/>
        <v>370.83333333333337</v>
      </c>
      <c r="S183" s="160">
        <f>IF(AND('Total income package'!$A$8=TRUE,OR(F183="Yes",G183="Yes",H183="Yes")),SUM(J183:N183)-R183,0)</f>
        <v>1629.1666666666665</v>
      </c>
    </row>
    <row r="184" spans="1:19" x14ac:dyDescent="0.3">
      <c r="A184" s="6">
        <v>89500</v>
      </c>
      <c r="B184" s="7">
        <f t="shared" si="33"/>
        <v>7458.333333333333</v>
      </c>
      <c r="C184" s="7">
        <f>'Total income package'!$D$80</f>
        <v>0</v>
      </c>
      <c r="D184" s="7">
        <f t="shared" si="29"/>
        <v>7458.333333333333</v>
      </c>
      <c r="E184" s="65">
        <f t="shared" si="30"/>
        <v>2.3138572905894517</v>
      </c>
      <c r="F184" s="65" t="str">
        <f t="shared" si="23"/>
        <v>Yes</v>
      </c>
      <c r="G184" s="65" t="str">
        <f t="shared" si="24"/>
        <v>No</v>
      </c>
      <c r="H184" s="301" t="str">
        <f>IF(OR('TANF-VIEW'!L188&gt;0,'TANF-VIEW'!T188&gt;0),"Yes","No")</f>
        <v>No</v>
      </c>
      <c r="I184" s="63">
        <f t="shared" si="25"/>
        <v>450</v>
      </c>
      <c r="J184" s="6">
        <f>(IF(B184&gt;$N$2,0,VLOOKUP('Total income package'!$B$3,'Location specific data'!$A$3:$AO$135,33,FALSE))*$C$2)*20</f>
        <v>1400</v>
      </c>
      <c r="K184" s="6">
        <f>IF(B184&gt;$N$2,0,VLOOKUP('Total income package'!$B$3,'Location specific data'!$A$3:$AO$135,34,FALSE))*$D$2*20</f>
        <v>0</v>
      </c>
      <c r="L184" s="6">
        <f>IF(B184&gt;$N$2,0,VLOOKUP('Total income package'!$B$3,'Location specific data'!$A$3:$AO$135,35,FALSE))*$E$2*20</f>
        <v>0</v>
      </c>
      <c r="M184" s="6">
        <f>IF(B184&gt;$N$2,0,VLOOKUP('Total income package'!$B$3,'Location specific data'!$A$3:$AO$135,36,FALSE))*$F$2*20</f>
        <v>0</v>
      </c>
      <c r="N184" s="6">
        <f>IF(B184&gt;$N$2,0,VLOOKUP('Total income package'!$B$3,'Location specific data'!$A$3:$AO$135,37,FALSE))*($G$2+$H$2)*20</f>
        <v>600</v>
      </c>
      <c r="O184" s="6">
        <f t="shared" si="26"/>
        <v>900</v>
      </c>
      <c r="P184" s="312">
        <f t="shared" si="32"/>
        <v>372.91666666666669</v>
      </c>
      <c r="Q184" s="312">
        <f t="shared" si="28"/>
        <v>1350</v>
      </c>
      <c r="R184" s="312">
        <f t="shared" si="31"/>
        <v>372.91666666666669</v>
      </c>
      <c r="S184" s="160">
        <f>IF(AND('Total income package'!$A$8=TRUE,OR(F184="Yes",G184="Yes",H184="Yes")),SUM(J184:N184)-R184,0)</f>
        <v>1627.0833333333333</v>
      </c>
    </row>
    <row r="185" spans="1:19" x14ac:dyDescent="0.3">
      <c r="A185" s="6">
        <v>90000</v>
      </c>
      <c r="B185" s="7">
        <f t="shared" si="33"/>
        <v>7500</v>
      </c>
      <c r="C185" s="7">
        <f>'Total income package'!$D$80</f>
        <v>0</v>
      </c>
      <c r="D185" s="7">
        <f t="shared" si="29"/>
        <v>7500</v>
      </c>
      <c r="E185" s="65">
        <f t="shared" si="30"/>
        <v>2.3267838676318511</v>
      </c>
      <c r="F185" s="65" t="str">
        <f t="shared" si="23"/>
        <v>Yes</v>
      </c>
      <c r="G185" s="65" t="str">
        <f t="shared" si="24"/>
        <v>No</v>
      </c>
      <c r="H185" s="301" t="str">
        <f>IF(OR('TANF-VIEW'!L189&gt;0,'TANF-VIEW'!T189&gt;0),"Yes","No")</f>
        <v>No</v>
      </c>
      <c r="I185" s="63">
        <f t="shared" si="25"/>
        <v>450</v>
      </c>
      <c r="J185" s="6">
        <f>(IF(B185&gt;$N$2,0,VLOOKUP('Total income package'!$B$3,'Location specific data'!$A$3:$AO$135,33,FALSE))*$C$2)*20</f>
        <v>1400</v>
      </c>
      <c r="K185" s="6">
        <f>IF(B185&gt;$N$2,0,VLOOKUP('Total income package'!$B$3,'Location specific data'!$A$3:$AO$135,34,FALSE))*$D$2*20</f>
        <v>0</v>
      </c>
      <c r="L185" s="6">
        <f>IF(B185&gt;$N$2,0,VLOOKUP('Total income package'!$B$3,'Location specific data'!$A$3:$AO$135,35,FALSE))*$E$2*20</f>
        <v>0</v>
      </c>
      <c r="M185" s="6">
        <f>IF(B185&gt;$N$2,0,VLOOKUP('Total income package'!$B$3,'Location specific data'!$A$3:$AO$135,36,FALSE))*$F$2*20</f>
        <v>0</v>
      </c>
      <c r="N185" s="6">
        <f>IF(B185&gt;$N$2,0,VLOOKUP('Total income package'!$B$3,'Location specific data'!$A$3:$AO$135,37,FALSE))*($G$2+$H$2)*20</f>
        <v>600</v>
      </c>
      <c r="O185" s="6">
        <f t="shared" si="26"/>
        <v>900</v>
      </c>
      <c r="P185" s="312">
        <f t="shared" si="32"/>
        <v>375</v>
      </c>
      <c r="Q185" s="312">
        <f t="shared" si="28"/>
        <v>1350</v>
      </c>
      <c r="R185" s="312">
        <f t="shared" si="31"/>
        <v>375</v>
      </c>
      <c r="S185" s="160">
        <f>IF(AND('Total income package'!$A$8=TRUE,OR(F185="Yes",G185="Yes",H185="Yes")),SUM(J185:N185)-R185,0)</f>
        <v>1625</v>
      </c>
    </row>
    <row r="186" spans="1:19" x14ac:dyDescent="0.3">
      <c r="A186" s="6">
        <v>90500</v>
      </c>
      <c r="B186" s="7">
        <f t="shared" si="33"/>
        <v>7541.666666666667</v>
      </c>
      <c r="C186" s="7">
        <f>'Total income package'!$D$80</f>
        <v>0</v>
      </c>
      <c r="D186" s="7">
        <f t="shared" si="29"/>
        <v>7541.666666666667</v>
      </c>
      <c r="E186" s="65">
        <f t="shared" si="30"/>
        <v>2.33971044467425</v>
      </c>
      <c r="F186" s="65" t="str">
        <f t="shared" si="23"/>
        <v>Yes</v>
      </c>
      <c r="G186" s="65" t="str">
        <f t="shared" si="24"/>
        <v>No</v>
      </c>
      <c r="H186" s="301" t="str">
        <f>IF(OR('TANF-VIEW'!L190&gt;0,'TANF-VIEW'!T190&gt;0),"Yes","No")</f>
        <v>No</v>
      </c>
      <c r="I186" s="63">
        <f t="shared" si="25"/>
        <v>450</v>
      </c>
      <c r="J186" s="6">
        <f>(IF(B186&gt;$N$2,0,VLOOKUP('Total income package'!$B$3,'Location specific data'!$A$3:$AO$135,33,FALSE))*$C$2)*20</f>
        <v>1400</v>
      </c>
      <c r="K186" s="6">
        <f>IF(B186&gt;$N$2,0,VLOOKUP('Total income package'!$B$3,'Location specific data'!$A$3:$AO$135,34,FALSE))*$D$2*20</f>
        <v>0</v>
      </c>
      <c r="L186" s="6">
        <f>IF(B186&gt;$N$2,0,VLOOKUP('Total income package'!$B$3,'Location specific data'!$A$3:$AO$135,35,FALSE))*$E$2*20</f>
        <v>0</v>
      </c>
      <c r="M186" s="6">
        <f>IF(B186&gt;$N$2,0,VLOOKUP('Total income package'!$B$3,'Location specific data'!$A$3:$AO$135,36,FALSE))*$F$2*20</f>
        <v>0</v>
      </c>
      <c r="N186" s="6">
        <f>IF(B186&gt;$N$2,0,VLOOKUP('Total income package'!$B$3,'Location specific data'!$A$3:$AO$135,37,FALSE))*($G$2+$H$2)*20</f>
        <v>600</v>
      </c>
      <c r="O186" s="6">
        <f t="shared" si="26"/>
        <v>900</v>
      </c>
      <c r="P186" s="312">
        <f t="shared" si="32"/>
        <v>377.08333333333337</v>
      </c>
      <c r="Q186" s="312">
        <f t="shared" si="28"/>
        <v>1350</v>
      </c>
      <c r="R186" s="312">
        <f t="shared" si="31"/>
        <v>377.08333333333337</v>
      </c>
      <c r="S186" s="160">
        <f>IF(AND('Total income package'!$A$8=TRUE,OR(F186="Yes",G186="Yes",H186="Yes")),SUM(J186:N186)-R186,0)</f>
        <v>1622.9166666666665</v>
      </c>
    </row>
    <row r="187" spans="1:19" x14ac:dyDescent="0.3">
      <c r="A187" s="6">
        <v>91000</v>
      </c>
      <c r="B187" s="7">
        <f t="shared" si="33"/>
        <v>7583.333333333333</v>
      </c>
      <c r="C187" s="7">
        <f>'Total income package'!$D$80</f>
        <v>0</v>
      </c>
      <c r="D187" s="7">
        <f t="shared" si="29"/>
        <v>7583.333333333333</v>
      </c>
      <c r="E187" s="65">
        <f t="shared" si="30"/>
        <v>2.352637021716649</v>
      </c>
      <c r="F187" s="65" t="str">
        <f t="shared" si="23"/>
        <v>Yes</v>
      </c>
      <c r="G187" s="65" t="str">
        <f t="shared" si="24"/>
        <v>No</v>
      </c>
      <c r="H187" s="301" t="str">
        <f>IF(OR('TANF-VIEW'!L191&gt;0,'TANF-VIEW'!T191&gt;0),"Yes","No")</f>
        <v>No</v>
      </c>
      <c r="I187" s="63">
        <f t="shared" si="25"/>
        <v>450</v>
      </c>
      <c r="J187" s="6">
        <f>(IF(B187&gt;$N$2,0,VLOOKUP('Total income package'!$B$3,'Location specific data'!$A$3:$AO$135,33,FALSE))*$C$2)*20</f>
        <v>1400</v>
      </c>
      <c r="K187" s="6">
        <f>IF(B187&gt;$N$2,0,VLOOKUP('Total income package'!$B$3,'Location specific data'!$A$3:$AO$135,34,FALSE))*$D$2*20</f>
        <v>0</v>
      </c>
      <c r="L187" s="6">
        <f>IF(B187&gt;$N$2,0,VLOOKUP('Total income package'!$B$3,'Location specific data'!$A$3:$AO$135,35,FALSE))*$E$2*20</f>
        <v>0</v>
      </c>
      <c r="M187" s="6">
        <f>IF(B187&gt;$N$2,0,VLOOKUP('Total income package'!$B$3,'Location specific data'!$A$3:$AO$135,36,FALSE))*$F$2*20</f>
        <v>0</v>
      </c>
      <c r="N187" s="6">
        <f>IF(B187&gt;$N$2,0,VLOOKUP('Total income package'!$B$3,'Location specific data'!$A$3:$AO$135,37,FALSE))*($G$2+$H$2)*20</f>
        <v>600</v>
      </c>
      <c r="O187" s="6">
        <f t="shared" si="26"/>
        <v>900</v>
      </c>
      <c r="P187" s="312">
        <f t="shared" si="32"/>
        <v>379.16666666666669</v>
      </c>
      <c r="Q187" s="312">
        <f t="shared" si="28"/>
        <v>1350</v>
      </c>
      <c r="R187" s="312">
        <f t="shared" si="31"/>
        <v>379.16666666666669</v>
      </c>
      <c r="S187" s="160">
        <f>IF(AND('Total income package'!$A$8=TRUE,OR(F187="Yes",G187="Yes",H187="Yes")),SUM(J187:N187)-R187,0)</f>
        <v>1620.8333333333333</v>
      </c>
    </row>
    <row r="188" spans="1:19" x14ac:dyDescent="0.3">
      <c r="A188" s="6">
        <v>91500</v>
      </c>
      <c r="B188" s="7">
        <f t="shared" si="33"/>
        <v>7625</v>
      </c>
      <c r="C188" s="7">
        <f>'Total income package'!$D$80</f>
        <v>0</v>
      </c>
      <c r="D188" s="7">
        <f t="shared" si="29"/>
        <v>7625</v>
      </c>
      <c r="E188" s="65">
        <f t="shared" si="30"/>
        <v>2.3655635987590484</v>
      </c>
      <c r="F188" s="65" t="str">
        <f t="shared" si="23"/>
        <v>Yes</v>
      </c>
      <c r="G188" s="65" t="str">
        <f t="shared" si="24"/>
        <v>No</v>
      </c>
      <c r="H188" s="301" t="str">
        <f>IF(OR('TANF-VIEW'!L192&gt;0,'TANF-VIEW'!T192&gt;0),"Yes","No")</f>
        <v>No</v>
      </c>
      <c r="I188" s="63">
        <f t="shared" si="25"/>
        <v>450</v>
      </c>
      <c r="J188" s="6">
        <f>(IF(B188&gt;$N$2,0,VLOOKUP('Total income package'!$B$3,'Location specific data'!$A$3:$AO$135,33,FALSE))*$C$2)*20</f>
        <v>1400</v>
      </c>
      <c r="K188" s="6">
        <f>IF(B188&gt;$N$2,0,VLOOKUP('Total income package'!$B$3,'Location specific data'!$A$3:$AO$135,34,FALSE))*$D$2*20</f>
        <v>0</v>
      </c>
      <c r="L188" s="6">
        <f>IF(B188&gt;$N$2,0,VLOOKUP('Total income package'!$B$3,'Location specific data'!$A$3:$AO$135,35,FALSE))*$E$2*20</f>
        <v>0</v>
      </c>
      <c r="M188" s="6">
        <f>IF(B188&gt;$N$2,0,VLOOKUP('Total income package'!$B$3,'Location specific data'!$A$3:$AO$135,36,FALSE))*$F$2*20</f>
        <v>0</v>
      </c>
      <c r="N188" s="6">
        <f>IF(B188&gt;$N$2,0,VLOOKUP('Total income package'!$B$3,'Location specific data'!$A$3:$AO$135,37,FALSE))*($G$2+$H$2)*20</f>
        <v>600</v>
      </c>
      <c r="O188" s="6">
        <f t="shared" si="26"/>
        <v>900</v>
      </c>
      <c r="P188" s="312">
        <f t="shared" si="32"/>
        <v>381.25</v>
      </c>
      <c r="Q188" s="312">
        <f t="shared" si="28"/>
        <v>1350</v>
      </c>
      <c r="R188" s="312">
        <f t="shared" si="31"/>
        <v>381.25</v>
      </c>
      <c r="S188" s="160">
        <f>IF(AND('Total income package'!$A$8=TRUE,OR(F188="Yes",G188="Yes",H188="Yes")),SUM(J188:N188)-R188,0)</f>
        <v>1618.75</v>
      </c>
    </row>
    <row r="189" spans="1:19" x14ac:dyDescent="0.3">
      <c r="A189" s="6">
        <v>92000</v>
      </c>
      <c r="B189" s="7">
        <f t="shared" si="33"/>
        <v>7666.666666666667</v>
      </c>
      <c r="C189" s="7">
        <f>'Total income package'!$D$80</f>
        <v>0</v>
      </c>
      <c r="D189" s="7">
        <f t="shared" si="29"/>
        <v>7666.666666666667</v>
      </c>
      <c r="E189" s="65">
        <f t="shared" si="30"/>
        <v>2.3784901758014478</v>
      </c>
      <c r="F189" s="65" t="str">
        <f t="shared" si="23"/>
        <v>Yes</v>
      </c>
      <c r="G189" s="65" t="str">
        <f t="shared" si="24"/>
        <v>No</v>
      </c>
      <c r="H189" s="301" t="str">
        <f>IF(OR('TANF-VIEW'!L193&gt;0,'TANF-VIEW'!T193&gt;0),"Yes","No")</f>
        <v>No</v>
      </c>
      <c r="I189" s="63">
        <f t="shared" si="25"/>
        <v>450</v>
      </c>
      <c r="J189" s="6">
        <f>(IF(B189&gt;$N$2,0,VLOOKUP('Total income package'!$B$3,'Location specific data'!$A$3:$AO$135,33,FALSE))*$C$2)*20</f>
        <v>1400</v>
      </c>
      <c r="K189" s="6">
        <f>IF(B189&gt;$N$2,0,VLOOKUP('Total income package'!$B$3,'Location specific data'!$A$3:$AO$135,34,FALSE))*$D$2*20</f>
        <v>0</v>
      </c>
      <c r="L189" s="6">
        <f>IF(B189&gt;$N$2,0,VLOOKUP('Total income package'!$B$3,'Location specific data'!$A$3:$AO$135,35,FALSE))*$E$2*20</f>
        <v>0</v>
      </c>
      <c r="M189" s="6">
        <f>IF(B189&gt;$N$2,0,VLOOKUP('Total income package'!$B$3,'Location specific data'!$A$3:$AO$135,36,FALSE))*$F$2*20</f>
        <v>0</v>
      </c>
      <c r="N189" s="6">
        <f>IF(B189&gt;$N$2,0,VLOOKUP('Total income package'!$B$3,'Location specific data'!$A$3:$AO$135,37,FALSE))*($G$2+$H$2)*20</f>
        <v>600</v>
      </c>
      <c r="O189" s="6">
        <f t="shared" si="26"/>
        <v>900</v>
      </c>
      <c r="P189" s="312">
        <f t="shared" si="32"/>
        <v>383.33333333333337</v>
      </c>
      <c r="Q189" s="312">
        <f t="shared" si="28"/>
        <v>1350</v>
      </c>
      <c r="R189" s="312">
        <f t="shared" si="31"/>
        <v>383.33333333333337</v>
      </c>
      <c r="S189" s="160">
        <f>IF(AND('Total income package'!$A$8=TRUE,OR(F189="Yes",G189="Yes",H189="Yes")),SUM(J189:N189)-R189,0)</f>
        <v>1616.6666666666665</v>
      </c>
    </row>
    <row r="190" spans="1:19" x14ac:dyDescent="0.3">
      <c r="A190" s="6">
        <v>92500</v>
      </c>
      <c r="B190" s="7">
        <f t="shared" si="33"/>
        <v>7708.333333333333</v>
      </c>
      <c r="C190" s="7">
        <f>'Total income package'!$D$80</f>
        <v>0</v>
      </c>
      <c r="D190" s="7">
        <f t="shared" si="29"/>
        <v>7708.333333333333</v>
      </c>
      <c r="E190" s="65">
        <f t="shared" si="30"/>
        <v>2.3914167528438468</v>
      </c>
      <c r="F190" s="65" t="str">
        <f t="shared" si="23"/>
        <v>Yes</v>
      </c>
      <c r="G190" s="65" t="str">
        <f t="shared" si="24"/>
        <v>No</v>
      </c>
      <c r="H190" s="301" t="str">
        <f>IF(OR('TANF-VIEW'!L194&gt;0,'TANF-VIEW'!T194&gt;0),"Yes","No")</f>
        <v>No</v>
      </c>
      <c r="I190" s="63">
        <f t="shared" si="25"/>
        <v>450</v>
      </c>
      <c r="J190" s="6">
        <f>(IF(B190&gt;$N$2,0,VLOOKUP('Total income package'!$B$3,'Location specific data'!$A$3:$AO$135,33,FALSE))*$C$2)*20</f>
        <v>1400</v>
      </c>
      <c r="K190" s="6">
        <f>IF(B190&gt;$N$2,0,VLOOKUP('Total income package'!$B$3,'Location specific data'!$A$3:$AO$135,34,FALSE))*$D$2*20</f>
        <v>0</v>
      </c>
      <c r="L190" s="6">
        <f>IF(B190&gt;$N$2,0,VLOOKUP('Total income package'!$B$3,'Location specific data'!$A$3:$AO$135,35,FALSE))*$E$2*20</f>
        <v>0</v>
      </c>
      <c r="M190" s="6">
        <f>IF(B190&gt;$N$2,0,VLOOKUP('Total income package'!$B$3,'Location specific data'!$A$3:$AO$135,36,FALSE))*$F$2*20</f>
        <v>0</v>
      </c>
      <c r="N190" s="6">
        <f>IF(B190&gt;$N$2,0,VLOOKUP('Total income package'!$B$3,'Location specific data'!$A$3:$AO$135,37,FALSE))*($G$2+$H$2)*20</f>
        <v>600</v>
      </c>
      <c r="O190" s="6">
        <f t="shared" si="26"/>
        <v>900</v>
      </c>
      <c r="P190" s="312">
        <f t="shared" si="32"/>
        <v>385.41666666666669</v>
      </c>
      <c r="Q190" s="312">
        <f t="shared" si="28"/>
        <v>1350</v>
      </c>
      <c r="R190" s="312">
        <f t="shared" si="31"/>
        <v>385.41666666666669</v>
      </c>
      <c r="S190" s="160">
        <f>IF(AND('Total income package'!$A$8=TRUE,OR(F190="Yes",G190="Yes",H190="Yes")),SUM(J190:N190)-R190,0)</f>
        <v>1614.5833333333333</v>
      </c>
    </row>
    <row r="191" spans="1:19" x14ac:dyDescent="0.3">
      <c r="A191" s="6">
        <v>93000</v>
      </c>
      <c r="B191" s="7">
        <f t="shared" si="33"/>
        <v>7750</v>
      </c>
      <c r="C191" s="7">
        <f>'Total income package'!$D$80</f>
        <v>0</v>
      </c>
      <c r="D191" s="7">
        <f t="shared" si="29"/>
        <v>7750</v>
      </c>
      <c r="E191" s="65">
        <f t="shared" si="30"/>
        <v>2.4043433298862462</v>
      </c>
      <c r="F191" s="65" t="str">
        <f t="shared" si="23"/>
        <v>Yes</v>
      </c>
      <c r="G191" s="65" t="str">
        <f t="shared" si="24"/>
        <v>No</v>
      </c>
      <c r="H191" s="301" t="str">
        <f>IF(OR('TANF-VIEW'!L195&gt;0,'TANF-VIEW'!T195&gt;0),"Yes","No")</f>
        <v>No</v>
      </c>
      <c r="I191" s="63">
        <f t="shared" si="25"/>
        <v>450</v>
      </c>
      <c r="J191" s="6">
        <f>(IF(B191&gt;$N$2,0,VLOOKUP('Total income package'!$B$3,'Location specific data'!$A$3:$AO$135,33,FALSE))*$C$2)*20</f>
        <v>1400</v>
      </c>
      <c r="K191" s="6">
        <f>IF(B191&gt;$N$2,0,VLOOKUP('Total income package'!$B$3,'Location specific data'!$A$3:$AO$135,34,FALSE))*$D$2*20</f>
        <v>0</v>
      </c>
      <c r="L191" s="6">
        <f>IF(B191&gt;$N$2,0,VLOOKUP('Total income package'!$B$3,'Location specific data'!$A$3:$AO$135,35,FALSE))*$E$2*20</f>
        <v>0</v>
      </c>
      <c r="M191" s="6">
        <f>IF(B191&gt;$N$2,0,VLOOKUP('Total income package'!$B$3,'Location specific data'!$A$3:$AO$135,36,FALSE))*$F$2*20</f>
        <v>0</v>
      </c>
      <c r="N191" s="6">
        <f>IF(B191&gt;$N$2,0,VLOOKUP('Total income package'!$B$3,'Location specific data'!$A$3:$AO$135,37,FALSE))*($G$2+$H$2)*20</f>
        <v>600</v>
      </c>
      <c r="O191" s="6">
        <f t="shared" si="26"/>
        <v>900</v>
      </c>
      <c r="P191" s="312">
        <f t="shared" si="32"/>
        <v>387.5</v>
      </c>
      <c r="Q191" s="312">
        <f t="shared" si="28"/>
        <v>1350</v>
      </c>
      <c r="R191" s="312">
        <f t="shared" si="31"/>
        <v>387.5</v>
      </c>
      <c r="S191" s="160">
        <f>IF(AND('Total income package'!$A$8=TRUE,OR(F191="Yes",G191="Yes",H191="Yes")),SUM(J191:N191)-R191,0)</f>
        <v>1612.5</v>
      </c>
    </row>
    <row r="192" spans="1:19" x14ac:dyDescent="0.3">
      <c r="A192" s="6">
        <v>93500</v>
      </c>
      <c r="B192" s="7">
        <f t="shared" si="33"/>
        <v>7791.666666666667</v>
      </c>
      <c r="C192" s="7">
        <f>'Total income package'!$D$80</f>
        <v>0</v>
      </c>
      <c r="D192" s="7">
        <f t="shared" si="29"/>
        <v>7791.666666666667</v>
      </c>
      <c r="E192" s="65">
        <f t="shared" si="30"/>
        <v>2.4172699069286452</v>
      </c>
      <c r="F192" s="65" t="str">
        <f t="shared" si="23"/>
        <v>Yes</v>
      </c>
      <c r="G192" s="65" t="str">
        <f t="shared" si="24"/>
        <v>No</v>
      </c>
      <c r="H192" s="301" t="str">
        <f>IF(OR('TANF-VIEW'!L196&gt;0,'TANF-VIEW'!T196&gt;0),"Yes","No")</f>
        <v>No</v>
      </c>
      <c r="I192" s="63">
        <f t="shared" si="25"/>
        <v>450</v>
      </c>
      <c r="J192" s="6">
        <f>(IF(B192&gt;$N$2,0,VLOOKUP('Total income package'!$B$3,'Location specific data'!$A$3:$AO$135,33,FALSE))*$C$2)*20</f>
        <v>1400</v>
      </c>
      <c r="K192" s="6">
        <f>IF(B192&gt;$N$2,0,VLOOKUP('Total income package'!$B$3,'Location specific data'!$A$3:$AO$135,34,FALSE))*$D$2*20</f>
        <v>0</v>
      </c>
      <c r="L192" s="6">
        <f>IF(B192&gt;$N$2,0,VLOOKUP('Total income package'!$B$3,'Location specific data'!$A$3:$AO$135,35,FALSE))*$E$2*20</f>
        <v>0</v>
      </c>
      <c r="M192" s="6">
        <f>IF(B192&gt;$N$2,0,VLOOKUP('Total income package'!$B$3,'Location specific data'!$A$3:$AO$135,36,FALSE))*$F$2*20</f>
        <v>0</v>
      </c>
      <c r="N192" s="6">
        <f>IF(B192&gt;$N$2,0,VLOOKUP('Total income package'!$B$3,'Location specific data'!$A$3:$AO$135,37,FALSE))*($G$2+$H$2)*20</f>
        <v>600</v>
      </c>
      <c r="O192" s="6">
        <f t="shared" si="26"/>
        <v>900</v>
      </c>
      <c r="P192" s="312">
        <f t="shared" si="32"/>
        <v>389.58333333333337</v>
      </c>
      <c r="Q192" s="312">
        <f t="shared" si="28"/>
        <v>1350</v>
      </c>
      <c r="R192" s="312">
        <f t="shared" si="31"/>
        <v>389.58333333333337</v>
      </c>
      <c r="S192" s="160">
        <f>IF(AND('Total income package'!$A$8=TRUE,OR(F192="Yes",G192="Yes",H192="Yes")),SUM(J192:N192)-R192,0)</f>
        <v>1610.4166666666665</v>
      </c>
    </row>
    <row r="193" spans="1:19" x14ac:dyDescent="0.3">
      <c r="A193" s="6">
        <v>94000</v>
      </c>
      <c r="B193" s="7">
        <f t="shared" si="33"/>
        <v>7833.333333333333</v>
      </c>
      <c r="C193" s="7">
        <f>'Total income package'!$D$80</f>
        <v>0</v>
      </c>
      <c r="D193" s="7">
        <f t="shared" si="29"/>
        <v>7833.333333333333</v>
      </c>
      <c r="E193" s="65">
        <f t="shared" si="30"/>
        <v>2.4301964839710442</v>
      </c>
      <c r="F193" s="65" t="str">
        <f t="shared" si="23"/>
        <v>Yes</v>
      </c>
      <c r="G193" s="65" t="str">
        <f t="shared" si="24"/>
        <v>No</v>
      </c>
      <c r="H193" s="301" t="str">
        <f>IF(OR('TANF-VIEW'!L197&gt;0,'TANF-VIEW'!T197&gt;0),"Yes","No")</f>
        <v>No</v>
      </c>
      <c r="I193" s="63">
        <f t="shared" si="25"/>
        <v>450</v>
      </c>
      <c r="J193" s="6">
        <f>(IF(B193&gt;$N$2,0,VLOOKUP('Total income package'!$B$3,'Location specific data'!$A$3:$AO$135,33,FALSE))*$C$2)*20</f>
        <v>1400</v>
      </c>
      <c r="K193" s="6">
        <f>IF(B193&gt;$N$2,0,VLOOKUP('Total income package'!$B$3,'Location specific data'!$A$3:$AO$135,34,FALSE))*$D$2*20</f>
        <v>0</v>
      </c>
      <c r="L193" s="6">
        <f>IF(B193&gt;$N$2,0,VLOOKUP('Total income package'!$B$3,'Location specific data'!$A$3:$AO$135,35,FALSE))*$E$2*20</f>
        <v>0</v>
      </c>
      <c r="M193" s="6">
        <f>IF(B193&gt;$N$2,0,VLOOKUP('Total income package'!$B$3,'Location specific data'!$A$3:$AO$135,36,FALSE))*$F$2*20</f>
        <v>0</v>
      </c>
      <c r="N193" s="6">
        <f>IF(B193&gt;$N$2,0,VLOOKUP('Total income package'!$B$3,'Location specific data'!$A$3:$AO$135,37,FALSE))*($G$2+$H$2)*20</f>
        <v>600</v>
      </c>
      <c r="O193" s="6">
        <f t="shared" si="26"/>
        <v>900</v>
      </c>
      <c r="P193" s="312">
        <f t="shared" si="32"/>
        <v>391.66666666666669</v>
      </c>
      <c r="Q193" s="312">
        <f t="shared" si="28"/>
        <v>1350</v>
      </c>
      <c r="R193" s="312">
        <f t="shared" si="31"/>
        <v>391.66666666666669</v>
      </c>
      <c r="S193" s="160">
        <f>IF(AND('Total income package'!$A$8=TRUE,OR(F193="Yes",G193="Yes",H193="Yes")),SUM(J193:N193)-R193,0)</f>
        <v>1608.3333333333333</v>
      </c>
    </row>
    <row r="194" spans="1:19" x14ac:dyDescent="0.3">
      <c r="A194" s="6">
        <v>94500</v>
      </c>
      <c r="B194" s="7">
        <f t="shared" si="33"/>
        <v>7875</v>
      </c>
      <c r="C194" s="7">
        <f>'Total income package'!$D$80</f>
        <v>0</v>
      </c>
      <c r="D194" s="7">
        <f t="shared" si="29"/>
        <v>7875</v>
      </c>
      <c r="E194" s="65">
        <f t="shared" si="30"/>
        <v>2.4431230610134436</v>
      </c>
      <c r="F194" s="65" t="str">
        <f t="shared" si="23"/>
        <v>Yes</v>
      </c>
      <c r="G194" s="65" t="str">
        <f t="shared" si="24"/>
        <v>No</v>
      </c>
      <c r="H194" s="301" t="str">
        <f>IF(OR('TANF-VIEW'!L198&gt;0,'TANF-VIEW'!T198&gt;0),"Yes","No")</f>
        <v>No</v>
      </c>
      <c r="I194" s="63">
        <f t="shared" si="25"/>
        <v>450</v>
      </c>
      <c r="J194" s="6">
        <f>(IF(B194&gt;$N$2,0,VLOOKUP('Total income package'!$B$3,'Location specific data'!$A$3:$AO$135,33,FALSE))*$C$2)*20</f>
        <v>1400</v>
      </c>
      <c r="K194" s="6">
        <f>IF(B194&gt;$N$2,0,VLOOKUP('Total income package'!$B$3,'Location specific data'!$A$3:$AO$135,34,FALSE))*$D$2*20</f>
        <v>0</v>
      </c>
      <c r="L194" s="6">
        <f>IF(B194&gt;$N$2,0,VLOOKUP('Total income package'!$B$3,'Location specific data'!$A$3:$AO$135,35,FALSE))*$E$2*20</f>
        <v>0</v>
      </c>
      <c r="M194" s="6">
        <f>IF(B194&gt;$N$2,0,VLOOKUP('Total income package'!$B$3,'Location specific data'!$A$3:$AO$135,36,FALSE))*$F$2*20</f>
        <v>0</v>
      </c>
      <c r="N194" s="6">
        <f>IF(B194&gt;$N$2,0,VLOOKUP('Total income package'!$B$3,'Location specific data'!$A$3:$AO$135,37,FALSE))*($G$2+$H$2)*20</f>
        <v>600</v>
      </c>
      <c r="O194" s="6">
        <f t="shared" si="26"/>
        <v>900</v>
      </c>
      <c r="P194" s="312">
        <f t="shared" si="32"/>
        <v>393.75</v>
      </c>
      <c r="Q194" s="312">
        <f t="shared" si="28"/>
        <v>1350</v>
      </c>
      <c r="R194" s="312">
        <f t="shared" si="31"/>
        <v>393.75</v>
      </c>
      <c r="S194" s="160">
        <f>IF(AND('Total income package'!$A$8=TRUE,OR(F194="Yes",G194="Yes",H194="Yes")),SUM(J194:N194)-R194,0)</f>
        <v>1606.25</v>
      </c>
    </row>
    <row r="195" spans="1:19" x14ac:dyDescent="0.3">
      <c r="A195" s="6">
        <v>95000</v>
      </c>
      <c r="B195" s="7">
        <f t="shared" si="33"/>
        <v>7916.666666666667</v>
      </c>
      <c r="C195" s="7">
        <f>'Total income package'!$D$80</f>
        <v>0</v>
      </c>
      <c r="D195" s="7">
        <f t="shared" si="29"/>
        <v>7916.666666666667</v>
      </c>
      <c r="E195" s="65">
        <f t="shared" si="30"/>
        <v>2.456049638055843</v>
      </c>
      <c r="F195" s="65" t="str">
        <f t="shared" si="23"/>
        <v>Yes</v>
      </c>
      <c r="G195" s="65" t="str">
        <f t="shared" si="24"/>
        <v>No</v>
      </c>
      <c r="H195" s="301" t="str">
        <f>IF(OR('TANF-VIEW'!L199&gt;0,'TANF-VIEW'!T199&gt;0),"Yes","No")</f>
        <v>No</v>
      </c>
      <c r="I195" s="63">
        <f t="shared" si="25"/>
        <v>450</v>
      </c>
      <c r="J195" s="6">
        <f>(IF(B195&gt;$N$2,0,VLOOKUP('Total income package'!$B$3,'Location specific data'!$A$3:$AO$135,33,FALSE))*$C$2)*20</f>
        <v>1400</v>
      </c>
      <c r="K195" s="6">
        <f>IF(B195&gt;$N$2,0,VLOOKUP('Total income package'!$B$3,'Location specific data'!$A$3:$AO$135,34,FALSE))*$D$2*20</f>
        <v>0</v>
      </c>
      <c r="L195" s="6">
        <f>IF(B195&gt;$N$2,0,VLOOKUP('Total income package'!$B$3,'Location specific data'!$A$3:$AO$135,35,FALSE))*$E$2*20</f>
        <v>0</v>
      </c>
      <c r="M195" s="6">
        <f>IF(B195&gt;$N$2,0,VLOOKUP('Total income package'!$B$3,'Location specific data'!$A$3:$AO$135,36,FALSE))*$F$2*20</f>
        <v>0</v>
      </c>
      <c r="N195" s="6">
        <f>IF(B195&gt;$N$2,0,VLOOKUP('Total income package'!$B$3,'Location specific data'!$A$3:$AO$135,37,FALSE))*($G$2+$H$2)*20</f>
        <v>600</v>
      </c>
      <c r="O195" s="6">
        <f t="shared" si="26"/>
        <v>900</v>
      </c>
      <c r="P195" s="312">
        <f t="shared" si="32"/>
        <v>395.83333333333337</v>
      </c>
      <c r="Q195" s="312">
        <f t="shared" si="28"/>
        <v>1350</v>
      </c>
      <c r="R195" s="312">
        <f t="shared" si="31"/>
        <v>395.83333333333337</v>
      </c>
      <c r="S195" s="160">
        <f>IF(AND('Total income package'!$A$8=TRUE,OR(F195="Yes",G195="Yes",H195="Yes")),SUM(J195:N195)-R195,0)</f>
        <v>1604.1666666666665</v>
      </c>
    </row>
    <row r="196" spans="1:19" x14ac:dyDescent="0.3">
      <c r="A196" s="6">
        <v>95500</v>
      </c>
      <c r="B196" s="7">
        <f t="shared" si="33"/>
        <v>7958.333333333333</v>
      </c>
      <c r="C196" s="7">
        <f>'Total income package'!$D$80</f>
        <v>0</v>
      </c>
      <c r="D196" s="7">
        <f t="shared" si="29"/>
        <v>7958.333333333333</v>
      </c>
      <c r="E196" s="65">
        <f t="shared" si="30"/>
        <v>2.4689762150982419</v>
      </c>
      <c r="F196" s="65" t="str">
        <f t="shared" si="23"/>
        <v>Yes</v>
      </c>
      <c r="G196" s="65" t="str">
        <f t="shared" si="24"/>
        <v>No</v>
      </c>
      <c r="H196" s="301" t="str">
        <f>IF(OR('TANF-VIEW'!L200&gt;0,'TANF-VIEW'!T200&gt;0),"Yes","No")</f>
        <v>No</v>
      </c>
      <c r="I196" s="63">
        <f t="shared" si="25"/>
        <v>450</v>
      </c>
      <c r="J196" s="6">
        <f>(IF(B196&gt;$N$2,0,VLOOKUP('Total income package'!$B$3,'Location specific data'!$A$3:$AO$135,33,FALSE))*$C$2)*20</f>
        <v>1400</v>
      </c>
      <c r="K196" s="6">
        <f>IF(B196&gt;$N$2,0,VLOOKUP('Total income package'!$B$3,'Location specific data'!$A$3:$AO$135,34,FALSE))*$D$2*20</f>
        <v>0</v>
      </c>
      <c r="L196" s="6">
        <f>IF(B196&gt;$N$2,0,VLOOKUP('Total income package'!$B$3,'Location specific data'!$A$3:$AO$135,35,FALSE))*$E$2*20</f>
        <v>0</v>
      </c>
      <c r="M196" s="6">
        <f>IF(B196&gt;$N$2,0,VLOOKUP('Total income package'!$B$3,'Location specific data'!$A$3:$AO$135,36,FALSE))*$F$2*20</f>
        <v>0</v>
      </c>
      <c r="N196" s="6">
        <f>IF(B196&gt;$N$2,0,VLOOKUP('Total income package'!$B$3,'Location specific data'!$A$3:$AO$135,37,FALSE))*($G$2+$H$2)*20</f>
        <v>600</v>
      </c>
      <c r="O196" s="6">
        <f t="shared" si="26"/>
        <v>900</v>
      </c>
      <c r="P196" s="312">
        <f t="shared" si="32"/>
        <v>397.91666666666669</v>
      </c>
      <c r="Q196" s="312">
        <f t="shared" si="28"/>
        <v>1350</v>
      </c>
      <c r="R196" s="312">
        <f t="shared" si="31"/>
        <v>397.91666666666669</v>
      </c>
      <c r="S196" s="160">
        <f>IF(AND('Total income package'!$A$8=TRUE,OR(F196="Yes",G196="Yes",H196="Yes")),SUM(J196:N196)-R196,0)</f>
        <v>1602.0833333333333</v>
      </c>
    </row>
    <row r="197" spans="1:19" x14ac:dyDescent="0.3">
      <c r="A197" s="6">
        <v>96000</v>
      </c>
      <c r="B197" s="7">
        <f t="shared" si="33"/>
        <v>8000</v>
      </c>
      <c r="C197" s="7">
        <f>'Total income package'!$D$80</f>
        <v>0</v>
      </c>
      <c r="D197" s="7">
        <f t="shared" si="29"/>
        <v>8000</v>
      </c>
      <c r="E197" s="65">
        <f t="shared" si="30"/>
        <v>2.4819027921406409</v>
      </c>
      <c r="F197" s="65" t="str">
        <f t="shared" ref="F197:F205" si="34">IF(AND(B197&lt;$N$2,SUM($C$2:$F$2)&gt;0),"Yes","No")</f>
        <v>Yes</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450</v>
      </c>
      <c r="J197" s="6">
        <f>(IF(B197&gt;$N$2,0,VLOOKUP('Total income package'!$B$3,'Location specific data'!$A$3:$AO$135,33,FALSE))*$C$2)*20</f>
        <v>1400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0</v>
      </c>
      <c r="N197" s="6">
        <f>IF(B197&gt;$N$2,0,VLOOKUP('Total income package'!$B$3,'Location specific data'!$A$3:$AO$135,37,FALSE))*($G$2+$H$2)*20</f>
        <v>600</v>
      </c>
      <c r="O197" s="6">
        <f t="shared" ref="O197:O205" si="37">I197*SUM($C$2:$H$2)</f>
        <v>900</v>
      </c>
      <c r="P197" s="312">
        <f t="shared" ref="P197:P204" si="38">B197*0.05</f>
        <v>400</v>
      </c>
      <c r="Q197" s="312">
        <f t="shared" ref="Q197:Q205" si="39">I197*3</f>
        <v>1350</v>
      </c>
      <c r="R197" s="312">
        <f t="shared" si="31"/>
        <v>400</v>
      </c>
      <c r="S197" s="160">
        <f>IF(AND('Total income package'!$A$8=TRUE,OR(F197="Yes",G197="Yes",H197="Yes")),SUM(J197:N197)-R197,0)</f>
        <v>1600</v>
      </c>
    </row>
    <row r="198" spans="1:19" x14ac:dyDescent="0.3">
      <c r="A198" s="6">
        <v>96500</v>
      </c>
      <c r="B198" s="7">
        <f t="shared" si="33"/>
        <v>8041.666666666667</v>
      </c>
      <c r="C198" s="7">
        <f>'Total income package'!$D$80</f>
        <v>0</v>
      </c>
      <c r="D198" s="7">
        <f t="shared" ref="D198:D204" si="40">B198+C198</f>
        <v>8041.666666666667</v>
      </c>
      <c r="E198" s="65">
        <f t="shared" ref="E198:E204" si="41">D198/$K$2</f>
        <v>2.4948293691830403</v>
      </c>
      <c r="F198" s="65" t="str">
        <f t="shared" si="34"/>
        <v>Yes</v>
      </c>
      <c r="G198" s="65" t="str">
        <f t="shared" si="35"/>
        <v>No</v>
      </c>
      <c r="H198" s="301" t="str">
        <f>IF(OR('TANF-VIEW'!L202&gt;0,'TANF-VIEW'!T202&gt;0),"Yes","No")</f>
        <v>No</v>
      </c>
      <c r="I198" s="63">
        <f t="shared" si="36"/>
        <v>450</v>
      </c>
      <c r="J198" s="6">
        <f>(IF(B198&gt;$N$2,0,VLOOKUP('Total income package'!$B$3,'Location specific data'!$A$3:$AO$135,33,FALSE))*$C$2)*20</f>
        <v>1400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0</v>
      </c>
      <c r="N198" s="6">
        <f>IF(B198&gt;$N$2,0,VLOOKUP('Total income package'!$B$3,'Location specific data'!$A$3:$AO$135,37,FALSE))*($G$2+$H$2)*20</f>
        <v>600</v>
      </c>
      <c r="O198" s="6">
        <f t="shared" si="37"/>
        <v>900</v>
      </c>
      <c r="P198" s="312">
        <f t="shared" si="38"/>
        <v>402.08333333333337</v>
      </c>
      <c r="Q198" s="312">
        <f t="shared" si="39"/>
        <v>1350</v>
      </c>
      <c r="R198" s="312">
        <f t="shared" ref="R198:R204" si="42">IF(MIN(O198,P198)&lt;Q198,MIN(O198,P198),Q198)</f>
        <v>402.08333333333337</v>
      </c>
      <c r="S198" s="160">
        <f>IF(AND('Total income package'!$A$8=TRUE,OR(F198="Yes",G198="Yes",H198="Yes")),SUM(J198:N198)-R198,0)</f>
        <v>1597.9166666666665</v>
      </c>
    </row>
    <row r="199" spans="1:19" x14ac:dyDescent="0.3">
      <c r="A199" s="6">
        <v>97000</v>
      </c>
      <c r="B199" s="7">
        <f t="shared" si="33"/>
        <v>8083.333333333333</v>
      </c>
      <c r="C199" s="7">
        <f>'Total income package'!$D$80</f>
        <v>0</v>
      </c>
      <c r="D199" s="7">
        <f t="shared" si="40"/>
        <v>8083.333333333333</v>
      </c>
      <c r="E199" s="65">
        <f t="shared" si="41"/>
        <v>2.5077559462254393</v>
      </c>
      <c r="F199" s="65" t="str">
        <f t="shared" si="34"/>
        <v>Yes</v>
      </c>
      <c r="G199" s="65" t="str">
        <f t="shared" si="35"/>
        <v>No</v>
      </c>
      <c r="H199" s="301" t="str">
        <f>IF(OR('TANF-VIEW'!L203&gt;0,'TANF-VIEW'!T203&gt;0),"Yes","No")</f>
        <v>No</v>
      </c>
      <c r="I199" s="63">
        <f t="shared" si="36"/>
        <v>550</v>
      </c>
      <c r="J199" s="6">
        <f>(IF(B199&gt;$N$2,0,VLOOKUP('Total income package'!$B$3,'Location specific data'!$A$3:$AO$135,33,FALSE))*$C$2)*20</f>
        <v>1400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0</v>
      </c>
      <c r="N199" s="6">
        <f>IF(B199&gt;$N$2,0,VLOOKUP('Total income package'!$B$3,'Location specific data'!$A$3:$AO$135,37,FALSE))*($G$2+$H$2)*20</f>
        <v>600</v>
      </c>
      <c r="O199" s="6">
        <f t="shared" si="37"/>
        <v>1100</v>
      </c>
      <c r="P199" s="312">
        <f t="shared" si="38"/>
        <v>404.16666666666669</v>
      </c>
      <c r="Q199" s="312">
        <f t="shared" si="39"/>
        <v>1650</v>
      </c>
      <c r="R199" s="312">
        <f t="shared" si="42"/>
        <v>404.16666666666669</v>
      </c>
      <c r="S199" s="160">
        <f>IF(AND('Total income package'!$A$8=TRUE,OR(F199="Yes",G199="Yes",H199="Yes")),SUM(J199:N199)-R199,0)</f>
        <v>1595.8333333333333</v>
      </c>
    </row>
    <row r="200" spans="1:19" x14ac:dyDescent="0.3">
      <c r="A200" s="6">
        <v>97500</v>
      </c>
      <c r="B200" s="7">
        <f t="shared" si="33"/>
        <v>8125</v>
      </c>
      <c r="C200" s="7">
        <f>'Total income package'!$D$80</f>
        <v>0</v>
      </c>
      <c r="D200" s="7">
        <f t="shared" si="40"/>
        <v>8125</v>
      </c>
      <c r="E200" s="65">
        <f t="shared" si="41"/>
        <v>2.5206825232678387</v>
      </c>
      <c r="F200" s="65" t="str">
        <f t="shared" si="34"/>
        <v>Yes</v>
      </c>
      <c r="G200" s="65" t="str">
        <f t="shared" si="35"/>
        <v>No</v>
      </c>
      <c r="H200" s="301" t="str">
        <f>IF(OR('TANF-VIEW'!L204&gt;0,'TANF-VIEW'!T204&gt;0),"Yes","No")</f>
        <v>No</v>
      </c>
      <c r="I200" s="63">
        <f t="shared" si="36"/>
        <v>550</v>
      </c>
      <c r="J200" s="6">
        <f>(IF(B200&gt;$N$2,0,VLOOKUP('Total income package'!$B$3,'Location specific data'!$A$3:$AO$135,33,FALSE))*$C$2)*20</f>
        <v>1400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0</v>
      </c>
      <c r="N200" s="6">
        <f>IF(B200&gt;$N$2,0,VLOOKUP('Total income package'!$B$3,'Location specific data'!$A$3:$AO$135,37,FALSE))*($G$2+$H$2)*20</f>
        <v>600</v>
      </c>
      <c r="O200" s="6">
        <f t="shared" si="37"/>
        <v>1100</v>
      </c>
      <c r="P200" s="312">
        <f t="shared" si="38"/>
        <v>406.25</v>
      </c>
      <c r="Q200" s="312">
        <f t="shared" si="39"/>
        <v>1650</v>
      </c>
      <c r="R200" s="312">
        <f t="shared" si="42"/>
        <v>406.25</v>
      </c>
      <c r="S200" s="160">
        <f>IF(AND('Total income package'!$A$8=TRUE,OR(F200="Yes",G200="Yes",H200="Yes")),SUM(J200:N200)-R200,0)</f>
        <v>1593.75</v>
      </c>
    </row>
    <row r="201" spans="1:19" x14ac:dyDescent="0.3">
      <c r="A201" s="6">
        <v>98000</v>
      </c>
      <c r="B201" s="7">
        <f t="shared" si="33"/>
        <v>8166.666666666667</v>
      </c>
      <c r="C201" s="7">
        <f>'Total income package'!$D$80</f>
        <v>0</v>
      </c>
      <c r="D201" s="7">
        <f t="shared" si="40"/>
        <v>8166.666666666667</v>
      </c>
      <c r="E201" s="65">
        <f t="shared" si="41"/>
        <v>2.5336091003102377</v>
      </c>
      <c r="F201" s="65" t="str">
        <f t="shared" si="34"/>
        <v>Yes</v>
      </c>
      <c r="G201" s="65" t="str">
        <f t="shared" si="35"/>
        <v>No</v>
      </c>
      <c r="H201" s="301" t="str">
        <f>IF(OR('TANF-VIEW'!L205&gt;0,'TANF-VIEW'!T205&gt;0),"Yes","No")</f>
        <v>No</v>
      </c>
      <c r="I201" s="63">
        <f t="shared" si="36"/>
        <v>550</v>
      </c>
      <c r="J201" s="6">
        <f>(IF(B201&gt;$N$2,0,VLOOKUP('Total income package'!$B$3,'Location specific data'!$A$3:$AO$135,33,FALSE))*$C$2)*20</f>
        <v>1400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0</v>
      </c>
      <c r="N201" s="6">
        <f>IF(B201&gt;$N$2,0,VLOOKUP('Total income package'!$B$3,'Location specific data'!$A$3:$AO$135,37,FALSE))*($G$2+$H$2)*20</f>
        <v>600</v>
      </c>
      <c r="O201" s="6">
        <f t="shared" si="37"/>
        <v>1100</v>
      </c>
      <c r="P201" s="312">
        <f t="shared" si="38"/>
        <v>408.33333333333337</v>
      </c>
      <c r="Q201" s="312">
        <f t="shared" si="39"/>
        <v>1650</v>
      </c>
      <c r="R201" s="312">
        <f t="shared" si="42"/>
        <v>408.33333333333337</v>
      </c>
      <c r="S201" s="160">
        <f>IF(AND('Total income package'!$A$8=TRUE,OR(F201="Yes",G201="Yes",H201="Yes")),SUM(J201:N201)-R201,0)</f>
        <v>1591.6666666666665</v>
      </c>
    </row>
    <row r="202" spans="1:19" x14ac:dyDescent="0.3">
      <c r="A202" s="6">
        <v>98500</v>
      </c>
      <c r="B202" s="7">
        <f t="shared" si="33"/>
        <v>8208.3333333333339</v>
      </c>
      <c r="C202" s="7">
        <f>'Total income package'!$D$80</f>
        <v>0</v>
      </c>
      <c r="D202" s="7">
        <f t="shared" si="40"/>
        <v>8208.3333333333339</v>
      </c>
      <c r="E202" s="65">
        <f t="shared" si="41"/>
        <v>2.5465356773526371</v>
      </c>
      <c r="F202" s="65" t="str">
        <f t="shared" si="34"/>
        <v>Yes</v>
      </c>
      <c r="G202" s="65" t="str">
        <f t="shared" si="35"/>
        <v>No</v>
      </c>
      <c r="H202" s="301" t="str">
        <f>IF(OR('TANF-VIEW'!L206&gt;0,'TANF-VIEW'!T206&gt;0),"Yes","No")</f>
        <v>No</v>
      </c>
      <c r="I202" s="63">
        <f t="shared" si="36"/>
        <v>550</v>
      </c>
      <c r="J202" s="6">
        <f>(IF(B202&gt;$N$2,0,VLOOKUP('Total income package'!$B$3,'Location specific data'!$A$3:$AO$135,33,FALSE))*$C$2)*20</f>
        <v>1400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0</v>
      </c>
      <c r="N202" s="6">
        <f>IF(B202&gt;$N$2,0,VLOOKUP('Total income package'!$B$3,'Location specific data'!$A$3:$AO$135,37,FALSE))*($G$2+$H$2)*20</f>
        <v>600</v>
      </c>
      <c r="O202" s="6">
        <f t="shared" si="37"/>
        <v>1100</v>
      </c>
      <c r="P202" s="312">
        <f t="shared" si="38"/>
        <v>410.41666666666674</v>
      </c>
      <c r="Q202" s="312">
        <f t="shared" si="39"/>
        <v>1650</v>
      </c>
      <c r="R202" s="312">
        <f t="shared" si="42"/>
        <v>410.41666666666674</v>
      </c>
      <c r="S202" s="160">
        <f>IF(AND('Total income package'!$A$8=TRUE,OR(F202="Yes",G202="Yes",H202="Yes")),SUM(J202:N202)-R202,0)</f>
        <v>1589.5833333333333</v>
      </c>
    </row>
    <row r="203" spans="1:19" x14ac:dyDescent="0.3">
      <c r="A203" s="6">
        <v>99000</v>
      </c>
      <c r="B203" s="7">
        <f t="shared" si="33"/>
        <v>8250</v>
      </c>
      <c r="C203" s="7">
        <f>'Total income package'!$D$80</f>
        <v>0</v>
      </c>
      <c r="D203" s="7">
        <f t="shared" si="40"/>
        <v>8250</v>
      </c>
      <c r="E203" s="65">
        <f t="shared" si="41"/>
        <v>2.5594622543950361</v>
      </c>
      <c r="F203" s="65" t="str">
        <f t="shared" si="34"/>
        <v>Yes</v>
      </c>
      <c r="G203" s="65" t="str">
        <f t="shared" si="35"/>
        <v>No</v>
      </c>
      <c r="H203" s="301" t="str">
        <f>IF(OR('TANF-VIEW'!L207&gt;0,'TANF-VIEW'!T207&gt;0),"Yes","No")</f>
        <v>No</v>
      </c>
      <c r="I203" s="63">
        <f t="shared" si="36"/>
        <v>550</v>
      </c>
      <c r="J203" s="6">
        <f>(IF(B203&gt;$N$2,0,VLOOKUP('Total income package'!$B$3,'Location specific data'!$A$3:$AO$135,33,FALSE))*$C$2)*20</f>
        <v>1400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0</v>
      </c>
      <c r="N203" s="6">
        <f>IF(B203&gt;$N$2,0,VLOOKUP('Total income package'!$B$3,'Location specific data'!$A$3:$AO$135,37,FALSE))*($G$2+$H$2)*20</f>
        <v>600</v>
      </c>
      <c r="O203" s="6">
        <f t="shared" si="37"/>
        <v>1100</v>
      </c>
      <c r="P203" s="312">
        <f t="shared" si="38"/>
        <v>412.5</v>
      </c>
      <c r="Q203" s="312">
        <f t="shared" si="39"/>
        <v>1650</v>
      </c>
      <c r="R203" s="312">
        <f t="shared" si="42"/>
        <v>412.5</v>
      </c>
      <c r="S203" s="160">
        <f>IF(AND('Total income package'!$A$8=TRUE,OR(F203="Yes",G203="Yes",H203="Yes")),SUM(J203:N203)-R203,0)</f>
        <v>1587.5</v>
      </c>
    </row>
    <row r="204" spans="1:19" x14ac:dyDescent="0.3">
      <c r="A204" s="6">
        <v>99500</v>
      </c>
      <c r="B204" s="7">
        <f t="shared" si="33"/>
        <v>8291.6666666666661</v>
      </c>
      <c r="C204" s="7">
        <f>'Total income package'!$D$80</f>
        <v>0</v>
      </c>
      <c r="D204" s="7">
        <f t="shared" si="40"/>
        <v>8291.6666666666661</v>
      </c>
      <c r="E204" s="65">
        <f t="shared" si="41"/>
        <v>2.572388831437435</v>
      </c>
      <c r="F204" s="65" t="str">
        <f t="shared" si="34"/>
        <v>Yes</v>
      </c>
      <c r="G204" s="65" t="str">
        <f t="shared" si="35"/>
        <v>No</v>
      </c>
      <c r="H204" s="301" t="str">
        <f>IF(OR('TANF-VIEW'!L208&gt;0,'TANF-VIEW'!T208&gt;0),"Yes","No")</f>
        <v>No</v>
      </c>
      <c r="I204" s="63">
        <f t="shared" si="36"/>
        <v>550</v>
      </c>
      <c r="J204" s="6">
        <f>(IF(B204&gt;$N$2,0,VLOOKUP('Total income package'!$B$3,'Location specific data'!$A$3:$AO$135,33,FALSE))*$C$2)*20</f>
        <v>1400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0</v>
      </c>
      <c r="N204" s="6">
        <f>IF(B204&gt;$N$2,0,VLOOKUP('Total income package'!$B$3,'Location specific data'!$A$3:$AO$135,37,FALSE))*($G$2+$H$2)*20</f>
        <v>600</v>
      </c>
      <c r="O204" s="6">
        <f t="shared" si="37"/>
        <v>1100</v>
      </c>
      <c r="P204" s="312">
        <f t="shared" si="38"/>
        <v>414.58333333333331</v>
      </c>
      <c r="Q204" s="312">
        <f t="shared" si="39"/>
        <v>1650</v>
      </c>
      <c r="R204" s="312">
        <f t="shared" si="42"/>
        <v>414.58333333333331</v>
      </c>
      <c r="S204" s="160">
        <f>IF(AND('Total income package'!$A$8=TRUE,OR(F204="Yes",G204="Yes",H204="Yes")),SUM(J204:N204)-R204,0)</f>
        <v>1585.4166666666667</v>
      </c>
    </row>
    <row r="205" spans="1:19" x14ac:dyDescent="0.3">
      <c r="A205" s="6">
        <v>100000</v>
      </c>
      <c r="B205" s="7">
        <f>A205/12</f>
        <v>8333.3333333333339</v>
      </c>
      <c r="C205" s="7">
        <f>'Total income package'!$D$80</f>
        <v>0</v>
      </c>
      <c r="D205" s="7">
        <f>B205+C205</f>
        <v>8333.3333333333339</v>
      </c>
      <c r="E205" s="65">
        <f>D205/$K$2</f>
        <v>2.5853154084798344</v>
      </c>
      <c r="F205" s="65" t="str">
        <f t="shared" si="34"/>
        <v>Yes</v>
      </c>
      <c r="G205" s="65" t="str">
        <f t="shared" si="35"/>
        <v>No</v>
      </c>
      <c r="H205" s="301" t="str">
        <f>IF(OR('TANF-VIEW'!L209&gt;0,'TANF-VIEW'!T209&gt;0),"Yes","No")</f>
        <v>No</v>
      </c>
      <c r="I205" s="63">
        <f t="shared" si="36"/>
        <v>550</v>
      </c>
      <c r="J205" s="6">
        <f>(IF(B205&gt;$N$2,0,VLOOKUP('Total income package'!$B$3,'Location specific data'!$A$3:$AO$135,33,FALSE))*$C$2)*20</f>
        <v>1400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0</v>
      </c>
      <c r="N205" s="6">
        <f>IF(B205&gt;$N$2,0,VLOOKUP('Total income package'!$B$3,'Location specific data'!$A$3:$AO$135,37,FALSE))*($G$2+$H$2)*20</f>
        <v>600</v>
      </c>
      <c r="O205" s="6">
        <f t="shared" si="37"/>
        <v>1100</v>
      </c>
      <c r="P205" s="312">
        <f>B205*0.07</f>
        <v>583.33333333333348</v>
      </c>
      <c r="Q205" s="312">
        <f t="shared" si="39"/>
        <v>1650</v>
      </c>
      <c r="R205" s="312">
        <f>IF(MIN(O205,P205)&lt;Q205,MIN(O205,P205),Q205)</f>
        <v>583.33333333333348</v>
      </c>
      <c r="S205" s="160">
        <f>IF(AND('Total income package'!$A$8=TRUE,OR(F205="Yes",G205="Yes",H205="Yes")),SUM(J205:N205)-R205,0)</f>
        <v>1416.6666666666665</v>
      </c>
    </row>
    <row r="206" spans="1:19" x14ac:dyDescent="0.3">
      <c r="C206" s="7"/>
      <c r="D206" s="7"/>
      <c r="E206" s="65"/>
      <c r="F206" s="65"/>
      <c r="G206" s="65"/>
      <c r="H206" s="301"/>
      <c r="I206" s="63"/>
      <c r="J206" s="6"/>
      <c r="K206" s="6"/>
      <c r="L206" s="6"/>
      <c r="M206" s="6"/>
      <c r="N206" s="6"/>
      <c r="P206"/>
      <c r="S206" s="160"/>
    </row>
    <row r="207" spans="1:19" x14ac:dyDescent="0.3">
      <c r="A207" s="116" t="s">
        <v>302</v>
      </c>
      <c r="C207" s="7"/>
      <c r="D207" s="7"/>
      <c r="E207" s="65"/>
      <c r="F207" s="65"/>
      <c r="G207" s="65"/>
      <c r="H207" s="301"/>
      <c r="I207" s="63"/>
      <c r="J207" s="6"/>
      <c r="K207" s="6"/>
      <c r="L207" s="6"/>
      <c r="M207" s="6"/>
      <c r="N207" s="6"/>
      <c r="P207"/>
      <c r="S207" s="160"/>
    </row>
    <row r="208" spans="1:19" x14ac:dyDescent="0.3">
      <c r="B208" s="7">
        <f>'Total income package'!$B$90</f>
        <v>1423</v>
      </c>
      <c r="C208" s="7">
        <f>'Total income package'!$D$80</f>
        <v>0</v>
      </c>
      <c r="D208" s="7">
        <f t="shared" ref="D208:D210" si="43">B208+C208</f>
        <v>1423</v>
      </c>
      <c r="E208" s="65">
        <f t="shared" ref="E208:E210" si="44">D208/$K$2</f>
        <v>0.44146845915201655</v>
      </c>
      <c r="F208" s="65" t="str">
        <f>IF(AND(B208&lt;$N$2,SUM($C$2:$F$2)&gt;0),"Yes","No")</f>
        <v>Yes</v>
      </c>
      <c r="G208" s="65" t="str">
        <f>IF(B208&lt;$M$2,"Yes","No")</f>
        <v>Yes</v>
      </c>
      <c r="H208" s="301" t="str">
        <f>IF(OR('TANF-VIEW'!L212&gt;0,'TANF-VIEW'!T212&gt;0),"Yes","No")</f>
        <v>No</v>
      </c>
      <c r="I208" s="63">
        <f>IF(B208&gt;=$N$2,0,IF(E208&gt;3.5,375*SUM($C$2:$H$2),IF(E208&gt;3,325*SUM($C$2:$H$2),IF(E208&gt;2.5,275*SUM($C$2:$H$2),IF(E208&gt;2,225*SUM($C$2:$H$2),IF(E208&gt;1.5,175*SUM($C$2:$H$2),IF(E208&gt;1,125*SUM($C$2:$H$2),IF(E208&gt;0,5*SUM($C$2:$H$2),0))))))))</f>
        <v>10</v>
      </c>
      <c r="J208" s="6">
        <f>(IF(B208&gt;$N$2,0,VLOOKUP('Total income package'!$B$3,'Location specific data'!$A$3:$AO$135,33,FALSE))*$C$2)*20</f>
        <v>1400</v>
      </c>
      <c r="K208" s="6">
        <f>IF(B208&gt;$N$2,0,VLOOKUP('Total income package'!$B$3,'Location specific data'!$A$3:$AO$135,34,FALSE))*$D$2*20</f>
        <v>0</v>
      </c>
      <c r="L208" s="6">
        <f>IF(B208&gt;$N$2,0,VLOOKUP('Total income package'!$B$3,'Location specific data'!$A$3:$AO$135,35,FALSE))*$E$2*20</f>
        <v>0</v>
      </c>
      <c r="M208" s="6">
        <f>IF(B208&gt;$N$2,0,VLOOKUP('Total income package'!$B$3,'Location specific data'!$A$3:$AO$135,36,FALSE))*$F$2*20</f>
        <v>0</v>
      </c>
      <c r="N208" s="6">
        <f>IF(B208&gt;$N$2,0,VLOOKUP('Total income package'!$B$3,'Location specific data'!$A$3:$AO$135,37,FALSE))*($G$2+$H$2)*20</f>
        <v>600</v>
      </c>
      <c r="O208" s="6">
        <f>I208*SUM($C$2:$H$2)</f>
        <v>20</v>
      </c>
      <c r="P208" s="312">
        <f>B208*0.05</f>
        <v>71.150000000000006</v>
      </c>
      <c r="Q208" s="312">
        <f>I208*3</f>
        <v>30</v>
      </c>
      <c r="R208" s="312">
        <f>IF(MIN(O208,P208)&lt;Q208,MIN(O208,P208),Q208)</f>
        <v>20</v>
      </c>
      <c r="S208" s="160">
        <f>IF(AND('Total income package'!$A$8=TRUE,OR(F208="Yes",G208="Yes",H208="Yes")),SUM(J208:N208)-R208,0)</f>
        <v>1980</v>
      </c>
    </row>
    <row r="209" spans="1:19" x14ac:dyDescent="0.3">
      <c r="A209" s="116" t="s">
        <v>303</v>
      </c>
      <c r="C209" s="7"/>
      <c r="D209" s="7"/>
      <c r="E209" s="65"/>
      <c r="F209" s="65"/>
      <c r="G209" s="65"/>
      <c r="H209" s="301"/>
      <c r="I209" s="63"/>
      <c r="J209" s="6"/>
      <c r="K209" s="6"/>
      <c r="L209" s="6"/>
      <c r="M209" s="6"/>
      <c r="N209" s="6"/>
      <c r="O209" s="6"/>
      <c r="P209" s="312"/>
      <c r="Q209" s="312"/>
      <c r="R209" s="312"/>
      <c r="S209" s="160"/>
    </row>
    <row r="210" spans="1:19" x14ac:dyDescent="0.3">
      <c r="B210" s="7">
        <f>'Total income package'!$B$91</f>
        <v>3000</v>
      </c>
      <c r="C210" s="7">
        <f>'Total income package'!$D$80</f>
        <v>0</v>
      </c>
      <c r="D210" s="7">
        <f t="shared" si="43"/>
        <v>3000</v>
      </c>
      <c r="E210" s="65">
        <f t="shared" si="44"/>
        <v>0.93071354705274034</v>
      </c>
      <c r="F210" s="65" t="str">
        <f>IF(AND(B210&lt;$N$2,SUM($C$2:$F$2)&gt;0),"Yes","No")</f>
        <v>Yes</v>
      </c>
      <c r="G210" s="65" t="str">
        <f>IF(B210&lt;$M$2,"Yes","No")</f>
        <v>Yes</v>
      </c>
      <c r="H210" s="301" t="str">
        <f>IF(OR('TANF-VIEW'!L214&gt;0,'TANF-VIEW'!T214&gt;0),"Yes","No")</f>
        <v>No</v>
      </c>
      <c r="I210" s="63">
        <f>IF(B210&gt;=$N$2,0,IF(E210&gt;3.5,375*SUM($C$2:$H$2),IF(E210&gt;3,325*SUM($C$2:$H$2),IF(E210&gt;2.5,275*SUM($C$2:$H$2),IF(E210&gt;2,225*SUM($C$2:$H$2),IF(E210&gt;1.5,175*SUM($C$2:$H$2),IF(E210&gt;1,125*SUM($C$2:$H$2),IF(E210&gt;0,5*SUM($C$2:$H$2),0))))))))</f>
        <v>10</v>
      </c>
      <c r="J210" s="6">
        <f>(IF(B210&gt;$N$2,0,VLOOKUP('Total income package'!$B$3,'Location specific data'!$A$3:$AO$135,33,FALSE))*$C$2)*20</f>
        <v>1400</v>
      </c>
      <c r="K210" s="6">
        <f>IF(B210&gt;$N$2,0,VLOOKUP('Total income package'!$B$3,'Location specific data'!$A$3:$AO$135,34,FALSE))*$D$2*20</f>
        <v>0</v>
      </c>
      <c r="L210" s="6">
        <f>IF(B210&gt;$N$2,0,VLOOKUP('Total income package'!$B$3,'Location specific data'!$A$3:$AO$135,35,FALSE))*$E$2*20</f>
        <v>0</v>
      </c>
      <c r="M210" s="6">
        <f>IF(B210&gt;$N$2,0,VLOOKUP('Total income package'!$B$3,'Location specific data'!$A$3:$AO$135,36,FALSE))*$F$2*20</f>
        <v>0</v>
      </c>
      <c r="N210" s="6">
        <f>IF(B210&gt;$N$2,0,VLOOKUP('Total income package'!$B$3,'Location specific data'!$A$3:$AO$135,37,FALSE))*($G$2+$H$2)*20</f>
        <v>600</v>
      </c>
      <c r="O210" s="6">
        <f>I210*SUM($C$2:$H$2)</f>
        <v>20</v>
      </c>
      <c r="P210" s="312">
        <f>B210*0.05</f>
        <v>150</v>
      </c>
      <c r="Q210" s="312">
        <f>I210*3</f>
        <v>30</v>
      </c>
      <c r="R210" s="312">
        <f>IF(MIN(O210,P210)&lt;Q210,MIN(O210,P210),Q210)</f>
        <v>20</v>
      </c>
      <c r="S210" s="160">
        <f>IF(AND('Total income package'!$A$8=TRUE,OR(F210="Yes",G210="Yes",H210="Yes")),SUM(J210:N210)-R210,0)</f>
        <v>1980</v>
      </c>
    </row>
    <row r="211" spans="1:19" x14ac:dyDescent="0.3">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9" sqref="G209"/>
    </sheetView>
  </sheetViews>
  <sheetFormatPr defaultRowHeight="14.4" x14ac:dyDescent="0.3"/>
  <cols>
    <col min="1" max="1" width="19.109375" customWidth="1"/>
    <col min="2" max="2" width="12.5546875" customWidth="1"/>
    <col min="3" max="3" width="22.109375" style="157" customWidth="1"/>
    <col min="4" max="4" width="16.5546875" style="157" customWidth="1"/>
    <col min="5" max="5" width="18.33203125" style="76" customWidth="1"/>
    <col min="6" max="6" width="12.6640625" style="7" customWidth="1"/>
    <col min="7" max="7" width="13.33203125" customWidth="1"/>
    <col min="8" max="8" width="9.5546875" customWidth="1"/>
    <col min="9" max="9" width="11.5546875" bestFit="1" customWidth="1"/>
    <col min="10" max="10" width="10.5546875" customWidth="1"/>
    <col min="11" max="11" width="12.109375" customWidth="1"/>
    <col min="12" max="12" width="14.33203125" customWidth="1"/>
    <col min="14" max="14" width="10.109375" bestFit="1" customWidth="1"/>
  </cols>
  <sheetData>
    <row r="1" spans="1:28" ht="33.75" customHeight="1" x14ac:dyDescent="0.3">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3">
      <c r="A2" s="127" t="str">
        <f>'Total income package'!B3</f>
        <v xml:space="preserve">Buckingham </v>
      </c>
      <c r="B2" s="148">
        <f>'Total income package'!B32</f>
        <v>5</v>
      </c>
      <c r="C2" s="148">
        <f>'Total income package'!B30</f>
        <v>3</v>
      </c>
      <c r="D2" s="148">
        <f>'Total income package'!B31</f>
        <v>2</v>
      </c>
      <c r="E2" s="77" t="str">
        <f>'Total income package'!B72</f>
        <v>Married filing jointly</v>
      </c>
      <c r="F2" s="78">
        <f>IF($E$2="Married filing jointly",VLOOKUP($D$2,'EITC Rates'!$A$17:$G$24,2,FALSE),VLOOKUP($D$2,'EITC Rates'!$A$6:$G$13,2,FALSE))</f>
        <v>64430</v>
      </c>
      <c r="G2" s="78">
        <f>IF($E$2="Married filing jointly",VLOOKUP($D$2,'EITC Rates'!$A$17:$G$24,3,FALSE),VLOOKUP($D$2,'EITC Rates'!$A$6:$G$13,3,FALSE))</f>
        <v>7316</v>
      </c>
      <c r="H2" s="152">
        <f>IF($E$2="Married filing jointly",VLOOKUP($D$2,'EITC Rates'!$A$17:$G$24,4,FALSE),VLOOKUP($D$2,'EITC Rates'!$A$6:$G$13,4,FALSE))</f>
        <v>0.4</v>
      </c>
      <c r="I2" s="153">
        <f>IF($E$2="Married filing jointly",VLOOKUP($D$2,'EITC Rates'!$A$17:$G$24,5,FALSE),VLOOKUP($D$2,'EITC Rates'!$A$6:$G$13,5,FALSE))</f>
        <v>0.21060000000000001</v>
      </c>
      <c r="J2" s="78">
        <f>IF($E$2="Married filing jointly",VLOOKUP($D$2,'EITC Rates'!$A$17:$G$24,6,FALSE),VLOOKUP($D$2,'EITC Rates'!$A$6:$G$13,6,FALSE))</f>
        <v>18290</v>
      </c>
      <c r="K2" s="78">
        <f>IF($E$2="Married filing jointly",VLOOKUP($D$2,'EITC Rates'!$A$17:$G$24,7,FALSE),VLOOKUP($D$2,'EITC Rates'!$A$6:$G$13,7,FALSE))</f>
        <v>31160</v>
      </c>
      <c r="T2" s="1"/>
      <c r="Y2" s="75"/>
      <c r="Z2" s="35"/>
      <c r="AB2" s="1"/>
    </row>
    <row r="3" spans="1:28" x14ac:dyDescent="0.3">
      <c r="E3" s="7"/>
      <c r="F3"/>
    </row>
    <row r="4" spans="1:28" s="74" customFormat="1" ht="80.25" customHeight="1" x14ac:dyDescent="0.3">
      <c r="A4" s="195" t="s">
        <v>104</v>
      </c>
      <c r="B4" s="2" t="s">
        <v>105</v>
      </c>
      <c r="C4" s="162" t="s">
        <v>704</v>
      </c>
      <c r="D4" s="163" t="s">
        <v>708</v>
      </c>
      <c r="E4" s="196" t="s">
        <v>398</v>
      </c>
      <c r="F4" s="194"/>
      <c r="G4" s="443" t="s">
        <v>707</v>
      </c>
      <c r="H4" s="443"/>
      <c r="I4" s="443"/>
      <c r="J4" s="73"/>
      <c r="K4" s="73"/>
      <c r="L4" s="73"/>
    </row>
    <row r="5" spans="1:28" s="74" customFormat="1" x14ac:dyDescent="0.3">
      <c r="A5" s="3">
        <v>0</v>
      </c>
      <c r="B5" s="4">
        <f>A5/12</f>
        <v>0</v>
      </c>
      <c r="C5" s="158">
        <v>0</v>
      </c>
      <c r="D5" s="158">
        <f>C5*0.2</f>
        <v>0</v>
      </c>
      <c r="E5" s="164">
        <f>IF('Total income package'!$A$10=TRUE,SUM(EITC!C5:D5),0)</f>
        <v>0</v>
      </c>
      <c r="F5" s="6"/>
      <c r="G5" s="6"/>
      <c r="J5" s="73"/>
      <c r="K5" s="73"/>
      <c r="L5" s="73"/>
    </row>
    <row r="6" spans="1:28" s="74" customFormat="1" x14ac:dyDescent="0.3">
      <c r="A6" s="3">
        <v>500</v>
      </c>
      <c r="B6" s="4">
        <f>A6/12</f>
        <v>41.666666666666664</v>
      </c>
      <c r="C6" s="157">
        <f>MAX(0,IF(A6&gt;$F$2,0,IF(AND(A6&lt;$F$2,A6&gt;=$K$2),$G$2-((A6-$K$2-1)*$I$2),IF(AND(A6&lt;$K$2,A6&gt;=$J$2),$G$2,IF(A6&lt;$J$2,A6*$H$2,0)))))</f>
        <v>200</v>
      </c>
      <c r="D6" s="158">
        <f t="shared" ref="D6:D69" si="0">C6*0.2</f>
        <v>40</v>
      </c>
      <c r="E6" s="164">
        <f>IF('Total income package'!$A$10=TRUE,SUM(EITC!C6:D6),0)</f>
        <v>240</v>
      </c>
      <c r="F6" s="6"/>
      <c r="G6" s="6"/>
      <c r="J6" s="73"/>
      <c r="K6" s="73"/>
      <c r="L6" s="73"/>
    </row>
    <row r="7" spans="1:28" x14ac:dyDescent="0.3">
      <c r="A7" s="3">
        <v>1000</v>
      </c>
      <c r="B7" s="4">
        <f>A7/12</f>
        <v>83.333333333333329</v>
      </c>
      <c r="C7" s="157">
        <f>MAX(0,IF(A7&gt;$F$2,0,IF(AND(A7&lt;$F$2,A7&gt;=$K$2),$G$2-((A7-$K$2-1)*$I$2),IF(AND(A7&lt;$K$2,A7&gt;=$J$2),$G$2,IF(A7&lt;$J$2,A7*$H$2,0)))))</f>
        <v>400</v>
      </c>
      <c r="D7" s="158">
        <f t="shared" si="0"/>
        <v>80</v>
      </c>
      <c r="E7" s="164">
        <f>IF('Total income package'!$A$10=TRUE,SUM(EITC!C7:D7),0)</f>
        <v>480</v>
      </c>
      <c r="F7" s="6"/>
      <c r="G7" s="6"/>
      <c r="H7" s="7"/>
      <c r="I7" s="47"/>
      <c r="M7" s="7"/>
    </row>
    <row r="8" spans="1:28" x14ac:dyDescent="0.3">
      <c r="A8" s="3">
        <v>1500</v>
      </c>
      <c r="B8" s="4">
        <f t="shared" ref="B8:B71" si="1">A8/12</f>
        <v>125</v>
      </c>
      <c r="C8" s="157">
        <f t="shared" ref="C8:C70" si="2">MAX(0,IF(A8&gt;$F$2,0,IF(AND(A8&lt;$F$2,A8&gt;=$K$2),$G$2-((A8-$K$2-1)*$I$2),IF(AND(A8&lt;$K$2,A8&gt;=$J$2),$G$2,IF(A8&lt;$J$2,A8*$H$2,0)))))</f>
        <v>600</v>
      </c>
      <c r="D8" s="158">
        <f t="shared" si="0"/>
        <v>120</v>
      </c>
      <c r="E8" s="164">
        <f>IF('Total income package'!$A$10=TRUE,SUM(EITC!C8:D8),0)</f>
        <v>720</v>
      </c>
      <c r="F8" s="6"/>
      <c r="G8" s="6"/>
      <c r="H8" s="7"/>
      <c r="I8" s="47"/>
      <c r="K8" s="7"/>
      <c r="M8" s="7"/>
      <c r="P8" s="41"/>
    </row>
    <row r="9" spans="1:28" x14ac:dyDescent="0.3">
      <c r="A9" s="3">
        <v>2000</v>
      </c>
      <c r="B9" s="4">
        <f t="shared" si="1"/>
        <v>166.66666666666666</v>
      </c>
      <c r="C9" s="157">
        <f>MAX(0,IF(A9&gt;$F$2,0,IF(AND(A9&lt;$F$2,A9&gt;=$K$2),$G$2-((A9-$K$2-1)*$I$2),IF(AND(A9&lt;$K$2,A9&gt;=$J$2),$G$2,IF(A9&lt;$J$2,A9*$H$2,0)))))</f>
        <v>800</v>
      </c>
      <c r="D9" s="158">
        <f t="shared" si="0"/>
        <v>160</v>
      </c>
      <c r="E9" s="164">
        <f>IF('Total income package'!$A$10=TRUE,SUM(EITC!C9:D9),0)</f>
        <v>960</v>
      </c>
      <c r="F9" s="6"/>
      <c r="G9" s="6"/>
      <c r="H9" s="7"/>
      <c r="I9" s="47"/>
      <c r="K9" s="7"/>
      <c r="M9" s="7"/>
    </row>
    <row r="10" spans="1:28" x14ac:dyDescent="0.3">
      <c r="A10" s="3">
        <v>2500</v>
      </c>
      <c r="B10" s="4">
        <f t="shared" si="1"/>
        <v>208.33333333333334</v>
      </c>
      <c r="C10" s="157">
        <f t="shared" si="2"/>
        <v>1000</v>
      </c>
      <c r="D10" s="158">
        <f t="shared" si="0"/>
        <v>200</v>
      </c>
      <c r="E10" s="164">
        <f>IF('Total income package'!$A$10=TRUE,SUM(EITC!C10:D10),0)</f>
        <v>1200</v>
      </c>
      <c r="F10" s="6"/>
      <c r="G10" s="6"/>
      <c r="H10" s="7"/>
      <c r="I10" s="47"/>
      <c r="K10" s="7"/>
      <c r="M10" s="7"/>
    </row>
    <row r="11" spans="1:28" x14ac:dyDescent="0.3">
      <c r="A11" s="3">
        <v>3000</v>
      </c>
      <c r="B11" s="4">
        <f t="shared" si="1"/>
        <v>250</v>
      </c>
      <c r="C11" s="157">
        <f t="shared" si="2"/>
        <v>1200</v>
      </c>
      <c r="D11" s="158">
        <f t="shared" si="0"/>
        <v>240</v>
      </c>
      <c r="E11" s="164">
        <f>IF('Total income package'!$A$10=TRUE,SUM(EITC!C11:D11),0)</f>
        <v>1440</v>
      </c>
      <c r="F11" s="6"/>
      <c r="G11" s="6"/>
      <c r="H11" s="7"/>
      <c r="I11" s="47"/>
      <c r="K11" s="7"/>
      <c r="M11" s="7"/>
    </row>
    <row r="12" spans="1:28" x14ac:dyDescent="0.3">
      <c r="A12" s="3">
        <v>3500</v>
      </c>
      <c r="B12" s="4">
        <f t="shared" si="1"/>
        <v>291.66666666666669</v>
      </c>
      <c r="C12" s="157">
        <f t="shared" si="2"/>
        <v>1400</v>
      </c>
      <c r="D12" s="158">
        <f t="shared" si="0"/>
        <v>280</v>
      </c>
      <c r="E12" s="164">
        <f>IF('Total income package'!$A$10=TRUE,SUM(EITC!C12:D12),0)</f>
        <v>1680</v>
      </c>
      <c r="F12" s="6"/>
      <c r="G12" s="6"/>
      <c r="H12" s="7"/>
      <c r="I12" s="47"/>
      <c r="K12" s="7"/>
      <c r="M12" s="7"/>
    </row>
    <row r="13" spans="1:28" x14ac:dyDescent="0.3">
      <c r="A13" s="3">
        <v>4000</v>
      </c>
      <c r="B13" s="4">
        <f t="shared" si="1"/>
        <v>333.33333333333331</v>
      </c>
      <c r="C13" s="157">
        <f t="shared" si="2"/>
        <v>1600</v>
      </c>
      <c r="D13" s="158">
        <f t="shared" si="0"/>
        <v>320</v>
      </c>
      <c r="E13" s="164">
        <f>IF('Total income package'!$A$10=TRUE,SUM(EITC!C13:D13),0)</f>
        <v>1920</v>
      </c>
      <c r="F13" s="6"/>
      <c r="G13" s="6"/>
      <c r="H13" s="7"/>
      <c r="I13" s="47"/>
      <c r="K13" s="7"/>
      <c r="M13" s="7"/>
    </row>
    <row r="14" spans="1:28" x14ac:dyDescent="0.3">
      <c r="A14" s="3">
        <v>4500</v>
      </c>
      <c r="B14" s="4">
        <f t="shared" si="1"/>
        <v>375</v>
      </c>
      <c r="C14" s="157">
        <f t="shared" si="2"/>
        <v>1800</v>
      </c>
      <c r="D14" s="158">
        <f t="shared" si="0"/>
        <v>360</v>
      </c>
      <c r="E14" s="164">
        <f>IF('Total income package'!$A$10=TRUE,SUM(EITC!C14:D14),0)</f>
        <v>2160</v>
      </c>
      <c r="F14" s="156"/>
      <c r="G14" s="156"/>
      <c r="H14" s="7"/>
      <c r="I14" s="47"/>
      <c r="K14" s="7"/>
      <c r="M14" s="7"/>
    </row>
    <row r="15" spans="1:28" x14ac:dyDescent="0.3">
      <c r="A15" s="3">
        <v>5000</v>
      </c>
      <c r="B15" s="4">
        <f t="shared" si="1"/>
        <v>416.66666666666669</v>
      </c>
      <c r="C15" s="157">
        <f t="shared" si="2"/>
        <v>2000</v>
      </c>
      <c r="D15" s="158">
        <f t="shared" si="0"/>
        <v>400</v>
      </c>
      <c r="E15" s="164">
        <f>IF('Total income package'!$A$10=TRUE,SUM(EITC!C15:D15),0)</f>
        <v>2400</v>
      </c>
      <c r="F15" s="6"/>
      <c r="G15" s="6"/>
      <c r="H15" s="7"/>
      <c r="I15" s="47"/>
      <c r="K15" s="7"/>
      <c r="M15" s="7"/>
    </row>
    <row r="16" spans="1:28" x14ac:dyDescent="0.3">
      <c r="A16" s="3">
        <v>5500</v>
      </c>
      <c r="B16" s="4">
        <f t="shared" si="1"/>
        <v>458.33333333333331</v>
      </c>
      <c r="C16" s="157">
        <f t="shared" si="2"/>
        <v>2200</v>
      </c>
      <c r="D16" s="158">
        <f t="shared" si="0"/>
        <v>440</v>
      </c>
      <c r="E16" s="164">
        <f>IF('Total income package'!$A$10=TRUE,SUM(EITC!C16:D16),0)</f>
        <v>2640</v>
      </c>
      <c r="F16" s="6"/>
      <c r="G16" s="6"/>
      <c r="H16" s="7"/>
      <c r="I16" s="47"/>
      <c r="K16" s="7"/>
      <c r="M16" s="7"/>
    </row>
    <row r="17" spans="1:14" x14ac:dyDescent="0.3">
      <c r="A17" s="3">
        <v>6000</v>
      </c>
      <c r="B17" s="4">
        <f t="shared" si="1"/>
        <v>500</v>
      </c>
      <c r="C17" s="157">
        <f t="shared" si="2"/>
        <v>2400</v>
      </c>
      <c r="D17" s="158">
        <f t="shared" si="0"/>
        <v>480</v>
      </c>
      <c r="E17" s="164">
        <f>IF('Total income package'!$A$10=TRUE,SUM(EITC!C17:D17),0)</f>
        <v>2880</v>
      </c>
      <c r="F17" s="6"/>
      <c r="G17" s="6"/>
      <c r="H17" s="7"/>
      <c r="I17" s="47"/>
      <c r="K17" s="7"/>
      <c r="M17" s="7"/>
    </row>
    <row r="18" spans="1:14" x14ac:dyDescent="0.3">
      <c r="A18" s="3">
        <v>6500</v>
      </c>
      <c r="B18" s="4">
        <f t="shared" si="1"/>
        <v>541.66666666666663</v>
      </c>
      <c r="C18" s="157">
        <f t="shared" si="2"/>
        <v>2600</v>
      </c>
      <c r="D18" s="158">
        <f t="shared" si="0"/>
        <v>520</v>
      </c>
      <c r="E18" s="164">
        <f>IF('Total income package'!$A$10=TRUE,SUM(EITC!C18:D18),0)</f>
        <v>3120</v>
      </c>
      <c r="F18" s="6"/>
      <c r="G18" s="6"/>
      <c r="H18" s="7"/>
      <c r="I18" s="47"/>
      <c r="K18" s="7"/>
      <c r="M18" s="7"/>
    </row>
    <row r="19" spans="1:14" x14ac:dyDescent="0.3">
      <c r="A19" s="3">
        <v>7000</v>
      </c>
      <c r="B19" s="4">
        <f t="shared" si="1"/>
        <v>583.33333333333337</v>
      </c>
      <c r="C19" s="157">
        <f t="shared" si="2"/>
        <v>2800</v>
      </c>
      <c r="D19" s="158">
        <f t="shared" si="0"/>
        <v>560</v>
      </c>
      <c r="E19" s="164">
        <f>IF('Total income package'!$A$10=TRUE,SUM(EITC!C19:D19),0)</f>
        <v>3360</v>
      </c>
      <c r="F19" s="6"/>
      <c r="G19" s="6"/>
      <c r="H19" s="7"/>
      <c r="I19" s="47"/>
      <c r="K19" s="7"/>
      <c r="M19" s="7"/>
    </row>
    <row r="20" spans="1:14" x14ac:dyDescent="0.3">
      <c r="A20" s="3">
        <v>7500</v>
      </c>
      <c r="B20" s="4">
        <f t="shared" si="1"/>
        <v>625</v>
      </c>
      <c r="C20" s="157">
        <f t="shared" si="2"/>
        <v>3000</v>
      </c>
      <c r="D20" s="158">
        <f t="shared" si="0"/>
        <v>600</v>
      </c>
      <c r="E20" s="164">
        <f>IF('Total income package'!$A$10=TRUE,SUM(EITC!C20:D20),0)</f>
        <v>3600</v>
      </c>
      <c r="F20" s="6"/>
      <c r="G20" s="6"/>
      <c r="H20" s="7"/>
      <c r="I20" s="47"/>
      <c r="K20" s="7"/>
      <c r="M20" s="7"/>
    </row>
    <row r="21" spans="1:14" x14ac:dyDescent="0.3">
      <c r="A21" s="3">
        <v>8000</v>
      </c>
      <c r="B21" s="4">
        <f t="shared" si="1"/>
        <v>666.66666666666663</v>
      </c>
      <c r="C21" s="157">
        <f t="shared" si="2"/>
        <v>3200</v>
      </c>
      <c r="D21" s="158">
        <f t="shared" si="0"/>
        <v>640</v>
      </c>
      <c r="E21" s="164">
        <f>IF('Total income package'!$A$10=TRUE,SUM(EITC!C21:D21),0)</f>
        <v>3840</v>
      </c>
      <c r="F21" s="6"/>
      <c r="G21" s="6"/>
      <c r="H21" s="7"/>
      <c r="I21" s="47"/>
      <c r="K21" s="7"/>
      <c r="M21" s="7"/>
    </row>
    <row r="22" spans="1:14" x14ac:dyDescent="0.3">
      <c r="A22" s="3">
        <v>8500</v>
      </c>
      <c r="B22" s="4">
        <f t="shared" si="1"/>
        <v>708.33333333333337</v>
      </c>
      <c r="C22" s="157">
        <f t="shared" si="2"/>
        <v>3400</v>
      </c>
      <c r="D22" s="158">
        <f t="shared" si="0"/>
        <v>680</v>
      </c>
      <c r="E22" s="164">
        <f>IF('Total income package'!$A$10=TRUE,SUM(EITC!C22:D22),0)</f>
        <v>4080</v>
      </c>
      <c r="F22" s="6"/>
      <c r="G22" s="6"/>
      <c r="H22" s="7"/>
      <c r="I22" s="47"/>
      <c r="K22" s="7"/>
      <c r="M22" s="7"/>
    </row>
    <row r="23" spans="1:14" x14ac:dyDescent="0.3">
      <c r="A23" s="3">
        <v>9000</v>
      </c>
      <c r="B23" s="4">
        <f t="shared" si="1"/>
        <v>750</v>
      </c>
      <c r="C23" s="157">
        <f t="shared" si="2"/>
        <v>3600</v>
      </c>
      <c r="D23" s="158">
        <f t="shared" si="0"/>
        <v>720</v>
      </c>
      <c r="E23" s="164">
        <f>IF('Total income package'!$A$10=TRUE,SUM(EITC!C23:D23),0)</f>
        <v>4320</v>
      </c>
      <c r="F23" s="6"/>
      <c r="G23" s="6"/>
      <c r="H23" s="7"/>
      <c r="I23" s="47"/>
      <c r="K23" s="7"/>
      <c r="L23" s="4"/>
      <c r="M23" s="7"/>
      <c r="N23" s="7"/>
    </row>
    <row r="24" spans="1:14" x14ac:dyDescent="0.3">
      <c r="A24" s="3">
        <v>9500</v>
      </c>
      <c r="B24" s="4">
        <f t="shared" si="1"/>
        <v>791.66666666666663</v>
      </c>
      <c r="C24" s="157">
        <f t="shared" si="2"/>
        <v>3800</v>
      </c>
      <c r="D24" s="158">
        <f t="shared" si="0"/>
        <v>760</v>
      </c>
      <c r="E24" s="164">
        <f>IF('Total income package'!$A$10=TRUE,SUM(EITC!C24:D24),0)</f>
        <v>4560</v>
      </c>
      <c r="F24" s="6"/>
      <c r="G24" s="6"/>
      <c r="H24" s="7"/>
      <c r="I24" s="47"/>
      <c r="K24" s="7"/>
      <c r="L24" s="4"/>
      <c r="M24" s="7"/>
    </row>
    <row r="25" spans="1:14" x14ac:dyDescent="0.3">
      <c r="A25" s="3">
        <v>10000</v>
      </c>
      <c r="B25" s="4">
        <f t="shared" si="1"/>
        <v>833.33333333333337</v>
      </c>
      <c r="C25" s="157">
        <f t="shared" si="2"/>
        <v>4000</v>
      </c>
      <c r="D25" s="158">
        <f t="shared" si="0"/>
        <v>800</v>
      </c>
      <c r="E25" s="164">
        <f>IF('Total income package'!$A$10=TRUE,SUM(EITC!C25:D25),0)</f>
        <v>4800</v>
      </c>
      <c r="F25" s="6"/>
      <c r="G25" s="6"/>
      <c r="H25" s="7"/>
      <c r="I25" s="47"/>
      <c r="K25" s="7"/>
      <c r="M25" s="7"/>
    </row>
    <row r="26" spans="1:14" x14ac:dyDescent="0.3">
      <c r="A26" s="3">
        <v>10500</v>
      </c>
      <c r="B26" s="4">
        <f t="shared" si="1"/>
        <v>875</v>
      </c>
      <c r="C26" s="157">
        <f t="shared" si="2"/>
        <v>4200</v>
      </c>
      <c r="D26" s="158">
        <f t="shared" si="0"/>
        <v>840</v>
      </c>
      <c r="E26" s="164">
        <f>IF('Total income package'!$A$10=TRUE,SUM(EITC!C26:D26),0)</f>
        <v>5040</v>
      </c>
      <c r="F26" s="6"/>
      <c r="G26" s="6"/>
      <c r="H26" s="7"/>
      <c r="I26" s="47"/>
      <c r="K26" s="7"/>
      <c r="M26" s="7"/>
    </row>
    <row r="27" spans="1:14" x14ac:dyDescent="0.3">
      <c r="A27" s="3">
        <v>11000</v>
      </c>
      <c r="B27" s="4">
        <f t="shared" si="1"/>
        <v>916.66666666666663</v>
      </c>
      <c r="C27" s="157">
        <f t="shared" si="2"/>
        <v>4400</v>
      </c>
      <c r="D27" s="158">
        <f t="shared" si="0"/>
        <v>880</v>
      </c>
      <c r="E27" s="164">
        <f>IF('Total income package'!$A$10=TRUE,SUM(EITC!C27:D27),0)</f>
        <v>5280</v>
      </c>
      <c r="F27" s="6"/>
      <c r="G27" s="6"/>
      <c r="H27" s="7"/>
      <c r="I27" s="47"/>
      <c r="K27" s="7"/>
      <c r="M27" s="7"/>
    </row>
    <row r="28" spans="1:14" x14ac:dyDescent="0.3">
      <c r="A28" s="3">
        <v>11500</v>
      </c>
      <c r="B28" s="4">
        <f t="shared" si="1"/>
        <v>958.33333333333337</v>
      </c>
      <c r="C28" s="157">
        <f t="shared" si="2"/>
        <v>4600</v>
      </c>
      <c r="D28" s="158">
        <f t="shared" si="0"/>
        <v>920</v>
      </c>
      <c r="E28" s="164">
        <f>IF('Total income package'!$A$10=TRUE,SUM(EITC!C28:D28),0)</f>
        <v>5520</v>
      </c>
      <c r="F28" s="6"/>
      <c r="G28" s="6"/>
      <c r="H28" s="7"/>
      <c r="I28" s="47"/>
      <c r="J28" s="7"/>
      <c r="K28" s="7"/>
      <c r="M28" s="7"/>
    </row>
    <row r="29" spans="1:14" x14ac:dyDescent="0.3">
      <c r="A29" s="3">
        <v>12000</v>
      </c>
      <c r="B29" s="4">
        <f t="shared" si="1"/>
        <v>1000</v>
      </c>
      <c r="C29" s="157">
        <f t="shared" si="2"/>
        <v>4800</v>
      </c>
      <c r="D29" s="158">
        <f t="shared" si="0"/>
        <v>960</v>
      </c>
      <c r="E29" s="164">
        <f>IF('Total income package'!$A$10=TRUE,SUM(EITC!C29:D29),0)</f>
        <v>5760</v>
      </c>
      <c r="F29" s="6"/>
      <c r="G29" s="6"/>
      <c r="H29" s="7"/>
      <c r="I29" s="47"/>
      <c r="J29" s="3"/>
      <c r="K29" s="7"/>
      <c r="M29" s="7"/>
    </row>
    <row r="30" spans="1:14" x14ac:dyDescent="0.3">
      <c r="A30" s="3">
        <v>12500</v>
      </c>
      <c r="B30" s="4">
        <f t="shared" si="1"/>
        <v>1041.6666666666667</v>
      </c>
      <c r="C30" s="157">
        <f t="shared" si="2"/>
        <v>5000</v>
      </c>
      <c r="D30" s="158">
        <f t="shared" si="0"/>
        <v>1000</v>
      </c>
      <c r="E30" s="164">
        <f>IF('Total income package'!$A$10=TRUE,SUM(EITC!C30:D30),0)</f>
        <v>6000</v>
      </c>
      <c r="F30" s="6"/>
      <c r="G30" s="6"/>
      <c r="H30" s="7"/>
      <c r="I30" s="47"/>
      <c r="J30" s="3"/>
      <c r="K30" s="7"/>
      <c r="M30" s="7"/>
    </row>
    <row r="31" spans="1:14" x14ac:dyDescent="0.3">
      <c r="A31" s="3">
        <v>13000</v>
      </c>
      <c r="B31" s="4">
        <f t="shared" si="1"/>
        <v>1083.3333333333333</v>
      </c>
      <c r="C31" s="157">
        <f t="shared" si="2"/>
        <v>5200</v>
      </c>
      <c r="D31" s="158">
        <f t="shared" si="0"/>
        <v>1040</v>
      </c>
      <c r="E31" s="164">
        <f>IF('Total income package'!$A$10=TRUE,SUM(EITC!C31:D31),0)</f>
        <v>6240</v>
      </c>
      <c r="F31" s="6"/>
      <c r="G31" s="6"/>
      <c r="H31" s="7"/>
      <c r="I31" s="47"/>
      <c r="J31" s="3"/>
      <c r="K31" s="7"/>
      <c r="M31" s="7"/>
    </row>
    <row r="32" spans="1:14" x14ac:dyDescent="0.3">
      <c r="A32" s="3">
        <v>13500</v>
      </c>
      <c r="B32" s="4">
        <f t="shared" si="1"/>
        <v>1125</v>
      </c>
      <c r="C32" s="157">
        <f>MAX(0,IF(A32&gt;$F$2,0,IF(AND(A32&lt;$F$2,A32&gt;=$K$2),$G$2-((A32-$K$2-1)*$I$2),IF(AND(A32&lt;$K$2,A32&gt;=$J$2),$G$2,IF(A32&lt;$J$2,A32*$H$2,0)))))</f>
        <v>5400</v>
      </c>
      <c r="D32" s="158">
        <f t="shared" si="0"/>
        <v>1080</v>
      </c>
      <c r="E32" s="164">
        <f>IF('Total income package'!$A$10=TRUE,SUM(EITC!C32:D32),0)</f>
        <v>6480</v>
      </c>
      <c r="F32" s="6"/>
      <c r="G32" s="6"/>
      <c r="H32" s="7"/>
      <c r="I32" s="47"/>
      <c r="J32" s="3"/>
      <c r="K32" s="7"/>
      <c r="M32" s="7"/>
    </row>
    <row r="33" spans="1:13" x14ac:dyDescent="0.3">
      <c r="A33" s="3">
        <v>14000</v>
      </c>
      <c r="B33" s="4">
        <f t="shared" si="1"/>
        <v>1166.6666666666667</v>
      </c>
      <c r="C33" s="157">
        <f t="shared" si="2"/>
        <v>5600</v>
      </c>
      <c r="D33" s="158">
        <f t="shared" si="0"/>
        <v>1120</v>
      </c>
      <c r="E33" s="164">
        <f>IF('Total income package'!$A$10=TRUE,SUM(EITC!C33:D33),0)</f>
        <v>6720</v>
      </c>
      <c r="F33" s="6"/>
      <c r="G33" s="6"/>
      <c r="H33" s="7"/>
      <c r="I33" s="47"/>
      <c r="J33" s="3"/>
      <c r="K33" s="7"/>
      <c r="M33" s="7"/>
    </row>
    <row r="34" spans="1:13" x14ac:dyDescent="0.3">
      <c r="A34" s="3">
        <v>14500</v>
      </c>
      <c r="B34" s="4">
        <f t="shared" si="1"/>
        <v>1208.3333333333333</v>
      </c>
      <c r="C34" s="157">
        <f t="shared" si="2"/>
        <v>5800</v>
      </c>
      <c r="D34" s="158">
        <f t="shared" si="0"/>
        <v>1160</v>
      </c>
      <c r="E34" s="164">
        <f>IF('Total income package'!$A$10=TRUE,SUM(EITC!C34:D34),0)</f>
        <v>6960</v>
      </c>
      <c r="F34" s="6"/>
      <c r="G34" s="6"/>
      <c r="H34" s="7"/>
      <c r="I34" s="47"/>
      <c r="J34" s="3"/>
      <c r="K34" s="7"/>
      <c r="M34" s="7"/>
    </row>
    <row r="35" spans="1:13" x14ac:dyDescent="0.3">
      <c r="A35" s="3">
        <v>15000</v>
      </c>
      <c r="B35" s="4">
        <f t="shared" si="1"/>
        <v>1250</v>
      </c>
      <c r="C35" s="157">
        <f t="shared" si="2"/>
        <v>6000</v>
      </c>
      <c r="D35" s="158">
        <f t="shared" si="0"/>
        <v>1200</v>
      </c>
      <c r="E35" s="164">
        <f>IF('Total income package'!$A$10=TRUE,SUM(EITC!C35:D35),0)</f>
        <v>7200</v>
      </c>
      <c r="F35" s="6"/>
      <c r="G35" s="6"/>
      <c r="H35" s="7"/>
      <c r="I35" s="47"/>
      <c r="J35" s="3"/>
      <c r="K35" s="7"/>
      <c r="M35" s="7"/>
    </row>
    <row r="36" spans="1:13" x14ac:dyDescent="0.3">
      <c r="A36" s="3">
        <v>15500</v>
      </c>
      <c r="B36" s="4">
        <f t="shared" si="1"/>
        <v>1291.6666666666667</v>
      </c>
      <c r="C36" s="157">
        <f t="shared" si="2"/>
        <v>6200</v>
      </c>
      <c r="D36" s="158">
        <f t="shared" si="0"/>
        <v>1240</v>
      </c>
      <c r="E36" s="164">
        <f>IF('Total income package'!$A$10=TRUE,SUM(EITC!C36:D36),0)</f>
        <v>7440</v>
      </c>
      <c r="F36" s="6"/>
      <c r="G36" s="6"/>
      <c r="H36" s="7"/>
      <c r="I36" s="47"/>
      <c r="J36" s="3"/>
      <c r="K36" s="7"/>
      <c r="M36" s="7"/>
    </row>
    <row r="37" spans="1:13" x14ac:dyDescent="0.3">
      <c r="A37" s="3">
        <v>16000</v>
      </c>
      <c r="B37" s="4">
        <f t="shared" si="1"/>
        <v>1333.3333333333333</v>
      </c>
      <c r="C37" s="157">
        <f t="shared" si="2"/>
        <v>6400</v>
      </c>
      <c r="D37" s="158">
        <f t="shared" si="0"/>
        <v>1280</v>
      </c>
      <c r="E37" s="164">
        <f>IF('Total income package'!$A$10=TRUE,SUM(EITC!C37:D37),0)</f>
        <v>7680</v>
      </c>
      <c r="F37" s="6"/>
      <c r="G37" s="6"/>
      <c r="H37" s="7"/>
      <c r="I37" s="47"/>
      <c r="J37" s="3"/>
      <c r="K37" s="7"/>
      <c r="M37" s="7"/>
    </row>
    <row r="38" spans="1:13" x14ac:dyDescent="0.3">
      <c r="A38" s="3">
        <v>16500</v>
      </c>
      <c r="B38" s="4">
        <f t="shared" si="1"/>
        <v>1375</v>
      </c>
      <c r="C38" s="157">
        <f t="shared" si="2"/>
        <v>6600</v>
      </c>
      <c r="D38" s="158">
        <f t="shared" si="0"/>
        <v>1320</v>
      </c>
      <c r="E38" s="164">
        <f>IF('Total income package'!$A$10=TRUE,SUM(EITC!C38:D38),0)</f>
        <v>7920</v>
      </c>
      <c r="F38" s="6"/>
      <c r="G38" s="6"/>
      <c r="H38" s="7"/>
      <c r="I38" s="47"/>
      <c r="J38" s="3"/>
      <c r="K38" s="7"/>
      <c r="M38" s="7"/>
    </row>
    <row r="39" spans="1:13" x14ac:dyDescent="0.3">
      <c r="A39" s="3">
        <v>17000</v>
      </c>
      <c r="B39" s="4">
        <f t="shared" si="1"/>
        <v>1416.6666666666667</v>
      </c>
      <c r="C39" s="157">
        <f t="shared" si="2"/>
        <v>6800</v>
      </c>
      <c r="D39" s="158">
        <f t="shared" si="0"/>
        <v>1360</v>
      </c>
      <c r="E39" s="164">
        <f>IF('Total income package'!$A$10=TRUE,SUM(EITC!C39:D39),0)</f>
        <v>8160</v>
      </c>
      <c r="F39" s="6"/>
      <c r="G39" s="6"/>
      <c r="H39" s="7"/>
      <c r="I39" s="47"/>
      <c r="J39" s="3"/>
      <c r="K39" s="7"/>
      <c r="M39" s="7"/>
    </row>
    <row r="40" spans="1:13" x14ac:dyDescent="0.3">
      <c r="A40" s="3">
        <v>17500</v>
      </c>
      <c r="B40" s="4">
        <f t="shared" si="1"/>
        <v>1458.3333333333333</v>
      </c>
      <c r="C40" s="157">
        <f>MAX(0,IF(A40&gt;$F$2,0,IF(AND(A40&lt;$F$2,A40&gt;=$K$2),$G$2-((A40-$K$2-1)*$I$2),IF(AND(A40&lt;$K$2,A40&gt;=$J$2),$G$2,IF(A40&lt;$J$2,A40*$H$2,0)))))</f>
        <v>7000</v>
      </c>
      <c r="D40" s="158">
        <f t="shared" si="0"/>
        <v>1400</v>
      </c>
      <c r="E40" s="164">
        <f>IF('Total income package'!$A$10=TRUE,SUM(EITC!C40:D40),0)</f>
        <v>8400</v>
      </c>
      <c r="F40" s="6"/>
      <c r="G40" s="6"/>
      <c r="H40" s="7"/>
      <c r="I40" s="47"/>
      <c r="J40" s="3"/>
      <c r="K40" s="7"/>
      <c r="M40" s="7"/>
    </row>
    <row r="41" spans="1:13" x14ac:dyDescent="0.3">
      <c r="A41" s="3">
        <v>18000</v>
      </c>
      <c r="B41" s="4">
        <f t="shared" si="1"/>
        <v>1500</v>
      </c>
      <c r="C41" s="157">
        <f t="shared" si="2"/>
        <v>7200</v>
      </c>
      <c r="D41" s="158">
        <f t="shared" si="0"/>
        <v>1440</v>
      </c>
      <c r="E41" s="164">
        <f>IF('Total income package'!$A$10=TRUE,SUM(EITC!C41:D41),0)</f>
        <v>8640</v>
      </c>
      <c r="F41" s="6"/>
      <c r="G41" s="6"/>
      <c r="H41" s="7"/>
      <c r="I41" s="47"/>
      <c r="J41" s="3"/>
      <c r="K41" s="7"/>
      <c r="M41" s="7"/>
    </row>
    <row r="42" spans="1:13" x14ac:dyDescent="0.3">
      <c r="A42" s="3">
        <v>18500</v>
      </c>
      <c r="B42" s="4">
        <f t="shared" si="1"/>
        <v>1541.6666666666667</v>
      </c>
      <c r="C42" s="157">
        <f t="shared" si="2"/>
        <v>7316</v>
      </c>
      <c r="D42" s="158">
        <f t="shared" si="0"/>
        <v>1463.2</v>
      </c>
      <c r="E42" s="164">
        <f>IF('Total income package'!$A$10=TRUE,SUM(EITC!C42:D42),0)</f>
        <v>8779.2000000000007</v>
      </c>
      <c r="F42" s="6"/>
      <c r="G42" s="6"/>
      <c r="H42" s="7"/>
      <c r="I42" s="47"/>
      <c r="J42" s="3"/>
      <c r="K42" s="7"/>
      <c r="M42" s="7"/>
    </row>
    <row r="43" spans="1:13" x14ac:dyDescent="0.3">
      <c r="A43" s="3">
        <v>19000</v>
      </c>
      <c r="B43" s="4">
        <f t="shared" si="1"/>
        <v>1583.3333333333333</v>
      </c>
      <c r="C43" s="157">
        <f>MAX(0,IF(A43&gt;$F$2,0,IF(AND(A43&lt;$F$2,A43&gt;=$K$2),$G$2-((A43-$K$2-1)*$I$2),IF(AND(A43&lt;$K$2,A43&gt;=$J$2),$G$2,IF(A43&lt;$J$2,A43*$H$2,0)))))</f>
        <v>7316</v>
      </c>
      <c r="D43" s="158">
        <f t="shared" si="0"/>
        <v>1463.2</v>
      </c>
      <c r="E43" s="164">
        <f>IF('Total income package'!$A$10=TRUE,SUM(EITC!C43:D43),0)</f>
        <v>8779.2000000000007</v>
      </c>
      <c r="F43" s="6"/>
      <c r="G43" s="6"/>
      <c r="H43" s="7"/>
      <c r="I43" s="47"/>
      <c r="J43" s="3"/>
      <c r="K43" s="7"/>
      <c r="M43" s="7"/>
    </row>
    <row r="44" spans="1:13" x14ac:dyDescent="0.3">
      <c r="A44" s="3">
        <v>19500</v>
      </c>
      <c r="B44" s="4">
        <f t="shared" si="1"/>
        <v>1625</v>
      </c>
      <c r="C44" s="157">
        <f t="shared" si="2"/>
        <v>7316</v>
      </c>
      <c r="D44" s="158">
        <f t="shared" si="0"/>
        <v>1463.2</v>
      </c>
      <c r="E44" s="164">
        <f>IF('Total income package'!$A$10=TRUE,SUM(EITC!C44:D44),0)</f>
        <v>8779.2000000000007</v>
      </c>
      <c r="F44" s="6"/>
      <c r="G44" s="6"/>
      <c r="H44" s="7"/>
      <c r="I44" s="47"/>
      <c r="J44" s="3"/>
      <c r="K44" s="7"/>
      <c r="M44" s="7"/>
    </row>
    <row r="45" spans="1:13" x14ac:dyDescent="0.3">
      <c r="A45" s="3">
        <v>20000</v>
      </c>
      <c r="B45" s="4">
        <f t="shared" si="1"/>
        <v>1666.6666666666667</v>
      </c>
      <c r="C45" s="157">
        <f t="shared" si="2"/>
        <v>7316</v>
      </c>
      <c r="D45" s="158">
        <f t="shared" si="0"/>
        <v>1463.2</v>
      </c>
      <c r="E45" s="164">
        <f>IF('Total income package'!$A$10=TRUE,SUM(EITC!C45:D45),0)</f>
        <v>8779.2000000000007</v>
      </c>
      <c r="F45" s="6"/>
      <c r="G45" s="6"/>
      <c r="H45" s="7"/>
      <c r="I45" s="47"/>
      <c r="J45" s="3"/>
      <c r="M45" s="7"/>
    </row>
    <row r="46" spans="1:13" x14ac:dyDescent="0.3">
      <c r="A46" s="3">
        <v>20500</v>
      </c>
      <c r="B46" s="4">
        <f t="shared" si="1"/>
        <v>1708.3333333333333</v>
      </c>
      <c r="C46" s="157">
        <f t="shared" si="2"/>
        <v>7316</v>
      </c>
      <c r="D46" s="158">
        <f t="shared" si="0"/>
        <v>1463.2</v>
      </c>
      <c r="E46" s="164">
        <f>IF('Total income package'!$A$10=TRUE,SUM(EITC!C46:D46),0)</f>
        <v>8779.2000000000007</v>
      </c>
      <c r="F46" s="6"/>
      <c r="G46" s="6"/>
      <c r="H46" s="7"/>
      <c r="I46" s="47"/>
      <c r="J46" s="3"/>
      <c r="M46" s="7"/>
    </row>
    <row r="47" spans="1:13" x14ac:dyDescent="0.3">
      <c r="A47" s="3">
        <v>21000</v>
      </c>
      <c r="B47" s="4">
        <f t="shared" si="1"/>
        <v>1750</v>
      </c>
      <c r="C47" s="157">
        <f t="shared" si="2"/>
        <v>7316</v>
      </c>
      <c r="D47" s="158">
        <f t="shared" si="0"/>
        <v>1463.2</v>
      </c>
      <c r="E47" s="164">
        <f>IF('Total income package'!$A$10=TRUE,SUM(EITC!C47:D47),0)</f>
        <v>8779.2000000000007</v>
      </c>
      <c r="F47" s="6"/>
      <c r="G47" s="6"/>
      <c r="H47" s="7"/>
      <c r="I47" s="47"/>
      <c r="J47" s="3"/>
      <c r="M47" s="7"/>
    </row>
    <row r="48" spans="1:13" x14ac:dyDescent="0.3">
      <c r="A48" s="3">
        <v>21500</v>
      </c>
      <c r="B48" s="4">
        <f t="shared" si="1"/>
        <v>1791.6666666666667</v>
      </c>
      <c r="C48" s="157">
        <f t="shared" si="2"/>
        <v>7316</v>
      </c>
      <c r="D48" s="158">
        <f t="shared" si="0"/>
        <v>1463.2</v>
      </c>
      <c r="E48" s="164">
        <f>IF('Total income package'!$A$10=TRUE,SUM(EITC!C48:D48),0)</f>
        <v>8779.2000000000007</v>
      </c>
      <c r="F48" s="6"/>
      <c r="G48" s="6"/>
      <c r="H48" s="7"/>
      <c r="I48" s="47"/>
      <c r="J48" s="3"/>
      <c r="M48" s="7"/>
    </row>
    <row r="49" spans="1:13" x14ac:dyDescent="0.3">
      <c r="A49" s="3">
        <v>22000</v>
      </c>
      <c r="B49" s="4">
        <f t="shared" si="1"/>
        <v>1833.3333333333333</v>
      </c>
      <c r="C49" s="157">
        <f t="shared" si="2"/>
        <v>7316</v>
      </c>
      <c r="D49" s="158">
        <f t="shared" si="0"/>
        <v>1463.2</v>
      </c>
      <c r="E49" s="164">
        <f>IF('Total income package'!$A$10=TRUE,SUM(EITC!C49:D49),0)</f>
        <v>8779.2000000000007</v>
      </c>
      <c r="F49" s="6"/>
      <c r="G49" s="6"/>
      <c r="H49" s="7"/>
      <c r="I49" s="47"/>
      <c r="J49" s="3"/>
      <c r="M49" s="7"/>
    </row>
    <row r="50" spans="1:13" x14ac:dyDescent="0.3">
      <c r="A50" s="3">
        <v>22500</v>
      </c>
      <c r="B50" s="4">
        <f t="shared" si="1"/>
        <v>1875</v>
      </c>
      <c r="C50" s="157">
        <f t="shared" si="2"/>
        <v>7316</v>
      </c>
      <c r="D50" s="158">
        <f t="shared" si="0"/>
        <v>1463.2</v>
      </c>
      <c r="E50" s="164">
        <f>IF('Total income package'!$A$10=TRUE,SUM(EITC!C50:D50),0)</f>
        <v>8779.2000000000007</v>
      </c>
      <c r="F50" s="6"/>
      <c r="G50" s="6"/>
      <c r="H50" s="7"/>
      <c r="I50" s="47"/>
      <c r="J50" s="3"/>
      <c r="M50" s="7"/>
    </row>
    <row r="51" spans="1:13" x14ac:dyDescent="0.3">
      <c r="A51" s="3">
        <v>23000</v>
      </c>
      <c r="B51" s="4">
        <f t="shared" si="1"/>
        <v>1916.6666666666667</v>
      </c>
      <c r="C51" s="157">
        <f t="shared" si="2"/>
        <v>7316</v>
      </c>
      <c r="D51" s="158">
        <f t="shared" si="0"/>
        <v>1463.2</v>
      </c>
      <c r="E51" s="164">
        <f>IF('Total income package'!$A$10=TRUE,SUM(EITC!C51:D51),0)</f>
        <v>8779.2000000000007</v>
      </c>
      <c r="F51" s="6"/>
      <c r="G51" s="6"/>
      <c r="H51" s="7"/>
      <c r="I51" s="47"/>
      <c r="J51" s="3"/>
      <c r="M51" s="7"/>
    </row>
    <row r="52" spans="1:13" x14ac:dyDescent="0.3">
      <c r="A52" s="3">
        <v>23500</v>
      </c>
      <c r="B52" s="4">
        <f t="shared" si="1"/>
        <v>1958.3333333333333</v>
      </c>
      <c r="C52" s="157">
        <f t="shared" si="2"/>
        <v>7316</v>
      </c>
      <c r="D52" s="158">
        <f t="shared" si="0"/>
        <v>1463.2</v>
      </c>
      <c r="E52" s="164">
        <f>IF('Total income package'!$A$10=TRUE,SUM(EITC!C52:D52),0)</f>
        <v>8779.2000000000007</v>
      </c>
      <c r="F52" s="6"/>
      <c r="G52" s="6"/>
      <c r="H52" s="7"/>
      <c r="I52" s="47"/>
      <c r="J52" s="3"/>
      <c r="M52" s="7"/>
    </row>
    <row r="53" spans="1:13" x14ac:dyDescent="0.3">
      <c r="A53" s="3">
        <v>24000</v>
      </c>
      <c r="B53" s="4">
        <f t="shared" si="1"/>
        <v>2000</v>
      </c>
      <c r="C53" s="157">
        <f t="shared" si="2"/>
        <v>7316</v>
      </c>
      <c r="D53" s="158">
        <f t="shared" si="0"/>
        <v>1463.2</v>
      </c>
      <c r="E53" s="164">
        <f>IF('Total income package'!$A$10=TRUE,SUM(EITC!C53:D53),0)</f>
        <v>8779.2000000000007</v>
      </c>
      <c r="F53" s="6"/>
      <c r="G53" s="6"/>
      <c r="H53" s="7"/>
      <c r="I53" s="47"/>
      <c r="J53" s="3"/>
      <c r="M53" s="7"/>
    </row>
    <row r="54" spans="1:13" x14ac:dyDescent="0.3">
      <c r="A54" s="3">
        <v>24500</v>
      </c>
      <c r="B54" s="4">
        <f t="shared" si="1"/>
        <v>2041.6666666666667</v>
      </c>
      <c r="C54" s="157">
        <f t="shared" si="2"/>
        <v>7316</v>
      </c>
      <c r="D54" s="158">
        <f t="shared" si="0"/>
        <v>1463.2</v>
      </c>
      <c r="E54" s="164">
        <f>IF('Total income package'!$A$10=TRUE,SUM(EITC!C54:D54),0)</f>
        <v>8779.2000000000007</v>
      </c>
      <c r="F54" s="6"/>
      <c r="G54" s="6"/>
      <c r="H54" s="7"/>
      <c r="I54" s="47"/>
      <c r="J54" s="3"/>
      <c r="M54" s="7"/>
    </row>
    <row r="55" spans="1:13" x14ac:dyDescent="0.3">
      <c r="A55" s="3">
        <v>25000</v>
      </c>
      <c r="B55" s="4">
        <f t="shared" si="1"/>
        <v>2083.3333333333335</v>
      </c>
      <c r="C55" s="157">
        <f>MAX(0,IF(A55&gt;$F$2,0,IF(AND(A55&lt;$F$2,A55&gt;=$K$2),$G$2-((A55-$K$2-1)*$I$2),IF(AND(A55&lt;$K$2,A55&gt;=$J$2),$G$2,IF(A55&lt;$J$2,A55*$H$2,0)))))</f>
        <v>7316</v>
      </c>
      <c r="D55" s="158">
        <f t="shared" si="0"/>
        <v>1463.2</v>
      </c>
      <c r="E55" s="164">
        <f>IF('Total income package'!$A$10=TRUE,SUM(EITC!C55:D55),0)</f>
        <v>8779.2000000000007</v>
      </c>
      <c r="F55" s="6"/>
      <c r="G55" s="6"/>
      <c r="H55" s="7"/>
      <c r="I55" s="47"/>
      <c r="J55" s="3"/>
      <c r="M55" s="7"/>
    </row>
    <row r="56" spans="1:13" x14ac:dyDescent="0.3">
      <c r="A56" s="3">
        <v>25500</v>
      </c>
      <c r="B56" s="4">
        <f t="shared" si="1"/>
        <v>2125</v>
      </c>
      <c r="C56" s="157">
        <f t="shared" si="2"/>
        <v>7316</v>
      </c>
      <c r="D56" s="158">
        <f t="shared" si="0"/>
        <v>1463.2</v>
      </c>
      <c r="E56" s="164">
        <f>IF('Total income package'!$A$10=TRUE,SUM(EITC!C56:D56),0)</f>
        <v>8779.2000000000007</v>
      </c>
      <c r="F56" s="6"/>
      <c r="G56" s="6"/>
      <c r="H56" s="7"/>
      <c r="I56" s="47"/>
      <c r="J56" s="3"/>
      <c r="M56" s="7"/>
    </row>
    <row r="57" spans="1:13" x14ac:dyDescent="0.3">
      <c r="A57" s="3">
        <v>26000</v>
      </c>
      <c r="B57" s="4">
        <f t="shared" si="1"/>
        <v>2166.6666666666665</v>
      </c>
      <c r="C57" s="157">
        <f t="shared" si="2"/>
        <v>7316</v>
      </c>
      <c r="D57" s="158">
        <f t="shared" si="0"/>
        <v>1463.2</v>
      </c>
      <c r="E57" s="164">
        <f>IF('Total income package'!$A$10=TRUE,SUM(EITC!C57:D57),0)</f>
        <v>8779.2000000000007</v>
      </c>
      <c r="F57" s="6"/>
      <c r="G57" s="6"/>
      <c r="H57" s="7"/>
      <c r="I57" s="47"/>
      <c r="J57" s="3"/>
      <c r="M57" s="7"/>
    </row>
    <row r="58" spans="1:13" x14ac:dyDescent="0.3">
      <c r="A58" s="3">
        <v>26500</v>
      </c>
      <c r="B58" s="4">
        <f t="shared" si="1"/>
        <v>2208.3333333333335</v>
      </c>
      <c r="C58" s="157">
        <f t="shared" si="2"/>
        <v>7316</v>
      </c>
      <c r="D58" s="158">
        <f t="shared" si="0"/>
        <v>1463.2</v>
      </c>
      <c r="E58" s="164">
        <f>IF('Total income package'!$A$10=TRUE,SUM(EITC!C58:D58),0)</f>
        <v>8779.2000000000007</v>
      </c>
      <c r="F58" s="6"/>
      <c r="G58" s="6"/>
      <c r="H58" s="7"/>
      <c r="I58" s="47"/>
      <c r="J58" s="3"/>
      <c r="M58" s="7"/>
    </row>
    <row r="59" spans="1:13" x14ac:dyDescent="0.3">
      <c r="A59" s="3">
        <v>27000</v>
      </c>
      <c r="B59" s="4">
        <f t="shared" si="1"/>
        <v>2250</v>
      </c>
      <c r="C59" s="157">
        <f t="shared" si="2"/>
        <v>7316</v>
      </c>
      <c r="D59" s="158">
        <f t="shared" si="0"/>
        <v>1463.2</v>
      </c>
      <c r="E59" s="164">
        <f>IF('Total income package'!$A$10=TRUE,SUM(EITC!C59:D59),0)</f>
        <v>8779.2000000000007</v>
      </c>
      <c r="F59" s="6"/>
      <c r="G59" s="6"/>
      <c r="H59" s="7"/>
      <c r="I59" s="47"/>
      <c r="J59" s="3"/>
      <c r="M59" s="7"/>
    </row>
    <row r="60" spans="1:13" x14ac:dyDescent="0.3">
      <c r="A60" s="3">
        <v>27500</v>
      </c>
      <c r="B60" s="4">
        <f t="shared" si="1"/>
        <v>2291.6666666666665</v>
      </c>
      <c r="C60" s="157">
        <f t="shared" si="2"/>
        <v>7316</v>
      </c>
      <c r="D60" s="158">
        <f t="shared" si="0"/>
        <v>1463.2</v>
      </c>
      <c r="E60" s="164">
        <f>IF('Total income package'!$A$10=TRUE,SUM(EITC!C60:D60),0)</f>
        <v>8779.2000000000007</v>
      </c>
      <c r="F60" s="6"/>
      <c r="G60" s="6"/>
      <c r="H60" s="7"/>
      <c r="I60" s="47"/>
      <c r="J60" s="3"/>
      <c r="M60" s="7"/>
    </row>
    <row r="61" spans="1:13" x14ac:dyDescent="0.3">
      <c r="A61" s="3">
        <v>28000</v>
      </c>
      <c r="B61" s="4">
        <f t="shared" si="1"/>
        <v>2333.3333333333335</v>
      </c>
      <c r="C61" s="157">
        <f t="shared" si="2"/>
        <v>7316</v>
      </c>
      <c r="D61" s="158">
        <f t="shared" si="0"/>
        <v>1463.2</v>
      </c>
      <c r="E61" s="164">
        <f>IF('Total income package'!$A$10=TRUE,SUM(EITC!C61:D61),0)</f>
        <v>8779.2000000000007</v>
      </c>
      <c r="F61" s="6"/>
      <c r="G61" s="6"/>
      <c r="H61" s="7"/>
      <c r="I61" s="47"/>
      <c r="J61" s="3"/>
      <c r="M61" s="7"/>
    </row>
    <row r="62" spans="1:13" x14ac:dyDescent="0.3">
      <c r="A62" s="3">
        <v>28500</v>
      </c>
      <c r="B62" s="4">
        <f t="shared" si="1"/>
        <v>2375</v>
      </c>
      <c r="C62" s="157">
        <f t="shared" si="2"/>
        <v>7316</v>
      </c>
      <c r="D62" s="158">
        <f t="shared" si="0"/>
        <v>1463.2</v>
      </c>
      <c r="E62" s="164">
        <f>IF('Total income package'!$A$10=TRUE,SUM(EITC!C62:D62),0)</f>
        <v>8779.2000000000007</v>
      </c>
      <c r="F62" s="6"/>
      <c r="G62" s="6"/>
      <c r="H62" s="7"/>
      <c r="I62" s="47"/>
      <c r="J62" s="3"/>
      <c r="M62" s="7"/>
    </row>
    <row r="63" spans="1:13" x14ac:dyDescent="0.3">
      <c r="A63" s="3">
        <v>29000</v>
      </c>
      <c r="B63" s="4">
        <f t="shared" si="1"/>
        <v>2416.6666666666665</v>
      </c>
      <c r="C63" s="157">
        <f t="shared" si="2"/>
        <v>7316</v>
      </c>
      <c r="D63" s="158">
        <f t="shared" si="0"/>
        <v>1463.2</v>
      </c>
      <c r="E63" s="164">
        <f>IF('Total income package'!$A$10=TRUE,SUM(EITC!C63:D63),0)</f>
        <v>8779.2000000000007</v>
      </c>
      <c r="F63" s="6"/>
      <c r="G63" s="6"/>
      <c r="H63" s="7"/>
      <c r="J63" s="3"/>
    </row>
    <row r="64" spans="1:13" x14ac:dyDescent="0.3">
      <c r="A64" s="3">
        <v>29500</v>
      </c>
      <c r="B64" s="4">
        <f t="shared" si="1"/>
        <v>2458.3333333333335</v>
      </c>
      <c r="C64" s="157">
        <f t="shared" si="2"/>
        <v>7316</v>
      </c>
      <c r="D64" s="158">
        <f t="shared" si="0"/>
        <v>1463.2</v>
      </c>
      <c r="E64" s="164">
        <f>IF('Total income package'!$A$10=TRUE,SUM(EITC!C64:D64),0)</f>
        <v>8779.2000000000007</v>
      </c>
      <c r="F64" s="6"/>
      <c r="G64" s="6"/>
      <c r="H64" s="7"/>
      <c r="J64" s="3"/>
    </row>
    <row r="65" spans="1:10" x14ac:dyDescent="0.3">
      <c r="A65" s="3">
        <v>30000</v>
      </c>
      <c r="B65" s="4">
        <f t="shared" si="1"/>
        <v>2500</v>
      </c>
      <c r="C65" s="157">
        <f t="shared" si="2"/>
        <v>7316</v>
      </c>
      <c r="D65" s="158">
        <f t="shared" si="0"/>
        <v>1463.2</v>
      </c>
      <c r="E65" s="164">
        <f>IF('Total income package'!$A$10=TRUE,SUM(EITC!C65:D65),0)</f>
        <v>8779.2000000000007</v>
      </c>
      <c r="F65" s="6"/>
      <c r="G65" s="6"/>
      <c r="H65" s="7"/>
      <c r="J65" s="3"/>
    </row>
    <row r="66" spans="1:10" x14ac:dyDescent="0.3">
      <c r="A66" s="3">
        <v>30500</v>
      </c>
      <c r="B66" s="4">
        <f t="shared" si="1"/>
        <v>2541.6666666666665</v>
      </c>
      <c r="C66" s="157">
        <f t="shared" si="2"/>
        <v>7316</v>
      </c>
      <c r="D66" s="158">
        <f t="shared" si="0"/>
        <v>1463.2</v>
      </c>
      <c r="E66" s="164">
        <f>IF('Total income package'!$A$10=TRUE,SUM(EITC!C66:D66),0)</f>
        <v>8779.2000000000007</v>
      </c>
      <c r="F66" s="6"/>
      <c r="G66" s="6"/>
      <c r="H66" s="7"/>
      <c r="J66" s="3"/>
    </row>
    <row r="67" spans="1:10" x14ac:dyDescent="0.3">
      <c r="A67" s="3">
        <v>31000</v>
      </c>
      <c r="B67" s="4">
        <f t="shared" si="1"/>
        <v>2583.3333333333335</v>
      </c>
      <c r="C67" s="157">
        <f t="shared" si="2"/>
        <v>7316</v>
      </c>
      <c r="D67" s="158">
        <f t="shared" si="0"/>
        <v>1463.2</v>
      </c>
      <c r="E67" s="164">
        <f>IF('Total income package'!$A$10=TRUE,SUM(EITC!C67:D67),0)</f>
        <v>8779.2000000000007</v>
      </c>
      <c r="F67" s="6"/>
      <c r="G67" s="6"/>
      <c r="H67" s="7"/>
      <c r="J67" s="3"/>
    </row>
    <row r="68" spans="1:10" x14ac:dyDescent="0.3">
      <c r="A68" s="3">
        <v>31500</v>
      </c>
      <c r="B68" s="4">
        <f t="shared" si="1"/>
        <v>2625</v>
      </c>
      <c r="C68" s="157">
        <f t="shared" si="2"/>
        <v>7244.6066000000001</v>
      </c>
      <c r="D68" s="158">
        <f t="shared" si="0"/>
        <v>1448.9213200000002</v>
      </c>
      <c r="E68" s="164">
        <f>IF('Total income package'!$A$10=TRUE,SUM(EITC!C68:D68),0)</f>
        <v>8693.5279200000004</v>
      </c>
      <c r="F68" s="6"/>
      <c r="G68" s="6"/>
      <c r="H68" s="7"/>
      <c r="J68" s="3"/>
    </row>
    <row r="69" spans="1:10" x14ac:dyDescent="0.3">
      <c r="A69" s="3">
        <v>32000</v>
      </c>
      <c r="B69" s="4">
        <f t="shared" si="1"/>
        <v>2666.6666666666665</v>
      </c>
      <c r="C69" s="157">
        <f t="shared" si="2"/>
        <v>7139.3065999999999</v>
      </c>
      <c r="D69" s="158">
        <f t="shared" si="0"/>
        <v>1427.86132</v>
      </c>
      <c r="E69" s="164">
        <f>IF('Total income package'!$A$10=TRUE,SUM(EITC!C69:D69),0)</f>
        <v>8567.1679199999999</v>
      </c>
      <c r="F69" s="6"/>
      <c r="G69" s="6"/>
      <c r="H69" s="7"/>
      <c r="J69" s="3"/>
    </row>
    <row r="70" spans="1:10" x14ac:dyDescent="0.3">
      <c r="A70" s="3">
        <v>32500</v>
      </c>
      <c r="B70" s="4">
        <f t="shared" si="1"/>
        <v>2708.3333333333335</v>
      </c>
      <c r="C70" s="157">
        <f t="shared" si="2"/>
        <v>7034.0065999999997</v>
      </c>
      <c r="D70" s="158">
        <f t="shared" ref="D70:D133" si="3">C70*0.2</f>
        <v>1406.80132</v>
      </c>
      <c r="E70" s="164">
        <f>IF('Total income package'!$A$10=TRUE,SUM(EITC!C70:D70),0)</f>
        <v>8440.8079199999993</v>
      </c>
      <c r="F70" s="6"/>
      <c r="G70" s="6"/>
      <c r="H70" s="7"/>
      <c r="J70" s="3"/>
    </row>
    <row r="71" spans="1:10" x14ac:dyDescent="0.3">
      <c r="A71" s="3">
        <v>33000</v>
      </c>
      <c r="B71" s="4">
        <f t="shared" si="1"/>
        <v>2750</v>
      </c>
      <c r="C71" s="157">
        <f>MAX(0,IF(A71&gt;$F$2,0,IF(AND(A71&lt;$F$2,A71&gt;=$K$2),$G$2-((A71-$K$2-1)*$I$2),IF(AND(A71&lt;$K$2,A71&gt;=$J$2),$G$2,IF(A71&lt;$J$2,A71*$H$2,0)))))</f>
        <v>6928.7065999999995</v>
      </c>
      <c r="D71" s="158">
        <f t="shared" si="3"/>
        <v>1385.7413200000001</v>
      </c>
      <c r="E71" s="164">
        <f>IF('Total income package'!$A$10=TRUE,SUM(EITC!C71:D71),0)</f>
        <v>8314.4479199999987</v>
      </c>
      <c r="F71" s="6"/>
      <c r="G71" s="6"/>
      <c r="H71" s="7"/>
      <c r="J71" s="3"/>
    </row>
    <row r="72" spans="1:10" x14ac:dyDescent="0.3">
      <c r="A72" s="3">
        <v>33500</v>
      </c>
      <c r="B72" s="4">
        <f t="shared" ref="B72:B135" si="4">A72/12</f>
        <v>2791.6666666666665</v>
      </c>
      <c r="C72" s="157">
        <f>MAX(0,IF(A72&gt;$F$2,0,IF(AND(A72&lt;$F$2,A72&gt;=$K$2),$G$2-((A72-$K$2-1)*$I$2),IF(AND(A72&lt;$K$2,A72&gt;=$J$2),$G$2,IF(A72&lt;$J$2,A72*$H$2,0)))))</f>
        <v>6823.4066000000003</v>
      </c>
      <c r="D72" s="158">
        <f t="shared" si="3"/>
        <v>1364.6813200000001</v>
      </c>
      <c r="E72" s="164">
        <f>IF('Total income package'!$A$10=TRUE,SUM(EITC!C72:D72),0)</f>
        <v>8188.0879199999999</v>
      </c>
      <c r="F72" s="6"/>
      <c r="G72" s="6"/>
      <c r="H72" s="7"/>
      <c r="J72" s="3"/>
    </row>
    <row r="73" spans="1:10" x14ac:dyDescent="0.3">
      <c r="A73" s="3">
        <v>34000</v>
      </c>
      <c r="B73" s="4">
        <f t="shared" si="4"/>
        <v>2833.3333333333335</v>
      </c>
      <c r="C73" s="157">
        <f>MAX(0,IF(A73&gt;$F$2,0,IF(AND(A73&lt;$F$2,A73&gt;=$K$2),$G$2-((A73-$K$2-1)*$I$2),IF(AND(A73&lt;$K$2,A73&gt;=$J$2),$G$2,IF(A73&lt;$J$2,A73*$H$2,0)))))</f>
        <v>6718.1066000000001</v>
      </c>
      <c r="D73" s="158">
        <f t="shared" si="3"/>
        <v>1343.6213200000002</v>
      </c>
      <c r="E73" s="164">
        <f>IF('Total income package'!$A$10=TRUE,SUM(EITC!C73:D73),0)</f>
        <v>8061.7279200000003</v>
      </c>
      <c r="F73" s="6"/>
      <c r="G73" s="6"/>
      <c r="H73" s="7"/>
      <c r="J73" s="3"/>
    </row>
    <row r="74" spans="1:10" x14ac:dyDescent="0.3">
      <c r="A74" s="3">
        <v>34500</v>
      </c>
      <c r="B74" s="4">
        <f t="shared" si="4"/>
        <v>2875</v>
      </c>
      <c r="C74" s="157">
        <f t="shared" ref="C74:C104" si="5">MAX(0,IF(A74&gt;$F$2,0,IF(AND(A74&lt;$F$2,A74&gt;=$K$2),$G$2-((A74-$K$2-1)*$I$2),IF(AND(A74&lt;$K$2,A74&gt;=$J$2),$G$2,IF(A74&lt;$J$2,A74*$H$2,0)))))</f>
        <v>6612.8065999999999</v>
      </c>
      <c r="D74" s="158">
        <f t="shared" si="3"/>
        <v>1322.56132</v>
      </c>
      <c r="E74" s="164">
        <f>IF('Total income package'!$A$10=TRUE,SUM(EITC!C74:D74),0)</f>
        <v>7935.3679199999997</v>
      </c>
      <c r="F74" s="6"/>
      <c r="G74" s="6"/>
      <c r="H74" s="7"/>
      <c r="J74" s="3"/>
    </row>
    <row r="75" spans="1:10" x14ac:dyDescent="0.3">
      <c r="A75" s="3">
        <v>35000</v>
      </c>
      <c r="B75" s="4">
        <f t="shared" si="4"/>
        <v>2916.6666666666665</v>
      </c>
      <c r="C75" s="157">
        <f t="shared" si="5"/>
        <v>6507.5065999999997</v>
      </c>
      <c r="D75" s="158">
        <f t="shared" si="3"/>
        <v>1301.5013200000001</v>
      </c>
      <c r="E75" s="164">
        <f>IF('Total income package'!$A$10=TRUE,SUM(EITC!C75:D75),0)</f>
        <v>7809.00792</v>
      </c>
      <c r="F75" s="6"/>
      <c r="G75" s="6"/>
      <c r="H75" s="7"/>
      <c r="J75" s="3"/>
    </row>
    <row r="76" spans="1:10" x14ac:dyDescent="0.3">
      <c r="A76" s="3">
        <v>35500</v>
      </c>
      <c r="B76" s="4">
        <f t="shared" si="4"/>
        <v>2958.3333333333335</v>
      </c>
      <c r="C76" s="157">
        <f t="shared" si="5"/>
        <v>6402.2065999999995</v>
      </c>
      <c r="D76" s="158">
        <f t="shared" si="3"/>
        <v>1280.4413199999999</v>
      </c>
      <c r="E76" s="164">
        <f>IF('Total income package'!$A$10=TRUE,SUM(EITC!C76:D76),0)</f>
        <v>7682.6479199999994</v>
      </c>
      <c r="F76" s="6"/>
      <c r="G76" s="6"/>
      <c r="H76" s="7"/>
      <c r="J76" s="3"/>
    </row>
    <row r="77" spans="1:10" x14ac:dyDescent="0.3">
      <c r="A77" s="3">
        <v>36000</v>
      </c>
      <c r="B77" s="4">
        <f t="shared" si="4"/>
        <v>3000</v>
      </c>
      <c r="C77" s="157">
        <f t="shared" si="5"/>
        <v>6296.9066000000003</v>
      </c>
      <c r="D77" s="158">
        <f t="shared" si="3"/>
        <v>1259.3813200000002</v>
      </c>
      <c r="E77" s="164">
        <f>IF('Total income package'!$A$10=TRUE,SUM(EITC!C77:D77),0)</f>
        <v>7556.2879200000007</v>
      </c>
      <c r="F77" s="6"/>
      <c r="G77" s="6"/>
      <c r="H77" s="7"/>
    </row>
    <row r="78" spans="1:10" x14ac:dyDescent="0.3">
      <c r="A78" s="3">
        <v>36500</v>
      </c>
      <c r="B78" s="4">
        <f t="shared" si="4"/>
        <v>3041.6666666666665</v>
      </c>
      <c r="C78" s="157">
        <f t="shared" si="5"/>
        <v>6191.6066000000001</v>
      </c>
      <c r="D78" s="158">
        <f t="shared" si="3"/>
        <v>1238.32132</v>
      </c>
      <c r="E78" s="164">
        <f>IF('Total income package'!$A$10=TRUE,SUM(EITC!C78:D78),0)</f>
        <v>7429.9279200000001</v>
      </c>
      <c r="F78" s="6"/>
      <c r="G78" s="6"/>
      <c r="H78" s="7"/>
    </row>
    <row r="79" spans="1:10" x14ac:dyDescent="0.3">
      <c r="A79" s="3">
        <v>37000</v>
      </c>
      <c r="B79" s="4">
        <f t="shared" si="4"/>
        <v>3083.3333333333335</v>
      </c>
      <c r="C79" s="157">
        <f t="shared" si="5"/>
        <v>6086.3065999999999</v>
      </c>
      <c r="D79" s="158">
        <f t="shared" si="3"/>
        <v>1217.2613200000001</v>
      </c>
      <c r="E79" s="164">
        <f>IF('Total income package'!$A$10=TRUE,SUM(EITC!C79:D79),0)</f>
        <v>7303.5679199999995</v>
      </c>
      <c r="F79" s="6"/>
      <c r="G79" s="6"/>
      <c r="H79" s="7"/>
    </row>
    <row r="80" spans="1:10" x14ac:dyDescent="0.3">
      <c r="A80" s="3">
        <v>37500</v>
      </c>
      <c r="B80" s="4">
        <f t="shared" si="4"/>
        <v>3125</v>
      </c>
      <c r="C80" s="157">
        <f t="shared" si="5"/>
        <v>5981.0065999999997</v>
      </c>
      <c r="D80" s="158">
        <f t="shared" si="3"/>
        <v>1196.2013199999999</v>
      </c>
      <c r="E80" s="164">
        <f>IF('Total income package'!$A$10=TRUE,SUM(EITC!C80:D80),0)</f>
        <v>7177.2079199999998</v>
      </c>
      <c r="F80" s="6"/>
      <c r="G80" s="6"/>
      <c r="H80" s="7"/>
    </row>
    <row r="81" spans="1:8" x14ac:dyDescent="0.3">
      <c r="A81" s="3">
        <v>38000</v>
      </c>
      <c r="B81" s="4">
        <f t="shared" si="4"/>
        <v>3166.6666666666665</v>
      </c>
      <c r="C81" s="157">
        <f t="shared" si="5"/>
        <v>5875.7065999999995</v>
      </c>
      <c r="D81" s="158">
        <f t="shared" si="3"/>
        <v>1175.14132</v>
      </c>
      <c r="E81" s="164">
        <f>IF('Total income package'!$A$10=TRUE,SUM(EITC!C81:D81),0)</f>
        <v>7050.8479199999992</v>
      </c>
      <c r="F81" s="6"/>
      <c r="G81" s="6"/>
      <c r="H81" s="7"/>
    </row>
    <row r="82" spans="1:8" x14ac:dyDescent="0.3">
      <c r="A82" s="3">
        <v>38500</v>
      </c>
      <c r="B82" s="4">
        <f t="shared" si="4"/>
        <v>3208.3333333333335</v>
      </c>
      <c r="C82" s="157">
        <f t="shared" si="5"/>
        <v>5770.4066000000003</v>
      </c>
      <c r="D82" s="158">
        <f t="shared" si="3"/>
        <v>1154.08132</v>
      </c>
      <c r="E82" s="164">
        <f>IF('Total income package'!$A$10=TRUE,SUM(EITC!C82:D82),0)</f>
        <v>6924.4879200000005</v>
      </c>
      <c r="F82" s="6"/>
      <c r="G82" s="6"/>
      <c r="H82" s="7"/>
    </row>
    <row r="83" spans="1:8" x14ac:dyDescent="0.3">
      <c r="A83" s="3">
        <v>39000</v>
      </c>
      <c r="B83" s="4">
        <f t="shared" si="4"/>
        <v>3250</v>
      </c>
      <c r="C83" s="157">
        <f t="shared" si="5"/>
        <v>5665.1066000000001</v>
      </c>
      <c r="D83" s="158">
        <f t="shared" si="3"/>
        <v>1133.0213200000001</v>
      </c>
      <c r="E83" s="164">
        <f>IF('Total income package'!$A$10=TRUE,SUM(EITC!C83:D83),0)</f>
        <v>6798.1279199999999</v>
      </c>
      <c r="F83" s="6"/>
      <c r="G83" s="6"/>
      <c r="H83" s="7"/>
    </row>
    <row r="84" spans="1:8" x14ac:dyDescent="0.3">
      <c r="A84" s="3">
        <v>39500</v>
      </c>
      <c r="B84" s="4">
        <f t="shared" si="4"/>
        <v>3291.6666666666665</v>
      </c>
      <c r="C84" s="157">
        <f t="shared" si="5"/>
        <v>5559.8065999999999</v>
      </c>
      <c r="D84" s="158">
        <f t="shared" si="3"/>
        <v>1111.9613200000001</v>
      </c>
      <c r="E84" s="164">
        <f>IF('Total income package'!$A$10=TRUE,SUM(EITC!C84:D84),0)</f>
        <v>6671.7679200000002</v>
      </c>
      <c r="F84" s="6"/>
      <c r="G84" s="6"/>
      <c r="H84" s="7"/>
    </row>
    <row r="85" spans="1:8" x14ac:dyDescent="0.3">
      <c r="A85" s="3">
        <v>40000</v>
      </c>
      <c r="B85" s="4">
        <f t="shared" si="4"/>
        <v>3333.3333333333335</v>
      </c>
      <c r="C85" s="157">
        <f t="shared" si="5"/>
        <v>5454.5065999999997</v>
      </c>
      <c r="D85" s="158">
        <f t="shared" si="3"/>
        <v>1090.9013199999999</v>
      </c>
      <c r="E85" s="164">
        <f>IF('Total income package'!$A$10=TRUE,SUM(EITC!C85:D85),0)</f>
        <v>6545.4079199999996</v>
      </c>
      <c r="F85" s="6"/>
      <c r="G85" s="6"/>
      <c r="H85" s="7"/>
    </row>
    <row r="86" spans="1:8" x14ac:dyDescent="0.3">
      <c r="A86" s="3">
        <v>40500</v>
      </c>
      <c r="B86" s="4">
        <f t="shared" si="4"/>
        <v>3375</v>
      </c>
      <c r="C86" s="157">
        <f t="shared" si="5"/>
        <v>5349.2065999999995</v>
      </c>
      <c r="D86" s="158">
        <f t="shared" si="3"/>
        <v>1069.84132</v>
      </c>
      <c r="E86" s="164">
        <f>IF('Total income package'!$A$10=TRUE,SUM(EITC!C86:D86),0)</f>
        <v>6419.0479199999991</v>
      </c>
      <c r="F86" s="6"/>
      <c r="G86" s="6"/>
      <c r="H86" s="7"/>
    </row>
    <row r="87" spans="1:8" x14ac:dyDescent="0.3">
      <c r="A87" s="3">
        <v>41000</v>
      </c>
      <c r="B87" s="4">
        <f t="shared" si="4"/>
        <v>3416.6666666666665</v>
      </c>
      <c r="C87" s="157">
        <f t="shared" si="5"/>
        <v>5243.9066000000003</v>
      </c>
      <c r="D87" s="158">
        <f t="shared" si="3"/>
        <v>1048.7813200000001</v>
      </c>
      <c r="E87" s="164">
        <f>IF('Total income package'!$A$10=TRUE,SUM(EITC!C87:D87),0)</f>
        <v>6292.6879200000003</v>
      </c>
      <c r="F87" s="6"/>
      <c r="G87" s="6"/>
      <c r="H87" s="7"/>
    </row>
    <row r="88" spans="1:8" x14ac:dyDescent="0.3">
      <c r="A88" s="3">
        <v>41500</v>
      </c>
      <c r="B88" s="4">
        <f t="shared" si="4"/>
        <v>3458.3333333333335</v>
      </c>
      <c r="C88" s="157">
        <f t="shared" si="5"/>
        <v>5138.6066000000001</v>
      </c>
      <c r="D88" s="158">
        <f t="shared" si="3"/>
        <v>1027.7213200000001</v>
      </c>
      <c r="E88" s="164">
        <f>IF('Total income package'!$A$10=TRUE,SUM(EITC!C88:D88),0)</f>
        <v>6166.3279199999997</v>
      </c>
      <c r="F88" s="6"/>
      <c r="G88" s="6"/>
      <c r="H88" s="7"/>
    </row>
    <row r="89" spans="1:8" x14ac:dyDescent="0.3">
      <c r="A89" s="3">
        <v>42000</v>
      </c>
      <c r="B89" s="4">
        <f t="shared" si="4"/>
        <v>3500</v>
      </c>
      <c r="C89" s="157">
        <f t="shared" si="5"/>
        <v>5033.3065999999999</v>
      </c>
      <c r="D89" s="158">
        <f t="shared" si="3"/>
        <v>1006.66132</v>
      </c>
      <c r="E89" s="164">
        <f>IF('Total income package'!$A$10=TRUE,SUM(EITC!C89:D89),0)</f>
        <v>6039.96792</v>
      </c>
      <c r="F89" s="6"/>
      <c r="G89" s="6"/>
      <c r="H89" s="7"/>
    </row>
    <row r="90" spans="1:8" x14ac:dyDescent="0.3">
      <c r="A90" s="3">
        <v>42500</v>
      </c>
      <c r="B90" s="4">
        <f t="shared" si="4"/>
        <v>3541.6666666666665</v>
      </c>
      <c r="C90" s="157">
        <f t="shared" si="5"/>
        <v>4928.0065999999997</v>
      </c>
      <c r="D90" s="158">
        <f t="shared" si="3"/>
        <v>985.60131999999999</v>
      </c>
      <c r="E90" s="164">
        <f>IF('Total income package'!$A$10=TRUE,SUM(EITC!C90:D90),0)</f>
        <v>5913.6079199999995</v>
      </c>
      <c r="F90" s="6"/>
      <c r="G90" s="6"/>
      <c r="H90" s="7"/>
    </row>
    <row r="91" spans="1:8" x14ac:dyDescent="0.3">
      <c r="A91" s="3">
        <v>43000</v>
      </c>
      <c r="B91" s="4">
        <f t="shared" si="4"/>
        <v>3583.3333333333335</v>
      </c>
      <c r="C91" s="157">
        <f t="shared" si="5"/>
        <v>4822.7065999999995</v>
      </c>
      <c r="D91" s="158">
        <f t="shared" si="3"/>
        <v>964.54131999999993</v>
      </c>
      <c r="E91" s="164">
        <f>IF('Total income package'!$A$10=TRUE,SUM(EITC!C91:D91),0)</f>
        <v>5787.2479199999998</v>
      </c>
      <c r="F91" s="6"/>
      <c r="G91" s="6"/>
      <c r="H91" s="7"/>
    </row>
    <row r="92" spans="1:8" x14ac:dyDescent="0.3">
      <c r="A92" s="3">
        <v>43500</v>
      </c>
      <c r="B92" s="4">
        <f t="shared" si="4"/>
        <v>3625</v>
      </c>
      <c r="C92" s="157">
        <f t="shared" si="5"/>
        <v>4717.4066000000003</v>
      </c>
      <c r="D92" s="158">
        <f t="shared" si="3"/>
        <v>943.4813200000001</v>
      </c>
      <c r="E92" s="164">
        <f>IF('Total income package'!$A$10=TRUE,SUM(EITC!C92:D92),0)</f>
        <v>5660.8879200000001</v>
      </c>
      <c r="F92" s="6"/>
      <c r="G92" s="6"/>
      <c r="H92" s="7"/>
    </row>
    <row r="93" spans="1:8" x14ac:dyDescent="0.3">
      <c r="A93" s="3">
        <v>44000</v>
      </c>
      <c r="B93" s="4">
        <f t="shared" si="4"/>
        <v>3666.6666666666665</v>
      </c>
      <c r="C93" s="157">
        <f t="shared" si="5"/>
        <v>4612.1066000000001</v>
      </c>
      <c r="D93" s="158">
        <f t="shared" si="3"/>
        <v>922.42132000000004</v>
      </c>
      <c r="E93" s="164">
        <f>IF('Total income package'!$A$10=TRUE,SUM(EITC!C93:D93),0)</f>
        <v>5534.5279200000004</v>
      </c>
      <c r="F93" s="6"/>
      <c r="G93" s="6"/>
      <c r="H93" s="7"/>
    </row>
    <row r="94" spans="1:8" x14ac:dyDescent="0.3">
      <c r="A94" s="3">
        <v>44500</v>
      </c>
      <c r="B94" s="4">
        <f t="shared" si="4"/>
        <v>3708.3333333333335</v>
      </c>
      <c r="C94" s="157">
        <f t="shared" si="5"/>
        <v>4506.8065999999999</v>
      </c>
      <c r="D94" s="158">
        <f t="shared" si="3"/>
        <v>901.36131999999998</v>
      </c>
      <c r="E94" s="164">
        <f>IF('Total income package'!$A$10=TRUE,SUM(EITC!C94:D94),0)</f>
        <v>5408.1679199999999</v>
      </c>
      <c r="F94" s="6"/>
      <c r="G94" s="6"/>
      <c r="H94" s="7"/>
    </row>
    <row r="95" spans="1:8" x14ac:dyDescent="0.3">
      <c r="A95" s="3">
        <v>45000</v>
      </c>
      <c r="B95" s="4">
        <f t="shared" si="4"/>
        <v>3750</v>
      </c>
      <c r="C95" s="157">
        <f t="shared" si="5"/>
        <v>4401.5065999999997</v>
      </c>
      <c r="D95" s="158">
        <f t="shared" si="3"/>
        <v>880.30132000000003</v>
      </c>
      <c r="E95" s="164">
        <f>IF('Total income package'!$A$10=TRUE,SUM(EITC!C95:D95),0)</f>
        <v>5281.8079199999993</v>
      </c>
      <c r="F95" s="6"/>
      <c r="G95" s="6"/>
      <c r="H95" s="7"/>
    </row>
    <row r="96" spans="1:8" x14ac:dyDescent="0.3">
      <c r="A96" s="3">
        <v>45500</v>
      </c>
      <c r="B96" s="4">
        <f t="shared" si="4"/>
        <v>3791.6666666666665</v>
      </c>
      <c r="C96" s="157">
        <f t="shared" si="5"/>
        <v>4296.2065999999995</v>
      </c>
      <c r="D96" s="158">
        <f t="shared" si="3"/>
        <v>859.24131999999997</v>
      </c>
      <c r="E96" s="164">
        <f>IF('Total income package'!$A$10=TRUE,SUM(EITC!C96:D96),0)</f>
        <v>5155.4479199999996</v>
      </c>
      <c r="F96" s="6"/>
      <c r="G96" s="6"/>
      <c r="H96" s="7"/>
    </row>
    <row r="97" spans="1:8" x14ac:dyDescent="0.3">
      <c r="A97" s="3">
        <v>46000</v>
      </c>
      <c r="B97" s="4">
        <f t="shared" si="4"/>
        <v>3833.3333333333335</v>
      </c>
      <c r="C97" s="157">
        <f t="shared" si="5"/>
        <v>4190.9066000000003</v>
      </c>
      <c r="D97" s="158">
        <f t="shared" si="3"/>
        <v>838.18132000000014</v>
      </c>
      <c r="E97" s="164">
        <f>IF('Total income package'!$A$10=TRUE,SUM(EITC!C97:D97),0)</f>
        <v>5029.0879199999999</v>
      </c>
      <c r="F97" s="6"/>
      <c r="G97" s="6"/>
      <c r="H97" s="7"/>
    </row>
    <row r="98" spans="1:8" x14ac:dyDescent="0.3">
      <c r="A98" s="3">
        <v>46500</v>
      </c>
      <c r="B98" s="4">
        <f t="shared" si="4"/>
        <v>3875</v>
      </c>
      <c r="C98" s="157">
        <f t="shared" si="5"/>
        <v>4085.6066000000001</v>
      </c>
      <c r="D98" s="158">
        <f t="shared" si="3"/>
        <v>817.12132000000008</v>
      </c>
      <c r="E98" s="164">
        <f>IF('Total income package'!$A$10=TRUE,SUM(EITC!C98:D98),0)</f>
        <v>4902.7279200000003</v>
      </c>
      <c r="F98" s="6"/>
      <c r="G98" s="6"/>
      <c r="H98" s="7"/>
    </row>
    <row r="99" spans="1:8" x14ac:dyDescent="0.3">
      <c r="A99" s="3">
        <v>47000</v>
      </c>
      <c r="B99" s="4">
        <f t="shared" si="4"/>
        <v>3916.6666666666665</v>
      </c>
      <c r="C99" s="157">
        <f>MAX(0,IF(A99&gt;$F$2,0,IF(AND(A99&lt;$F$2,A99&gt;=$K$2),$G$2-((A99-$K$2-1)*$I$2),IF(AND(A99&lt;$K$2,A99&gt;=$J$2),$G$2,IF(A99&lt;$J$2,A99*$H$2,0)))))</f>
        <v>3980.3065999999999</v>
      </c>
      <c r="D99" s="158">
        <f t="shared" si="3"/>
        <v>796.06132000000002</v>
      </c>
      <c r="E99" s="164">
        <f>IF('Total income package'!$A$10=TRUE,SUM(EITC!C99:D99),0)</f>
        <v>4776.3679199999997</v>
      </c>
      <c r="F99" s="6"/>
      <c r="G99" s="6"/>
      <c r="H99" s="7"/>
    </row>
    <row r="100" spans="1:8" x14ac:dyDescent="0.3">
      <c r="A100" s="3">
        <v>47500</v>
      </c>
      <c r="B100" s="4">
        <f t="shared" si="4"/>
        <v>3958.3333333333335</v>
      </c>
      <c r="C100" s="157">
        <f t="shared" si="5"/>
        <v>3875.0065999999997</v>
      </c>
      <c r="D100" s="158">
        <f t="shared" si="3"/>
        <v>775.00131999999996</v>
      </c>
      <c r="E100" s="164">
        <f>IF('Total income package'!$A$10=TRUE,SUM(EITC!C100:D100),0)</f>
        <v>4650.00792</v>
      </c>
      <c r="F100" s="6"/>
      <c r="G100" s="6"/>
      <c r="H100" s="7"/>
    </row>
    <row r="101" spans="1:8" x14ac:dyDescent="0.3">
      <c r="A101" s="3">
        <v>48000</v>
      </c>
      <c r="B101" s="4">
        <f t="shared" si="4"/>
        <v>4000</v>
      </c>
      <c r="C101" s="157">
        <f t="shared" si="5"/>
        <v>3769.7066</v>
      </c>
      <c r="D101" s="158">
        <f t="shared" si="3"/>
        <v>753.94132000000002</v>
      </c>
      <c r="E101" s="164">
        <f>IF('Total income package'!$A$10=TRUE,SUM(EITC!C101:D101),0)</f>
        <v>4523.6479200000003</v>
      </c>
      <c r="F101" s="6"/>
      <c r="G101" s="6"/>
      <c r="H101" s="7"/>
    </row>
    <row r="102" spans="1:8" x14ac:dyDescent="0.3">
      <c r="A102" s="3">
        <v>48500</v>
      </c>
      <c r="B102" s="4">
        <f t="shared" si="4"/>
        <v>4041.6666666666665</v>
      </c>
      <c r="C102" s="157">
        <f t="shared" si="5"/>
        <v>3664.4065999999998</v>
      </c>
      <c r="D102" s="158">
        <f t="shared" si="3"/>
        <v>732.88131999999996</v>
      </c>
      <c r="E102" s="164">
        <f>IF('Total income package'!$A$10=TRUE,SUM(EITC!C102:D102),0)</f>
        <v>4397.2879199999998</v>
      </c>
      <c r="F102" s="6"/>
      <c r="G102" s="6"/>
      <c r="H102" s="7"/>
    </row>
    <row r="103" spans="1:8" x14ac:dyDescent="0.3">
      <c r="A103" s="3">
        <v>49000</v>
      </c>
      <c r="B103" s="4">
        <f t="shared" si="4"/>
        <v>4083.3333333333335</v>
      </c>
      <c r="C103" s="157">
        <f t="shared" si="5"/>
        <v>3559.1065999999996</v>
      </c>
      <c r="D103" s="158">
        <f t="shared" si="3"/>
        <v>711.82132000000001</v>
      </c>
      <c r="E103" s="164">
        <f>IF('Total income package'!$A$10=TRUE,SUM(EITC!C103:D103),0)</f>
        <v>4270.9279200000001</v>
      </c>
      <c r="F103" s="6"/>
      <c r="G103" s="6"/>
      <c r="H103" s="7"/>
    </row>
    <row r="104" spans="1:8" x14ac:dyDescent="0.3">
      <c r="A104" s="3">
        <v>49500</v>
      </c>
      <c r="B104" s="4">
        <f t="shared" si="4"/>
        <v>4125</v>
      </c>
      <c r="C104" s="157">
        <f t="shared" si="5"/>
        <v>3453.8065999999999</v>
      </c>
      <c r="D104" s="158">
        <f t="shared" si="3"/>
        <v>690.76132000000007</v>
      </c>
      <c r="E104" s="164">
        <f>IF('Total income package'!$A$10=TRUE,SUM(EITC!C104:D104),0)</f>
        <v>4144.5679199999995</v>
      </c>
      <c r="F104" s="6"/>
      <c r="G104" s="6"/>
      <c r="H104" s="7"/>
    </row>
    <row r="105" spans="1:8" x14ac:dyDescent="0.3">
      <c r="A105" s="3">
        <v>50000</v>
      </c>
      <c r="B105" s="4">
        <f t="shared" si="4"/>
        <v>4166.666666666667</v>
      </c>
      <c r="C105" s="157">
        <f>MAX(0,IF(A105&gt;$F$2,0,IF(AND(A105&lt;$F$2,A105&gt;=$K$2),$G$2-((A105-$K$2-1)*$I$2),IF(AND(A105&lt;$K$2,A105&gt;=$J$2),$G$2,IF(A105&lt;$J$2,A105*$H$2,0)))))</f>
        <v>3348.5065999999997</v>
      </c>
      <c r="D105" s="158">
        <f t="shared" si="3"/>
        <v>669.70132000000001</v>
      </c>
      <c r="E105" s="164">
        <f>IF('Total income package'!$A$10=TRUE,SUM(EITC!C105:D105),0)</f>
        <v>4018.2079199999998</v>
      </c>
      <c r="F105" s="6"/>
    </row>
    <row r="106" spans="1:8" x14ac:dyDescent="0.3">
      <c r="A106" s="3">
        <v>50500</v>
      </c>
      <c r="B106" s="4">
        <f t="shared" si="4"/>
        <v>4208.333333333333</v>
      </c>
      <c r="C106" s="157">
        <f t="shared" ref="C106:C134" si="6">MAX(0,IF(A106&gt;$F$2,0,IF(AND(A106&lt;$F$2,A106&gt;=$K$2),$G$2-((A106-$K$2-1)*$I$2),IF(AND(A106&lt;$K$2,A106&gt;=$J$2),$G$2,IF(A106&lt;$J$2,A106*$H$2,0)))))</f>
        <v>3243.2066</v>
      </c>
      <c r="D106" s="158">
        <f t="shared" si="3"/>
        <v>648.64132000000006</v>
      </c>
      <c r="E106" s="164">
        <f>IF('Total income package'!$A$10=TRUE,SUM(EITC!C106:D106),0)</f>
        <v>3891.8479200000002</v>
      </c>
      <c r="F106" s="6"/>
    </row>
    <row r="107" spans="1:8" x14ac:dyDescent="0.3">
      <c r="A107" s="3">
        <v>51000</v>
      </c>
      <c r="B107" s="4">
        <f t="shared" si="4"/>
        <v>4250</v>
      </c>
      <c r="C107" s="157">
        <f t="shared" si="6"/>
        <v>3137.9066000000003</v>
      </c>
      <c r="D107" s="158">
        <f t="shared" si="3"/>
        <v>627.58132000000012</v>
      </c>
      <c r="E107" s="164">
        <f>IF('Total income package'!$A$10=TRUE,SUM(EITC!C107:D107),0)</f>
        <v>3765.4879200000005</v>
      </c>
    </row>
    <row r="108" spans="1:8" x14ac:dyDescent="0.3">
      <c r="A108" s="3">
        <v>51500</v>
      </c>
      <c r="B108" s="4">
        <f t="shared" si="4"/>
        <v>4291.666666666667</v>
      </c>
      <c r="C108" s="157">
        <f t="shared" si="6"/>
        <v>3032.6066000000001</v>
      </c>
      <c r="D108" s="158">
        <f t="shared" si="3"/>
        <v>606.52132000000006</v>
      </c>
      <c r="E108" s="164">
        <f>IF('Total income package'!$A$10=TRUE,SUM(EITC!C108:D108),0)</f>
        <v>3639.1279199999999</v>
      </c>
    </row>
    <row r="109" spans="1:8" x14ac:dyDescent="0.3">
      <c r="A109" s="3">
        <v>52000</v>
      </c>
      <c r="B109" s="4">
        <f t="shared" si="4"/>
        <v>4333.333333333333</v>
      </c>
      <c r="C109" s="157">
        <f t="shared" si="6"/>
        <v>2927.3065999999999</v>
      </c>
      <c r="D109" s="158">
        <f t="shared" si="3"/>
        <v>585.46132</v>
      </c>
      <c r="E109" s="164">
        <f>IF('Total income package'!$A$10=TRUE,SUM(EITC!C109:D109),0)</f>
        <v>3512.7679199999998</v>
      </c>
    </row>
    <row r="110" spans="1:8" x14ac:dyDescent="0.3">
      <c r="A110" s="3">
        <v>52500</v>
      </c>
      <c r="B110" s="4">
        <f t="shared" si="4"/>
        <v>4375</v>
      </c>
      <c r="C110" s="157">
        <f t="shared" si="6"/>
        <v>2822.0065999999997</v>
      </c>
      <c r="D110" s="158">
        <f t="shared" si="3"/>
        <v>564.40131999999994</v>
      </c>
      <c r="E110" s="164">
        <f>IF('Total income package'!$A$10=TRUE,SUM(EITC!C110:D110),0)</f>
        <v>3386.4079199999996</v>
      </c>
    </row>
    <row r="111" spans="1:8" x14ac:dyDescent="0.3">
      <c r="A111" s="3">
        <v>53000</v>
      </c>
      <c r="B111" s="4">
        <f t="shared" si="4"/>
        <v>4416.666666666667</v>
      </c>
      <c r="C111" s="157">
        <f t="shared" si="6"/>
        <v>2716.7065999999995</v>
      </c>
      <c r="D111" s="158">
        <f t="shared" si="3"/>
        <v>543.34131999999988</v>
      </c>
      <c r="E111" s="164">
        <f>IF('Total income package'!$A$10=TRUE,SUM(EITC!C111:D111),0)</f>
        <v>3260.0479199999995</v>
      </c>
    </row>
    <row r="112" spans="1:8" x14ac:dyDescent="0.3">
      <c r="A112" s="3">
        <v>53500</v>
      </c>
      <c r="B112" s="4">
        <f t="shared" si="4"/>
        <v>4458.333333333333</v>
      </c>
      <c r="C112" s="157">
        <f t="shared" si="6"/>
        <v>2611.4065999999993</v>
      </c>
      <c r="D112" s="158">
        <f t="shared" si="3"/>
        <v>522.28131999999994</v>
      </c>
      <c r="E112" s="164">
        <f>IF('Total income package'!$A$10=TRUE,SUM(EITC!C112:D112),0)</f>
        <v>3133.6879199999994</v>
      </c>
    </row>
    <row r="113" spans="1:5" x14ac:dyDescent="0.3">
      <c r="A113" s="3">
        <v>54000</v>
      </c>
      <c r="B113" s="4">
        <f t="shared" si="4"/>
        <v>4500</v>
      </c>
      <c r="C113" s="157">
        <f t="shared" si="6"/>
        <v>2506.1066000000001</v>
      </c>
      <c r="D113" s="158">
        <f t="shared" si="3"/>
        <v>501.22132000000005</v>
      </c>
      <c r="E113" s="164">
        <f>IF('Total income package'!$A$10=TRUE,SUM(EITC!C113:D113),0)</f>
        <v>3007.3279200000002</v>
      </c>
    </row>
    <row r="114" spans="1:5" x14ac:dyDescent="0.3">
      <c r="A114" s="3">
        <v>54500</v>
      </c>
      <c r="B114" s="4">
        <f t="shared" si="4"/>
        <v>4541.666666666667</v>
      </c>
      <c r="C114" s="157">
        <f t="shared" si="6"/>
        <v>2400.8065999999999</v>
      </c>
      <c r="D114" s="158">
        <f t="shared" si="3"/>
        <v>480.16131999999999</v>
      </c>
      <c r="E114" s="164">
        <f>IF('Total income package'!$A$10=TRUE,SUM(EITC!C114:D114),0)</f>
        <v>2880.96792</v>
      </c>
    </row>
    <row r="115" spans="1:5" x14ac:dyDescent="0.3">
      <c r="A115" s="3">
        <v>55000</v>
      </c>
      <c r="B115" s="4">
        <f t="shared" si="4"/>
        <v>4583.333333333333</v>
      </c>
      <c r="C115" s="157">
        <f t="shared" si="6"/>
        <v>2295.5065999999997</v>
      </c>
      <c r="D115" s="158">
        <f t="shared" si="3"/>
        <v>459.10131999999999</v>
      </c>
      <c r="E115" s="164">
        <f>IF('Total income package'!$A$10=TRUE,SUM(EITC!C115:D115),0)</f>
        <v>2754.6079199999995</v>
      </c>
    </row>
    <row r="116" spans="1:5" x14ac:dyDescent="0.3">
      <c r="A116" s="3">
        <v>55500</v>
      </c>
      <c r="B116" s="4">
        <f t="shared" si="4"/>
        <v>4625</v>
      </c>
      <c r="C116" s="157">
        <f t="shared" si="6"/>
        <v>2190.2065999999995</v>
      </c>
      <c r="D116" s="158">
        <f t="shared" si="3"/>
        <v>438.04131999999993</v>
      </c>
      <c r="E116" s="164">
        <f>IF('Total income package'!$A$10=TRUE,SUM(EITC!C116:D116),0)</f>
        <v>2628.2479199999993</v>
      </c>
    </row>
    <row r="117" spans="1:5" x14ac:dyDescent="0.3">
      <c r="A117" s="3">
        <v>56000</v>
      </c>
      <c r="B117" s="4">
        <f t="shared" si="4"/>
        <v>4666.666666666667</v>
      </c>
      <c r="C117" s="157">
        <f t="shared" si="6"/>
        <v>2084.9065999999993</v>
      </c>
      <c r="D117" s="158">
        <f t="shared" si="3"/>
        <v>416.98131999999987</v>
      </c>
      <c r="E117" s="164">
        <f>IF('Total income package'!$A$10=TRUE,SUM(EITC!C117:D117),0)</f>
        <v>2501.8879199999992</v>
      </c>
    </row>
    <row r="118" spans="1:5" x14ac:dyDescent="0.3">
      <c r="A118" s="3">
        <v>56500</v>
      </c>
      <c r="B118" s="4">
        <f t="shared" si="4"/>
        <v>4708.333333333333</v>
      </c>
      <c r="C118" s="157">
        <f t="shared" si="6"/>
        <v>1979.6066000000001</v>
      </c>
      <c r="D118" s="158">
        <f t="shared" si="3"/>
        <v>395.92132000000004</v>
      </c>
      <c r="E118" s="164">
        <f>IF('Total income package'!$A$10=TRUE,SUM(EITC!C118:D118),0)</f>
        <v>2375.52792</v>
      </c>
    </row>
    <row r="119" spans="1:5" x14ac:dyDescent="0.3">
      <c r="A119" s="3">
        <v>57000</v>
      </c>
      <c r="B119" s="4">
        <f t="shared" si="4"/>
        <v>4750</v>
      </c>
      <c r="C119" s="157">
        <f t="shared" si="6"/>
        <v>1874.3065999999999</v>
      </c>
      <c r="D119" s="158">
        <f t="shared" si="3"/>
        <v>374.86131999999998</v>
      </c>
      <c r="E119" s="164">
        <f>IF('Total income package'!$A$10=TRUE,SUM(EITC!C119:D119),0)</f>
        <v>2249.1679199999999</v>
      </c>
    </row>
    <row r="120" spans="1:5" x14ac:dyDescent="0.3">
      <c r="A120" s="3">
        <v>57500</v>
      </c>
      <c r="B120" s="4">
        <f t="shared" si="4"/>
        <v>4791.666666666667</v>
      </c>
      <c r="C120" s="157">
        <f t="shared" si="6"/>
        <v>1769.0065999999997</v>
      </c>
      <c r="D120" s="158">
        <f t="shared" si="3"/>
        <v>353.80131999999998</v>
      </c>
      <c r="E120" s="164">
        <f>IF('Total income package'!$A$10=TRUE,SUM(EITC!C120:D120),0)</f>
        <v>2122.8079199999997</v>
      </c>
    </row>
    <row r="121" spans="1:5" x14ac:dyDescent="0.3">
      <c r="A121" s="3">
        <v>58000</v>
      </c>
      <c r="B121" s="4">
        <f t="shared" si="4"/>
        <v>4833.333333333333</v>
      </c>
      <c r="C121" s="157">
        <f t="shared" si="6"/>
        <v>1663.7065999999995</v>
      </c>
      <c r="D121" s="158">
        <f t="shared" si="3"/>
        <v>332.74131999999992</v>
      </c>
      <c r="E121" s="164">
        <f>IF('Total income package'!$A$10=TRUE,SUM(EITC!C121:D121),0)</f>
        <v>1996.4479199999994</v>
      </c>
    </row>
    <row r="122" spans="1:5" x14ac:dyDescent="0.3">
      <c r="A122" s="3">
        <v>58500</v>
      </c>
      <c r="B122" s="4">
        <f t="shared" si="4"/>
        <v>4875</v>
      </c>
      <c r="C122" s="157">
        <f t="shared" si="6"/>
        <v>1558.4065999999993</v>
      </c>
      <c r="D122" s="158">
        <f t="shared" si="3"/>
        <v>311.68131999999991</v>
      </c>
      <c r="E122" s="164">
        <f>IF('Total income package'!$A$10=TRUE,SUM(EITC!C122:D122),0)</f>
        <v>1870.0879199999993</v>
      </c>
    </row>
    <row r="123" spans="1:5" x14ac:dyDescent="0.3">
      <c r="A123" s="3">
        <v>59000</v>
      </c>
      <c r="B123" s="4">
        <f t="shared" si="4"/>
        <v>4916.666666666667</v>
      </c>
      <c r="C123" s="157">
        <f t="shared" si="6"/>
        <v>1453.1066000000001</v>
      </c>
      <c r="D123" s="158">
        <f t="shared" si="3"/>
        <v>290.62132000000003</v>
      </c>
      <c r="E123" s="164">
        <f>IF('Total income package'!$A$10=TRUE,SUM(EITC!C123:D123),0)</f>
        <v>1743.72792</v>
      </c>
    </row>
    <row r="124" spans="1:5" x14ac:dyDescent="0.3">
      <c r="A124" s="3">
        <v>59500</v>
      </c>
      <c r="B124" s="4">
        <f t="shared" si="4"/>
        <v>4958.333333333333</v>
      </c>
      <c r="C124" s="157">
        <f t="shared" si="6"/>
        <v>1347.8065999999999</v>
      </c>
      <c r="D124" s="158">
        <f t="shared" si="3"/>
        <v>269.56131999999997</v>
      </c>
      <c r="E124" s="164">
        <f>IF('Total income package'!$A$10=TRUE,SUM(EITC!C124:D124),0)</f>
        <v>1617.3679199999999</v>
      </c>
    </row>
    <row r="125" spans="1:5" x14ac:dyDescent="0.3">
      <c r="A125" s="3">
        <v>60000</v>
      </c>
      <c r="B125" s="4">
        <f t="shared" si="4"/>
        <v>5000</v>
      </c>
      <c r="C125" s="157">
        <f t="shared" si="6"/>
        <v>1242.5065999999997</v>
      </c>
      <c r="D125" s="158">
        <f t="shared" si="3"/>
        <v>248.50131999999996</v>
      </c>
      <c r="E125" s="164">
        <f>IF('Total income package'!$A$10=TRUE,SUM(EITC!C125:D125),0)</f>
        <v>1491.0079199999996</v>
      </c>
    </row>
    <row r="126" spans="1:5" x14ac:dyDescent="0.3">
      <c r="A126" s="3">
        <v>60500</v>
      </c>
      <c r="B126" s="4">
        <f t="shared" si="4"/>
        <v>5041.666666666667</v>
      </c>
      <c r="C126" s="157">
        <f t="shared" si="6"/>
        <v>1137.2065999999995</v>
      </c>
      <c r="D126" s="158">
        <f t="shared" si="3"/>
        <v>227.44131999999991</v>
      </c>
      <c r="E126" s="164">
        <f>IF('Total income package'!$A$10=TRUE,SUM(EITC!C126:D126),0)</f>
        <v>1364.6479199999994</v>
      </c>
    </row>
    <row r="127" spans="1:5" x14ac:dyDescent="0.3">
      <c r="A127" s="3">
        <v>61000</v>
      </c>
      <c r="B127" s="4">
        <f t="shared" si="4"/>
        <v>5083.333333333333</v>
      </c>
      <c r="C127" s="157">
        <f t="shared" si="6"/>
        <v>1031.9065999999993</v>
      </c>
      <c r="D127" s="158">
        <f t="shared" si="3"/>
        <v>206.38131999999987</v>
      </c>
      <c r="E127" s="164">
        <f>IF('Total income package'!$A$10=TRUE,SUM(EITC!C127:D127),0)</f>
        <v>1238.2879199999993</v>
      </c>
    </row>
    <row r="128" spans="1:5" x14ac:dyDescent="0.3">
      <c r="A128" s="3">
        <v>61500</v>
      </c>
      <c r="B128" s="4">
        <f t="shared" si="4"/>
        <v>5125</v>
      </c>
      <c r="C128" s="157">
        <f t="shared" si="6"/>
        <v>926.60660000000007</v>
      </c>
      <c r="D128" s="158">
        <f t="shared" si="3"/>
        <v>185.32132000000001</v>
      </c>
      <c r="E128" s="164">
        <f>IF('Total income package'!$A$10=TRUE,SUM(EITC!C128:D128),0)</f>
        <v>1111.9279200000001</v>
      </c>
    </row>
    <row r="129" spans="1:5" x14ac:dyDescent="0.3">
      <c r="A129" s="3">
        <v>62000</v>
      </c>
      <c r="B129" s="4">
        <f t="shared" si="4"/>
        <v>5166.666666666667</v>
      </c>
      <c r="C129" s="157">
        <f t="shared" si="6"/>
        <v>821.30659999999989</v>
      </c>
      <c r="D129" s="158">
        <f t="shared" si="3"/>
        <v>164.26131999999998</v>
      </c>
      <c r="E129" s="164">
        <f>IF('Total income package'!$A$10=TRUE,SUM(EITC!C129:D129),0)</f>
        <v>985.56791999999984</v>
      </c>
    </row>
    <row r="130" spans="1:5" x14ac:dyDescent="0.3">
      <c r="A130" s="3">
        <v>62500</v>
      </c>
      <c r="B130" s="4">
        <f t="shared" si="4"/>
        <v>5208.333333333333</v>
      </c>
      <c r="C130" s="157">
        <f t="shared" si="6"/>
        <v>716.00659999999971</v>
      </c>
      <c r="D130" s="158">
        <f t="shared" si="3"/>
        <v>143.20131999999995</v>
      </c>
      <c r="E130" s="164">
        <f>IF('Total income package'!$A$10=TRUE,SUM(EITC!C130:D130),0)</f>
        <v>859.2079199999996</v>
      </c>
    </row>
    <row r="131" spans="1:5" x14ac:dyDescent="0.3">
      <c r="A131" s="3">
        <v>63000</v>
      </c>
      <c r="B131" s="4">
        <f t="shared" si="4"/>
        <v>5250</v>
      </c>
      <c r="C131" s="157">
        <f>MAX(0,IF(A131&gt;$F$2,0,IF(AND(A131&lt;$F$2,A131&gt;=$K$2),$G$2-((A131-$K$2-1)*$I$2),IF(AND(A131&lt;$K$2,A131&gt;=$J$2),$G$2,IF(A131&lt;$J$2,A131*$H$2,0)))))</f>
        <v>610.70659999999953</v>
      </c>
      <c r="D131" s="158">
        <f t="shared" si="3"/>
        <v>122.14131999999991</v>
      </c>
      <c r="E131" s="164">
        <f>IF('Total income package'!$A$10=TRUE,SUM(EITC!C131:D131),0)</f>
        <v>732.84791999999948</v>
      </c>
    </row>
    <row r="132" spans="1:5" x14ac:dyDescent="0.3">
      <c r="A132" s="3">
        <v>63500</v>
      </c>
      <c r="B132" s="4">
        <f t="shared" si="4"/>
        <v>5291.666666666667</v>
      </c>
      <c r="C132" s="157">
        <f t="shared" si="6"/>
        <v>505.40659999999934</v>
      </c>
      <c r="D132" s="158">
        <f t="shared" si="3"/>
        <v>101.08131999999988</v>
      </c>
      <c r="E132" s="164">
        <f>IF('Total income package'!$A$10=TRUE,SUM(EITC!C132:D132),0)</f>
        <v>606.48791999999924</v>
      </c>
    </row>
    <row r="133" spans="1:5" x14ac:dyDescent="0.3">
      <c r="A133" s="3">
        <v>64000</v>
      </c>
      <c r="B133" s="4">
        <f t="shared" si="4"/>
        <v>5333.333333333333</v>
      </c>
      <c r="C133" s="157">
        <f t="shared" si="6"/>
        <v>400.10660000000007</v>
      </c>
      <c r="D133" s="158">
        <f t="shared" si="3"/>
        <v>80.021320000000017</v>
      </c>
      <c r="E133" s="164">
        <f>IF('Total income package'!$A$10=TRUE,SUM(EITC!C133:D133),0)</f>
        <v>480.12792000000007</v>
      </c>
    </row>
    <row r="134" spans="1:5" x14ac:dyDescent="0.3">
      <c r="A134" s="3">
        <v>64500</v>
      </c>
      <c r="B134" s="4">
        <f t="shared" si="4"/>
        <v>5375</v>
      </c>
      <c r="C134" s="157">
        <f t="shared" si="6"/>
        <v>0</v>
      </c>
      <c r="D134" s="158">
        <f t="shared" ref="D134:D197" si="7">C134*0.2</f>
        <v>0</v>
      </c>
      <c r="E134" s="164">
        <f>IF('Total income package'!$A$10=TRUE,SUM(EITC!C134:D134),0)</f>
        <v>0</v>
      </c>
    </row>
    <row r="135" spans="1:5" x14ac:dyDescent="0.3">
      <c r="A135" s="3">
        <v>65000</v>
      </c>
      <c r="B135" s="4">
        <f t="shared" si="4"/>
        <v>5416.666666666667</v>
      </c>
      <c r="C135" s="157">
        <f>MAX(0,IF(A135&gt;$F$2,0,IF(AND(A135&lt;$F$2,A135&gt;=$K$2),$G$2-((A135-$K$2-1)*$I$2),IF(AND(A135&lt;$K$2,A135&gt;=$J$2),$G$2,IF(A135&lt;$J$2,A135*$H$2,0)))))</f>
        <v>0</v>
      </c>
      <c r="D135" s="158">
        <f t="shared" si="7"/>
        <v>0</v>
      </c>
      <c r="E135" s="164">
        <f>IF('Total income package'!$A$10=TRUE,SUM(EITC!C135:D135),0)</f>
        <v>0</v>
      </c>
    </row>
    <row r="136" spans="1:5" x14ac:dyDescent="0.3">
      <c r="A136" s="3">
        <v>65500</v>
      </c>
      <c r="B136" s="4">
        <f t="shared" ref="B136:B199" si="8">A136/12</f>
        <v>5458.333333333333</v>
      </c>
      <c r="C136" s="157">
        <f>MAX(0,IF(A136&gt;$F$2,0,IF(AND(A136&lt;$F$2,A136&gt;=$K$2),$G$2-((A136-$K$2-1)*$I$2),IF(AND(A136&lt;$K$2,A136&gt;=$J$2),$G$2,IF(A136&lt;$J$2,A136*$H$2,0)))))</f>
        <v>0</v>
      </c>
      <c r="D136" s="158">
        <f t="shared" si="7"/>
        <v>0</v>
      </c>
      <c r="E136" s="164">
        <f>IF('Total income package'!$A$10=TRUE,SUM(EITC!C136:D136),0)</f>
        <v>0</v>
      </c>
    </row>
    <row r="137" spans="1:5" x14ac:dyDescent="0.3">
      <c r="A137" s="3">
        <v>66000</v>
      </c>
      <c r="B137" s="4">
        <f t="shared" si="8"/>
        <v>5500</v>
      </c>
      <c r="C137" s="157">
        <f>MAX(0,IF(A137&gt;$F$2,0,IF(AND(A137&lt;$F$2,A137&gt;=$K$2),$G$2-((A137-$K$2-1)*$I$2),IF(AND(A137&lt;$K$2,A137&gt;=$J$2),$G$2,IF(A137&lt;$J$2,A137*$H$2,0)))))</f>
        <v>0</v>
      </c>
      <c r="D137" s="158">
        <f t="shared" si="7"/>
        <v>0</v>
      </c>
      <c r="E137" s="164">
        <f>IF('Total income package'!$A$10=TRUE,SUM(EITC!C137:D137),0)</f>
        <v>0</v>
      </c>
    </row>
    <row r="138" spans="1:5" x14ac:dyDescent="0.3">
      <c r="A138" s="3">
        <v>66500</v>
      </c>
      <c r="B138" s="4">
        <f t="shared" si="8"/>
        <v>5541.666666666667</v>
      </c>
      <c r="C138" s="157">
        <f>MAX(0,IF(A138&gt;$F$2,0,IF(AND(A138&lt;$F$2,A138&gt;=$K$2),$G$2-((A138-$K$2-1)*$I$2),IF(AND(A138&lt;$K$2,A138&gt;=$J$2),$G$2,IF(A138&lt;$J$2,A138*$H$2,0)))))</f>
        <v>0</v>
      </c>
      <c r="D138" s="158">
        <f t="shared" si="7"/>
        <v>0</v>
      </c>
      <c r="E138" s="164">
        <f>IF('Total income package'!$A$10=TRUE,SUM(EITC!C138:D138),0)</f>
        <v>0</v>
      </c>
    </row>
    <row r="139" spans="1:5" x14ac:dyDescent="0.3">
      <c r="A139" s="3">
        <v>67000</v>
      </c>
      <c r="B139" s="4">
        <f t="shared" si="8"/>
        <v>5583.333333333333</v>
      </c>
      <c r="C139" s="157">
        <f>MAX(0,IF(A139&gt;$F$2,0,IF(AND(A139&lt;$F$2,A139&gt;=$K$2),$G$2-((A139-$K$2-1)*$I$2),IF(AND(A139&lt;$K$2,A139&gt;=$J$2),$G$2,IF(A139&lt;$J$2,A139*$H$2,0)))))</f>
        <v>0</v>
      </c>
      <c r="D139" s="158">
        <f t="shared" si="7"/>
        <v>0</v>
      </c>
      <c r="E139" s="164">
        <f>IF('Total income package'!$A$10=TRUE,SUM(EITC!C139:D139),0)</f>
        <v>0</v>
      </c>
    </row>
    <row r="140" spans="1:5" x14ac:dyDescent="0.3">
      <c r="A140" s="3">
        <v>67500</v>
      </c>
      <c r="B140" s="4">
        <f t="shared" si="8"/>
        <v>5625</v>
      </c>
      <c r="C140" s="157">
        <f t="shared" ref="C140:C203" si="9">MAX(0,IF(A140&gt;$F$2,0,IF(AND(A140&lt;$F$2,A140&gt;=$K$2),$G$2-((A140-$K$2-1)*$I$2),IF(AND(A140&lt;$K$2,A140&gt;=$J$2),$G$2,IF(A140&lt;$J$2,A140*$H$2,0)))))</f>
        <v>0</v>
      </c>
      <c r="D140" s="158">
        <f t="shared" si="7"/>
        <v>0</v>
      </c>
      <c r="E140" s="164">
        <f>IF('Total income package'!$A$10=TRUE,SUM(EITC!C140:D140),0)</f>
        <v>0</v>
      </c>
    </row>
    <row r="141" spans="1:5" x14ac:dyDescent="0.3">
      <c r="A141" s="3">
        <v>68000</v>
      </c>
      <c r="B141" s="4">
        <f t="shared" si="8"/>
        <v>5666.666666666667</v>
      </c>
      <c r="C141" s="157">
        <f t="shared" si="9"/>
        <v>0</v>
      </c>
      <c r="D141" s="158">
        <f t="shared" si="7"/>
        <v>0</v>
      </c>
      <c r="E141" s="164">
        <f>IF('Total income package'!$A$10=TRUE,SUM(EITC!C141:D141),0)</f>
        <v>0</v>
      </c>
    </row>
    <row r="142" spans="1:5" x14ac:dyDescent="0.3">
      <c r="A142" s="3">
        <v>68500</v>
      </c>
      <c r="B142" s="4">
        <f t="shared" si="8"/>
        <v>5708.333333333333</v>
      </c>
      <c r="C142" s="157">
        <f t="shared" si="9"/>
        <v>0</v>
      </c>
      <c r="D142" s="158">
        <f t="shared" si="7"/>
        <v>0</v>
      </c>
      <c r="E142" s="164">
        <f>IF('Total income package'!$A$10=TRUE,SUM(EITC!C142:D142),0)</f>
        <v>0</v>
      </c>
    </row>
    <row r="143" spans="1:5" x14ac:dyDescent="0.3">
      <c r="A143" s="3">
        <v>69000</v>
      </c>
      <c r="B143" s="4">
        <f t="shared" si="8"/>
        <v>5750</v>
      </c>
      <c r="C143" s="157">
        <f t="shared" si="9"/>
        <v>0</v>
      </c>
      <c r="D143" s="158">
        <f t="shared" si="7"/>
        <v>0</v>
      </c>
      <c r="E143" s="164">
        <f>IF('Total income package'!$A$10=TRUE,SUM(EITC!C143:D143),0)</f>
        <v>0</v>
      </c>
    </row>
    <row r="144" spans="1:5" x14ac:dyDescent="0.3">
      <c r="A144" s="3">
        <v>69500</v>
      </c>
      <c r="B144" s="4">
        <f t="shared" si="8"/>
        <v>5791.666666666667</v>
      </c>
      <c r="C144" s="157">
        <f t="shared" si="9"/>
        <v>0</v>
      </c>
      <c r="D144" s="158">
        <f t="shared" si="7"/>
        <v>0</v>
      </c>
      <c r="E144" s="164">
        <f>IF('Total income package'!$A$10=TRUE,SUM(EITC!C144:D144),0)</f>
        <v>0</v>
      </c>
    </row>
    <row r="145" spans="1:5" x14ac:dyDescent="0.3">
      <c r="A145" s="3">
        <v>70000</v>
      </c>
      <c r="B145" s="4">
        <f t="shared" si="8"/>
        <v>5833.333333333333</v>
      </c>
      <c r="C145" s="157">
        <f t="shared" si="9"/>
        <v>0</v>
      </c>
      <c r="D145" s="158">
        <f t="shared" si="7"/>
        <v>0</v>
      </c>
      <c r="E145" s="164">
        <f>IF('Total income package'!$A$10=TRUE,SUM(EITC!C145:D145),0)</f>
        <v>0</v>
      </c>
    </row>
    <row r="146" spans="1:5" x14ac:dyDescent="0.3">
      <c r="A146" s="3">
        <v>70500</v>
      </c>
      <c r="B146" s="4">
        <f t="shared" si="8"/>
        <v>5875</v>
      </c>
      <c r="C146" s="157">
        <f t="shared" si="9"/>
        <v>0</v>
      </c>
      <c r="D146" s="158">
        <f t="shared" si="7"/>
        <v>0</v>
      </c>
      <c r="E146" s="164">
        <f>IF('Total income package'!$A$10=TRUE,SUM(EITC!C146:D146),0)</f>
        <v>0</v>
      </c>
    </row>
    <row r="147" spans="1:5" x14ac:dyDescent="0.3">
      <c r="A147" s="3">
        <v>71000</v>
      </c>
      <c r="B147" s="4">
        <f t="shared" si="8"/>
        <v>5916.666666666667</v>
      </c>
      <c r="C147" s="157">
        <f t="shared" si="9"/>
        <v>0</v>
      </c>
      <c r="D147" s="158">
        <f t="shared" si="7"/>
        <v>0</v>
      </c>
      <c r="E147" s="164">
        <f>IF('Total income package'!$A$10=TRUE,SUM(EITC!C147:D147),0)</f>
        <v>0</v>
      </c>
    </row>
    <row r="148" spans="1:5" x14ac:dyDescent="0.3">
      <c r="A148" s="3">
        <v>71500</v>
      </c>
      <c r="B148" s="4">
        <f t="shared" si="8"/>
        <v>5958.333333333333</v>
      </c>
      <c r="C148" s="157">
        <f t="shared" si="9"/>
        <v>0</v>
      </c>
      <c r="D148" s="158">
        <f t="shared" si="7"/>
        <v>0</v>
      </c>
      <c r="E148" s="164">
        <f>IF('Total income package'!$A$10=TRUE,SUM(EITC!C148:D148),0)</f>
        <v>0</v>
      </c>
    </row>
    <row r="149" spans="1:5" x14ac:dyDescent="0.3">
      <c r="A149" s="3">
        <v>72000</v>
      </c>
      <c r="B149" s="4">
        <f t="shared" si="8"/>
        <v>6000</v>
      </c>
      <c r="C149" s="157">
        <f t="shared" si="9"/>
        <v>0</v>
      </c>
      <c r="D149" s="158">
        <f t="shared" si="7"/>
        <v>0</v>
      </c>
      <c r="E149" s="164">
        <f>IF('Total income package'!$A$10=TRUE,SUM(EITC!C149:D149),0)</f>
        <v>0</v>
      </c>
    </row>
    <row r="150" spans="1:5" x14ac:dyDescent="0.3">
      <c r="A150" s="3">
        <v>72500</v>
      </c>
      <c r="B150" s="4">
        <f t="shared" si="8"/>
        <v>6041.666666666667</v>
      </c>
      <c r="C150" s="157">
        <f t="shared" si="9"/>
        <v>0</v>
      </c>
      <c r="D150" s="158">
        <f t="shared" si="7"/>
        <v>0</v>
      </c>
      <c r="E150" s="164">
        <f>IF('Total income package'!$A$10=TRUE,SUM(EITC!C150:D150),0)</f>
        <v>0</v>
      </c>
    </row>
    <row r="151" spans="1:5" x14ac:dyDescent="0.3">
      <c r="A151" s="3">
        <v>73000</v>
      </c>
      <c r="B151" s="4">
        <f t="shared" si="8"/>
        <v>6083.333333333333</v>
      </c>
      <c r="C151" s="157">
        <f t="shared" si="9"/>
        <v>0</v>
      </c>
      <c r="D151" s="158">
        <f t="shared" si="7"/>
        <v>0</v>
      </c>
      <c r="E151" s="164">
        <f>IF('Total income package'!$A$10=TRUE,SUM(EITC!C151:D151),0)</f>
        <v>0</v>
      </c>
    </row>
    <row r="152" spans="1:5" x14ac:dyDescent="0.3">
      <c r="A152" s="3">
        <v>73500</v>
      </c>
      <c r="B152" s="4">
        <f t="shared" si="8"/>
        <v>6125</v>
      </c>
      <c r="C152" s="157">
        <f t="shared" si="9"/>
        <v>0</v>
      </c>
      <c r="D152" s="158">
        <f t="shared" si="7"/>
        <v>0</v>
      </c>
      <c r="E152" s="164">
        <f>IF('Total income package'!$A$10=TRUE,SUM(EITC!C152:D152),0)</f>
        <v>0</v>
      </c>
    </row>
    <row r="153" spans="1:5" x14ac:dyDescent="0.3">
      <c r="A153" s="3">
        <v>74000</v>
      </c>
      <c r="B153" s="4">
        <f t="shared" si="8"/>
        <v>6166.666666666667</v>
      </c>
      <c r="C153" s="157">
        <f t="shared" si="9"/>
        <v>0</v>
      </c>
      <c r="D153" s="158">
        <f t="shared" si="7"/>
        <v>0</v>
      </c>
      <c r="E153" s="164">
        <f>IF('Total income package'!$A$10=TRUE,SUM(EITC!C153:D153),0)</f>
        <v>0</v>
      </c>
    </row>
    <row r="154" spans="1:5" x14ac:dyDescent="0.3">
      <c r="A154" s="3">
        <v>74500</v>
      </c>
      <c r="B154" s="4">
        <f t="shared" si="8"/>
        <v>6208.333333333333</v>
      </c>
      <c r="C154" s="157">
        <f t="shared" si="9"/>
        <v>0</v>
      </c>
      <c r="D154" s="158">
        <f t="shared" si="7"/>
        <v>0</v>
      </c>
      <c r="E154" s="164">
        <f>IF('Total income package'!$A$10=TRUE,SUM(EITC!C154:D154),0)</f>
        <v>0</v>
      </c>
    </row>
    <row r="155" spans="1:5" x14ac:dyDescent="0.3">
      <c r="A155" s="3">
        <v>75000</v>
      </c>
      <c r="B155" s="4">
        <f t="shared" si="8"/>
        <v>6250</v>
      </c>
      <c r="C155" s="157">
        <f t="shared" si="9"/>
        <v>0</v>
      </c>
      <c r="D155" s="158">
        <f t="shared" si="7"/>
        <v>0</v>
      </c>
      <c r="E155" s="164">
        <f>IF('Total income package'!$A$10=TRUE,SUM(EITC!C155:D155),0)</f>
        <v>0</v>
      </c>
    </row>
    <row r="156" spans="1:5" x14ac:dyDescent="0.3">
      <c r="A156" s="3">
        <v>75500</v>
      </c>
      <c r="B156" s="4">
        <f t="shared" si="8"/>
        <v>6291.666666666667</v>
      </c>
      <c r="C156" s="157">
        <f t="shared" si="9"/>
        <v>0</v>
      </c>
      <c r="D156" s="158">
        <f t="shared" si="7"/>
        <v>0</v>
      </c>
      <c r="E156" s="164">
        <f>IF('Total income package'!$A$10=TRUE,SUM(EITC!C156:D156),0)</f>
        <v>0</v>
      </c>
    </row>
    <row r="157" spans="1:5" x14ac:dyDescent="0.3">
      <c r="A157" s="3">
        <v>76000</v>
      </c>
      <c r="B157" s="4">
        <f t="shared" si="8"/>
        <v>6333.333333333333</v>
      </c>
      <c r="C157" s="157">
        <f t="shared" si="9"/>
        <v>0</v>
      </c>
      <c r="D157" s="158">
        <f t="shared" si="7"/>
        <v>0</v>
      </c>
      <c r="E157" s="164">
        <f>IF('Total income package'!$A$10=TRUE,SUM(EITC!C157:D157),0)</f>
        <v>0</v>
      </c>
    </row>
    <row r="158" spans="1:5" x14ac:dyDescent="0.3">
      <c r="A158" s="3">
        <v>76500</v>
      </c>
      <c r="B158" s="4">
        <f t="shared" si="8"/>
        <v>6375</v>
      </c>
      <c r="C158" s="157">
        <f t="shared" si="9"/>
        <v>0</v>
      </c>
      <c r="D158" s="158">
        <f t="shared" si="7"/>
        <v>0</v>
      </c>
      <c r="E158" s="164">
        <f>IF('Total income package'!$A$10=TRUE,SUM(EITC!C158:D158),0)</f>
        <v>0</v>
      </c>
    </row>
    <row r="159" spans="1:5" x14ac:dyDescent="0.3">
      <c r="A159" s="3">
        <v>77000</v>
      </c>
      <c r="B159" s="4">
        <f t="shared" si="8"/>
        <v>6416.666666666667</v>
      </c>
      <c r="C159" s="157">
        <f t="shared" si="9"/>
        <v>0</v>
      </c>
      <c r="D159" s="158">
        <f t="shared" si="7"/>
        <v>0</v>
      </c>
      <c r="E159" s="164">
        <f>IF('Total income package'!$A$10=TRUE,SUM(EITC!C159:D159),0)</f>
        <v>0</v>
      </c>
    </row>
    <row r="160" spans="1:5" x14ac:dyDescent="0.3">
      <c r="A160" s="3">
        <v>77500</v>
      </c>
      <c r="B160" s="4">
        <f t="shared" si="8"/>
        <v>6458.333333333333</v>
      </c>
      <c r="C160" s="157">
        <f t="shared" si="9"/>
        <v>0</v>
      </c>
      <c r="D160" s="158">
        <f t="shared" si="7"/>
        <v>0</v>
      </c>
      <c r="E160" s="164">
        <f>IF('Total income package'!$A$10=TRUE,SUM(EITC!C160:D160),0)</f>
        <v>0</v>
      </c>
    </row>
    <row r="161" spans="1:5" x14ac:dyDescent="0.3">
      <c r="A161" s="3">
        <v>78000</v>
      </c>
      <c r="B161" s="4">
        <f t="shared" si="8"/>
        <v>6500</v>
      </c>
      <c r="C161" s="157">
        <f t="shared" si="9"/>
        <v>0</v>
      </c>
      <c r="D161" s="158">
        <f t="shared" si="7"/>
        <v>0</v>
      </c>
      <c r="E161" s="164">
        <f>IF('Total income package'!$A$10=TRUE,SUM(EITC!C161:D161),0)</f>
        <v>0</v>
      </c>
    </row>
    <row r="162" spans="1:5" x14ac:dyDescent="0.3">
      <c r="A162" s="3">
        <v>78500</v>
      </c>
      <c r="B162" s="4">
        <f t="shared" si="8"/>
        <v>6541.666666666667</v>
      </c>
      <c r="C162" s="157">
        <f t="shared" si="9"/>
        <v>0</v>
      </c>
      <c r="D162" s="158">
        <f t="shared" si="7"/>
        <v>0</v>
      </c>
      <c r="E162" s="164">
        <f>IF('Total income package'!$A$10=TRUE,SUM(EITC!C162:D162),0)</f>
        <v>0</v>
      </c>
    </row>
    <row r="163" spans="1:5" x14ac:dyDescent="0.3">
      <c r="A163" s="3">
        <v>79000</v>
      </c>
      <c r="B163" s="4">
        <f t="shared" si="8"/>
        <v>6583.333333333333</v>
      </c>
      <c r="C163" s="157">
        <f t="shared" si="9"/>
        <v>0</v>
      </c>
      <c r="D163" s="158">
        <f t="shared" si="7"/>
        <v>0</v>
      </c>
      <c r="E163" s="164">
        <f>IF('Total income package'!$A$10=TRUE,SUM(EITC!C163:D163),0)</f>
        <v>0</v>
      </c>
    </row>
    <row r="164" spans="1:5" x14ac:dyDescent="0.3">
      <c r="A164" s="3">
        <v>79500</v>
      </c>
      <c r="B164" s="4">
        <f t="shared" si="8"/>
        <v>6625</v>
      </c>
      <c r="C164" s="157">
        <f t="shared" si="9"/>
        <v>0</v>
      </c>
      <c r="D164" s="158">
        <f t="shared" si="7"/>
        <v>0</v>
      </c>
      <c r="E164" s="164">
        <f>IF('Total income package'!$A$10=TRUE,SUM(EITC!C164:D164),0)</f>
        <v>0</v>
      </c>
    </row>
    <row r="165" spans="1:5" x14ac:dyDescent="0.3">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3">
      <c r="A166" s="3">
        <v>80500</v>
      </c>
      <c r="B166" s="4">
        <f t="shared" si="8"/>
        <v>6708.333333333333</v>
      </c>
      <c r="C166" s="157">
        <f t="shared" si="9"/>
        <v>0</v>
      </c>
      <c r="D166" s="158">
        <f t="shared" si="7"/>
        <v>0</v>
      </c>
      <c r="E166" s="164">
        <f>IF('Total income package'!$A$10=TRUE,SUM(EITC!C166:D166),0)</f>
        <v>0</v>
      </c>
    </row>
    <row r="167" spans="1:5" x14ac:dyDescent="0.3">
      <c r="A167" s="3">
        <v>81000</v>
      </c>
      <c r="B167" s="4">
        <f t="shared" si="8"/>
        <v>6750</v>
      </c>
      <c r="C167" s="157">
        <f t="shared" si="9"/>
        <v>0</v>
      </c>
      <c r="D167" s="158">
        <f t="shared" si="7"/>
        <v>0</v>
      </c>
      <c r="E167" s="164">
        <f>IF('Total income package'!$A$10=TRUE,SUM(EITC!C167:D167),0)</f>
        <v>0</v>
      </c>
    </row>
    <row r="168" spans="1:5" x14ac:dyDescent="0.3">
      <c r="A168" s="3">
        <v>81500</v>
      </c>
      <c r="B168" s="4">
        <f t="shared" si="8"/>
        <v>6791.666666666667</v>
      </c>
      <c r="C168" s="157">
        <f t="shared" si="9"/>
        <v>0</v>
      </c>
      <c r="D168" s="158">
        <f t="shared" si="7"/>
        <v>0</v>
      </c>
      <c r="E168" s="164">
        <f>IF('Total income package'!$A$10=TRUE,SUM(EITC!C168:D168),0)</f>
        <v>0</v>
      </c>
    </row>
    <row r="169" spans="1:5" x14ac:dyDescent="0.3">
      <c r="A169" s="3">
        <v>82000</v>
      </c>
      <c r="B169" s="4">
        <f t="shared" si="8"/>
        <v>6833.333333333333</v>
      </c>
      <c r="C169" s="157">
        <f t="shared" si="9"/>
        <v>0</v>
      </c>
      <c r="D169" s="158">
        <f t="shared" si="7"/>
        <v>0</v>
      </c>
      <c r="E169" s="164">
        <f>IF('Total income package'!$A$10=TRUE,SUM(EITC!C169:D169),0)</f>
        <v>0</v>
      </c>
    </row>
    <row r="170" spans="1:5" x14ac:dyDescent="0.3">
      <c r="A170" s="3">
        <v>82500</v>
      </c>
      <c r="B170" s="4">
        <f t="shared" si="8"/>
        <v>6875</v>
      </c>
      <c r="C170" s="157">
        <f t="shared" si="9"/>
        <v>0</v>
      </c>
      <c r="D170" s="158">
        <f t="shared" si="7"/>
        <v>0</v>
      </c>
      <c r="E170" s="164">
        <f>IF('Total income package'!$A$10=TRUE,SUM(EITC!C170:D170),0)</f>
        <v>0</v>
      </c>
    </row>
    <row r="171" spans="1:5" x14ac:dyDescent="0.3">
      <c r="A171" s="3">
        <v>83000</v>
      </c>
      <c r="B171" s="4">
        <f t="shared" si="8"/>
        <v>6916.666666666667</v>
      </c>
      <c r="C171" s="157">
        <f t="shared" si="9"/>
        <v>0</v>
      </c>
      <c r="D171" s="158">
        <f t="shared" si="7"/>
        <v>0</v>
      </c>
      <c r="E171" s="164">
        <f>IF('Total income package'!$A$10=TRUE,SUM(EITC!C171:D171),0)</f>
        <v>0</v>
      </c>
    </row>
    <row r="172" spans="1:5" x14ac:dyDescent="0.3">
      <c r="A172" s="3">
        <v>83500</v>
      </c>
      <c r="B172" s="4">
        <f t="shared" si="8"/>
        <v>6958.333333333333</v>
      </c>
      <c r="C172" s="157">
        <f t="shared" si="9"/>
        <v>0</v>
      </c>
      <c r="D172" s="158">
        <f t="shared" si="7"/>
        <v>0</v>
      </c>
      <c r="E172" s="164">
        <f>IF('Total income package'!$A$10=TRUE,SUM(EITC!C172:D172),0)</f>
        <v>0</v>
      </c>
    </row>
    <row r="173" spans="1:5" x14ac:dyDescent="0.3">
      <c r="A173" s="3">
        <v>84000</v>
      </c>
      <c r="B173" s="4">
        <f t="shared" si="8"/>
        <v>7000</v>
      </c>
      <c r="C173" s="157">
        <f t="shared" si="9"/>
        <v>0</v>
      </c>
      <c r="D173" s="158">
        <f t="shared" si="7"/>
        <v>0</v>
      </c>
      <c r="E173" s="164">
        <f>IF('Total income package'!$A$10=TRUE,SUM(EITC!C173:D173),0)</f>
        <v>0</v>
      </c>
    </row>
    <row r="174" spans="1:5" x14ac:dyDescent="0.3">
      <c r="A174" s="3">
        <v>84500</v>
      </c>
      <c r="B174" s="4">
        <f t="shared" si="8"/>
        <v>7041.666666666667</v>
      </c>
      <c r="C174" s="157">
        <f t="shared" si="9"/>
        <v>0</v>
      </c>
      <c r="D174" s="158">
        <f t="shared" si="7"/>
        <v>0</v>
      </c>
      <c r="E174" s="164">
        <f>IF('Total income package'!$A$10=TRUE,SUM(EITC!C174:D174),0)</f>
        <v>0</v>
      </c>
    </row>
    <row r="175" spans="1:5" x14ac:dyDescent="0.3">
      <c r="A175" s="3">
        <v>85000</v>
      </c>
      <c r="B175" s="4">
        <f t="shared" si="8"/>
        <v>7083.333333333333</v>
      </c>
      <c r="C175" s="157">
        <f t="shared" si="9"/>
        <v>0</v>
      </c>
      <c r="D175" s="158">
        <f t="shared" si="7"/>
        <v>0</v>
      </c>
      <c r="E175" s="164">
        <f>IF('Total income package'!$A$10=TRUE,SUM(EITC!C175:D175),0)</f>
        <v>0</v>
      </c>
    </row>
    <row r="176" spans="1:5" x14ac:dyDescent="0.3">
      <c r="A176" s="3">
        <v>85500</v>
      </c>
      <c r="B176" s="4">
        <f t="shared" si="8"/>
        <v>7125</v>
      </c>
      <c r="C176" s="157">
        <f t="shared" si="9"/>
        <v>0</v>
      </c>
      <c r="D176" s="158">
        <f t="shared" si="7"/>
        <v>0</v>
      </c>
      <c r="E176" s="164">
        <f>IF('Total income package'!$A$10=TRUE,SUM(EITC!C176:D176),0)</f>
        <v>0</v>
      </c>
    </row>
    <row r="177" spans="1:5" x14ac:dyDescent="0.3">
      <c r="A177" s="3">
        <v>86000</v>
      </c>
      <c r="B177" s="4">
        <f t="shared" si="8"/>
        <v>7166.666666666667</v>
      </c>
      <c r="C177" s="157">
        <f t="shared" si="9"/>
        <v>0</v>
      </c>
      <c r="D177" s="158">
        <f t="shared" si="7"/>
        <v>0</v>
      </c>
      <c r="E177" s="164">
        <f>IF('Total income package'!$A$10=TRUE,SUM(EITC!C177:D177),0)</f>
        <v>0</v>
      </c>
    </row>
    <row r="178" spans="1:5" x14ac:dyDescent="0.3">
      <c r="A178" s="3">
        <v>86500</v>
      </c>
      <c r="B178" s="4">
        <f t="shared" si="8"/>
        <v>7208.333333333333</v>
      </c>
      <c r="C178" s="157">
        <f t="shared" si="9"/>
        <v>0</v>
      </c>
      <c r="D178" s="158">
        <f t="shared" si="7"/>
        <v>0</v>
      </c>
      <c r="E178" s="164">
        <f>IF('Total income package'!$A$10=TRUE,SUM(EITC!C178:D178),0)</f>
        <v>0</v>
      </c>
    </row>
    <row r="179" spans="1:5" x14ac:dyDescent="0.3">
      <c r="A179" s="3">
        <v>87000</v>
      </c>
      <c r="B179" s="4">
        <f t="shared" si="8"/>
        <v>7250</v>
      </c>
      <c r="C179" s="157">
        <f t="shared" si="9"/>
        <v>0</v>
      </c>
      <c r="D179" s="158">
        <f t="shared" si="7"/>
        <v>0</v>
      </c>
      <c r="E179" s="164">
        <f>IF('Total income package'!$A$10=TRUE,SUM(EITC!C179:D179),0)</f>
        <v>0</v>
      </c>
    </row>
    <row r="180" spans="1:5" x14ac:dyDescent="0.3">
      <c r="A180" s="3">
        <v>87500</v>
      </c>
      <c r="B180" s="4">
        <f t="shared" si="8"/>
        <v>7291.666666666667</v>
      </c>
      <c r="C180" s="157">
        <f t="shared" si="9"/>
        <v>0</v>
      </c>
      <c r="D180" s="158">
        <f t="shared" si="7"/>
        <v>0</v>
      </c>
      <c r="E180" s="164">
        <f>IF('Total income package'!$A$10=TRUE,SUM(EITC!C180:D180),0)</f>
        <v>0</v>
      </c>
    </row>
    <row r="181" spans="1:5" x14ac:dyDescent="0.3">
      <c r="A181" s="3">
        <v>88000</v>
      </c>
      <c r="B181" s="4">
        <f t="shared" si="8"/>
        <v>7333.333333333333</v>
      </c>
      <c r="C181" s="157">
        <f t="shared" si="9"/>
        <v>0</v>
      </c>
      <c r="D181" s="158">
        <f t="shared" si="7"/>
        <v>0</v>
      </c>
      <c r="E181" s="164">
        <f>IF('Total income package'!$A$10=TRUE,SUM(EITC!C181:D181),0)</f>
        <v>0</v>
      </c>
    </row>
    <row r="182" spans="1:5" x14ac:dyDescent="0.3">
      <c r="A182" s="3">
        <v>88500</v>
      </c>
      <c r="B182" s="4">
        <f t="shared" si="8"/>
        <v>7375</v>
      </c>
      <c r="C182" s="157">
        <f t="shared" si="9"/>
        <v>0</v>
      </c>
      <c r="D182" s="158">
        <f t="shared" si="7"/>
        <v>0</v>
      </c>
      <c r="E182" s="164">
        <f>IF('Total income package'!$A$10=TRUE,SUM(EITC!C182:D182),0)</f>
        <v>0</v>
      </c>
    </row>
    <row r="183" spans="1:5" x14ac:dyDescent="0.3">
      <c r="A183" s="3">
        <v>89000</v>
      </c>
      <c r="B183" s="4">
        <f t="shared" si="8"/>
        <v>7416.666666666667</v>
      </c>
      <c r="C183" s="157">
        <f t="shared" si="9"/>
        <v>0</v>
      </c>
      <c r="D183" s="158">
        <f t="shared" si="7"/>
        <v>0</v>
      </c>
      <c r="E183" s="164">
        <f>IF('Total income package'!$A$10=TRUE,SUM(EITC!C183:D183),0)</f>
        <v>0</v>
      </c>
    </row>
    <row r="184" spans="1:5" x14ac:dyDescent="0.3">
      <c r="A184" s="3">
        <v>89500</v>
      </c>
      <c r="B184" s="4">
        <f t="shared" si="8"/>
        <v>7458.333333333333</v>
      </c>
      <c r="C184" s="157">
        <f t="shared" si="9"/>
        <v>0</v>
      </c>
      <c r="D184" s="158">
        <f t="shared" si="7"/>
        <v>0</v>
      </c>
      <c r="E184" s="164">
        <f>IF('Total income package'!$A$10=TRUE,SUM(EITC!C184:D184),0)</f>
        <v>0</v>
      </c>
    </row>
    <row r="185" spans="1:5" x14ac:dyDescent="0.3">
      <c r="A185" s="3">
        <v>90000</v>
      </c>
      <c r="B185" s="4">
        <f t="shared" si="8"/>
        <v>7500</v>
      </c>
      <c r="C185" s="157">
        <f t="shared" si="9"/>
        <v>0</v>
      </c>
      <c r="D185" s="158">
        <f t="shared" si="7"/>
        <v>0</v>
      </c>
      <c r="E185" s="164">
        <f>IF('Total income package'!$A$10=TRUE,SUM(EITC!C185:D185),0)</f>
        <v>0</v>
      </c>
    </row>
    <row r="186" spans="1:5" x14ac:dyDescent="0.3">
      <c r="A186" s="3">
        <v>90500</v>
      </c>
      <c r="B186" s="4">
        <f t="shared" si="8"/>
        <v>7541.666666666667</v>
      </c>
      <c r="C186" s="157">
        <f t="shared" si="9"/>
        <v>0</v>
      </c>
      <c r="D186" s="158">
        <f t="shared" si="7"/>
        <v>0</v>
      </c>
      <c r="E186" s="164">
        <f>IF('Total income package'!$A$10=TRUE,SUM(EITC!C186:D186),0)</f>
        <v>0</v>
      </c>
    </row>
    <row r="187" spans="1:5" x14ac:dyDescent="0.3">
      <c r="A187" s="3">
        <v>91000</v>
      </c>
      <c r="B187" s="4">
        <f t="shared" si="8"/>
        <v>7583.333333333333</v>
      </c>
      <c r="C187" s="157">
        <f t="shared" si="9"/>
        <v>0</v>
      </c>
      <c r="D187" s="158">
        <f t="shared" si="7"/>
        <v>0</v>
      </c>
      <c r="E187" s="164">
        <f>IF('Total income package'!$A$10=TRUE,SUM(EITC!C187:D187),0)</f>
        <v>0</v>
      </c>
    </row>
    <row r="188" spans="1:5" x14ac:dyDescent="0.3">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3">
      <c r="A189" s="3">
        <v>92000</v>
      </c>
      <c r="B189" s="4">
        <f t="shared" si="8"/>
        <v>7666.666666666667</v>
      </c>
      <c r="C189" s="157">
        <f t="shared" si="9"/>
        <v>0</v>
      </c>
      <c r="D189" s="158">
        <f t="shared" si="7"/>
        <v>0</v>
      </c>
      <c r="E189" s="164">
        <f>IF('Total income package'!$A$10=TRUE,SUM(EITC!C189:D189),0)</f>
        <v>0</v>
      </c>
    </row>
    <row r="190" spans="1:5" x14ac:dyDescent="0.3">
      <c r="A190" s="3">
        <v>92500</v>
      </c>
      <c r="B190" s="4">
        <f t="shared" si="8"/>
        <v>7708.333333333333</v>
      </c>
      <c r="C190" s="157">
        <f t="shared" si="9"/>
        <v>0</v>
      </c>
      <c r="D190" s="158">
        <f t="shared" si="7"/>
        <v>0</v>
      </c>
      <c r="E190" s="164">
        <f>IF('Total income package'!$A$10=TRUE,SUM(EITC!C190:D190),0)</f>
        <v>0</v>
      </c>
    </row>
    <row r="191" spans="1:5" x14ac:dyDescent="0.3">
      <c r="A191" s="3">
        <v>93000</v>
      </c>
      <c r="B191" s="4">
        <f t="shared" si="8"/>
        <v>7750</v>
      </c>
      <c r="C191" s="157">
        <f t="shared" si="9"/>
        <v>0</v>
      </c>
      <c r="D191" s="158">
        <f t="shared" si="7"/>
        <v>0</v>
      </c>
      <c r="E191" s="164">
        <f>IF('Total income package'!$A$10=TRUE,SUM(EITC!C191:D191),0)</f>
        <v>0</v>
      </c>
    </row>
    <row r="192" spans="1:5" x14ac:dyDescent="0.3">
      <c r="A192" s="3">
        <v>93500</v>
      </c>
      <c r="B192" s="4">
        <f t="shared" si="8"/>
        <v>7791.666666666667</v>
      </c>
      <c r="C192" s="157">
        <f t="shared" si="9"/>
        <v>0</v>
      </c>
      <c r="D192" s="158">
        <f t="shared" si="7"/>
        <v>0</v>
      </c>
      <c r="E192" s="164">
        <f>IF('Total income package'!$A$10=TRUE,SUM(EITC!C192:D192),0)</f>
        <v>0</v>
      </c>
    </row>
    <row r="193" spans="1:11" x14ac:dyDescent="0.3">
      <c r="A193" s="3">
        <v>94000</v>
      </c>
      <c r="B193" s="4">
        <f t="shared" si="8"/>
        <v>7833.333333333333</v>
      </c>
      <c r="C193" s="157">
        <f t="shared" si="9"/>
        <v>0</v>
      </c>
      <c r="D193" s="158">
        <f t="shared" si="7"/>
        <v>0</v>
      </c>
      <c r="E193" s="164">
        <f>IF('Total income package'!$A$10=TRUE,SUM(EITC!C193:D193),0)</f>
        <v>0</v>
      </c>
    </row>
    <row r="194" spans="1:11" x14ac:dyDescent="0.3">
      <c r="A194" s="3">
        <v>94500</v>
      </c>
      <c r="B194" s="4">
        <f t="shared" si="8"/>
        <v>7875</v>
      </c>
      <c r="C194" s="157">
        <f t="shared" si="9"/>
        <v>0</v>
      </c>
      <c r="D194" s="158">
        <f t="shared" si="7"/>
        <v>0</v>
      </c>
      <c r="E194" s="164">
        <f>IF('Total income package'!$A$10=TRUE,SUM(EITC!C194:D194),0)</f>
        <v>0</v>
      </c>
    </row>
    <row r="195" spans="1:11" x14ac:dyDescent="0.3">
      <c r="A195" s="3">
        <v>95000</v>
      </c>
      <c r="B195" s="4">
        <f t="shared" si="8"/>
        <v>7916.666666666667</v>
      </c>
      <c r="C195" s="157">
        <f t="shared" si="9"/>
        <v>0</v>
      </c>
      <c r="D195" s="158">
        <f t="shared" si="7"/>
        <v>0</v>
      </c>
      <c r="E195" s="164">
        <f>IF('Total income package'!$A$10=TRUE,SUM(EITC!C195:D195),0)</f>
        <v>0</v>
      </c>
    </row>
    <row r="196" spans="1:11" x14ac:dyDescent="0.3">
      <c r="A196" s="3">
        <v>95500</v>
      </c>
      <c r="B196" s="4">
        <f t="shared" si="8"/>
        <v>7958.333333333333</v>
      </c>
      <c r="C196" s="157">
        <f t="shared" si="9"/>
        <v>0</v>
      </c>
      <c r="D196" s="158">
        <f t="shared" si="7"/>
        <v>0</v>
      </c>
      <c r="E196" s="164">
        <f>IF('Total income package'!$A$10=TRUE,SUM(EITC!C196:D196),0)</f>
        <v>0</v>
      </c>
    </row>
    <row r="197" spans="1:11" x14ac:dyDescent="0.3">
      <c r="A197" s="3">
        <v>96000</v>
      </c>
      <c r="B197" s="4">
        <f t="shared" si="8"/>
        <v>8000</v>
      </c>
      <c r="C197" s="157">
        <f t="shared" si="9"/>
        <v>0</v>
      </c>
      <c r="D197" s="158">
        <f t="shared" si="7"/>
        <v>0</v>
      </c>
      <c r="E197" s="164">
        <f>IF('Total income package'!$A$10=TRUE,SUM(EITC!C197:D197),0)</f>
        <v>0</v>
      </c>
    </row>
    <row r="198" spans="1:11" x14ac:dyDescent="0.3">
      <c r="A198" s="3">
        <v>96500</v>
      </c>
      <c r="B198" s="4">
        <f t="shared" si="8"/>
        <v>8041.666666666667</v>
      </c>
      <c r="C198" s="157">
        <f t="shared" si="9"/>
        <v>0</v>
      </c>
      <c r="D198" s="158">
        <f t="shared" ref="D198:D205" si="10">C198*0.2</f>
        <v>0</v>
      </c>
      <c r="E198" s="164">
        <f>IF('Total income package'!$A$10=TRUE,SUM(EITC!C198:D198),0)</f>
        <v>0</v>
      </c>
    </row>
    <row r="199" spans="1:11" x14ac:dyDescent="0.3">
      <c r="A199" s="3">
        <v>97000</v>
      </c>
      <c r="B199" s="4">
        <f t="shared" si="8"/>
        <v>8083.333333333333</v>
      </c>
      <c r="C199" s="157">
        <f t="shared" si="9"/>
        <v>0</v>
      </c>
      <c r="D199" s="158">
        <f t="shared" si="10"/>
        <v>0</v>
      </c>
      <c r="E199" s="164">
        <f>IF('Total income package'!$A$10=TRUE,SUM(EITC!C199:D199),0)</f>
        <v>0</v>
      </c>
    </row>
    <row r="200" spans="1:11" x14ac:dyDescent="0.3">
      <c r="A200" s="3">
        <v>97500</v>
      </c>
      <c r="B200" s="4">
        <f t="shared" ref="B200:B205" si="11">A200/12</f>
        <v>8125</v>
      </c>
      <c r="C200" s="157">
        <f t="shared" si="9"/>
        <v>0</v>
      </c>
      <c r="D200" s="158">
        <f t="shared" si="10"/>
        <v>0</v>
      </c>
      <c r="E200" s="164">
        <f>IF('Total income package'!$A$10=TRUE,SUM(EITC!C200:D200),0)</f>
        <v>0</v>
      </c>
    </row>
    <row r="201" spans="1:11" x14ac:dyDescent="0.3">
      <c r="A201" s="3">
        <v>98000</v>
      </c>
      <c r="B201" s="4">
        <f t="shared" si="11"/>
        <v>8166.666666666667</v>
      </c>
      <c r="C201" s="157">
        <f t="shared" si="9"/>
        <v>0</v>
      </c>
      <c r="D201" s="158">
        <f t="shared" si="10"/>
        <v>0</v>
      </c>
      <c r="E201" s="164">
        <f>IF('Total income package'!$A$10=TRUE,SUM(EITC!C201:D201),0)</f>
        <v>0</v>
      </c>
    </row>
    <row r="202" spans="1:11" x14ac:dyDescent="0.3">
      <c r="A202" s="3">
        <v>98500</v>
      </c>
      <c r="B202" s="4">
        <f t="shared" si="11"/>
        <v>8208.3333333333339</v>
      </c>
      <c r="C202" s="157">
        <f t="shared" si="9"/>
        <v>0</v>
      </c>
      <c r="D202" s="158">
        <f t="shared" si="10"/>
        <v>0</v>
      </c>
      <c r="E202" s="164">
        <f>IF('Total income package'!$A$10=TRUE,SUM(EITC!C202:D202),0)</f>
        <v>0</v>
      </c>
    </row>
    <row r="203" spans="1:11" x14ac:dyDescent="0.3">
      <c r="A203" s="3">
        <v>99000</v>
      </c>
      <c r="B203" s="4">
        <f t="shared" si="11"/>
        <v>8250</v>
      </c>
      <c r="C203" s="157">
        <f t="shared" si="9"/>
        <v>0</v>
      </c>
      <c r="D203" s="158">
        <f t="shared" si="10"/>
        <v>0</v>
      </c>
      <c r="E203" s="164">
        <f>IF('Total income package'!$A$10=TRUE,SUM(EITC!C203:D203),0)</f>
        <v>0</v>
      </c>
    </row>
    <row r="204" spans="1:11" x14ac:dyDescent="0.3">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3">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3">
      <c r="A207" s="116" t="s">
        <v>302</v>
      </c>
      <c r="B207" s="7"/>
      <c r="E207" s="76" t="s">
        <v>399</v>
      </c>
      <c r="K207">
        <f>1770/12</f>
        <v>147.5</v>
      </c>
    </row>
    <row r="208" spans="1:11" x14ac:dyDescent="0.3">
      <c r="A208" s="29">
        <f>B208*12</f>
        <v>17076</v>
      </c>
      <c r="B208" s="29">
        <f>'Total income package'!$B$90</f>
        <v>1423</v>
      </c>
      <c r="C208" s="157">
        <f>MAX(0,IF(A208&gt;$F$2,0,IF(AND(A208&lt;$F$2,A208&gt;=$K$2),$G$2-((A208-$K$2-1)*$I$2),IF(AND(A208&lt;$K$2,A208&gt;=$J$2),$G$2,IF(A208&lt;$J$2,A208*$H$2,0)))))</f>
        <v>6830.4000000000005</v>
      </c>
      <c r="D208" s="158">
        <f>C208*0.15</f>
        <v>1024.56</v>
      </c>
      <c r="E208" s="161">
        <f>IF('Total income package'!$A$10=TRUE,C208+D208,0)</f>
        <v>7854.9600000000009</v>
      </c>
      <c r="G208" s="7">
        <f>C208/12</f>
        <v>569.20000000000005</v>
      </c>
      <c r="H208" s="7">
        <f>E208/12</f>
        <v>654.58000000000004</v>
      </c>
    </row>
    <row r="209" spans="1:5" x14ac:dyDescent="0.3">
      <c r="A209" s="159" t="s">
        <v>303</v>
      </c>
      <c r="B209" s="29"/>
    </row>
    <row r="210" spans="1:5" x14ac:dyDescent="0.3">
      <c r="A210" s="29">
        <f>B210*12</f>
        <v>36000</v>
      </c>
      <c r="B210" s="29">
        <f>'Total income package'!$B$91</f>
        <v>3000</v>
      </c>
      <c r="C210" s="157">
        <f>MAX(0,IF(A210&gt;$F$2,0,IF(AND(A210&lt;$F$2,A210&gt;=$K$2),$G$2-((A210-$K$2-1)*$I$2),IF(AND(A210&lt;$K$2,A210&gt;=$J$2),$G$2,IF(A210&lt;$J$2,A210*$H$2,0)))))</f>
        <v>6296.9066000000003</v>
      </c>
      <c r="D210" s="158">
        <f>C210*0.15</f>
        <v>944.53598999999997</v>
      </c>
      <c r="E210" s="161">
        <f>IF('Total income package'!$A$10=TRUE,C210+D210,0)</f>
        <v>7241.4425900000006</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3"/>
  <cols>
    <col min="1" max="1" width="25" customWidth="1"/>
    <col min="2" max="2" width="13.6640625" customWidth="1"/>
    <col min="3" max="3" width="15.5546875" customWidth="1"/>
    <col min="4" max="4" width="13.6640625" style="8" customWidth="1"/>
    <col min="5" max="6" width="13.6640625" style="38" customWidth="1"/>
    <col min="7" max="7" width="16.88671875" style="29" customWidth="1"/>
    <col min="8" max="9" width="13.6640625" style="29" customWidth="1"/>
    <col min="10" max="10" width="24.109375" style="7" customWidth="1"/>
    <col min="11" max="12" width="23.44140625" style="7" customWidth="1"/>
    <col min="13" max="13" width="18.109375" customWidth="1"/>
    <col min="14" max="14" width="14.88671875" customWidth="1"/>
    <col min="15" max="15" width="19.44140625" customWidth="1"/>
    <col min="16" max="16" width="9.6640625" bestFit="1" customWidth="1"/>
    <col min="18" max="18" width="11.33203125" customWidth="1"/>
    <col min="19" max="19" width="13.88671875" customWidth="1"/>
    <col min="21" max="21" width="10.6640625" bestFit="1" customWidth="1"/>
    <col min="23" max="23" width="9.6640625" bestFit="1" customWidth="1"/>
    <col min="24" max="24" width="11.6640625" bestFit="1" customWidth="1"/>
    <col min="26" max="26" width="9.109375" bestFit="1" customWidth="1"/>
  </cols>
  <sheetData>
    <row r="1" spans="1:27" ht="11.25" customHeight="1" x14ac:dyDescent="0.3">
      <c r="A1" s="118" t="s">
        <v>271</v>
      </c>
      <c r="B1" s="102" t="s">
        <v>272</v>
      </c>
      <c r="C1" s="77" t="s">
        <v>304</v>
      </c>
      <c r="D1" s="119" t="s">
        <v>305</v>
      </c>
      <c r="F1" s="53">
        <f>K2*1.38</f>
        <v>4448.2</v>
      </c>
      <c r="J1"/>
      <c r="K1"/>
      <c r="L1"/>
      <c r="M1" s="81" t="s">
        <v>306</v>
      </c>
      <c r="N1" s="81" t="s">
        <v>307</v>
      </c>
      <c r="O1" s="81" t="s">
        <v>308</v>
      </c>
      <c r="P1" s="81" t="s">
        <v>309</v>
      </c>
    </row>
    <row r="2" spans="1:27" ht="11.25" customHeight="1" x14ac:dyDescent="0.3">
      <c r="A2" s="78" t="str">
        <f>'Total income package'!B3</f>
        <v xml:space="preserve">Buckingham </v>
      </c>
      <c r="B2" s="77">
        <f>'Total income package'!B32</f>
        <v>5</v>
      </c>
      <c r="C2" s="77">
        <f>'Total income package'!B30</f>
        <v>3</v>
      </c>
      <c r="D2" s="77">
        <f>'Total income package'!B31</f>
        <v>2</v>
      </c>
      <c r="E2" s="39"/>
      <c r="F2" s="39"/>
      <c r="G2" s="40"/>
      <c r="H2" s="40"/>
      <c r="I2" s="40"/>
      <c r="J2" s="119" t="s">
        <v>310</v>
      </c>
      <c r="K2" s="137">
        <f>VLOOKUP(B2,'Program specific data'!A6:D13,3,FALSE)</f>
        <v>3223.3333333333335</v>
      </c>
      <c r="L2" s="27" t="s">
        <v>311</v>
      </c>
      <c r="M2" s="138">
        <v>0</v>
      </c>
      <c r="N2" s="139">
        <f>K2*1.49</f>
        <v>4802.7666666666664</v>
      </c>
      <c r="O2" s="145">
        <v>0</v>
      </c>
      <c r="P2" s="145">
        <v>0</v>
      </c>
    </row>
    <row r="3" spans="1:27" ht="11.25" customHeight="1" x14ac:dyDescent="0.3">
      <c r="A3" s="198" t="s">
        <v>661</v>
      </c>
      <c r="B3" s="62"/>
      <c r="C3" s="198" t="s">
        <v>662</v>
      </c>
      <c r="D3" s="67"/>
      <c r="E3" s="42" t="s">
        <v>312</v>
      </c>
      <c r="F3" s="42"/>
      <c r="G3" s="43"/>
      <c r="H3" s="43"/>
      <c r="I3" s="43"/>
      <c r="K3" s="11"/>
      <c r="L3" s="135" t="s">
        <v>313</v>
      </c>
      <c r="M3" s="140">
        <f>K2*1.5</f>
        <v>4835</v>
      </c>
      <c r="N3" s="141">
        <f>K2*1.99</f>
        <v>6414.4333333333334</v>
      </c>
      <c r="O3" s="145">
        <v>0</v>
      </c>
      <c r="P3" s="145">
        <v>0.02</v>
      </c>
    </row>
    <row r="4" spans="1:27" ht="11.25" customHeight="1" x14ac:dyDescent="0.3">
      <c r="A4" s="198" t="s">
        <v>40</v>
      </c>
      <c r="B4" s="198">
        <f>'Total income package'!B37</f>
        <v>34</v>
      </c>
      <c r="C4" s="350">
        <f>IFERROR(VLOOKUP($A$2,'SLCSP premiums'!$A$4:$AV$137,HLOOKUP(B4,'SLCSP premiums'!$B$2:$AV$3,2,FALSE),FALSE),0)</f>
        <v>469</v>
      </c>
      <c r="D4" s="67"/>
      <c r="E4" s="44" t="s">
        <v>314</v>
      </c>
      <c r="I4" s="45"/>
      <c r="J4" s="21"/>
      <c r="K4" s="21"/>
      <c r="L4" s="135" t="s">
        <v>315</v>
      </c>
      <c r="M4" s="136">
        <f>K2*2</f>
        <v>6446.666666666667</v>
      </c>
      <c r="N4" s="141">
        <f>K2*2.49</f>
        <v>8026.1000000000013</v>
      </c>
      <c r="O4" s="145">
        <v>0.02</v>
      </c>
      <c r="P4" s="145">
        <v>0.04</v>
      </c>
    </row>
    <row r="5" spans="1:27" ht="11.25" customHeight="1" x14ac:dyDescent="0.3">
      <c r="A5" s="198" t="s">
        <v>41</v>
      </c>
      <c r="B5" s="198">
        <f>'Total income package'!B38</f>
        <v>28</v>
      </c>
      <c r="C5" s="350">
        <f>IFERROR(VLOOKUP($A$2,'SLCSP premiums'!$A$4:$AV$137,HLOOKUP(B5,'SLCSP premiums'!$B$2:$AV$3,2,FALSE),FALSE),0)</f>
        <v>420</v>
      </c>
      <c r="E5" s="46" t="s">
        <v>316</v>
      </c>
      <c r="F5" s="42"/>
      <c r="G5" s="43"/>
      <c r="I5" s="45"/>
      <c r="J5" s="21"/>
      <c r="K5" s="21"/>
      <c r="L5" s="135" t="s">
        <v>317</v>
      </c>
      <c r="M5" s="140">
        <f>K2*2.5</f>
        <v>8058.3333333333339</v>
      </c>
      <c r="N5" s="142">
        <f>K2*2.99</f>
        <v>9637.7666666666682</v>
      </c>
      <c r="O5" s="145">
        <v>0.04</v>
      </c>
      <c r="P5" s="145">
        <v>0.06</v>
      </c>
    </row>
    <row r="6" spans="1:27" ht="11.25" customHeight="1" x14ac:dyDescent="0.3">
      <c r="A6" s="198" t="s">
        <v>42</v>
      </c>
      <c r="B6" s="198">
        <f>'Total income package'!B39</f>
        <v>80</v>
      </c>
      <c r="C6" s="350">
        <f>IFERROR(VLOOKUP($A$2,'SLCSP premiums'!$A$4:$AV$137,HLOOKUP(B6,'SLCSP premiums'!$B$2:$AV$3,2,FALSE),FALSE),0)</f>
        <v>0</v>
      </c>
      <c r="F6" s="42"/>
      <c r="G6" s="43"/>
      <c r="H6" s="45"/>
      <c r="I6" s="45"/>
      <c r="J6" s="21"/>
      <c r="K6" s="21"/>
      <c r="L6" s="135" t="s">
        <v>318</v>
      </c>
      <c r="M6" s="136">
        <f>K2*3</f>
        <v>9670</v>
      </c>
      <c r="N6" s="141">
        <f>K2*3.99</f>
        <v>12861.100000000002</v>
      </c>
      <c r="O6" s="145">
        <v>0.06</v>
      </c>
      <c r="P6" s="145">
        <v>8.5000000000000006E-2</v>
      </c>
    </row>
    <row r="7" spans="1:27" ht="11.25" customHeight="1" x14ac:dyDescent="0.3">
      <c r="A7" s="198" t="s">
        <v>43</v>
      </c>
      <c r="B7" s="198">
        <f>'Total income package'!B40</f>
        <v>0</v>
      </c>
      <c r="C7" s="350">
        <f>IFERROR(VLOOKUP($A$2,'SLCSP premiums'!$A$4:$AV$137,HLOOKUP(B7,'SLCSP premiums'!$B$2:$AV$3,2,FALSE),FALSE),0)</f>
        <v>0</v>
      </c>
      <c r="L7" s="116" t="s">
        <v>320</v>
      </c>
      <c r="M7" s="143">
        <f>K2*4</f>
        <v>12893.333333333334</v>
      </c>
      <c r="N7" s="144">
        <f>500000/12</f>
        <v>41666.666666666664</v>
      </c>
      <c r="O7" s="146">
        <v>8.5000000000000006E-2</v>
      </c>
      <c r="P7" s="146">
        <v>8.5000000000000006E-2</v>
      </c>
      <c r="V7" s="21"/>
      <c r="W7" s="3"/>
      <c r="X7" s="3"/>
      <c r="Z7" s="41"/>
      <c r="AA7" s="41"/>
    </row>
    <row r="8" spans="1:27" ht="11.25" customHeight="1" x14ac:dyDescent="0.3">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3">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3">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3">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3">
      <c r="A12" s="198" t="s">
        <v>665</v>
      </c>
      <c r="B12" s="198"/>
      <c r="C12" s="78">
        <f>SUM(C4:C11)</f>
        <v>889</v>
      </c>
      <c r="L12" s="116"/>
      <c r="M12" s="143"/>
      <c r="N12" s="144"/>
      <c r="O12" s="146"/>
      <c r="P12" s="146"/>
      <c r="V12" s="21"/>
      <c r="W12" s="3"/>
      <c r="X12" s="3"/>
      <c r="Z12" s="41"/>
      <c r="AA12" s="41"/>
    </row>
    <row r="13" spans="1:27" ht="11.25" customHeight="1" x14ac:dyDescent="0.3">
      <c r="A13" s="349" t="s">
        <v>664</v>
      </c>
      <c r="B13" s="351">
        <f>D2</f>
        <v>2</v>
      </c>
      <c r="C13" s="350">
        <f>IFERROR(VLOOKUP($A$2,'SLCSP premiums'!A4:BE137,HLOOKUP(B13,'SLCSP premiums'!$B$2:$BE$3,2,FALSE),FALSE),0)</f>
        <v>375</v>
      </c>
      <c r="L13" s="116"/>
      <c r="M13" s="143"/>
      <c r="N13" s="144"/>
      <c r="O13" s="146"/>
      <c r="P13" s="146"/>
      <c r="V13" s="21"/>
      <c r="W13" s="3"/>
      <c r="X13" s="3"/>
      <c r="Z13" s="41"/>
      <c r="AA13" s="41"/>
    </row>
    <row r="14" spans="1:27" ht="15.75" customHeight="1" x14ac:dyDescent="0.3">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3">
      <c r="D15" s="8" t="s">
        <v>321</v>
      </c>
      <c r="K15" s="444" t="s">
        <v>322</v>
      </c>
      <c r="L15" s="444"/>
      <c r="Z15" s="41"/>
      <c r="AA15" s="41"/>
    </row>
    <row r="16" spans="1:27" ht="33" customHeight="1" x14ac:dyDescent="0.3">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3">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4802.7666666666664</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3">
      <c r="A18" s="3">
        <v>500</v>
      </c>
      <c r="B18" s="3">
        <f>A18/12</f>
        <v>41.666666666666664</v>
      </c>
      <c r="C18" s="3">
        <f>B18*0.0839</f>
        <v>3.4958333333333331</v>
      </c>
      <c r="D18" s="64">
        <f t="shared" si="0"/>
        <v>1.2926577042399171E-2</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4802.7666666666664</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ht="14.4" x14ac:dyDescent="0.3">
      <c r="A19" s="3">
        <v>1000</v>
      </c>
      <c r="B19" s="3">
        <f>A19/12</f>
        <v>83.333333333333329</v>
      </c>
      <c r="C19" s="3">
        <f>B19*0.0839</f>
        <v>6.9916666666666663</v>
      </c>
      <c r="D19" s="64">
        <f t="shared" si="0"/>
        <v>2.5853154084798342E-2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4802.7666666666664</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ht="14.4" x14ac:dyDescent="0.3">
      <c r="A20" s="3">
        <v>1500</v>
      </c>
      <c r="B20" s="3">
        <f t="shared" ref="B20:B83" si="10">A20/12</f>
        <v>125</v>
      </c>
      <c r="C20" s="3">
        <f t="shared" ref="C20:C83" si="11">B20*0.0839</f>
        <v>10.487500000000001</v>
      </c>
      <c r="D20" s="64">
        <f t="shared" si="0"/>
        <v>3.8779731127197514E-2</v>
      </c>
      <c r="E20" s="50">
        <f t="shared" si="4"/>
        <v>0</v>
      </c>
      <c r="F20" s="50">
        <f t="shared" si="5"/>
        <v>0</v>
      </c>
      <c r="G20" s="69">
        <f t="shared" si="6"/>
        <v>0</v>
      </c>
      <c r="H20" s="70">
        <f t="shared" si="7"/>
        <v>4802.7666666666664</v>
      </c>
      <c r="I20" s="70">
        <f t="shared" si="8"/>
        <v>0</v>
      </c>
      <c r="J20" s="53">
        <f t="shared" si="9"/>
        <v>0</v>
      </c>
      <c r="K20" s="53">
        <f t="shared" si="1"/>
        <v>0</v>
      </c>
      <c r="L20" s="289">
        <f t="shared" si="2"/>
        <v>0</v>
      </c>
      <c r="N20" s="7">
        <f t="shared" si="3"/>
        <v>0</v>
      </c>
      <c r="O20" t="str">
        <f>Medicaid!G12</f>
        <v>Yes</v>
      </c>
      <c r="P20" t="str">
        <f>Medicaid!K12</f>
        <v>Yes</v>
      </c>
    </row>
    <row r="21" spans="1:16" ht="14.4" x14ac:dyDescent="0.3">
      <c r="A21" s="3">
        <v>2000</v>
      </c>
      <c r="B21" s="3">
        <f t="shared" si="10"/>
        <v>166.66666666666666</v>
      </c>
      <c r="C21" s="3">
        <f t="shared" si="11"/>
        <v>13.983333333333333</v>
      </c>
      <c r="D21" s="64">
        <f t="shared" si="0"/>
        <v>5.1706308169596683E-2</v>
      </c>
      <c r="E21" s="50">
        <f t="shared" si="4"/>
        <v>0</v>
      </c>
      <c r="F21" s="50">
        <f t="shared" si="5"/>
        <v>0</v>
      </c>
      <c r="G21" s="69">
        <f t="shared" si="6"/>
        <v>0</v>
      </c>
      <c r="H21" s="70">
        <f t="shared" si="7"/>
        <v>4802.7666666666664</v>
      </c>
      <c r="I21" s="70">
        <f t="shared" si="8"/>
        <v>0</v>
      </c>
      <c r="J21" s="53">
        <f t="shared" si="9"/>
        <v>0</v>
      </c>
      <c r="K21" s="53">
        <f t="shared" si="1"/>
        <v>0</v>
      </c>
      <c r="L21" s="289">
        <f t="shared" si="2"/>
        <v>0</v>
      </c>
      <c r="N21" s="7">
        <f t="shared" si="3"/>
        <v>0</v>
      </c>
      <c r="O21" t="str">
        <f>Medicaid!G13</f>
        <v>Yes</v>
      </c>
      <c r="P21" t="str">
        <f>Medicaid!K13</f>
        <v>Yes</v>
      </c>
    </row>
    <row r="22" spans="1:16" ht="14.4" x14ac:dyDescent="0.3">
      <c r="A22" s="3">
        <v>2500</v>
      </c>
      <c r="B22" s="3">
        <f t="shared" si="10"/>
        <v>208.33333333333334</v>
      </c>
      <c r="C22" s="3">
        <f t="shared" si="11"/>
        <v>17.479166666666668</v>
      </c>
      <c r="D22" s="64">
        <f t="shared" si="0"/>
        <v>6.4632885211995866E-2</v>
      </c>
      <c r="E22" s="50">
        <f t="shared" si="4"/>
        <v>0</v>
      </c>
      <c r="F22" s="50">
        <f t="shared" si="5"/>
        <v>0</v>
      </c>
      <c r="G22" s="69">
        <f t="shared" si="6"/>
        <v>0</v>
      </c>
      <c r="H22" s="70">
        <f t="shared" si="7"/>
        <v>4802.7666666666664</v>
      </c>
      <c r="I22" s="70">
        <f t="shared" si="8"/>
        <v>0</v>
      </c>
      <c r="J22" s="53">
        <f t="shared" si="9"/>
        <v>0</v>
      </c>
      <c r="K22" s="53">
        <f t="shared" si="1"/>
        <v>0</v>
      </c>
      <c r="L22" s="289">
        <f t="shared" si="2"/>
        <v>0</v>
      </c>
      <c r="N22" s="7">
        <f t="shared" si="3"/>
        <v>0</v>
      </c>
      <c r="O22" t="str">
        <f>Medicaid!G14</f>
        <v>Yes</v>
      </c>
      <c r="P22" t="str">
        <f>Medicaid!K14</f>
        <v>Yes</v>
      </c>
    </row>
    <row r="23" spans="1:16" ht="14.4" x14ac:dyDescent="0.3">
      <c r="A23" s="3">
        <v>3000</v>
      </c>
      <c r="B23" s="3">
        <f t="shared" si="10"/>
        <v>250</v>
      </c>
      <c r="C23" s="3">
        <f t="shared" si="11"/>
        <v>20.975000000000001</v>
      </c>
      <c r="D23" s="64">
        <f t="shared" si="0"/>
        <v>7.7559462254395029E-2</v>
      </c>
      <c r="E23" s="50">
        <f t="shared" si="4"/>
        <v>0</v>
      </c>
      <c r="F23" s="50">
        <f t="shared" si="5"/>
        <v>0</v>
      </c>
      <c r="G23" s="69">
        <f t="shared" si="6"/>
        <v>0</v>
      </c>
      <c r="H23" s="70">
        <f t="shared" si="7"/>
        <v>4802.7666666666664</v>
      </c>
      <c r="I23" s="70">
        <f t="shared" si="8"/>
        <v>0</v>
      </c>
      <c r="J23" s="53">
        <f t="shared" si="9"/>
        <v>0</v>
      </c>
      <c r="K23" s="53">
        <f t="shared" si="1"/>
        <v>0</v>
      </c>
      <c r="L23" s="289">
        <f t="shared" si="2"/>
        <v>0</v>
      </c>
      <c r="N23" s="7">
        <f t="shared" si="3"/>
        <v>0</v>
      </c>
      <c r="O23" t="str">
        <f>Medicaid!G15</f>
        <v>Yes</v>
      </c>
      <c r="P23" t="str">
        <f>Medicaid!K15</f>
        <v>Yes</v>
      </c>
    </row>
    <row r="24" spans="1:16" ht="14.4" x14ac:dyDescent="0.3">
      <c r="A24" s="3">
        <v>3500</v>
      </c>
      <c r="B24" s="3">
        <f t="shared" si="10"/>
        <v>291.66666666666669</v>
      </c>
      <c r="C24" s="3">
        <f t="shared" si="11"/>
        <v>24.470833333333335</v>
      </c>
      <c r="D24" s="64">
        <f t="shared" si="0"/>
        <v>9.0486039296794205E-2</v>
      </c>
      <c r="E24" s="50">
        <f t="shared" si="4"/>
        <v>0</v>
      </c>
      <c r="F24" s="50">
        <f t="shared" si="5"/>
        <v>0</v>
      </c>
      <c r="G24" s="69">
        <f t="shared" si="6"/>
        <v>0</v>
      </c>
      <c r="H24" s="70">
        <f t="shared" si="7"/>
        <v>4802.7666666666664</v>
      </c>
      <c r="I24" s="70">
        <f t="shared" si="8"/>
        <v>0</v>
      </c>
      <c r="J24" s="53">
        <f t="shared" si="9"/>
        <v>0</v>
      </c>
      <c r="K24" s="53">
        <f t="shared" si="1"/>
        <v>0</v>
      </c>
      <c r="L24" s="289">
        <f t="shared" si="2"/>
        <v>0</v>
      </c>
      <c r="N24" s="7">
        <f t="shared" si="3"/>
        <v>0</v>
      </c>
      <c r="O24" t="str">
        <f>Medicaid!G16</f>
        <v>Yes</v>
      </c>
      <c r="P24" t="str">
        <f>Medicaid!K16</f>
        <v>Yes</v>
      </c>
    </row>
    <row r="25" spans="1:16" ht="14.4" x14ac:dyDescent="0.3">
      <c r="A25" s="3">
        <v>4000</v>
      </c>
      <c r="B25" s="3">
        <f t="shared" si="10"/>
        <v>333.33333333333331</v>
      </c>
      <c r="C25" s="3">
        <f t="shared" si="11"/>
        <v>27.966666666666665</v>
      </c>
      <c r="D25" s="64">
        <f t="shared" si="0"/>
        <v>0.10341261633919337</v>
      </c>
      <c r="E25" s="50">
        <f t="shared" si="4"/>
        <v>0</v>
      </c>
      <c r="F25" s="50">
        <f t="shared" si="5"/>
        <v>0</v>
      </c>
      <c r="G25" s="69">
        <f t="shared" si="6"/>
        <v>0</v>
      </c>
      <c r="H25" s="70">
        <f t="shared" si="7"/>
        <v>4802.7666666666664</v>
      </c>
      <c r="I25" s="70">
        <f t="shared" si="8"/>
        <v>0</v>
      </c>
      <c r="J25" s="53">
        <f t="shared" si="9"/>
        <v>0</v>
      </c>
      <c r="K25" s="53">
        <f t="shared" si="1"/>
        <v>0</v>
      </c>
      <c r="L25" s="289">
        <f t="shared" si="2"/>
        <v>0</v>
      </c>
      <c r="N25" s="7">
        <f t="shared" si="3"/>
        <v>0</v>
      </c>
      <c r="O25" t="str">
        <f>Medicaid!G17</f>
        <v>Yes</v>
      </c>
      <c r="P25" t="str">
        <f>Medicaid!K17</f>
        <v>Yes</v>
      </c>
    </row>
    <row r="26" spans="1:16" ht="14.4" x14ac:dyDescent="0.3">
      <c r="A26" s="3">
        <v>4500</v>
      </c>
      <c r="B26" s="3">
        <f t="shared" si="10"/>
        <v>375</v>
      </c>
      <c r="C26" s="3">
        <f t="shared" si="11"/>
        <v>31.462500000000002</v>
      </c>
      <c r="D26" s="64">
        <f t="shared" si="0"/>
        <v>0.11633919338159254</v>
      </c>
      <c r="E26" s="50">
        <f t="shared" si="4"/>
        <v>0</v>
      </c>
      <c r="F26" s="50">
        <f t="shared" si="5"/>
        <v>0</v>
      </c>
      <c r="G26" s="69">
        <f t="shared" si="6"/>
        <v>0</v>
      </c>
      <c r="H26" s="70">
        <f t="shared" si="7"/>
        <v>4802.7666666666664</v>
      </c>
      <c r="I26" s="70">
        <f t="shared" si="8"/>
        <v>0</v>
      </c>
      <c r="J26" s="53">
        <f t="shared" si="9"/>
        <v>0</v>
      </c>
      <c r="K26" s="53">
        <f t="shared" si="1"/>
        <v>0</v>
      </c>
      <c r="L26" s="289">
        <f t="shared" si="2"/>
        <v>0</v>
      </c>
      <c r="N26" s="7">
        <f t="shared" si="3"/>
        <v>0</v>
      </c>
      <c r="O26" t="str">
        <f>Medicaid!G18</f>
        <v>Yes</v>
      </c>
      <c r="P26" t="str">
        <f>Medicaid!K18</f>
        <v>Yes</v>
      </c>
    </row>
    <row r="27" spans="1:16" ht="14.4" x14ac:dyDescent="0.3">
      <c r="A27" s="3">
        <v>5000</v>
      </c>
      <c r="B27" s="3">
        <f t="shared" si="10"/>
        <v>416.66666666666669</v>
      </c>
      <c r="C27" s="3">
        <f t="shared" si="11"/>
        <v>34.958333333333336</v>
      </c>
      <c r="D27" s="64">
        <f t="shared" si="0"/>
        <v>0.12926577042399173</v>
      </c>
      <c r="E27" s="50">
        <f t="shared" si="4"/>
        <v>0</v>
      </c>
      <c r="F27" s="50">
        <f t="shared" si="5"/>
        <v>0</v>
      </c>
      <c r="G27" s="69">
        <f t="shared" si="6"/>
        <v>0</v>
      </c>
      <c r="H27" s="70">
        <f t="shared" si="7"/>
        <v>4802.7666666666664</v>
      </c>
      <c r="I27" s="70">
        <f t="shared" si="8"/>
        <v>0</v>
      </c>
      <c r="J27" s="53">
        <f t="shared" si="9"/>
        <v>0</v>
      </c>
      <c r="K27" s="53">
        <f t="shared" si="1"/>
        <v>0</v>
      </c>
      <c r="L27" s="289">
        <f t="shared" si="2"/>
        <v>0</v>
      </c>
      <c r="N27" s="7">
        <f t="shared" si="3"/>
        <v>0</v>
      </c>
      <c r="O27" t="str">
        <f>Medicaid!G19</f>
        <v>Yes</v>
      </c>
      <c r="P27" t="str">
        <f>Medicaid!K19</f>
        <v>Yes</v>
      </c>
    </row>
    <row r="28" spans="1:16" ht="14.4" x14ac:dyDescent="0.3">
      <c r="A28" s="3">
        <v>5500</v>
      </c>
      <c r="B28" s="3">
        <f t="shared" si="10"/>
        <v>458.33333333333331</v>
      </c>
      <c r="C28" s="3">
        <f t="shared" si="11"/>
        <v>38.454166666666666</v>
      </c>
      <c r="D28" s="64">
        <f t="shared" si="0"/>
        <v>0.14219234746639089</v>
      </c>
      <c r="E28" s="50">
        <f t="shared" si="4"/>
        <v>0</v>
      </c>
      <c r="F28" s="50">
        <f t="shared" si="5"/>
        <v>0</v>
      </c>
      <c r="G28" s="69">
        <f t="shared" si="6"/>
        <v>0</v>
      </c>
      <c r="H28" s="70">
        <f t="shared" si="7"/>
        <v>4802.7666666666664</v>
      </c>
      <c r="I28" s="70">
        <f t="shared" si="8"/>
        <v>0</v>
      </c>
      <c r="J28" s="53">
        <f t="shared" si="9"/>
        <v>0</v>
      </c>
      <c r="K28" s="53">
        <f t="shared" si="1"/>
        <v>0</v>
      </c>
      <c r="L28" s="289">
        <f t="shared" si="2"/>
        <v>0</v>
      </c>
      <c r="N28" s="7">
        <f t="shared" si="3"/>
        <v>0</v>
      </c>
      <c r="O28" t="str">
        <f>Medicaid!G20</f>
        <v>Yes</v>
      </c>
      <c r="P28" t="str">
        <f>Medicaid!K20</f>
        <v>Yes</v>
      </c>
    </row>
    <row r="29" spans="1:16" ht="14.4" x14ac:dyDescent="0.3">
      <c r="A29" s="3">
        <v>6000</v>
      </c>
      <c r="B29" s="3">
        <f t="shared" si="10"/>
        <v>500</v>
      </c>
      <c r="C29" s="3">
        <f t="shared" si="11"/>
        <v>41.95</v>
      </c>
      <c r="D29" s="64">
        <f t="shared" si="0"/>
        <v>0.15511892450879006</v>
      </c>
      <c r="E29" s="50">
        <f t="shared" si="4"/>
        <v>0</v>
      </c>
      <c r="F29" s="50">
        <f t="shared" si="5"/>
        <v>0</v>
      </c>
      <c r="G29" s="69">
        <f t="shared" si="6"/>
        <v>0</v>
      </c>
      <c r="H29" s="70">
        <f t="shared" si="7"/>
        <v>4802.7666666666664</v>
      </c>
      <c r="I29" s="70">
        <f t="shared" si="8"/>
        <v>0</v>
      </c>
      <c r="J29" s="53">
        <f t="shared" si="9"/>
        <v>0</v>
      </c>
      <c r="K29" s="53">
        <f t="shared" si="1"/>
        <v>0</v>
      </c>
      <c r="L29" s="289">
        <f t="shared" si="2"/>
        <v>0</v>
      </c>
      <c r="N29" s="7">
        <f t="shared" si="3"/>
        <v>0</v>
      </c>
      <c r="O29" t="str">
        <f>Medicaid!G21</f>
        <v>Yes</v>
      </c>
      <c r="P29" t="str">
        <f>Medicaid!K21</f>
        <v>Yes</v>
      </c>
    </row>
    <row r="30" spans="1:16" ht="14.4" x14ac:dyDescent="0.3">
      <c r="A30" s="3">
        <v>6500</v>
      </c>
      <c r="B30" s="3">
        <f t="shared" si="10"/>
        <v>541.66666666666663</v>
      </c>
      <c r="C30" s="3">
        <f t="shared" si="11"/>
        <v>45.445833333333333</v>
      </c>
      <c r="D30" s="64">
        <f t="shared" si="0"/>
        <v>0.16804550155118922</v>
      </c>
      <c r="E30" s="50">
        <f t="shared" si="4"/>
        <v>0</v>
      </c>
      <c r="F30" s="50">
        <f t="shared" si="5"/>
        <v>0</v>
      </c>
      <c r="G30" s="69">
        <f t="shared" si="6"/>
        <v>0</v>
      </c>
      <c r="H30" s="70">
        <f t="shared" si="7"/>
        <v>4802.7666666666664</v>
      </c>
      <c r="I30" s="70">
        <f t="shared" si="8"/>
        <v>0</v>
      </c>
      <c r="J30" s="53">
        <f t="shared" si="9"/>
        <v>0</v>
      </c>
      <c r="K30" s="53">
        <f t="shared" si="1"/>
        <v>0</v>
      </c>
      <c r="L30" s="289">
        <f t="shared" si="2"/>
        <v>0</v>
      </c>
      <c r="N30" s="7">
        <f t="shared" si="3"/>
        <v>0</v>
      </c>
      <c r="O30" t="str">
        <f>Medicaid!G22</f>
        <v>Yes</v>
      </c>
      <c r="P30" t="str">
        <f>Medicaid!K22</f>
        <v>Yes</v>
      </c>
    </row>
    <row r="31" spans="1:16" ht="14.4" x14ac:dyDescent="0.3">
      <c r="A31" s="3">
        <v>7000</v>
      </c>
      <c r="B31" s="3">
        <f t="shared" si="10"/>
        <v>583.33333333333337</v>
      </c>
      <c r="C31" s="3">
        <f t="shared" si="11"/>
        <v>48.94166666666667</v>
      </c>
      <c r="D31" s="64">
        <f t="shared" si="0"/>
        <v>0.18097207859358841</v>
      </c>
      <c r="E31" s="50">
        <f t="shared" si="4"/>
        <v>0</v>
      </c>
      <c r="F31" s="50">
        <f t="shared" si="5"/>
        <v>0</v>
      </c>
      <c r="G31" s="69">
        <f t="shared" si="6"/>
        <v>0</v>
      </c>
      <c r="H31" s="70">
        <f t="shared" si="7"/>
        <v>4802.7666666666664</v>
      </c>
      <c r="I31" s="70">
        <f t="shared" si="8"/>
        <v>0</v>
      </c>
      <c r="J31" s="53">
        <f t="shared" si="9"/>
        <v>0</v>
      </c>
      <c r="K31" s="53">
        <f t="shared" si="1"/>
        <v>0</v>
      </c>
      <c r="L31" s="289">
        <f t="shared" si="2"/>
        <v>0</v>
      </c>
      <c r="N31" s="7">
        <f t="shared" si="3"/>
        <v>0</v>
      </c>
      <c r="O31" t="str">
        <f>Medicaid!G23</f>
        <v>Yes</v>
      </c>
      <c r="P31" t="str">
        <f>Medicaid!K23</f>
        <v>Yes</v>
      </c>
    </row>
    <row r="32" spans="1:16" ht="14.4" x14ac:dyDescent="0.3">
      <c r="A32" s="3">
        <v>7500</v>
      </c>
      <c r="B32" s="3">
        <f t="shared" si="10"/>
        <v>625</v>
      </c>
      <c r="C32" s="3">
        <f t="shared" si="11"/>
        <v>52.4375</v>
      </c>
      <c r="D32" s="64">
        <f t="shared" si="0"/>
        <v>0.19389865563598757</v>
      </c>
      <c r="E32" s="50">
        <f t="shared" si="4"/>
        <v>0</v>
      </c>
      <c r="F32" s="50">
        <f t="shared" si="5"/>
        <v>0</v>
      </c>
      <c r="G32" s="69">
        <f t="shared" si="6"/>
        <v>0</v>
      </c>
      <c r="H32" s="70">
        <f t="shared" si="7"/>
        <v>4802.7666666666664</v>
      </c>
      <c r="I32" s="70">
        <f t="shared" si="8"/>
        <v>0</v>
      </c>
      <c r="J32" s="53">
        <f t="shared" si="9"/>
        <v>0</v>
      </c>
      <c r="K32" s="53">
        <f t="shared" si="1"/>
        <v>0</v>
      </c>
      <c r="L32" s="289">
        <f t="shared" si="2"/>
        <v>0</v>
      </c>
      <c r="N32" s="7">
        <f t="shared" si="3"/>
        <v>0</v>
      </c>
      <c r="O32" t="str">
        <f>Medicaid!G24</f>
        <v>Yes</v>
      </c>
      <c r="P32" t="str">
        <f>Medicaid!K24</f>
        <v>Yes</v>
      </c>
    </row>
    <row r="33" spans="1:16" ht="14.4" x14ac:dyDescent="0.3">
      <c r="A33" s="3">
        <v>8000</v>
      </c>
      <c r="B33" s="3">
        <f t="shared" si="10"/>
        <v>666.66666666666663</v>
      </c>
      <c r="C33" s="3">
        <f t="shared" si="11"/>
        <v>55.93333333333333</v>
      </c>
      <c r="D33" s="64">
        <f t="shared" si="0"/>
        <v>0.20682523267838673</v>
      </c>
      <c r="E33" s="50">
        <f t="shared" si="4"/>
        <v>0</v>
      </c>
      <c r="F33" s="50">
        <f t="shared" si="5"/>
        <v>0</v>
      </c>
      <c r="G33" s="69">
        <f t="shared" si="6"/>
        <v>0</v>
      </c>
      <c r="H33" s="70">
        <f t="shared" si="7"/>
        <v>4802.7666666666664</v>
      </c>
      <c r="I33" s="70">
        <f t="shared" si="8"/>
        <v>0</v>
      </c>
      <c r="J33" s="53">
        <f t="shared" si="9"/>
        <v>0</v>
      </c>
      <c r="K33" s="53">
        <f t="shared" si="1"/>
        <v>0</v>
      </c>
      <c r="L33" s="289">
        <f t="shared" si="2"/>
        <v>0</v>
      </c>
      <c r="N33" s="7">
        <f t="shared" si="3"/>
        <v>0</v>
      </c>
      <c r="O33" t="str">
        <f>Medicaid!G25</f>
        <v>Yes</v>
      </c>
      <c r="P33" t="str">
        <f>Medicaid!K25</f>
        <v>Yes</v>
      </c>
    </row>
    <row r="34" spans="1:16" ht="14.4" x14ac:dyDescent="0.3">
      <c r="A34" s="3">
        <v>8500</v>
      </c>
      <c r="B34" s="3">
        <f t="shared" si="10"/>
        <v>708.33333333333337</v>
      </c>
      <c r="C34" s="3">
        <f t="shared" si="11"/>
        <v>59.429166666666674</v>
      </c>
      <c r="D34" s="64">
        <f t="shared" si="0"/>
        <v>0.21975180972078595</v>
      </c>
      <c r="E34" s="50">
        <f t="shared" si="4"/>
        <v>0</v>
      </c>
      <c r="F34" s="50">
        <f t="shared" si="5"/>
        <v>0</v>
      </c>
      <c r="G34" s="69">
        <f t="shared" si="6"/>
        <v>0</v>
      </c>
      <c r="H34" s="70">
        <f t="shared" si="7"/>
        <v>4802.7666666666664</v>
      </c>
      <c r="I34" s="70">
        <f t="shared" si="8"/>
        <v>0</v>
      </c>
      <c r="J34" s="53">
        <f t="shared" si="9"/>
        <v>0</v>
      </c>
      <c r="K34" s="53">
        <f t="shared" si="1"/>
        <v>0</v>
      </c>
      <c r="L34" s="289">
        <f t="shared" si="2"/>
        <v>0</v>
      </c>
      <c r="N34" s="7">
        <f t="shared" si="3"/>
        <v>0</v>
      </c>
      <c r="O34" t="str">
        <f>Medicaid!G26</f>
        <v>Yes</v>
      </c>
      <c r="P34" t="str">
        <f>Medicaid!K26</f>
        <v>Yes</v>
      </c>
    </row>
    <row r="35" spans="1:16" ht="14.4" x14ac:dyDescent="0.3">
      <c r="A35" s="3">
        <v>9000</v>
      </c>
      <c r="B35" s="3">
        <f t="shared" si="10"/>
        <v>750</v>
      </c>
      <c r="C35" s="3">
        <f t="shared" si="11"/>
        <v>62.925000000000004</v>
      </c>
      <c r="D35" s="64">
        <f t="shared" si="0"/>
        <v>0.23267838676318509</v>
      </c>
      <c r="E35" s="50">
        <f t="shared" si="4"/>
        <v>0</v>
      </c>
      <c r="F35" s="50">
        <f t="shared" si="5"/>
        <v>0</v>
      </c>
      <c r="G35" s="69">
        <f t="shared" si="6"/>
        <v>0</v>
      </c>
      <c r="H35" s="70">
        <f t="shared" si="7"/>
        <v>4802.7666666666664</v>
      </c>
      <c r="I35" s="70">
        <f t="shared" si="8"/>
        <v>0</v>
      </c>
      <c r="J35" s="53">
        <f t="shared" si="9"/>
        <v>0</v>
      </c>
      <c r="K35" s="53">
        <f t="shared" si="1"/>
        <v>0</v>
      </c>
      <c r="L35" s="289">
        <f t="shared" si="2"/>
        <v>0</v>
      </c>
      <c r="N35" s="7">
        <f t="shared" si="3"/>
        <v>0</v>
      </c>
      <c r="O35" t="str">
        <f>Medicaid!G27</f>
        <v>Yes</v>
      </c>
      <c r="P35" t="str">
        <f>Medicaid!K27</f>
        <v>Yes</v>
      </c>
    </row>
    <row r="36" spans="1:16" ht="14.4" x14ac:dyDescent="0.3">
      <c r="A36" s="3">
        <v>9500</v>
      </c>
      <c r="B36" s="3">
        <f t="shared" si="10"/>
        <v>791.66666666666663</v>
      </c>
      <c r="C36" s="3">
        <f t="shared" si="11"/>
        <v>66.420833333333334</v>
      </c>
      <c r="D36" s="64">
        <f t="shared" si="0"/>
        <v>0.24560496380558425</v>
      </c>
      <c r="E36" s="50">
        <f t="shared" si="4"/>
        <v>0</v>
      </c>
      <c r="F36" s="50">
        <f t="shared" si="5"/>
        <v>0</v>
      </c>
      <c r="G36" s="69">
        <f t="shared" si="6"/>
        <v>0</v>
      </c>
      <c r="H36" s="70">
        <f t="shared" si="7"/>
        <v>4802.7666666666664</v>
      </c>
      <c r="I36" s="70">
        <f t="shared" si="8"/>
        <v>0</v>
      </c>
      <c r="J36" s="53">
        <f t="shared" si="9"/>
        <v>0</v>
      </c>
      <c r="K36" s="53">
        <f t="shared" si="1"/>
        <v>0</v>
      </c>
      <c r="L36" s="289">
        <f t="shared" si="2"/>
        <v>0</v>
      </c>
      <c r="N36" s="7">
        <f t="shared" si="3"/>
        <v>0</v>
      </c>
      <c r="O36" t="str">
        <f>Medicaid!G28</f>
        <v>Yes</v>
      </c>
      <c r="P36" t="str">
        <f>Medicaid!K28</f>
        <v>Yes</v>
      </c>
    </row>
    <row r="37" spans="1:16" ht="14.4" x14ac:dyDescent="0.3">
      <c r="A37" s="3">
        <v>10000</v>
      </c>
      <c r="B37" s="3">
        <f t="shared" si="10"/>
        <v>833.33333333333337</v>
      </c>
      <c r="C37" s="3">
        <f t="shared" si="11"/>
        <v>69.916666666666671</v>
      </c>
      <c r="D37" s="64">
        <f t="shared" si="0"/>
        <v>0.25853154084798347</v>
      </c>
      <c r="E37" s="50">
        <f t="shared" si="4"/>
        <v>0</v>
      </c>
      <c r="F37" s="50">
        <f t="shared" si="5"/>
        <v>0</v>
      </c>
      <c r="G37" s="69">
        <f t="shared" si="6"/>
        <v>0</v>
      </c>
      <c r="H37" s="70">
        <f t="shared" si="7"/>
        <v>4802.7666666666664</v>
      </c>
      <c r="I37" s="70">
        <f t="shared" si="8"/>
        <v>0</v>
      </c>
      <c r="J37" s="53">
        <f t="shared" si="9"/>
        <v>0</v>
      </c>
      <c r="K37" s="53">
        <f t="shared" si="1"/>
        <v>0</v>
      </c>
      <c r="L37" s="289">
        <f t="shared" si="2"/>
        <v>0</v>
      </c>
      <c r="N37" s="7">
        <f t="shared" si="3"/>
        <v>0</v>
      </c>
      <c r="O37" t="str">
        <f>Medicaid!G29</f>
        <v>Yes</v>
      </c>
      <c r="P37" t="str">
        <f>Medicaid!K29</f>
        <v>Yes</v>
      </c>
    </row>
    <row r="38" spans="1:16" ht="14.4" x14ac:dyDescent="0.3">
      <c r="A38" s="3">
        <v>10500</v>
      </c>
      <c r="B38" s="3">
        <f t="shared" si="10"/>
        <v>875</v>
      </c>
      <c r="C38" s="3">
        <f t="shared" si="11"/>
        <v>73.412500000000009</v>
      </c>
      <c r="D38" s="64">
        <f t="shared" si="0"/>
        <v>0.2714581178903826</v>
      </c>
      <c r="E38" s="50">
        <f t="shared" si="4"/>
        <v>0</v>
      </c>
      <c r="F38" s="50">
        <f t="shared" si="5"/>
        <v>0</v>
      </c>
      <c r="G38" s="69">
        <f t="shared" si="6"/>
        <v>0</v>
      </c>
      <c r="H38" s="70">
        <f t="shared" si="7"/>
        <v>4802.7666666666664</v>
      </c>
      <c r="I38" s="70">
        <f t="shared" si="8"/>
        <v>0</v>
      </c>
      <c r="J38" s="53">
        <f t="shared" si="9"/>
        <v>0</v>
      </c>
      <c r="K38" s="53">
        <f t="shared" si="1"/>
        <v>0</v>
      </c>
      <c r="L38" s="289">
        <f t="shared" si="2"/>
        <v>0</v>
      </c>
      <c r="N38" s="7">
        <f t="shared" si="3"/>
        <v>0</v>
      </c>
      <c r="O38" t="str">
        <f>Medicaid!G30</f>
        <v>Yes</v>
      </c>
      <c r="P38" t="str">
        <f>Medicaid!K30</f>
        <v>Yes</v>
      </c>
    </row>
    <row r="39" spans="1:16" ht="14.4" x14ac:dyDescent="0.3">
      <c r="A39" s="3">
        <v>11000</v>
      </c>
      <c r="B39" s="3">
        <f t="shared" si="10"/>
        <v>916.66666666666663</v>
      </c>
      <c r="C39" s="3">
        <f t="shared" si="11"/>
        <v>76.908333333333331</v>
      </c>
      <c r="D39" s="64">
        <f t="shared" si="0"/>
        <v>0.28438469493278179</v>
      </c>
      <c r="E39" s="50">
        <f t="shared" si="4"/>
        <v>0</v>
      </c>
      <c r="F39" s="50">
        <f t="shared" si="5"/>
        <v>0</v>
      </c>
      <c r="G39" s="69">
        <f t="shared" si="6"/>
        <v>0</v>
      </c>
      <c r="H39" s="70">
        <f t="shared" si="7"/>
        <v>4802.7666666666664</v>
      </c>
      <c r="I39" s="70">
        <f t="shared" si="8"/>
        <v>0</v>
      </c>
      <c r="J39" s="53">
        <f t="shared" si="9"/>
        <v>0</v>
      </c>
      <c r="K39" s="53">
        <f t="shared" si="1"/>
        <v>0</v>
      </c>
      <c r="L39" s="289">
        <f t="shared" si="2"/>
        <v>0</v>
      </c>
      <c r="N39" s="7">
        <f t="shared" si="3"/>
        <v>0</v>
      </c>
      <c r="O39" t="str">
        <f>Medicaid!G31</f>
        <v>Yes</v>
      </c>
      <c r="P39" t="str">
        <f>Medicaid!K31</f>
        <v>Yes</v>
      </c>
    </row>
    <row r="40" spans="1:16" ht="14.4" x14ac:dyDescent="0.3">
      <c r="A40" s="3">
        <v>11500</v>
      </c>
      <c r="B40" s="3">
        <f t="shared" si="10"/>
        <v>958.33333333333337</v>
      </c>
      <c r="C40" s="3">
        <f t="shared" si="11"/>
        <v>80.404166666666669</v>
      </c>
      <c r="D40" s="64">
        <f t="shared" si="0"/>
        <v>0.29731127197518098</v>
      </c>
      <c r="E40" s="50">
        <f t="shared" si="4"/>
        <v>0</v>
      </c>
      <c r="F40" s="50">
        <f t="shared" si="5"/>
        <v>0</v>
      </c>
      <c r="G40" s="69">
        <f t="shared" si="6"/>
        <v>0</v>
      </c>
      <c r="H40" s="70">
        <f t="shared" si="7"/>
        <v>4802.7666666666664</v>
      </c>
      <c r="I40" s="70">
        <f t="shared" si="8"/>
        <v>0</v>
      </c>
      <c r="J40" s="53">
        <f t="shared" si="9"/>
        <v>0</v>
      </c>
      <c r="K40" s="53">
        <f t="shared" si="1"/>
        <v>0</v>
      </c>
      <c r="L40" s="289">
        <f t="shared" si="2"/>
        <v>0</v>
      </c>
      <c r="N40" s="7">
        <f t="shared" si="3"/>
        <v>0</v>
      </c>
      <c r="O40" t="str">
        <f>Medicaid!G32</f>
        <v>Yes</v>
      </c>
      <c r="P40" t="str">
        <f>Medicaid!K32</f>
        <v>Yes</v>
      </c>
    </row>
    <row r="41" spans="1:16" ht="14.4" x14ac:dyDescent="0.3">
      <c r="A41" s="3">
        <v>12000</v>
      </c>
      <c r="B41" s="3">
        <f t="shared" si="10"/>
        <v>1000</v>
      </c>
      <c r="C41" s="3">
        <f t="shared" si="11"/>
        <v>83.9</v>
      </c>
      <c r="D41" s="64">
        <f t="shared" si="0"/>
        <v>0.31023784901758011</v>
      </c>
      <c r="E41" s="50">
        <f t="shared" si="4"/>
        <v>0</v>
      </c>
      <c r="F41" s="50">
        <f t="shared" si="5"/>
        <v>0</v>
      </c>
      <c r="G41" s="69">
        <f t="shared" si="6"/>
        <v>0</v>
      </c>
      <c r="H41" s="70">
        <f t="shared" si="7"/>
        <v>4802.7666666666664</v>
      </c>
      <c r="I41" s="70">
        <f t="shared" si="8"/>
        <v>0</v>
      </c>
      <c r="J41" s="53">
        <f t="shared" si="9"/>
        <v>0</v>
      </c>
      <c r="K41" s="53">
        <f t="shared" si="1"/>
        <v>0</v>
      </c>
      <c r="L41" s="289">
        <f t="shared" si="2"/>
        <v>0</v>
      </c>
      <c r="N41" s="7">
        <f t="shared" si="3"/>
        <v>0</v>
      </c>
      <c r="O41" t="str">
        <f>Medicaid!G33</f>
        <v>Yes</v>
      </c>
      <c r="P41" t="str">
        <f>Medicaid!K33</f>
        <v>Yes</v>
      </c>
    </row>
    <row r="42" spans="1:16" ht="14.4" x14ac:dyDescent="0.3">
      <c r="A42" s="3">
        <v>12500</v>
      </c>
      <c r="B42" s="3">
        <f t="shared" si="10"/>
        <v>1041.6666666666667</v>
      </c>
      <c r="C42" s="3">
        <f t="shared" si="11"/>
        <v>87.395833333333343</v>
      </c>
      <c r="D42" s="64">
        <f t="shared" si="0"/>
        <v>0.3231644260599793</v>
      </c>
      <c r="E42" s="50">
        <f t="shared" si="4"/>
        <v>0</v>
      </c>
      <c r="F42" s="50">
        <f t="shared" si="5"/>
        <v>0</v>
      </c>
      <c r="G42" s="69">
        <f t="shared" si="6"/>
        <v>0</v>
      </c>
      <c r="H42" s="70">
        <f t="shared" si="7"/>
        <v>4802.7666666666664</v>
      </c>
      <c r="I42" s="70">
        <f t="shared" si="8"/>
        <v>0</v>
      </c>
      <c r="J42" s="53">
        <f t="shared" si="9"/>
        <v>0</v>
      </c>
      <c r="K42" s="53">
        <f t="shared" si="1"/>
        <v>0</v>
      </c>
      <c r="L42" s="289">
        <f t="shared" si="2"/>
        <v>0</v>
      </c>
      <c r="N42" s="7">
        <f t="shared" si="3"/>
        <v>0</v>
      </c>
      <c r="O42" t="str">
        <f>Medicaid!G34</f>
        <v>Yes</v>
      </c>
      <c r="P42" t="str">
        <f>Medicaid!K34</f>
        <v>Yes</v>
      </c>
    </row>
    <row r="43" spans="1:16" ht="14.4" x14ac:dyDescent="0.3">
      <c r="A43" s="3">
        <v>13000</v>
      </c>
      <c r="B43" s="3">
        <f t="shared" si="10"/>
        <v>1083.3333333333333</v>
      </c>
      <c r="C43" s="3">
        <f t="shared" si="11"/>
        <v>90.891666666666666</v>
      </c>
      <c r="D43" s="64">
        <f t="shared" si="0"/>
        <v>0.33609100310237844</v>
      </c>
      <c r="E43" s="50">
        <f t="shared" si="4"/>
        <v>0</v>
      </c>
      <c r="F43" s="50">
        <f t="shared" si="5"/>
        <v>0</v>
      </c>
      <c r="G43" s="69">
        <f t="shared" si="6"/>
        <v>0</v>
      </c>
      <c r="H43" s="70">
        <f t="shared" si="7"/>
        <v>4802.7666666666664</v>
      </c>
      <c r="I43" s="70">
        <f t="shared" si="8"/>
        <v>0</v>
      </c>
      <c r="J43" s="53">
        <f t="shared" si="9"/>
        <v>0</v>
      </c>
      <c r="K43" s="53">
        <f t="shared" si="1"/>
        <v>0</v>
      </c>
      <c r="L43" s="289">
        <f t="shared" si="2"/>
        <v>0</v>
      </c>
      <c r="N43" s="7">
        <f t="shared" si="3"/>
        <v>0</v>
      </c>
      <c r="O43" t="str">
        <f>Medicaid!G35</f>
        <v>Yes</v>
      </c>
      <c r="P43" t="str">
        <f>Medicaid!K35</f>
        <v>Yes</v>
      </c>
    </row>
    <row r="44" spans="1:16" ht="14.4" x14ac:dyDescent="0.3">
      <c r="A44" s="3">
        <v>13500</v>
      </c>
      <c r="B44" s="3">
        <f t="shared" si="10"/>
        <v>1125</v>
      </c>
      <c r="C44" s="3">
        <f t="shared" si="11"/>
        <v>94.387500000000003</v>
      </c>
      <c r="D44" s="64">
        <f t="shared" si="0"/>
        <v>0.34901758014477763</v>
      </c>
      <c r="E44" s="50">
        <f t="shared" si="4"/>
        <v>0</v>
      </c>
      <c r="F44" s="50">
        <f t="shared" si="5"/>
        <v>0</v>
      </c>
      <c r="G44" s="69">
        <f t="shared" si="6"/>
        <v>0</v>
      </c>
      <c r="H44" s="70">
        <f t="shared" si="7"/>
        <v>4802.7666666666664</v>
      </c>
      <c r="I44" s="70">
        <f t="shared" si="8"/>
        <v>0</v>
      </c>
      <c r="J44" s="53">
        <f t="shared" si="9"/>
        <v>0</v>
      </c>
      <c r="K44" s="53">
        <f t="shared" si="1"/>
        <v>0</v>
      </c>
      <c r="L44" s="289">
        <f t="shared" si="2"/>
        <v>0</v>
      </c>
      <c r="N44" s="7">
        <f t="shared" si="3"/>
        <v>0</v>
      </c>
      <c r="O44" t="str">
        <f>Medicaid!G36</f>
        <v>Yes</v>
      </c>
      <c r="P44" t="str">
        <f>Medicaid!K36</f>
        <v>Yes</v>
      </c>
    </row>
    <row r="45" spans="1:16" ht="14.4" x14ac:dyDescent="0.3">
      <c r="A45" s="3">
        <v>14000</v>
      </c>
      <c r="B45" s="3">
        <f t="shared" si="10"/>
        <v>1166.6666666666667</v>
      </c>
      <c r="C45" s="3">
        <f t="shared" si="11"/>
        <v>97.88333333333334</v>
      </c>
      <c r="D45" s="64">
        <f t="shared" si="0"/>
        <v>0.36194415718717682</v>
      </c>
      <c r="E45" s="50">
        <f t="shared" si="4"/>
        <v>0</v>
      </c>
      <c r="F45" s="50">
        <f t="shared" si="5"/>
        <v>0</v>
      </c>
      <c r="G45" s="69">
        <f t="shared" si="6"/>
        <v>0</v>
      </c>
      <c r="H45" s="70">
        <f t="shared" si="7"/>
        <v>4802.7666666666664</v>
      </c>
      <c r="I45" s="70">
        <f t="shared" si="8"/>
        <v>0</v>
      </c>
      <c r="J45" s="53">
        <f t="shared" si="9"/>
        <v>0</v>
      </c>
      <c r="K45" s="53">
        <f t="shared" si="1"/>
        <v>0</v>
      </c>
      <c r="L45" s="289">
        <f t="shared" si="2"/>
        <v>0</v>
      </c>
      <c r="N45" s="7">
        <f t="shared" si="3"/>
        <v>0</v>
      </c>
      <c r="O45" t="str">
        <f>Medicaid!G37</f>
        <v>Yes</v>
      </c>
      <c r="P45" t="str">
        <f>Medicaid!K37</f>
        <v>Yes</v>
      </c>
    </row>
    <row r="46" spans="1:16" ht="14.4" x14ac:dyDescent="0.3">
      <c r="A46" s="3">
        <v>14500</v>
      </c>
      <c r="B46" s="3">
        <f t="shared" si="10"/>
        <v>1208.3333333333333</v>
      </c>
      <c r="C46" s="3">
        <f t="shared" si="11"/>
        <v>101.37916666666666</v>
      </c>
      <c r="D46" s="64">
        <f t="shared" si="0"/>
        <v>0.37487073422957595</v>
      </c>
      <c r="E46" s="50">
        <f t="shared" si="4"/>
        <v>0</v>
      </c>
      <c r="F46" s="50">
        <f t="shared" si="5"/>
        <v>0</v>
      </c>
      <c r="G46" s="69">
        <f t="shared" si="6"/>
        <v>0</v>
      </c>
      <c r="H46" s="70">
        <f t="shared" si="7"/>
        <v>4802.7666666666664</v>
      </c>
      <c r="I46" s="70">
        <f t="shared" si="8"/>
        <v>0</v>
      </c>
      <c r="J46" s="53">
        <f t="shared" si="9"/>
        <v>0</v>
      </c>
      <c r="K46" s="53">
        <f t="shared" si="1"/>
        <v>0</v>
      </c>
      <c r="L46" s="289">
        <f t="shared" si="2"/>
        <v>0</v>
      </c>
      <c r="N46" s="7">
        <f t="shared" si="3"/>
        <v>0</v>
      </c>
      <c r="O46" t="str">
        <f>Medicaid!G38</f>
        <v>Yes</v>
      </c>
      <c r="P46" t="str">
        <f>Medicaid!K38</f>
        <v>Yes</v>
      </c>
    </row>
    <row r="47" spans="1:16" ht="14.4" x14ac:dyDescent="0.3">
      <c r="A47" s="3">
        <v>15000</v>
      </c>
      <c r="B47" s="3">
        <f t="shared" si="10"/>
        <v>1250</v>
      </c>
      <c r="C47" s="3">
        <f t="shared" si="11"/>
        <v>104.875</v>
      </c>
      <c r="D47" s="64">
        <f t="shared" si="0"/>
        <v>0.38779731127197514</v>
      </c>
      <c r="E47" s="50">
        <f t="shared" si="4"/>
        <v>0</v>
      </c>
      <c r="F47" s="50">
        <f t="shared" si="5"/>
        <v>0</v>
      </c>
      <c r="G47" s="69">
        <f t="shared" si="6"/>
        <v>0</v>
      </c>
      <c r="H47" s="70">
        <f t="shared" si="7"/>
        <v>4802.7666666666664</v>
      </c>
      <c r="I47" s="70">
        <f t="shared" si="8"/>
        <v>0</v>
      </c>
      <c r="J47" s="53">
        <f t="shared" si="9"/>
        <v>0</v>
      </c>
      <c r="K47" s="53">
        <f t="shared" si="1"/>
        <v>0</v>
      </c>
      <c r="L47" s="289">
        <f t="shared" si="2"/>
        <v>0</v>
      </c>
      <c r="N47" s="7">
        <f t="shared" si="3"/>
        <v>0</v>
      </c>
      <c r="O47" t="str">
        <f>Medicaid!G39</f>
        <v>Yes</v>
      </c>
      <c r="P47" t="str">
        <f>Medicaid!K39</f>
        <v>Yes</v>
      </c>
    </row>
    <row r="48" spans="1:16" ht="14.4" x14ac:dyDescent="0.3">
      <c r="A48" s="3">
        <v>15500</v>
      </c>
      <c r="B48" s="3">
        <f t="shared" si="10"/>
        <v>1291.6666666666667</v>
      </c>
      <c r="C48" s="3">
        <f t="shared" si="11"/>
        <v>108.37083333333334</v>
      </c>
      <c r="D48" s="64">
        <f t="shared" si="0"/>
        <v>0.40072388831437433</v>
      </c>
      <c r="E48" s="50">
        <f t="shared" si="4"/>
        <v>0</v>
      </c>
      <c r="F48" s="50">
        <f t="shared" si="5"/>
        <v>0</v>
      </c>
      <c r="G48" s="69">
        <f t="shared" si="6"/>
        <v>0</v>
      </c>
      <c r="H48" s="70">
        <f t="shared" si="7"/>
        <v>4802.7666666666664</v>
      </c>
      <c r="I48" s="70">
        <f t="shared" si="8"/>
        <v>0</v>
      </c>
      <c r="J48" s="53">
        <f t="shared" si="9"/>
        <v>0</v>
      </c>
      <c r="K48" s="53">
        <f t="shared" si="1"/>
        <v>0</v>
      </c>
      <c r="L48" s="289">
        <f t="shared" si="2"/>
        <v>0</v>
      </c>
      <c r="N48" s="7">
        <f t="shared" si="3"/>
        <v>0</v>
      </c>
      <c r="O48" t="str">
        <f>Medicaid!G40</f>
        <v>Yes</v>
      </c>
      <c r="P48" t="str">
        <f>Medicaid!K40</f>
        <v>Yes</v>
      </c>
    </row>
    <row r="49" spans="1:16" ht="14.4" x14ac:dyDescent="0.3">
      <c r="A49" s="3">
        <v>16000</v>
      </c>
      <c r="B49" s="3">
        <f t="shared" si="10"/>
        <v>1333.3333333333333</v>
      </c>
      <c r="C49" s="3">
        <f t="shared" si="11"/>
        <v>111.86666666666666</v>
      </c>
      <c r="D49" s="64">
        <f t="shared" ref="D49:D80" si="12">B49/$K$2</f>
        <v>0.41365046535677347</v>
      </c>
      <c r="E49" s="50">
        <f t="shared" si="4"/>
        <v>0</v>
      </c>
      <c r="F49" s="50">
        <f t="shared" si="5"/>
        <v>0</v>
      </c>
      <c r="G49" s="69">
        <f t="shared" si="6"/>
        <v>0</v>
      </c>
      <c r="H49" s="70">
        <f t="shared" si="7"/>
        <v>4802.7666666666664</v>
      </c>
      <c r="I49" s="70">
        <f t="shared" si="8"/>
        <v>0</v>
      </c>
      <c r="J49" s="53">
        <f t="shared" si="9"/>
        <v>0</v>
      </c>
      <c r="K49" s="53">
        <f t="shared" si="1"/>
        <v>0</v>
      </c>
      <c r="L49" s="289">
        <f t="shared" si="2"/>
        <v>0</v>
      </c>
      <c r="N49" s="7">
        <f t="shared" si="3"/>
        <v>0</v>
      </c>
      <c r="O49" t="str">
        <f>Medicaid!G41</f>
        <v>Yes</v>
      </c>
      <c r="P49" t="str">
        <f>Medicaid!K41</f>
        <v>Yes</v>
      </c>
    </row>
    <row r="50" spans="1:16" ht="14.4" x14ac:dyDescent="0.3">
      <c r="A50" s="3">
        <v>16500</v>
      </c>
      <c r="B50" s="3">
        <f t="shared" si="10"/>
        <v>1375</v>
      </c>
      <c r="C50" s="3">
        <f t="shared" si="11"/>
        <v>115.3625</v>
      </c>
      <c r="D50" s="64">
        <f t="shared" si="12"/>
        <v>0.42657704239917266</v>
      </c>
      <c r="E50" s="50">
        <f t="shared" si="4"/>
        <v>0</v>
      </c>
      <c r="F50" s="50">
        <f t="shared" si="5"/>
        <v>0</v>
      </c>
      <c r="G50" s="69">
        <f t="shared" si="6"/>
        <v>0</v>
      </c>
      <c r="H50" s="70">
        <f t="shared" si="7"/>
        <v>4802.7666666666664</v>
      </c>
      <c r="I50" s="70">
        <f t="shared" si="8"/>
        <v>0</v>
      </c>
      <c r="J50" s="53">
        <f t="shared" si="9"/>
        <v>0</v>
      </c>
      <c r="K50" s="53">
        <f t="shared" si="1"/>
        <v>0</v>
      </c>
      <c r="L50" s="289">
        <f t="shared" si="2"/>
        <v>0</v>
      </c>
      <c r="N50" s="7">
        <f t="shared" si="3"/>
        <v>0</v>
      </c>
      <c r="O50" t="str">
        <f>Medicaid!G42</f>
        <v>Yes</v>
      </c>
      <c r="P50" t="str">
        <f>Medicaid!K42</f>
        <v>Yes</v>
      </c>
    </row>
    <row r="51" spans="1:16" ht="14.4" x14ac:dyDescent="0.3">
      <c r="A51" s="3">
        <v>17000</v>
      </c>
      <c r="B51" s="3">
        <f t="shared" si="10"/>
        <v>1416.6666666666667</v>
      </c>
      <c r="C51" s="3">
        <f t="shared" si="11"/>
        <v>118.85833333333335</v>
      </c>
      <c r="D51" s="64">
        <f t="shared" si="12"/>
        <v>0.4395036194415719</v>
      </c>
      <c r="E51" s="50">
        <f t="shared" si="4"/>
        <v>0</v>
      </c>
      <c r="F51" s="50">
        <f t="shared" si="5"/>
        <v>0</v>
      </c>
      <c r="G51" s="69">
        <f t="shared" si="6"/>
        <v>0</v>
      </c>
      <c r="H51" s="70">
        <f t="shared" si="7"/>
        <v>4802.7666666666664</v>
      </c>
      <c r="I51" s="70">
        <f t="shared" si="8"/>
        <v>0</v>
      </c>
      <c r="J51" s="53">
        <f t="shared" si="9"/>
        <v>0</v>
      </c>
      <c r="K51" s="53">
        <f t="shared" si="1"/>
        <v>0</v>
      </c>
      <c r="L51" s="289">
        <f t="shared" si="2"/>
        <v>0</v>
      </c>
      <c r="N51" s="7">
        <f t="shared" si="3"/>
        <v>0</v>
      </c>
      <c r="O51" t="str">
        <f>Medicaid!G43</f>
        <v>Yes</v>
      </c>
      <c r="P51" t="str">
        <f>Medicaid!K43</f>
        <v>Yes</v>
      </c>
    </row>
    <row r="52" spans="1:16" ht="14.4" x14ac:dyDescent="0.3">
      <c r="A52" s="3">
        <v>17500</v>
      </c>
      <c r="B52" s="3">
        <f t="shared" si="10"/>
        <v>1458.3333333333333</v>
      </c>
      <c r="C52" s="3">
        <f t="shared" si="11"/>
        <v>122.35416666666666</v>
      </c>
      <c r="D52" s="64">
        <f t="shared" si="12"/>
        <v>0.45243019648397098</v>
      </c>
      <c r="E52" s="50">
        <f t="shared" si="4"/>
        <v>0</v>
      </c>
      <c r="F52" s="50">
        <f t="shared" si="5"/>
        <v>0</v>
      </c>
      <c r="G52" s="69">
        <f t="shared" si="6"/>
        <v>0</v>
      </c>
      <c r="H52" s="70">
        <f t="shared" si="7"/>
        <v>4802.7666666666664</v>
      </c>
      <c r="I52" s="70">
        <f t="shared" si="8"/>
        <v>0</v>
      </c>
      <c r="J52" s="53">
        <f t="shared" si="9"/>
        <v>0</v>
      </c>
      <c r="K52" s="53">
        <f t="shared" si="1"/>
        <v>0</v>
      </c>
      <c r="L52" s="289">
        <f t="shared" si="2"/>
        <v>0</v>
      </c>
      <c r="N52" s="7">
        <f t="shared" si="3"/>
        <v>0</v>
      </c>
      <c r="O52" t="str">
        <f>Medicaid!G44</f>
        <v>Yes</v>
      </c>
      <c r="P52" t="str">
        <f>Medicaid!K44</f>
        <v>Yes</v>
      </c>
    </row>
    <row r="53" spans="1:16" ht="14.4" x14ac:dyDescent="0.3">
      <c r="A53" s="3">
        <v>18000</v>
      </c>
      <c r="B53" s="3">
        <f t="shared" si="10"/>
        <v>1500</v>
      </c>
      <c r="C53" s="3">
        <f t="shared" si="11"/>
        <v>125.85000000000001</v>
      </c>
      <c r="D53" s="64">
        <f t="shared" si="12"/>
        <v>0.46535677352637017</v>
      </c>
      <c r="E53" s="50">
        <f t="shared" si="4"/>
        <v>0</v>
      </c>
      <c r="F53" s="50">
        <f t="shared" si="5"/>
        <v>0</v>
      </c>
      <c r="G53" s="69">
        <f t="shared" si="6"/>
        <v>0</v>
      </c>
      <c r="H53" s="70">
        <f t="shared" si="7"/>
        <v>4802.7666666666664</v>
      </c>
      <c r="I53" s="70">
        <f t="shared" si="8"/>
        <v>0</v>
      </c>
      <c r="J53" s="53">
        <f t="shared" si="9"/>
        <v>0</v>
      </c>
      <c r="K53" s="53">
        <f t="shared" si="1"/>
        <v>0</v>
      </c>
      <c r="L53" s="289">
        <f t="shared" si="2"/>
        <v>0</v>
      </c>
      <c r="N53" s="7">
        <f t="shared" si="3"/>
        <v>0</v>
      </c>
      <c r="O53" t="str">
        <f>Medicaid!G45</f>
        <v>Yes</v>
      </c>
      <c r="P53" t="str">
        <f>Medicaid!K45</f>
        <v>Yes</v>
      </c>
    </row>
    <row r="54" spans="1:16" ht="14.4" x14ac:dyDescent="0.3">
      <c r="A54" s="3">
        <v>18500</v>
      </c>
      <c r="B54" s="3">
        <f t="shared" si="10"/>
        <v>1541.6666666666667</v>
      </c>
      <c r="C54" s="3">
        <f t="shared" si="11"/>
        <v>129.34583333333333</v>
      </c>
      <c r="D54" s="64">
        <f t="shared" si="12"/>
        <v>0.47828335056876942</v>
      </c>
      <c r="E54" s="50">
        <f t="shared" si="4"/>
        <v>0</v>
      </c>
      <c r="F54" s="50">
        <f t="shared" si="5"/>
        <v>0</v>
      </c>
      <c r="G54" s="69">
        <f t="shared" si="6"/>
        <v>0</v>
      </c>
      <c r="H54" s="70">
        <f t="shared" si="7"/>
        <v>4802.7666666666664</v>
      </c>
      <c r="I54" s="70">
        <f t="shared" si="8"/>
        <v>0</v>
      </c>
      <c r="J54" s="53">
        <f t="shared" si="9"/>
        <v>0</v>
      </c>
      <c r="K54" s="53">
        <f t="shared" si="1"/>
        <v>0</v>
      </c>
      <c r="L54" s="289">
        <f t="shared" si="2"/>
        <v>0</v>
      </c>
      <c r="N54" s="7">
        <f t="shared" si="3"/>
        <v>0</v>
      </c>
      <c r="O54" t="str">
        <f>Medicaid!G46</f>
        <v>Yes</v>
      </c>
      <c r="P54" t="str">
        <f>Medicaid!K46</f>
        <v>Yes</v>
      </c>
    </row>
    <row r="55" spans="1:16" ht="14.4" x14ac:dyDescent="0.3">
      <c r="A55" s="3">
        <v>19000</v>
      </c>
      <c r="B55" s="3">
        <f t="shared" si="10"/>
        <v>1583.3333333333333</v>
      </c>
      <c r="C55" s="3">
        <f t="shared" si="11"/>
        <v>132.84166666666667</v>
      </c>
      <c r="D55" s="64">
        <f t="shared" si="12"/>
        <v>0.4912099276111685</v>
      </c>
      <c r="E55" s="50">
        <f t="shared" si="4"/>
        <v>0</v>
      </c>
      <c r="F55" s="50">
        <f t="shared" si="5"/>
        <v>0</v>
      </c>
      <c r="G55" s="69">
        <f t="shared" si="6"/>
        <v>0</v>
      </c>
      <c r="H55" s="70">
        <f t="shared" si="7"/>
        <v>4802.7666666666664</v>
      </c>
      <c r="I55" s="70">
        <f t="shared" si="8"/>
        <v>0</v>
      </c>
      <c r="J55" s="53">
        <f t="shared" si="9"/>
        <v>0</v>
      </c>
      <c r="K55" s="53">
        <f t="shared" si="1"/>
        <v>0</v>
      </c>
      <c r="L55" s="289">
        <f t="shared" si="2"/>
        <v>0</v>
      </c>
      <c r="N55" s="7">
        <f t="shared" si="3"/>
        <v>0</v>
      </c>
      <c r="O55" t="str">
        <f>Medicaid!G47</f>
        <v>Yes</v>
      </c>
      <c r="P55" t="str">
        <f>Medicaid!K47</f>
        <v>Yes</v>
      </c>
    </row>
    <row r="56" spans="1:16" ht="14.4" x14ac:dyDescent="0.3">
      <c r="A56" s="3">
        <v>19500</v>
      </c>
      <c r="B56" s="3">
        <f t="shared" si="10"/>
        <v>1625</v>
      </c>
      <c r="C56" s="3">
        <f t="shared" si="11"/>
        <v>136.33750000000001</v>
      </c>
      <c r="D56" s="64">
        <f t="shared" si="12"/>
        <v>0.50413650465356774</v>
      </c>
      <c r="E56" s="50">
        <f t="shared" si="4"/>
        <v>0</v>
      </c>
      <c r="F56" s="50">
        <f t="shared" si="5"/>
        <v>0</v>
      </c>
      <c r="G56" s="69">
        <f t="shared" si="6"/>
        <v>0</v>
      </c>
      <c r="H56" s="70">
        <f t="shared" si="7"/>
        <v>4802.7666666666664</v>
      </c>
      <c r="I56" s="70">
        <f t="shared" si="8"/>
        <v>0</v>
      </c>
      <c r="J56" s="53">
        <f t="shared" si="9"/>
        <v>0</v>
      </c>
      <c r="K56" s="53">
        <f t="shared" si="1"/>
        <v>0</v>
      </c>
      <c r="L56" s="289">
        <f t="shared" si="2"/>
        <v>0</v>
      </c>
      <c r="N56" s="7">
        <f t="shared" si="3"/>
        <v>0</v>
      </c>
      <c r="O56" t="str">
        <f>Medicaid!G48</f>
        <v>Yes</v>
      </c>
      <c r="P56" t="str">
        <f>Medicaid!K48</f>
        <v>Yes</v>
      </c>
    </row>
    <row r="57" spans="1:16" ht="14.4" x14ac:dyDescent="0.3">
      <c r="A57" s="3">
        <v>20000</v>
      </c>
      <c r="B57" s="3">
        <f t="shared" si="10"/>
        <v>1666.6666666666667</v>
      </c>
      <c r="C57" s="3">
        <f t="shared" si="11"/>
        <v>139.83333333333334</v>
      </c>
      <c r="D57" s="64">
        <f t="shared" si="12"/>
        <v>0.51706308169596693</v>
      </c>
      <c r="E57" s="50">
        <f t="shared" si="4"/>
        <v>0</v>
      </c>
      <c r="F57" s="50">
        <f t="shared" si="5"/>
        <v>0</v>
      </c>
      <c r="G57" s="69">
        <f t="shared" si="6"/>
        <v>0</v>
      </c>
      <c r="H57" s="70">
        <f t="shared" si="7"/>
        <v>4802.7666666666664</v>
      </c>
      <c r="I57" s="70">
        <f t="shared" si="8"/>
        <v>0</v>
      </c>
      <c r="J57" s="53">
        <f t="shared" si="9"/>
        <v>0</v>
      </c>
      <c r="K57" s="53">
        <f t="shared" si="1"/>
        <v>0</v>
      </c>
      <c r="L57" s="289">
        <f t="shared" si="2"/>
        <v>0</v>
      </c>
      <c r="N57" s="7">
        <f t="shared" si="3"/>
        <v>0</v>
      </c>
      <c r="O57" t="str">
        <f>Medicaid!G49</f>
        <v>Yes</v>
      </c>
      <c r="P57" t="str">
        <f>Medicaid!K49</f>
        <v>Yes</v>
      </c>
    </row>
    <row r="58" spans="1:16" ht="14.4" x14ac:dyDescent="0.3">
      <c r="A58" s="3">
        <v>20500</v>
      </c>
      <c r="B58" s="3">
        <f t="shared" si="10"/>
        <v>1708.3333333333333</v>
      </c>
      <c r="C58" s="3">
        <f t="shared" si="11"/>
        <v>143.32916666666665</v>
      </c>
      <c r="D58" s="64">
        <f t="shared" si="12"/>
        <v>0.52998965873836601</v>
      </c>
      <c r="E58" s="50">
        <f>IF(D58&gt;3.99,0.085,IF(D58&gt;2.99,0.06,IF(D58&gt;1.99,0.02,IF(D58&gt;1.49,0,0))))</f>
        <v>0</v>
      </c>
      <c r="F58" s="50">
        <f t="shared" si="5"/>
        <v>0</v>
      </c>
      <c r="G58" s="69">
        <f t="shared" si="6"/>
        <v>0</v>
      </c>
      <c r="H58" s="70">
        <f t="shared" si="7"/>
        <v>4802.7666666666664</v>
      </c>
      <c r="I58" s="70">
        <f t="shared" si="8"/>
        <v>0</v>
      </c>
      <c r="J58" s="53">
        <f t="shared" si="9"/>
        <v>0</v>
      </c>
      <c r="K58" s="53">
        <f t="shared" si="1"/>
        <v>0</v>
      </c>
      <c r="L58" s="289">
        <f t="shared" si="2"/>
        <v>0</v>
      </c>
      <c r="N58" s="7">
        <f t="shared" si="3"/>
        <v>0</v>
      </c>
      <c r="O58" t="str">
        <f>Medicaid!G50</f>
        <v>Yes</v>
      </c>
      <c r="P58" t="str">
        <f>Medicaid!K50</f>
        <v>Yes</v>
      </c>
    </row>
    <row r="59" spans="1:16" ht="14.4" x14ac:dyDescent="0.3">
      <c r="A59" s="3">
        <v>21000</v>
      </c>
      <c r="B59" s="3">
        <f t="shared" si="10"/>
        <v>1750</v>
      </c>
      <c r="C59" s="3">
        <f t="shared" si="11"/>
        <v>146.82500000000002</v>
      </c>
      <c r="D59" s="64">
        <f t="shared" si="12"/>
        <v>0.5429162357807652</v>
      </c>
      <c r="E59" s="50">
        <f t="shared" si="4"/>
        <v>0</v>
      </c>
      <c r="F59" s="50">
        <f>IF(D59&gt;3.99,0.085,IF(D59&gt;2.99,0.085,IF(D59&gt;2.49,0.06,IF(D59&gt;1.99,0.04,IF(D59&gt;1.49,0.02,0)))))</f>
        <v>0</v>
      </c>
      <c r="G59" s="69">
        <f t="shared" si="6"/>
        <v>0</v>
      </c>
      <c r="H59" s="70">
        <f t="shared" si="7"/>
        <v>4802.7666666666664</v>
      </c>
      <c r="I59" s="70">
        <f t="shared" si="8"/>
        <v>0</v>
      </c>
      <c r="J59" s="53">
        <f t="shared" si="9"/>
        <v>0</v>
      </c>
      <c r="K59" s="53">
        <f t="shared" si="1"/>
        <v>0</v>
      </c>
      <c r="L59" s="289">
        <f t="shared" si="2"/>
        <v>0</v>
      </c>
      <c r="N59" s="7">
        <f t="shared" si="3"/>
        <v>0</v>
      </c>
      <c r="O59" t="str">
        <f>Medicaid!G51</f>
        <v>Yes</v>
      </c>
      <c r="P59" t="str">
        <f>Medicaid!K51</f>
        <v>Yes</v>
      </c>
    </row>
    <row r="60" spans="1:16" ht="14.4" x14ac:dyDescent="0.3">
      <c r="A60" s="3">
        <v>21500</v>
      </c>
      <c r="B60" s="3">
        <f t="shared" si="10"/>
        <v>1791.6666666666667</v>
      </c>
      <c r="C60" s="3">
        <f t="shared" si="11"/>
        <v>150.32083333333335</v>
      </c>
      <c r="D60" s="64">
        <f t="shared" si="12"/>
        <v>0.55584281282316439</v>
      </c>
      <c r="E60" s="50">
        <f t="shared" si="4"/>
        <v>0</v>
      </c>
      <c r="F60" s="50">
        <f t="shared" si="5"/>
        <v>0</v>
      </c>
      <c r="G60" s="69">
        <f t="shared" si="6"/>
        <v>0</v>
      </c>
      <c r="H60" s="70">
        <f t="shared" si="7"/>
        <v>4802.7666666666664</v>
      </c>
      <c r="I60" s="70">
        <f t="shared" si="8"/>
        <v>0</v>
      </c>
      <c r="J60" s="53">
        <f t="shared" si="9"/>
        <v>0</v>
      </c>
      <c r="K60" s="53">
        <f t="shared" si="1"/>
        <v>0</v>
      </c>
      <c r="L60" s="289">
        <f t="shared" si="2"/>
        <v>0</v>
      </c>
      <c r="N60" s="7">
        <f t="shared" si="3"/>
        <v>0</v>
      </c>
      <c r="O60" t="str">
        <f>Medicaid!G52</f>
        <v>Yes</v>
      </c>
      <c r="P60" t="str">
        <f>Medicaid!K52</f>
        <v>Yes</v>
      </c>
    </row>
    <row r="61" spans="1:16" ht="14.4" x14ac:dyDescent="0.3">
      <c r="A61" s="3">
        <v>22000</v>
      </c>
      <c r="B61" s="3">
        <f t="shared" si="10"/>
        <v>1833.3333333333333</v>
      </c>
      <c r="C61" s="3">
        <f t="shared" si="11"/>
        <v>153.81666666666666</v>
      </c>
      <c r="D61" s="64">
        <f t="shared" si="12"/>
        <v>0.56876938986556358</v>
      </c>
      <c r="E61" s="50">
        <f t="shared" si="4"/>
        <v>0</v>
      </c>
      <c r="F61" s="50">
        <f t="shared" si="5"/>
        <v>0</v>
      </c>
      <c r="G61" s="69">
        <f t="shared" si="6"/>
        <v>0</v>
      </c>
      <c r="H61" s="70">
        <f t="shared" si="7"/>
        <v>4802.7666666666664</v>
      </c>
      <c r="I61" s="70">
        <f t="shared" si="8"/>
        <v>0</v>
      </c>
      <c r="J61" s="53">
        <f t="shared" si="9"/>
        <v>0</v>
      </c>
      <c r="K61" s="53">
        <f t="shared" si="1"/>
        <v>0</v>
      </c>
      <c r="L61" s="289">
        <f t="shared" si="2"/>
        <v>0</v>
      </c>
      <c r="N61" s="7">
        <f t="shared" si="3"/>
        <v>0</v>
      </c>
      <c r="O61" t="str">
        <f>Medicaid!G53</f>
        <v>Yes</v>
      </c>
      <c r="P61" t="str">
        <f>Medicaid!K53</f>
        <v>Yes</v>
      </c>
    </row>
    <row r="62" spans="1:16" ht="14.4" x14ac:dyDescent="0.3">
      <c r="A62" s="3">
        <v>22500</v>
      </c>
      <c r="B62" s="3">
        <f t="shared" si="10"/>
        <v>1875</v>
      </c>
      <c r="C62" s="3">
        <f t="shared" si="11"/>
        <v>157.3125</v>
      </c>
      <c r="D62" s="64">
        <f t="shared" si="12"/>
        <v>0.58169596690796277</v>
      </c>
      <c r="E62" s="50">
        <f t="shared" si="4"/>
        <v>0</v>
      </c>
      <c r="F62" s="50">
        <f t="shared" si="5"/>
        <v>0</v>
      </c>
      <c r="G62" s="69">
        <f t="shared" si="6"/>
        <v>0</v>
      </c>
      <c r="H62" s="70">
        <f t="shared" si="7"/>
        <v>4802.7666666666664</v>
      </c>
      <c r="I62" s="70">
        <f t="shared" si="8"/>
        <v>0</v>
      </c>
      <c r="J62" s="53">
        <f t="shared" si="9"/>
        <v>0</v>
      </c>
      <c r="K62" s="53">
        <f t="shared" si="1"/>
        <v>0</v>
      </c>
      <c r="L62" s="289">
        <f t="shared" si="2"/>
        <v>0</v>
      </c>
      <c r="N62" s="7">
        <f t="shared" si="3"/>
        <v>0</v>
      </c>
      <c r="O62" t="str">
        <f>Medicaid!G54</f>
        <v>Yes</v>
      </c>
      <c r="P62" t="str">
        <f>Medicaid!K54</f>
        <v>Yes</v>
      </c>
    </row>
    <row r="63" spans="1:16" ht="14.4" x14ac:dyDescent="0.3">
      <c r="A63" s="3">
        <v>23000</v>
      </c>
      <c r="B63" s="3">
        <f t="shared" si="10"/>
        <v>1916.6666666666667</v>
      </c>
      <c r="C63" s="3">
        <f t="shared" si="11"/>
        <v>160.80833333333334</v>
      </c>
      <c r="D63" s="64">
        <f t="shared" si="12"/>
        <v>0.59462254395036196</v>
      </c>
      <c r="E63" s="50">
        <f t="shared" si="4"/>
        <v>0</v>
      </c>
      <c r="F63" s="50">
        <f t="shared" si="5"/>
        <v>0</v>
      </c>
      <c r="G63" s="69">
        <f t="shared" si="6"/>
        <v>0</v>
      </c>
      <c r="H63" s="70">
        <f t="shared" si="7"/>
        <v>4802.7666666666664</v>
      </c>
      <c r="I63" s="70">
        <f t="shared" si="8"/>
        <v>0</v>
      </c>
      <c r="J63" s="53">
        <f>B63*(E63+(B63-I63)*(F63-E63)/(H63-I63))</f>
        <v>0</v>
      </c>
      <c r="K63" s="53">
        <f t="shared" si="1"/>
        <v>0</v>
      </c>
      <c r="L63" s="289">
        <f t="shared" si="2"/>
        <v>0</v>
      </c>
      <c r="N63" s="7">
        <f t="shared" si="3"/>
        <v>0</v>
      </c>
      <c r="O63" t="str">
        <f>Medicaid!G55</f>
        <v>Yes</v>
      </c>
      <c r="P63" t="str">
        <f>Medicaid!K55</f>
        <v>Yes</v>
      </c>
    </row>
    <row r="64" spans="1:16" ht="14.4" x14ac:dyDescent="0.3">
      <c r="A64" s="3">
        <v>23500</v>
      </c>
      <c r="B64" s="3">
        <f t="shared" si="10"/>
        <v>1958.3333333333333</v>
      </c>
      <c r="C64" s="3">
        <f t="shared" si="11"/>
        <v>164.30416666666667</v>
      </c>
      <c r="D64" s="64">
        <f t="shared" si="12"/>
        <v>0.60754912099276104</v>
      </c>
      <c r="E64" s="50">
        <f t="shared" si="4"/>
        <v>0</v>
      </c>
      <c r="F64" s="50">
        <f t="shared" si="5"/>
        <v>0</v>
      </c>
      <c r="G64" s="69">
        <f t="shared" si="6"/>
        <v>0</v>
      </c>
      <c r="H64" s="70">
        <f t="shared" si="7"/>
        <v>4802.7666666666664</v>
      </c>
      <c r="I64" s="70">
        <f t="shared" si="8"/>
        <v>0</v>
      </c>
      <c r="J64" s="53">
        <f t="shared" si="9"/>
        <v>0</v>
      </c>
      <c r="K64" s="53">
        <f t="shared" si="1"/>
        <v>0</v>
      </c>
      <c r="L64" s="289">
        <f t="shared" si="2"/>
        <v>0</v>
      </c>
      <c r="N64" s="7">
        <f t="shared" si="3"/>
        <v>0</v>
      </c>
      <c r="O64" t="str">
        <f>Medicaid!G56</f>
        <v>Yes</v>
      </c>
      <c r="P64" t="str">
        <f>Medicaid!K56</f>
        <v>Yes</v>
      </c>
    </row>
    <row r="65" spans="1:21" ht="14.4" x14ac:dyDescent="0.3">
      <c r="A65" s="3">
        <v>24000</v>
      </c>
      <c r="B65" s="3">
        <f t="shared" si="10"/>
        <v>2000</v>
      </c>
      <c r="C65" s="3">
        <f t="shared" si="11"/>
        <v>167.8</v>
      </c>
      <c r="D65" s="64">
        <f t="shared" si="12"/>
        <v>0.62047569803516023</v>
      </c>
      <c r="E65" s="50">
        <f t="shared" si="4"/>
        <v>0</v>
      </c>
      <c r="F65" s="50">
        <f t="shared" si="5"/>
        <v>0</v>
      </c>
      <c r="G65" s="69">
        <f t="shared" si="6"/>
        <v>0</v>
      </c>
      <c r="H65" s="70">
        <f t="shared" si="7"/>
        <v>4802.7666666666664</v>
      </c>
      <c r="I65" s="70">
        <f t="shared" si="8"/>
        <v>0</v>
      </c>
      <c r="J65" s="53">
        <f t="shared" si="9"/>
        <v>0</v>
      </c>
      <c r="K65" s="53">
        <f t="shared" si="1"/>
        <v>0</v>
      </c>
      <c r="L65" s="289">
        <f t="shared" si="2"/>
        <v>0</v>
      </c>
      <c r="N65" s="7">
        <f t="shared" si="3"/>
        <v>0</v>
      </c>
      <c r="O65" t="str">
        <f>Medicaid!G57</f>
        <v>Yes</v>
      </c>
      <c r="P65" t="str">
        <f>Medicaid!K57</f>
        <v>Yes</v>
      </c>
    </row>
    <row r="66" spans="1:21" ht="14.4" x14ac:dyDescent="0.3">
      <c r="A66" s="3">
        <v>24500</v>
      </c>
      <c r="B66" s="3">
        <f t="shared" si="10"/>
        <v>2041.6666666666667</v>
      </c>
      <c r="C66" s="3">
        <f t="shared" si="11"/>
        <v>171.29583333333335</v>
      </c>
      <c r="D66" s="64">
        <f t="shared" si="12"/>
        <v>0.63340227507755942</v>
      </c>
      <c r="E66" s="50">
        <f t="shared" si="4"/>
        <v>0</v>
      </c>
      <c r="F66" s="50">
        <f t="shared" si="5"/>
        <v>0</v>
      </c>
      <c r="G66" s="69">
        <f t="shared" si="6"/>
        <v>0</v>
      </c>
      <c r="H66" s="70">
        <f t="shared" si="7"/>
        <v>4802.7666666666664</v>
      </c>
      <c r="I66" s="70">
        <f t="shared" si="8"/>
        <v>0</v>
      </c>
      <c r="J66" s="53">
        <f t="shared" si="9"/>
        <v>0</v>
      </c>
      <c r="K66" s="53">
        <f t="shared" si="1"/>
        <v>0</v>
      </c>
      <c r="L66" s="289">
        <f t="shared" si="2"/>
        <v>0</v>
      </c>
      <c r="N66" s="7">
        <f t="shared" si="3"/>
        <v>0</v>
      </c>
      <c r="O66" t="str">
        <f>Medicaid!G58</f>
        <v>Yes</v>
      </c>
      <c r="P66" t="str">
        <f>Medicaid!K58</f>
        <v>Yes</v>
      </c>
    </row>
    <row r="67" spans="1:21" ht="14.4" x14ac:dyDescent="0.3">
      <c r="A67" s="3">
        <v>25000</v>
      </c>
      <c r="B67" s="3">
        <f t="shared" si="10"/>
        <v>2083.3333333333335</v>
      </c>
      <c r="C67" s="3">
        <f t="shared" si="11"/>
        <v>174.79166666666669</v>
      </c>
      <c r="D67" s="64">
        <f t="shared" si="12"/>
        <v>0.64632885211995861</v>
      </c>
      <c r="E67" s="50">
        <f t="shared" si="4"/>
        <v>0</v>
      </c>
      <c r="F67" s="50">
        <f t="shared" si="5"/>
        <v>0</v>
      </c>
      <c r="G67" s="69">
        <f t="shared" si="6"/>
        <v>0</v>
      </c>
      <c r="H67" s="70">
        <f t="shared" si="7"/>
        <v>4802.7666666666664</v>
      </c>
      <c r="I67" s="70">
        <f t="shared" si="8"/>
        <v>0</v>
      </c>
      <c r="J67" s="53">
        <f t="shared" si="9"/>
        <v>0</v>
      </c>
      <c r="K67" s="53">
        <f t="shared" si="1"/>
        <v>0</v>
      </c>
      <c r="L67" s="289">
        <f t="shared" si="2"/>
        <v>0</v>
      </c>
      <c r="N67" s="7">
        <f t="shared" si="3"/>
        <v>0</v>
      </c>
      <c r="O67" t="str">
        <f>Medicaid!G59</f>
        <v>Yes</v>
      </c>
      <c r="P67" t="str">
        <f>Medicaid!K59</f>
        <v>Yes</v>
      </c>
    </row>
    <row r="68" spans="1:21" ht="14.4" x14ac:dyDescent="0.3">
      <c r="A68" s="3">
        <v>25500</v>
      </c>
      <c r="B68" s="3">
        <f t="shared" si="10"/>
        <v>2125</v>
      </c>
      <c r="C68" s="3">
        <f t="shared" si="11"/>
        <v>178.28749999999999</v>
      </c>
      <c r="D68" s="64">
        <f t="shared" si="12"/>
        <v>0.6592554291623578</v>
      </c>
      <c r="E68" s="50">
        <f t="shared" si="4"/>
        <v>0</v>
      </c>
      <c r="F68" s="50">
        <f t="shared" si="5"/>
        <v>0</v>
      </c>
      <c r="G68" s="69">
        <f t="shared" si="6"/>
        <v>0</v>
      </c>
      <c r="H68" s="70">
        <f t="shared" si="7"/>
        <v>4802.7666666666664</v>
      </c>
      <c r="I68" s="70">
        <f t="shared" si="8"/>
        <v>0</v>
      </c>
      <c r="J68" s="53">
        <f t="shared" si="9"/>
        <v>0</v>
      </c>
      <c r="K68" s="53">
        <f t="shared" si="1"/>
        <v>0</v>
      </c>
      <c r="L68" s="289">
        <f t="shared" si="2"/>
        <v>0</v>
      </c>
      <c r="N68" s="7">
        <f t="shared" si="3"/>
        <v>0</v>
      </c>
      <c r="O68" t="str">
        <f>Medicaid!G60</f>
        <v>Yes</v>
      </c>
      <c r="P68" t="str">
        <f>Medicaid!K60</f>
        <v>Yes</v>
      </c>
    </row>
    <row r="69" spans="1:21" ht="14.4" x14ac:dyDescent="0.3">
      <c r="A69" s="3">
        <v>26000</v>
      </c>
      <c r="B69" s="3">
        <f t="shared" si="10"/>
        <v>2166.6666666666665</v>
      </c>
      <c r="C69" s="3">
        <f t="shared" si="11"/>
        <v>181.78333333333333</v>
      </c>
      <c r="D69" s="64">
        <f t="shared" si="12"/>
        <v>0.67218200620475688</v>
      </c>
      <c r="E69" s="50">
        <f t="shared" si="4"/>
        <v>0</v>
      </c>
      <c r="F69" s="50">
        <f t="shared" si="5"/>
        <v>0</v>
      </c>
      <c r="G69" s="69">
        <f t="shared" si="6"/>
        <v>0</v>
      </c>
      <c r="H69" s="70">
        <f t="shared" si="7"/>
        <v>4802.7666666666664</v>
      </c>
      <c r="I69" s="70">
        <f t="shared" si="8"/>
        <v>0</v>
      </c>
      <c r="J69" s="53">
        <f t="shared" si="9"/>
        <v>0</v>
      </c>
      <c r="K69" s="53">
        <f t="shared" si="1"/>
        <v>0</v>
      </c>
      <c r="L69" s="289">
        <f t="shared" si="2"/>
        <v>0</v>
      </c>
      <c r="N69" s="7">
        <f t="shared" si="3"/>
        <v>0</v>
      </c>
      <c r="O69" t="str">
        <f>Medicaid!G61</f>
        <v>Yes</v>
      </c>
      <c r="P69" t="str">
        <f>Medicaid!K61</f>
        <v>Yes</v>
      </c>
    </row>
    <row r="70" spans="1:21" ht="14.4" x14ac:dyDescent="0.3">
      <c r="A70" s="3">
        <v>26500</v>
      </c>
      <c r="B70" s="3">
        <f t="shared" si="10"/>
        <v>2208.3333333333335</v>
      </c>
      <c r="C70" s="3">
        <f t="shared" si="11"/>
        <v>185.2791666666667</v>
      </c>
      <c r="D70" s="64">
        <f t="shared" si="12"/>
        <v>0.68510858324715618</v>
      </c>
      <c r="E70" s="50">
        <f t="shared" si="4"/>
        <v>0</v>
      </c>
      <c r="F70" s="50">
        <f t="shared" si="5"/>
        <v>0</v>
      </c>
      <c r="G70" s="69">
        <f t="shared" si="6"/>
        <v>0</v>
      </c>
      <c r="H70" s="70">
        <f t="shared" si="7"/>
        <v>4802.7666666666664</v>
      </c>
      <c r="I70" s="70">
        <f t="shared" si="8"/>
        <v>0</v>
      </c>
      <c r="J70" s="53">
        <f t="shared" si="9"/>
        <v>0</v>
      </c>
      <c r="K70" s="53">
        <f t="shared" si="1"/>
        <v>0</v>
      </c>
      <c r="L70" s="289">
        <f t="shared" si="2"/>
        <v>0</v>
      </c>
      <c r="N70" s="7">
        <f t="shared" si="3"/>
        <v>0</v>
      </c>
      <c r="O70" t="str">
        <f>Medicaid!G62</f>
        <v>Yes</v>
      </c>
      <c r="P70" t="str">
        <f>Medicaid!K62</f>
        <v>Yes</v>
      </c>
    </row>
    <row r="71" spans="1:21" ht="14.4" x14ac:dyDescent="0.3">
      <c r="A71" s="3">
        <v>27000</v>
      </c>
      <c r="B71" s="3">
        <f t="shared" si="10"/>
        <v>2250</v>
      </c>
      <c r="C71" s="3">
        <f t="shared" si="11"/>
        <v>188.77500000000001</v>
      </c>
      <c r="D71" s="64">
        <f t="shared" si="12"/>
        <v>0.69803516028955526</v>
      </c>
      <c r="E71" s="50">
        <f>IF(D71&gt;3.99,0.085,IF(D71&gt;2.99,0.06,IF(D71&gt;1.99,0.02,IF(D71&gt;1.49,0,0))))</f>
        <v>0</v>
      </c>
      <c r="F71" s="50">
        <f t="shared" si="5"/>
        <v>0</v>
      </c>
      <c r="G71" s="69">
        <f t="shared" si="6"/>
        <v>0</v>
      </c>
      <c r="H71" s="70">
        <f t="shared" si="7"/>
        <v>4802.7666666666664</v>
      </c>
      <c r="I71" s="70">
        <f t="shared" si="8"/>
        <v>0</v>
      </c>
      <c r="J71" s="53">
        <f t="shared" si="9"/>
        <v>0</v>
      </c>
      <c r="K71" s="53">
        <f t="shared" si="1"/>
        <v>0</v>
      </c>
      <c r="L71" s="289">
        <f t="shared" si="2"/>
        <v>0</v>
      </c>
      <c r="N71" s="7">
        <f t="shared" si="3"/>
        <v>0</v>
      </c>
      <c r="O71" t="str">
        <f>Medicaid!G63</f>
        <v>Yes</v>
      </c>
      <c r="P71" t="str">
        <f>Medicaid!K63</f>
        <v>Yes</v>
      </c>
    </row>
    <row r="72" spans="1:21" ht="14.4" x14ac:dyDescent="0.3">
      <c r="A72" s="3">
        <v>27500</v>
      </c>
      <c r="B72" s="3">
        <f t="shared" si="10"/>
        <v>2291.6666666666665</v>
      </c>
      <c r="C72" s="3">
        <f t="shared" si="11"/>
        <v>192.27083333333331</v>
      </c>
      <c r="D72" s="64">
        <f t="shared" si="12"/>
        <v>0.71096173733195445</v>
      </c>
      <c r="E72" s="50">
        <f t="shared" si="4"/>
        <v>0</v>
      </c>
      <c r="F72" s="50">
        <f>IF(D72&gt;3.99,0.085,IF(D72&gt;2.99,0.085,IF(D72&gt;2.49,0.06,IF(D72&gt;1.99,0.04,IF(D72&gt;1.49,0.02,0)))))</f>
        <v>0</v>
      </c>
      <c r="G72" s="69">
        <f t="shared" si="6"/>
        <v>0</v>
      </c>
      <c r="H72" s="70">
        <f t="shared" si="7"/>
        <v>4802.7666666666664</v>
      </c>
      <c r="I72" s="70">
        <f t="shared" si="8"/>
        <v>0</v>
      </c>
      <c r="J72" s="53">
        <f t="shared" si="9"/>
        <v>0</v>
      </c>
      <c r="K72" s="53">
        <f t="shared" si="1"/>
        <v>0</v>
      </c>
      <c r="L72" s="289">
        <f t="shared" si="2"/>
        <v>0</v>
      </c>
      <c r="N72" s="7">
        <f t="shared" si="3"/>
        <v>0</v>
      </c>
      <c r="O72" t="str">
        <f>Medicaid!G64</f>
        <v>Yes</v>
      </c>
      <c r="P72" t="str">
        <f>Medicaid!K64</f>
        <v>Yes</v>
      </c>
    </row>
    <row r="73" spans="1:21" ht="14.4" x14ac:dyDescent="0.3">
      <c r="A73" s="3">
        <v>28000</v>
      </c>
      <c r="B73" s="3">
        <f t="shared" si="10"/>
        <v>2333.3333333333335</v>
      </c>
      <c r="C73" s="3">
        <f t="shared" si="11"/>
        <v>195.76666666666668</v>
      </c>
      <c r="D73" s="64">
        <f t="shared" si="12"/>
        <v>0.72388831437435364</v>
      </c>
      <c r="E73" s="50">
        <f t="shared" si="4"/>
        <v>0</v>
      </c>
      <c r="F73" s="50">
        <f t="shared" si="5"/>
        <v>0</v>
      </c>
      <c r="G73" s="69">
        <f t="shared" si="6"/>
        <v>0</v>
      </c>
      <c r="H73" s="70">
        <f t="shared" si="7"/>
        <v>4802.7666666666664</v>
      </c>
      <c r="I73" s="70">
        <f t="shared" si="8"/>
        <v>0</v>
      </c>
      <c r="J73" s="53">
        <f t="shared" si="9"/>
        <v>0</v>
      </c>
      <c r="K73" s="53">
        <f t="shared" si="1"/>
        <v>0</v>
      </c>
      <c r="L73" s="289">
        <f t="shared" si="2"/>
        <v>0</v>
      </c>
      <c r="N73" s="7">
        <f t="shared" si="3"/>
        <v>0</v>
      </c>
      <c r="O73" t="str">
        <f>Medicaid!G65</f>
        <v>Yes</v>
      </c>
      <c r="P73" t="str">
        <f>Medicaid!K65</f>
        <v>Yes</v>
      </c>
    </row>
    <row r="74" spans="1:21" ht="14.4" x14ac:dyDescent="0.3">
      <c r="A74" s="3">
        <v>28500</v>
      </c>
      <c r="B74" s="3">
        <f t="shared" si="10"/>
        <v>2375</v>
      </c>
      <c r="C74" s="3">
        <f t="shared" si="11"/>
        <v>199.26250000000002</v>
      </c>
      <c r="D74" s="64">
        <f t="shared" si="12"/>
        <v>0.73681489141675283</v>
      </c>
      <c r="E74" s="50">
        <f t="shared" si="4"/>
        <v>0</v>
      </c>
      <c r="F74" s="50">
        <f t="shared" si="5"/>
        <v>0</v>
      </c>
      <c r="G74" s="69">
        <f t="shared" si="6"/>
        <v>0</v>
      </c>
      <c r="H74" s="70">
        <f t="shared" si="7"/>
        <v>4802.7666666666664</v>
      </c>
      <c r="I74" s="70">
        <f t="shared" si="8"/>
        <v>0</v>
      </c>
      <c r="J74" s="53">
        <f t="shared" si="9"/>
        <v>0</v>
      </c>
      <c r="K74" s="53">
        <f t="shared" si="1"/>
        <v>0</v>
      </c>
      <c r="L74" s="289">
        <f t="shared" si="2"/>
        <v>0</v>
      </c>
      <c r="N74" s="7">
        <f t="shared" si="3"/>
        <v>0</v>
      </c>
      <c r="O74" t="str">
        <f>Medicaid!G66</f>
        <v>Yes</v>
      </c>
      <c r="P74" t="str">
        <f>Medicaid!K66</f>
        <v>Yes</v>
      </c>
    </row>
    <row r="75" spans="1:21" ht="14.4" x14ac:dyDescent="0.3">
      <c r="A75" s="3">
        <v>29000</v>
      </c>
      <c r="B75" s="3">
        <f t="shared" si="10"/>
        <v>2416.6666666666665</v>
      </c>
      <c r="C75" s="3">
        <f t="shared" si="11"/>
        <v>202.75833333333333</v>
      </c>
      <c r="D75" s="64">
        <f t="shared" si="12"/>
        <v>0.74974146845915191</v>
      </c>
      <c r="E75" s="50">
        <f t="shared" si="4"/>
        <v>0</v>
      </c>
      <c r="F75" s="50">
        <f t="shared" si="5"/>
        <v>0</v>
      </c>
      <c r="G75" s="69">
        <f t="shared" si="6"/>
        <v>0</v>
      </c>
      <c r="H75" s="70">
        <f t="shared" si="7"/>
        <v>4802.7666666666664</v>
      </c>
      <c r="I75" s="70">
        <f t="shared" si="8"/>
        <v>0</v>
      </c>
      <c r="J75" s="53">
        <f t="shared" si="9"/>
        <v>0</v>
      </c>
      <c r="K75" s="53">
        <f t="shared" si="1"/>
        <v>0</v>
      </c>
      <c r="L75" s="289">
        <f t="shared" si="2"/>
        <v>0</v>
      </c>
      <c r="N75" s="7">
        <f t="shared" si="3"/>
        <v>0</v>
      </c>
      <c r="O75" t="str">
        <f>Medicaid!G67</f>
        <v>Yes</v>
      </c>
      <c r="P75" t="str">
        <f>Medicaid!K67</f>
        <v>Yes</v>
      </c>
    </row>
    <row r="76" spans="1:21" ht="14.4" x14ac:dyDescent="0.3">
      <c r="A76" s="3">
        <v>29500</v>
      </c>
      <c r="B76" s="3">
        <f t="shared" si="10"/>
        <v>2458.3333333333335</v>
      </c>
      <c r="C76" s="3">
        <f t="shared" si="11"/>
        <v>206.25416666666669</v>
      </c>
      <c r="D76" s="64">
        <f t="shared" si="12"/>
        <v>0.76266804550155121</v>
      </c>
      <c r="E76" s="50">
        <f t="shared" si="4"/>
        <v>0</v>
      </c>
      <c r="F76" s="50">
        <f t="shared" si="5"/>
        <v>0</v>
      </c>
      <c r="G76" s="69">
        <f t="shared" si="6"/>
        <v>0</v>
      </c>
      <c r="H76" s="70">
        <f t="shared" si="7"/>
        <v>4802.7666666666664</v>
      </c>
      <c r="I76" s="70">
        <f t="shared" si="8"/>
        <v>0</v>
      </c>
      <c r="J76" s="53">
        <f t="shared" si="9"/>
        <v>0</v>
      </c>
      <c r="K76" s="53">
        <f t="shared" si="1"/>
        <v>0</v>
      </c>
      <c r="L76" s="289">
        <f t="shared" si="2"/>
        <v>0</v>
      </c>
      <c r="N76" s="7">
        <f t="shared" si="3"/>
        <v>0</v>
      </c>
      <c r="O76" t="str">
        <f>Medicaid!G68</f>
        <v>Yes</v>
      </c>
      <c r="P76" t="str">
        <f>Medicaid!K68</f>
        <v>Yes</v>
      </c>
      <c r="U76" s="54"/>
    </row>
    <row r="77" spans="1:21" ht="14.4" x14ac:dyDescent="0.3">
      <c r="A77" s="3">
        <v>30000</v>
      </c>
      <c r="B77" s="3">
        <f t="shared" si="10"/>
        <v>2500</v>
      </c>
      <c r="C77" s="3">
        <f t="shared" si="11"/>
        <v>209.75</v>
      </c>
      <c r="D77" s="64">
        <f t="shared" si="12"/>
        <v>0.77559462254395029</v>
      </c>
      <c r="E77" s="50">
        <f t="shared" si="4"/>
        <v>0</v>
      </c>
      <c r="F77" s="50">
        <f t="shared" si="5"/>
        <v>0</v>
      </c>
      <c r="G77" s="69">
        <f t="shared" si="6"/>
        <v>0</v>
      </c>
      <c r="H77" s="70">
        <f t="shared" si="7"/>
        <v>4802.7666666666664</v>
      </c>
      <c r="I77" s="70">
        <f t="shared" si="8"/>
        <v>0</v>
      </c>
      <c r="J77" s="53">
        <f t="shared" si="9"/>
        <v>0</v>
      </c>
      <c r="K77" s="53">
        <f t="shared" si="1"/>
        <v>0</v>
      </c>
      <c r="L77" s="289">
        <f t="shared" si="2"/>
        <v>0</v>
      </c>
      <c r="N77" s="7">
        <f t="shared" si="3"/>
        <v>0</v>
      </c>
      <c r="O77" t="str">
        <f>Medicaid!G69</f>
        <v>Yes</v>
      </c>
      <c r="P77" t="str">
        <f>Medicaid!K69</f>
        <v>Yes</v>
      </c>
      <c r="U77" s="4"/>
    </row>
    <row r="78" spans="1:21" ht="14.4" x14ac:dyDescent="0.3">
      <c r="A78" s="3">
        <v>30500</v>
      </c>
      <c r="B78" s="3">
        <f t="shared" si="10"/>
        <v>2541.6666666666665</v>
      </c>
      <c r="C78" s="3">
        <f t="shared" si="11"/>
        <v>213.24583333333334</v>
      </c>
      <c r="D78" s="64">
        <f t="shared" si="12"/>
        <v>0.78852119958634947</v>
      </c>
      <c r="E78" s="50">
        <f t="shared" si="4"/>
        <v>0</v>
      </c>
      <c r="F78" s="50">
        <f t="shared" si="5"/>
        <v>0</v>
      </c>
      <c r="G78" s="69">
        <f t="shared" si="6"/>
        <v>0</v>
      </c>
      <c r="H78" s="70">
        <f t="shared" si="7"/>
        <v>4802.7666666666664</v>
      </c>
      <c r="I78" s="70">
        <f t="shared" si="8"/>
        <v>0</v>
      </c>
      <c r="J78" s="53">
        <f t="shared" si="9"/>
        <v>0</v>
      </c>
      <c r="K78" s="53">
        <f t="shared" si="1"/>
        <v>0</v>
      </c>
      <c r="L78" s="289">
        <f t="shared" si="2"/>
        <v>0</v>
      </c>
      <c r="N78" s="7">
        <f t="shared" si="3"/>
        <v>0</v>
      </c>
      <c r="O78" t="str">
        <f>Medicaid!G70</f>
        <v>Yes</v>
      </c>
      <c r="P78" t="str">
        <f>Medicaid!K70</f>
        <v>Yes</v>
      </c>
    </row>
    <row r="79" spans="1:21" ht="14.4" x14ac:dyDescent="0.3">
      <c r="A79" s="3">
        <v>31000</v>
      </c>
      <c r="B79" s="3">
        <f t="shared" si="10"/>
        <v>2583.3333333333335</v>
      </c>
      <c r="C79" s="3">
        <f t="shared" si="11"/>
        <v>216.74166666666667</v>
      </c>
      <c r="D79" s="64">
        <f t="shared" si="12"/>
        <v>0.80144777662874866</v>
      </c>
      <c r="E79" s="50">
        <f t="shared" si="4"/>
        <v>0</v>
      </c>
      <c r="F79" s="50">
        <f t="shared" si="5"/>
        <v>0</v>
      </c>
      <c r="G79" s="69">
        <f t="shared" si="6"/>
        <v>0</v>
      </c>
      <c r="H79" s="70">
        <f t="shared" si="7"/>
        <v>4802.7666666666664</v>
      </c>
      <c r="I79" s="70">
        <f t="shared" si="8"/>
        <v>0</v>
      </c>
      <c r="J79" s="53">
        <f t="shared" si="9"/>
        <v>0</v>
      </c>
      <c r="K79" s="53">
        <f t="shared" si="1"/>
        <v>0</v>
      </c>
      <c r="L79" s="289">
        <f t="shared" si="2"/>
        <v>0</v>
      </c>
      <c r="N79" s="7">
        <f t="shared" si="3"/>
        <v>0</v>
      </c>
      <c r="O79" t="str">
        <f>Medicaid!G71</f>
        <v>Yes</v>
      </c>
      <c r="P79" t="str">
        <f>Medicaid!K71</f>
        <v>Yes</v>
      </c>
    </row>
    <row r="80" spans="1:21" ht="14.4" x14ac:dyDescent="0.3">
      <c r="A80" s="3">
        <v>31500</v>
      </c>
      <c r="B80" s="3">
        <f t="shared" si="10"/>
        <v>2625</v>
      </c>
      <c r="C80" s="3">
        <f t="shared" si="11"/>
        <v>220.23750000000001</v>
      </c>
      <c r="D80" s="64">
        <f t="shared" si="12"/>
        <v>0.81437435367114785</v>
      </c>
      <c r="E80" s="50">
        <f t="shared" si="4"/>
        <v>0</v>
      </c>
      <c r="F80" s="50">
        <f t="shared" si="5"/>
        <v>0</v>
      </c>
      <c r="G80" s="69">
        <f t="shared" si="6"/>
        <v>0</v>
      </c>
      <c r="H80" s="70">
        <f t="shared" si="7"/>
        <v>4802.7666666666664</v>
      </c>
      <c r="I80" s="70">
        <f t="shared" si="8"/>
        <v>0</v>
      </c>
      <c r="J80" s="53">
        <f t="shared" si="9"/>
        <v>0</v>
      </c>
      <c r="K80" s="53">
        <f t="shared" si="1"/>
        <v>0</v>
      </c>
      <c r="L80" s="289">
        <f t="shared" si="2"/>
        <v>0</v>
      </c>
      <c r="N80" s="7">
        <f t="shared" si="3"/>
        <v>0</v>
      </c>
      <c r="O80" t="str">
        <f>Medicaid!G72</f>
        <v>Yes</v>
      </c>
      <c r="P80" t="str">
        <f>Medicaid!K72</f>
        <v>Yes</v>
      </c>
    </row>
    <row r="81" spans="1:16" ht="14.4" x14ac:dyDescent="0.3">
      <c r="A81" s="3">
        <v>32000</v>
      </c>
      <c r="B81" s="3">
        <f t="shared" si="10"/>
        <v>2666.6666666666665</v>
      </c>
      <c r="C81" s="3">
        <f t="shared" si="11"/>
        <v>223.73333333333332</v>
      </c>
      <c r="D81" s="64">
        <f t="shared" ref="D81:D112" si="13">B81/$K$2</f>
        <v>0.82730093071354693</v>
      </c>
      <c r="E81" s="50">
        <f t="shared" si="4"/>
        <v>0</v>
      </c>
      <c r="F81" s="50">
        <f t="shared" si="5"/>
        <v>0</v>
      </c>
      <c r="G81" s="69">
        <f t="shared" si="6"/>
        <v>0</v>
      </c>
      <c r="H81" s="70">
        <f t="shared" si="7"/>
        <v>4802.7666666666664</v>
      </c>
      <c r="I81" s="70">
        <f t="shared" si="8"/>
        <v>0</v>
      </c>
      <c r="J81" s="53">
        <f t="shared" si="9"/>
        <v>0</v>
      </c>
      <c r="K81" s="53">
        <f t="shared" si="1"/>
        <v>0</v>
      </c>
      <c r="L81" s="289">
        <f t="shared" si="2"/>
        <v>0</v>
      </c>
      <c r="N81" s="7">
        <f t="shared" si="3"/>
        <v>0</v>
      </c>
      <c r="O81" t="str">
        <f>Medicaid!G73</f>
        <v>Yes</v>
      </c>
      <c r="P81" t="str">
        <f>Medicaid!K73</f>
        <v>Yes</v>
      </c>
    </row>
    <row r="82" spans="1:16" ht="14.4" x14ac:dyDescent="0.3">
      <c r="A82" s="3">
        <v>32500</v>
      </c>
      <c r="B82" s="3">
        <f t="shared" si="10"/>
        <v>2708.3333333333335</v>
      </c>
      <c r="C82" s="3">
        <f t="shared" si="11"/>
        <v>227.22916666666669</v>
      </c>
      <c r="D82" s="64">
        <f t="shared" si="13"/>
        <v>0.84022750775594623</v>
      </c>
      <c r="E82" s="50">
        <f t="shared" si="4"/>
        <v>0</v>
      </c>
      <c r="F82" s="50">
        <f t="shared" si="5"/>
        <v>0</v>
      </c>
      <c r="G82" s="69">
        <f t="shared" si="6"/>
        <v>0</v>
      </c>
      <c r="H82" s="70">
        <f t="shared" si="7"/>
        <v>4802.7666666666664</v>
      </c>
      <c r="I82" s="70">
        <f t="shared" si="8"/>
        <v>0</v>
      </c>
      <c r="J82" s="53">
        <f t="shared" ref="J82:J145" si="14">B82*(E82+(B82-I82)*(F82-E82)/(H82-I82))</f>
        <v>0</v>
      </c>
      <c r="K82" s="53">
        <f t="shared" ref="K82:K145" si="15">SUM(IF(O82="Yes",0,$C$12),IF(P82="Yes",0,$C$13))</f>
        <v>0</v>
      </c>
      <c r="L82" s="289">
        <f t="shared" ref="L82:L145" si="16">MAX(0,K82-J82)</f>
        <v>0</v>
      </c>
      <c r="N82" s="7">
        <f t="shared" ref="N82:N145" si="17">MAX(0,L82*12)</f>
        <v>0</v>
      </c>
      <c r="O82" t="str">
        <f>Medicaid!G74</f>
        <v>Yes</v>
      </c>
      <c r="P82" t="str">
        <f>Medicaid!K74</f>
        <v>Yes</v>
      </c>
    </row>
    <row r="83" spans="1:16" ht="14.4" x14ac:dyDescent="0.3">
      <c r="A83" s="3">
        <v>33000</v>
      </c>
      <c r="B83" s="3">
        <f t="shared" si="10"/>
        <v>2750</v>
      </c>
      <c r="C83" s="3">
        <f t="shared" si="11"/>
        <v>230.72499999999999</v>
      </c>
      <c r="D83" s="64">
        <f t="shared" si="13"/>
        <v>0.85315408479834531</v>
      </c>
      <c r="E83" s="50">
        <f t="shared" ref="E83:E96" si="18">IF(D83&gt;3.99,0.085,IF(D83&gt;2.99,0.06,IF(D83&gt;1.99,0.02,IF(D83&gt;1.49,0,0))))</f>
        <v>0</v>
      </c>
      <c r="F83" s="50">
        <f t="shared" ref="F83:F146" si="19">IF(D83&gt;3.99,0.085,IF(D83&gt;2.99,0.085,IF(D83&gt;2.49,0.06,IF(D83&gt;1.99,0.04,IF(D83&gt;1.49,0.02,0)))))</f>
        <v>0</v>
      </c>
      <c r="G83" s="69">
        <f t="shared" ref="G83:G146" si="20">IF(D83&gt;3.99,$M$7,IF(D83&gt;2.99,$M$6,IF(D83&gt;2.49,$M$5,IF(D83&gt;1.99,$M$4,IF(D83&gt;1.49,$M$3,0)))))</f>
        <v>0</v>
      </c>
      <c r="H83" s="70">
        <f t="shared" ref="H83:H146" si="21">IF(D83&gt;3.99,$N$7,IF(D83&gt;2.99,$N$6,IF(D83&gt;2.49,$N$5,IF(D83&gt;1.99,$N$4,IF(D83&gt;1.49,$N$3,IF(D83&gt;=0,$N$2,0))))))</f>
        <v>4802.7666666666664</v>
      </c>
      <c r="I83" s="70">
        <f t="shared" ref="I83:I146" si="22">IF(D83&gt;3.99,$N$6,IF(D83&gt;2.99,$N$5,IF(D83&gt;2.49,$N$4,IF(D83&gt;1.99,$N$3,IF(D83&gt;1.49,$N$2,IF(D83&gt;=0,0))))))</f>
        <v>0</v>
      </c>
      <c r="J83" s="53">
        <f t="shared" si="14"/>
        <v>0</v>
      </c>
      <c r="K83" s="53">
        <f t="shared" si="15"/>
        <v>0</v>
      </c>
      <c r="L83" s="289">
        <f t="shared" si="16"/>
        <v>0</v>
      </c>
      <c r="N83" s="7">
        <f t="shared" si="17"/>
        <v>0</v>
      </c>
      <c r="O83" t="str">
        <f>Medicaid!G75</f>
        <v>Yes</v>
      </c>
      <c r="P83" t="str">
        <f>Medicaid!K75</f>
        <v>Yes</v>
      </c>
    </row>
    <row r="84" spans="1:16" ht="14.4" x14ac:dyDescent="0.3">
      <c r="A84" s="3">
        <v>33500</v>
      </c>
      <c r="B84" s="3">
        <f t="shared" ref="B84:B147" si="23">A84/12</f>
        <v>2791.6666666666665</v>
      </c>
      <c r="C84" s="3">
        <f t="shared" ref="C84:C147" si="24">B84*0.0839</f>
        <v>234.22083333333333</v>
      </c>
      <c r="D84" s="64">
        <f t="shared" si="13"/>
        <v>0.8660806618407445</v>
      </c>
      <c r="E84" s="50">
        <f t="shared" si="18"/>
        <v>0</v>
      </c>
      <c r="F84" s="50">
        <f t="shared" si="19"/>
        <v>0</v>
      </c>
      <c r="G84" s="69">
        <f t="shared" si="20"/>
        <v>0</v>
      </c>
      <c r="H84" s="70">
        <f t="shared" si="21"/>
        <v>4802.7666666666664</v>
      </c>
      <c r="I84" s="70">
        <f t="shared" si="22"/>
        <v>0</v>
      </c>
      <c r="J84" s="53">
        <f t="shared" si="14"/>
        <v>0</v>
      </c>
      <c r="K84" s="53">
        <f t="shared" si="15"/>
        <v>0</v>
      </c>
      <c r="L84" s="289">
        <f t="shared" si="16"/>
        <v>0</v>
      </c>
      <c r="N84" s="7">
        <f t="shared" si="17"/>
        <v>0</v>
      </c>
      <c r="O84" t="str">
        <f>Medicaid!G76</f>
        <v>Yes</v>
      </c>
      <c r="P84" t="str">
        <f>Medicaid!K76</f>
        <v>Yes</v>
      </c>
    </row>
    <row r="85" spans="1:16" ht="14.4" x14ac:dyDescent="0.3">
      <c r="A85" s="3">
        <v>34000</v>
      </c>
      <c r="B85" s="3">
        <f t="shared" si="23"/>
        <v>2833.3333333333335</v>
      </c>
      <c r="C85" s="3">
        <f t="shared" si="24"/>
        <v>237.7166666666667</v>
      </c>
      <c r="D85" s="64">
        <f t="shared" si="13"/>
        <v>0.8790072388831438</v>
      </c>
      <c r="E85" s="50">
        <f t="shared" si="18"/>
        <v>0</v>
      </c>
      <c r="F85" s="50">
        <f t="shared" si="19"/>
        <v>0</v>
      </c>
      <c r="G85" s="69">
        <f t="shared" si="20"/>
        <v>0</v>
      </c>
      <c r="H85" s="70">
        <f t="shared" si="21"/>
        <v>4802.7666666666664</v>
      </c>
      <c r="I85" s="70">
        <f t="shared" si="22"/>
        <v>0</v>
      </c>
      <c r="J85" s="53">
        <f t="shared" si="14"/>
        <v>0</v>
      </c>
      <c r="K85" s="53">
        <f t="shared" si="15"/>
        <v>0</v>
      </c>
      <c r="L85" s="289">
        <f t="shared" si="16"/>
        <v>0</v>
      </c>
      <c r="N85" s="7">
        <f t="shared" si="17"/>
        <v>0</v>
      </c>
      <c r="O85" t="str">
        <f>Medicaid!G77</f>
        <v>Yes</v>
      </c>
      <c r="P85" t="str">
        <f>Medicaid!K77</f>
        <v>Yes</v>
      </c>
    </row>
    <row r="86" spans="1:16" ht="14.4" x14ac:dyDescent="0.3">
      <c r="A86" s="3">
        <v>34500</v>
      </c>
      <c r="B86" s="3">
        <f t="shared" si="23"/>
        <v>2875</v>
      </c>
      <c r="C86" s="3">
        <f t="shared" si="24"/>
        <v>241.21250000000001</v>
      </c>
      <c r="D86" s="64">
        <f t="shared" si="13"/>
        <v>0.89193381592554288</v>
      </c>
      <c r="E86" s="50">
        <f t="shared" si="18"/>
        <v>0</v>
      </c>
      <c r="F86" s="50">
        <f t="shared" si="19"/>
        <v>0</v>
      </c>
      <c r="G86" s="69">
        <f t="shared" si="20"/>
        <v>0</v>
      </c>
      <c r="H86" s="70">
        <f t="shared" si="21"/>
        <v>4802.7666666666664</v>
      </c>
      <c r="I86" s="70">
        <f t="shared" si="22"/>
        <v>0</v>
      </c>
      <c r="J86" s="53">
        <f t="shared" si="14"/>
        <v>0</v>
      </c>
      <c r="K86" s="53">
        <f t="shared" si="15"/>
        <v>0</v>
      </c>
      <c r="L86" s="289">
        <f t="shared" si="16"/>
        <v>0</v>
      </c>
      <c r="N86" s="7">
        <f t="shared" si="17"/>
        <v>0</v>
      </c>
      <c r="O86" t="str">
        <f>Medicaid!G78</f>
        <v>Yes</v>
      </c>
      <c r="P86" t="str">
        <f>Medicaid!K78</f>
        <v>Yes</v>
      </c>
    </row>
    <row r="87" spans="1:16" ht="14.4" x14ac:dyDescent="0.3">
      <c r="A87" s="3">
        <v>35000</v>
      </c>
      <c r="B87" s="3">
        <f t="shared" si="23"/>
        <v>2916.6666666666665</v>
      </c>
      <c r="C87" s="3">
        <f t="shared" si="24"/>
        <v>244.70833333333331</v>
      </c>
      <c r="D87" s="64">
        <f t="shared" si="13"/>
        <v>0.90486039296794196</v>
      </c>
      <c r="E87" s="50">
        <f t="shared" si="18"/>
        <v>0</v>
      </c>
      <c r="F87" s="50">
        <f t="shared" si="19"/>
        <v>0</v>
      </c>
      <c r="G87" s="69">
        <f t="shared" si="20"/>
        <v>0</v>
      </c>
      <c r="H87" s="70">
        <f t="shared" si="21"/>
        <v>4802.7666666666664</v>
      </c>
      <c r="I87" s="70">
        <f t="shared" si="22"/>
        <v>0</v>
      </c>
      <c r="J87" s="53">
        <f t="shared" si="14"/>
        <v>0</v>
      </c>
      <c r="K87" s="53">
        <f t="shared" si="15"/>
        <v>0</v>
      </c>
      <c r="L87" s="289">
        <f t="shared" si="16"/>
        <v>0</v>
      </c>
      <c r="N87" s="7">
        <f t="shared" si="17"/>
        <v>0</v>
      </c>
      <c r="O87" t="str">
        <f>Medicaid!G79</f>
        <v>Yes</v>
      </c>
      <c r="P87" t="str">
        <f>Medicaid!K79</f>
        <v>Yes</v>
      </c>
    </row>
    <row r="88" spans="1:16" ht="14.4" x14ac:dyDescent="0.3">
      <c r="A88" s="3">
        <v>35500</v>
      </c>
      <c r="B88" s="3">
        <f t="shared" si="23"/>
        <v>2958.3333333333335</v>
      </c>
      <c r="C88" s="3">
        <f t="shared" si="24"/>
        <v>248.20416666666668</v>
      </c>
      <c r="D88" s="64">
        <f t="shared" si="13"/>
        <v>0.91778697001034126</v>
      </c>
      <c r="E88" s="50">
        <f t="shared" si="18"/>
        <v>0</v>
      </c>
      <c r="F88" s="50">
        <f t="shared" si="19"/>
        <v>0</v>
      </c>
      <c r="G88" s="69">
        <f t="shared" si="20"/>
        <v>0</v>
      </c>
      <c r="H88" s="70">
        <f t="shared" si="21"/>
        <v>4802.7666666666664</v>
      </c>
      <c r="I88" s="70">
        <f t="shared" si="22"/>
        <v>0</v>
      </c>
      <c r="J88" s="53">
        <f t="shared" si="14"/>
        <v>0</v>
      </c>
      <c r="K88" s="53">
        <f t="shared" si="15"/>
        <v>0</v>
      </c>
      <c r="L88" s="289">
        <f t="shared" si="16"/>
        <v>0</v>
      </c>
      <c r="N88" s="7">
        <f t="shared" si="17"/>
        <v>0</v>
      </c>
      <c r="O88" t="str">
        <f>Medicaid!G80</f>
        <v>Yes</v>
      </c>
      <c r="P88" t="str">
        <f>Medicaid!K80</f>
        <v>Yes</v>
      </c>
    </row>
    <row r="89" spans="1:16" ht="14.4" x14ac:dyDescent="0.3">
      <c r="A89" s="3">
        <v>36000</v>
      </c>
      <c r="B89" s="3">
        <f t="shared" si="23"/>
        <v>3000</v>
      </c>
      <c r="C89" s="3">
        <f t="shared" si="24"/>
        <v>251.70000000000002</v>
      </c>
      <c r="D89" s="64">
        <f t="shared" si="13"/>
        <v>0.93071354705274034</v>
      </c>
      <c r="E89" s="50">
        <f t="shared" si="18"/>
        <v>0</v>
      </c>
      <c r="F89" s="50">
        <f t="shared" si="19"/>
        <v>0</v>
      </c>
      <c r="G89" s="69">
        <f t="shared" si="20"/>
        <v>0</v>
      </c>
      <c r="H89" s="70">
        <f t="shared" si="21"/>
        <v>4802.7666666666664</v>
      </c>
      <c r="I89" s="70">
        <f t="shared" si="22"/>
        <v>0</v>
      </c>
      <c r="J89" s="53">
        <f t="shared" si="14"/>
        <v>0</v>
      </c>
      <c r="K89" s="53">
        <f t="shared" si="15"/>
        <v>0</v>
      </c>
      <c r="L89" s="289">
        <f t="shared" si="16"/>
        <v>0</v>
      </c>
      <c r="N89" s="7">
        <f t="shared" si="17"/>
        <v>0</v>
      </c>
      <c r="O89" t="str">
        <f>Medicaid!G81</f>
        <v>Yes</v>
      </c>
      <c r="P89" t="str">
        <f>Medicaid!K81</f>
        <v>Yes</v>
      </c>
    </row>
    <row r="90" spans="1:16" ht="14.4" x14ac:dyDescent="0.3">
      <c r="A90" s="3">
        <v>36500</v>
      </c>
      <c r="B90" s="3">
        <f t="shared" si="23"/>
        <v>3041.6666666666665</v>
      </c>
      <c r="C90" s="3">
        <f t="shared" si="24"/>
        <v>255.19583333333333</v>
      </c>
      <c r="D90" s="64">
        <f t="shared" si="13"/>
        <v>0.94364012409513953</v>
      </c>
      <c r="E90" s="50">
        <f t="shared" si="18"/>
        <v>0</v>
      </c>
      <c r="F90" s="50">
        <f t="shared" si="19"/>
        <v>0</v>
      </c>
      <c r="G90" s="69">
        <f t="shared" si="20"/>
        <v>0</v>
      </c>
      <c r="H90" s="70">
        <f t="shared" si="21"/>
        <v>4802.7666666666664</v>
      </c>
      <c r="I90" s="70">
        <f t="shared" si="22"/>
        <v>0</v>
      </c>
      <c r="J90" s="53">
        <f t="shared" si="14"/>
        <v>0</v>
      </c>
      <c r="K90" s="53">
        <f t="shared" si="15"/>
        <v>0</v>
      </c>
      <c r="L90" s="289">
        <f t="shared" si="16"/>
        <v>0</v>
      </c>
      <c r="N90" s="7">
        <f t="shared" si="17"/>
        <v>0</v>
      </c>
      <c r="O90" t="str">
        <f>Medicaid!G82</f>
        <v>Yes</v>
      </c>
      <c r="P90" t="str">
        <f>Medicaid!K82</f>
        <v>Yes</v>
      </c>
    </row>
    <row r="91" spans="1:16" ht="14.4" x14ac:dyDescent="0.3">
      <c r="A91" s="3">
        <v>37000</v>
      </c>
      <c r="B91" s="3">
        <f t="shared" si="23"/>
        <v>3083.3333333333335</v>
      </c>
      <c r="C91" s="3">
        <f t="shared" si="24"/>
        <v>258.69166666666666</v>
      </c>
      <c r="D91" s="64">
        <f t="shared" si="13"/>
        <v>0.95656670113753883</v>
      </c>
      <c r="E91" s="50">
        <f t="shared" si="18"/>
        <v>0</v>
      </c>
      <c r="F91" s="50">
        <f t="shared" si="19"/>
        <v>0</v>
      </c>
      <c r="G91" s="69">
        <f t="shared" si="20"/>
        <v>0</v>
      </c>
      <c r="H91" s="70">
        <f t="shared" si="21"/>
        <v>4802.7666666666664</v>
      </c>
      <c r="I91" s="70">
        <f t="shared" si="22"/>
        <v>0</v>
      </c>
      <c r="J91" s="53">
        <f t="shared" si="14"/>
        <v>0</v>
      </c>
      <c r="K91" s="53">
        <f t="shared" si="15"/>
        <v>0</v>
      </c>
      <c r="L91" s="289">
        <f t="shared" si="16"/>
        <v>0</v>
      </c>
      <c r="N91" s="7">
        <f t="shared" si="17"/>
        <v>0</v>
      </c>
      <c r="O91" t="str">
        <f>Medicaid!G83</f>
        <v>Yes</v>
      </c>
      <c r="P91" t="str">
        <f>Medicaid!K83</f>
        <v>Yes</v>
      </c>
    </row>
    <row r="92" spans="1:16" ht="14.4" x14ac:dyDescent="0.3">
      <c r="A92" s="3">
        <v>37500</v>
      </c>
      <c r="B92" s="3">
        <f t="shared" si="23"/>
        <v>3125</v>
      </c>
      <c r="C92" s="3">
        <f t="shared" si="24"/>
        <v>262.1875</v>
      </c>
      <c r="D92" s="64">
        <f t="shared" si="13"/>
        <v>0.96949327817993791</v>
      </c>
      <c r="E92" s="50">
        <f t="shared" si="18"/>
        <v>0</v>
      </c>
      <c r="F92" s="50">
        <f t="shared" si="19"/>
        <v>0</v>
      </c>
      <c r="G92" s="69">
        <f t="shared" si="20"/>
        <v>0</v>
      </c>
      <c r="H92" s="70">
        <f t="shared" si="21"/>
        <v>4802.7666666666664</v>
      </c>
      <c r="I92" s="70">
        <f t="shared" si="22"/>
        <v>0</v>
      </c>
      <c r="J92" s="53">
        <f t="shared" si="14"/>
        <v>0</v>
      </c>
      <c r="K92" s="53">
        <f t="shared" si="15"/>
        <v>0</v>
      </c>
      <c r="L92" s="289">
        <f t="shared" si="16"/>
        <v>0</v>
      </c>
      <c r="N92" s="7">
        <f t="shared" si="17"/>
        <v>0</v>
      </c>
      <c r="O92" t="str">
        <f>Medicaid!G84</f>
        <v>Yes</v>
      </c>
      <c r="P92" t="str">
        <f>Medicaid!K84</f>
        <v>Yes</v>
      </c>
    </row>
    <row r="93" spans="1:16" ht="14.4" x14ac:dyDescent="0.3">
      <c r="A93" s="3">
        <v>38000</v>
      </c>
      <c r="B93" s="3">
        <f t="shared" si="23"/>
        <v>3166.6666666666665</v>
      </c>
      <c r="C93" s="3">
        <f t="shared" si="24"/>
        <v>265.68333333333334</v>
      </c>
      <c r="D93" s="64">
        <f t="shared" si="13"/>
        <v>0.98241985522233699</v>
      </c>
      <c r="E93" s="50">
        <f t="shared" si="18"/>
        <v>0</v>
      </c>
      <c r="F93" s="50">
        <f t="shared" si="19"/>
        <v>0</v>
      </c>
      <c r="G93" s="69">
        <f t="shared" si="20"/>
        <v>0</v>
      </c>
      <c r="H93" s="70">
        <f t="shared" si="21"/>
        <v>4802.7666666666664</v>
      </c>
      <c r="I93" s="70">
        <f t="shared" si="22"/>
        <v>0</v>
      </c>
      <c r="J93" s="53">
        <f t="shared" si="14"/>
        <v>0</v>
      </c>
      <c r="K93" s="53">
        <f t="shared" si="15"/>
        <v>0</v>
      </c>
      <c r="L93" s="289">
        <f t="shared" si="16"/>
        <v>0</v>
      </c>
      <c r="N93" s="7">
        <f t="shared" si="17"/>
        <v>0</v>
      </c>
      <c r="O93" t="str">
        <f>Medicaid!G85</f>
        <v>Yes</v>
      </c>
      <c r="P93" t="str">
        <f>Medicaid!K85</f>
        <v>Yes</v>
      </c>
    </row>
    <row r="94" spans="1:16" ht="14.4" x14ac:dyDescent="0.3">
      <c r="A94" s="3">
        <v>38500</v>
      </c>
      <c r="B94" s="3">
        <f t="shared" si="23"/>
        <v>3208.3333333333335</v>
      </c>
      <c r="C94" s="3">
        <f t="shared" si="24"/>
        <v>269.17916666666667</v>
      </c>
      <c r="D94" s="64">
        <f t="shared" si="13"/>
        <v>0.99534643226473629</v>
      </c>
      <c r="E94" s="50">
        <f t="shared" si="18"/>
        <v>0</v>
      </c>
      <c r="F94" s="50">
        <f t="shared" si="19"/>
        <v>0</v>
      </c>
      <c r="G94" s="69">
        <f t="shared" si="20"/>
        <v>0</v>
      </c>
      <c r="H94" s="70">
        <f t="shared" si="21"/>
        <v>4802.7666666666664</v>
      </c>
      <c r="I94" s="70">
        <f t="shared" si="22"/>
        <v>0</v>
      </c>
      <c r="J94" s="53">
        <f t="shared" si="14"/>
        <v>0</v>
      </c>
      <c r="K94" s="53">
        <f t="shared" si="15"/>
        <v>0</v>
      </c>
      <c r="L94" s="289">
        <f t="shared" si="16"/>
        <v>0</v>
      </c>
      <c r="N94" s="7">
        <f t="shared" si="17"/>
        <v>0</v>
      </c>
      <c r="O94" t="str">
        <f>Medicaid!G86</f>
        <v>Yes</v>
      </c>
      <c r="P94" t="str">
        <f>Medicaid!K86</f>
        <v>Yes</v>
      </c>
    </row>
    <row r="95" spans="1:16" ht="14.4" x14ac:dyDescent="0.3">
      <c r="A95" s="3">
        <v>39000</v>
      </c>
      <c r="B95" s="3">
        <f t="shared" si="23"/>
        <v>3250</v>
      </c>
      <c r="C95" s="3">
        <f t="shared" si="24"/>
        <v>272.67500000000001</v>
      </c>
      <c r="D95" s="64">
        <f t="shared" si="13"/>
        <v>1.0082730093071355</v>
      </c>
      <c r="E95" s="50">
        <f t="shared" si="18"/>
        <v>0</v>
      </c>
      <c r="F95" s="50">
        <f t="shared" si="19"/>
        <v>0</v>
      </c>
      <c r="G95" s="69">
        <f t="shared" si="20"/>
        <v>0</v>
      </c>
      <c r="H95" s="70">
        <f t="shared" si="21"/>
        <v>4802.7666666666664</v>
      </c>
      <c r="I95" s="70">
        <f t="shared" si="22"/>
        <v>0</v>
      </c>
      <c r="J95" s="53">
        <f t="shared" si="14"/>
        <v>0</v>
      </c>
      <c r="K95" s="53">
        <f t="shared" si="15"/>
        <v>0</v>
      </c>
      <c r="L95" s="289">
        <f t="shared" si="16"/>
        <v>0</v>
      </c>
      <c r="N95" s="7">
        <f t="shared" si="17"/>
        <v>0</v>
      </c>
      <c r="O95" t="str">
        <f>Medicaid!G87</f>
        <v>Yes</v>
      </c>
      <c r="P95" t="str">
        <f>Medicaid!K87</f>
        <v>Yes</v>
      </c>
    </row>
    <row r="96" spans="1:16" ht="14.4" x14ac:dyDescent="0.3">
      <c r="A96" s="3">
        <v>39500</v>
      </c>
      <c r="B96" s="3">
        <f t="shared" si="23"/>
        <v>3291.6666666666665</v>
      </c>
      <c r="C96" s="3">
        <f t="shared" si="24"/>
        <v>276.17083333333335</v>
      </c>
      <c r="D96" s="64">
        <f t="shared" si="13"/>
        <v>1.0211995863495344</v>
      </c>
      <c r="E96" s="50">
        <f t="shared" si="18"/>
        <v>0</v>
      </c>
      <c r="F96" s="50">
        <f t="shared" si="19"/>
        <v>0</v>
      </c>
      <c r="G96" s="69">
        <f t="shared" si="20"/>
        <v>0</v>
      </c>
      <c r="H96" s="70">
        <f t="shared" si="21"/>
        <v>4802.7666666666664</v>
      </c>
      <c r="I96" s="70">
        <f t="shared" si="22"/>
        <v>0</v>
      </c>
      <c r="J96" s="53">
        <f t="shared" si="14"/>
        <v>0</v>
      </c>
      <c r="K96" s="53">
        <f t="shared" si="15"/>
        <v>0</v>
      </c>
      <c r="L96" s="289">
        <f t="shared" si="16"/>
        <v>0</v>
      </c>
      <c r="N96" s="7">
        <f t="shared" si="17"/>
        <v>0</v>
      </c>
      <c r="O96" t="str">
        <f>Medicaid!G88</f>
        <v>Yes</v>
      </c>
      <c r="P96" t="str">
        <f>Medicaid!K88</f>
        <v>Yes</v>
      </c>
    </row>
    <row r="97" spans="1:16" ht="14.4" x14ac:dyDescent="0.3">
      <c r="A97" s="3">
        <v>40000</v>
      </c>
      <c r="B97" s="3">
        <f t="shared" si="23"/>
        <v>3333.3333333333335</v>
      </c>
      <c r="C97" s="3">
        <f t="shared" si="24"/>
        <v>279.66666666666669</v>
      </c>
      <c r="D97" s="64">
        <f t="shared" si="13"/>
        <v>1.0341261633919339</v>
      </c>
      <c r="E97" s="50">
        <f>IF(D97&gt;3.99,0.085,IF(D97&gt;2.99,0.06,IF(D97&gt;1.99,0.02,IF(D97&gt;1.49,0,0))))</f>
        <v>0</v>
      </c>
      <c r="F97" s="50">
        <f t="shared" si="19"/>
        <v>0</v>
      </c>
      <c r="G97" s="69">
        <f t="shared" si="20"/>
        <v>0</v>
      </c>
      <c r="H97" s="70">
        <f t="shared" si="21"/>
        <v>4802.7666666666664</v>
      </c>
      <c r="I97" s="70">
        <f t="shared" si="22"/>
        <v>0</v>
      </c>
      <c r="J97" s="53">
        <f t="shared" si="14"/>
        <v>0</v>
      </c>
      <c r="K97" s="53">
        <f t="shared" si="15"/>
        <v>0</v>
      </c>
      <c r="L97" s="289">
        <f t="shared" si="16"/>
        <v>0</v>
      </c>
      <c r="N97" s="7">
        <f t="shared" si="17"/>
        <v>0</v>
      </c>
      <c r="O97" t="str">
        <f>Medicaid!G89</f>
        <v>Yes</v>
      </c>
      <c r="P97" t="str">
        <f>Medicaid!K89</f>
        <v>Yes</v>
      </c>
    </row>
    <row r="98" spans="1:16" ht="14.4" x14ac:dyDescent="0.3">
      <c r="A98" s="3">
        <v>40500</v>
      </c>
      <c r="B98" s="3">
        <f t="shared" si="23"/>
        <v>3375</v>
      </c>
      <c r="C98" s="3">
        <f t="shared" si="24"/>
        <v>283.16250000000002</v>
      </c>
      <c r="D98" s="64">
        <f t="shared" si="13"/>
        <v>1.0470527404343328</v>
      </c>
      <c r="E98" s="50">
        <f t="shared" ref="E98:E161" si="25">IF(D98&gt;3.99,0.085,IF(D98&gt;2.99,0.06,IF(D98&gt;1.99,0.02,IF(D98&gt;1.49,0,0))))</f>
        <v>0</v>
      </c>
      <c r="F98" s="50">
        <f t="shared" si="19"/>
        <v>0</v>
      </c>
      <c r="G98" s="69">
        <f t="shared" si="20"/>
        <v>0</v>
      </c>
      <c r="H98" s="70">
        <f t="shared" si="21"/>
        <v>4802.7666666666664</v>
      </c>
      <c r="I98" s="70">
        <f t="shared" si="22"/>
        <v>0</v>
      </c>
      <c r="J98" s="53">
        <f t="shared" si="14"/>
        <v>0</v>
      </c>
      <c r="K98" s="53">
        <f t="shared" si="15"/>
        <v>0</v>
      </c>
      <c r="L98" s="289">
        <f t="shared" si="16"/>
        <v>0</v>
      </c>
      <c r="N98" s="7">
        <f t="shared" si="17"/>
        <v>0</v>
      </c>
      <c r="O98" t="str">
        <f>Medicaid!G90</f>
        <v>Yes</v>
      </c>
      <c r="P98" t="str">
        <f>Medicaid!K90</f>
        <v>Yes</v>
      </c>
    </row>
    <row r="99" spans="1:16" ht="14.4" x14ac:dyDescent="0.3">
      <c r="A99" s="3">
        <v>41000</v>
      </c>
      <c r="B99" s="3">
        <f t="shared" si="23"/>
        <v>3416.6666666666665</v>
      </c>
      <c r="C99" s="3">
        <f t="shared" si="24"/>
        <v>286.6583333333333</v>
      </c>
      <c r="D99" s="64">
        <f t="shared" si="13"/>
        <v>1.059979317476732</v>
      </c>
      <c r="E99" s="50">
        <f t="shared" si="25"/>
        <v>0</v>
      </c>
      <c r="F99" s="50">
        <f t="shared" si="19"/>
        <v>0</v>
      </c>
      <c r="G99" s="69">
        <f t="shared" si="20"/>
        <v>0</v>
      </c>
      <c r="H99" s="70">
        <f t="shared" si="21"/>
        <v>4802.7666666666664</v>
      </c>
      <c r="I99" s="70">
        <f t="shared" si="22"/>
        <v>0</v>
      </c>
      <c r="J99" s="53">
        <f t="shared" si="14"/>
        <v>0</v>
      </c>
      <c r="K99" s="53">
        <f t="shared" si="15"/>
        <v>0</v>
      </c>
      <c r="L99" s="289">
        <f t="shared" si="16"/>
        <v>0</v>
      </c>
      <c r="N99" s="7">
        <f t="shared" si="17"/>
        <v>0</v>
      </c>
      <c r="O99" t="str">
        <f>Medicaid!G91</f>
        <v>Yes</v>
      </c>
      <c r="P99" t="str">
        <f>Medicaid!K91</f>
        <v>Yes</v>
      </c>
    </row>
    <row r="100" spans="1:16" ht="14.4" x14ac:dyDescent="0.3">
      <c r="A100" s="3">
        <v>41500</v>
      </c>
      <c r="B100" s="3">
        <f t="shared" si="23"/>
        <v>3458.3333333333335</v>
      </c>
      <c r="C100" s="3">
        <f t="shared" si="24"/>
        <v>290.1541666666667</v>
      </c>
      <c r="D100" s="64">
        <f t="shared" si="13"/>
        <v>1.0729058945191314</v>
      </c>
      <c r="E100" s="50">
        <f t="shared" si="25"/>
        <v>0</v>
      </c>
      <c r="F100" s="50">
        <f t="shared" si="19"/>
        <v>0</v>
      </c>
      <c r="G100" s="69">
        <f t="shared" si="20"/>
        <v>0</v>
      </c>
      <c r="H100" s="70">
        <f t="shared" si="21"/>
        <v>4802.7666666666664</v>
      </c>
      <c r="I100" s="70">
        <f t="shared" si="22"/>
        <v>0</v>
      </c>
      <c r="J100" s="53">
        <f t="shared" si="14"/>
        <v>0</v>
      </c>
      <c r="K100" s="53">
        <f t="shared" si="15"/>
        <v>0</v>
      </c>
      <c r="L100" s="289">
        <f t="shared" si="16"/>
        <v>0</v>
      </c>
      <c r="N100" s="7">
        <f t="shared" si="17"/>
        <v>0</v>
      </c>
      <c r="O100" t="str">
        <f>Medicaid!G92</f>
        <v>Yes</v>
      </c>
      <c r="P100" t="str">
        <f>Medicaid!K92</f>
        <v>Yes</v>
      </c>
    </row>
    <row r="101" spans="1:16" ht="14.4" x14ac:dyDescent="0.3">
      <c r="A101" s="3">
        <v>42000</v>
      </c>
      <c r="B101" s="3">
        <f t="shared" si="23"/>
        <v>3500</v>
      </c>
      <c r="C101" s="3">
        <f t="shared" si="24"/>
        <v>293.65000000000003</v>
      </c>
      <c r="D101" s="64">
        <f t="shared" si="13"/>
        <v>1.0858324715615304</v>
      </c>
      <c r="E101" s="50">
        <f t="shared" si="25"/>
        <v>0</v>
      </c>
      <c r="F101" s="50">
        <f t="shared" si="19"/>
        <v>0</v>
      </c>
      <c r="G101" s="69">
        <f t="shared" si="20"/>
        <v>0</v>
      </c>
      <c r="H101" s="70">
        <f t="shared" si="21"/>
        <v>4802.7666666666664</v>
      </c>
      <c r="I101" s="70">
        <f t="shared" si="22"/>
        <v>0</v>
      </c>
      <c r="J101" s="53">
        <f t="shared" si="14"/>
        <v>0</v>
      </c>
      <c r="K101" s="53">
        <f t="shared" si="15"/>
        <v>0</v>
      </c>
      <c r="L101" s="289">
        <f t="shared" si="16"/>
        <v>0</v>
      </c>
      <c r="N101" s="7">
        <f t="shared" si="17"/>
        <v>0</v>
      </c>
      <c r="O101" t="str">
        <f>Medicaid!G93</f>
        <v>Yes</v>
      </c>
      <c r="P101" t="str">
        <f>Medicaid!K93</f>
        <v>Yes</v>
      </c>
    </row>
    <row r="102" spans="1:16" ht="14.4" x14ac:dyDescent="0.3">
      <c r="A102" s="3">
        <v>42500</v>
      </c>
      <c r="B102" s="3">
        <f t="shared" si="23"/>
        <v>3541.6666666666665</v>
      </c>
      <c r="C102" s="3">
        <f t="shared" si="24"/>
        <v>297.14583333333331</v>
      </c>
      <c r="D102" s="64">
        <f t="shared" si="13"/>
        <v>1.0987590486039296</v>
      </c>
      <c r="E102" s="50">
        <f t="shared" si="25"/>
        <v>0</v>
      </c>
      <c r="F102" s="50">
        <f t="shared" si="19"/>
        <v>0</v>
      </c>
      <c r="G102" s="69">
        <f t="shared" si="20"/>
        <v>0</v>
      </c>
      <c r="H102" s="70">
        <f t="shared" si="21"/>
        <v>4802.7666666666664</v>
      </c>
      <c r="I102" s="70">
        <f t="shared" si="22"/>
        <v>0</v>
      </c>
      <c r="J102" s="53">
        <f t="shared" si="14"/>
        <v>0</v>
      </c>
      <c r="K102" s="53">
        <f t="shared" si="15"/>
        <v>0</v>
      </c>
      <c r="L102" s="289">
        <f t="shared" si="16"/>
        <v>0</v>
      </c>
      <c r="N102" s="7">
        <f t="shared" si="17"/>
        <v>0</v>
      </c>
      <c r="O102" t="str">
        <f>Medicaid!G94</f>
        <v>Yes</v>
      </c>
      <c r="P102" t="str">
        <f>Medicaid!K94</f>
        <v>Yes</v>
      </c>
    </row>
    <row r="103" spans="1:16" ht="14.4" x14ac:dyDescent="0.3">
      <c r="A103" s="3">
        <v>43000</v>
      </c>
      <c r="B103" s="3">
        <f t="shared" si="23"/>
        <v>3583.3333333333335</v>
      </c>
      <c r="C103" s="3">
        <f t="shared" si="24"/>
        <v>300.64166666666671</v>
      </c>
      <c r="D103" s="64">
        <f t="shared" si="13"/>
        <v>1.1116856256463288</v>
      </c>
      <c r="E103" s="50">
        <f t="shared" si="25"/>
        <v>0</v>
      </c>
      <c r="F103" s="50">
        <f t="shared" si="19"/>
        <v>0</v>
      </c>
      <c r="G103" s="69">
        <f t="shared" si="20"/>
        <v>0</v>
      </c>
      <c r="H103" s="70">
        <f t="shared" si="21"/>
        <v>4802.7666666666664</v>
      </c>
      <c r="I103" s="70">
        <f t="shared" si="22"/>
        <v>0</v>
      </c>
      <c r="J103" s="53">
        <f>B103*(E103+(B103-I103)*(F103-E103)/(H103-I103))</f>
        <v>0</v>
      </c>
      <c r="K103" s="53">
        <f t="shared" si="15"/>
        <v>0</v>
      </c>
      <c r="L103" s="289">
        <f t="shared" si="16"/>
        <v>0</v>
      </c>
      <c r="N103" s="7">
        <f t="shared" si="17"/>
        <v>0</v>
      </c>
      <c r="O103" t="str">
        <f>Medicaid!G95</f>
        <v>Yes</v>
      </c>
      <c r="P103" t="str">
        <f>Medicaid!K95</f>
        <v>Yes</v>
      </c>
    </row>
    <row r="104" spans="1:16" ht="14.4" x14ac:dyDescent="0.3">
      <c r="A104" s="3">
        <v>43500</v>
      </c>
      <c r="B104" s="3">
        <f t="shared" si="23"/>
        <v>3625</v>
      </c>
      <c r="C104" s="3">
        <f t="shared" si="24"/>
        <v>304.13749999999999</v>
      </c>
      <c r="D104" s="64">
        <f t="shared" si="13"/>
        <v>1.124612202688728</v>
      </c>
      <c r="E104" s="50">
        <f t="shared" si="25"/>
        <v>0</v>
      </c>
      <c r="F104" s="50">
        <f t="shared" si="19"/>
        <v>0</v>
      </c>
      <c r="G104" s="69">
        <f t="shared" si="20"/>
        <v>0</v>
      </c>
      <c r="H104" s="70">
        <f t="shared" si="21"/>
        <v>4802.7666666666664</v>
      </c>
      <c r="I104" s="70">
        <f t="shared" si="22"/>
        <v>0</v>
      </c>
      <c r="J104" s="53">
        <f t="shared" si="14"/>
        <v>0</v>
      </c>
      <c r="K104" s="53">
        <f t="shared" si="15"/>
        <v>0</v>
      </c>
      <c r="L104" s="289">
        <f t="shared" si="16"/>
        <v>0</v>
      </c>
      <c r="N104" s="7">
        <f t="shared" si="17"/>
        <v>0</v>
      </c>
      <c r="O104" t="str">
        <f>Medicaid!G96</f>
        <v>Yes</v>
      </c>
      <c r="P104" t="str">
        <f>Medicaid!K96</f>
        <v>Yes</v>
      </c>
    </row>
    <row r="105" spans="1:16" ht="14.4" x14ac:dyDescent="0.3">
      <c r="A105" s="3">
        <v>44000</v>
      </c>
      <c r="B105" s="3">
        <f t="shared" si="23"/>
        <v>3666.6666666666665</v>
      </c>
      <c r="C105" s="3">
        <f t="shared" si="24"/>
        <v>307.63333333333333</v>
      </c>
      <c r="D105" s="64">
        <f t="shared" si="13"/>
        <v>1.1375387797311272</v>
      </c>
      <c r="E105" s="50">
        <f t="shared" si="25"/>
        <v>0</v>
      </c>
      <c r="F105" s="50">
        <f t="shared" si="19"/>
        <v>0</v>
      </c>
      <c r="G105" s="69">
        <f t="shared" si="20"/>
        <v>0</v>
      </c>
      <c r="H105" s="70">
        <f t="shared" si="21"/>
        <v>4802.7666666666664</v>
      </c>
      <c r="I105" s="70">
        <f t="shared" si="22"/>
        <v>0</v>
      </c>
      <c r="J105" s="53">
        <f t="shared" si="14"/>
        <v>0</v>
      </c>
      <c r="K105" s="53">
        <f t="shared" si="15"/>
        <v>0</v>
      </c>
      <c r="L105" s="289">
        <f t="shared" si="16"/>
        <v>0</v>
      </c>
      <c r="N105" s="7">
        <f t="shared" si="17"/>
        <v>0</v>
      </c>
      <c r="O105" t="str">
        <f>Medicaid!G97</f>
        <v>Yes</v>
      </c>
      <c r="P105" t="str">
        <f>Medicaid!K97</f>
        <v>Yes</v>
      </c>
    </row>
    <row r="106" spans="1:16" ht="14.4" x14ac:dyDescent="0.3">
      <c r="A106" s="3">
        <v>44500</v>
      </c>
      <c r="B106" s="3">
        <f t="shared" si="23"/>
        <v>3708.3333333333335</v>
      </c>
      <c r="C106" s="3">
        <f t="shared" si="24"/>
        <v>311.12916666666666</v>
      </c>
      <c r="D106" s="64">
        <f t="shared" si="13"/>
        <v>1.1504653567735263</v>
      </c>
      <c r="E106" s="50">
        <f t="shared" si="25"/>
        <v>0</v>
      </c>
      <c r="F106" s="50">
        <f t="shared" si="19"/>
        <v>0</v>
      </c>
      <c r="G106" s="69">
        <f t="shared" si="20"/>
        <v>0</v>
      </c>
      <c r="H106" s="70">
        <f t="shared" si="21"/>
        <v>4802.7666666666664</v>
      </c>
      <c r="I106" s="70">
        <f t="shared" si="22"/>
        <v>0</v>
      </c>
      <c r="J106" s="53">
        <f t="shared" si="14"/>
        <v>0</v>
      </c>
      <c r="K106" s="53">
        <f t="shared" si="15"/>
        <v>0</v>
      </c>
      <c r="L106" s="289">
        <f t="shared" si="16"/>
        <v>0</v>
      </c>
      <c r="N106" s="7">
        <f t="shared" si="17"/>
        <v>0</v>
      </c>
      <c r="O106" t="str">
        <f>Medicaid!G98</f>
        <v>Yes</v>
      </c>
      <c r="P106" t="str">
        <f>Medicaid!K98</f>
        <v>Yes</v>
      </c>
    </row>
    <row r="107" spans="1:16" ht="14.4" x14ac:dyDescent="0.3">
      <c r="A107" s="3">
        <v>45000</v>
      </c>
      <c r="B107" s="3">
        <f t="shared" si="23"/>
        <v>3750</v>
      </c>
      <c r="C107" s="3">
        <f t="shared" si="24"/>
        <v>314.625</v>
      </c>
      <c r="D107" s="64">
        <f t="shared" si="13"/>
        <v>1.1633919338159255</v>
      </c>
      <c r="E107" s="50">
        <f t="shared" si="25"/>
        <v>0</v>
      </c>
      <c r="F107" s="50">
        <f t="shared" si="19"/>
        <v>0</v>
      </c>
      <c r="G107" s="69">
        <f t="shared" si="20"/>
        <v>0</v>
      </c>
      <c r="H107" s="70">
        <f t="shared" si="21"/>
        <v>4802.7666666666664</v>
      </c>
      <c r="I107" s="70">
        <f t="shared" si="22"/>
        <v>0</v>
      </c>
      <c r="J107" s="53">
        <f t="shared" si="14"/>
        <v>0</v>
      </c>
      <c r="K107" s="53">
        <f t="shared" si="15"/>
        <v>0</v>
      </c>
      <c r="L107" s="289">
        <f t="shared" si="16"/>
        <v>0</v>
      </c>
      <c r="N107" s="7">
        <f t="shared" si="17"/>
        <v>0</v>
      </c>
      <c r="O107" t="str">
        <f>Medicaid!G99</f>
        <v>Yes</v>
      </c>
      <c r="P107" t="str">
        <f>Medicaid!K99</f>
        <v>Yes</v>
      </c>
    </row>
    <row r="108" spans="1:16" ht="14.4" x14ac:dyDescent="0.3">
      <c r="A108" s="3">
        <v>45500</v>
      </c>
      <c r="B108" s="3">
        <f t="shared" si="23"/>
        <v>3791.6666666666665</v>
      </c>
      <c r="C108" s="3">
        <f t="shared" si="24"/>
        <v>318.12083333333334</v>
      </c>
      <c r="D108" s="64">
        <f t="shared" si="13"/>
        <v>1.1763185108583245</v>
      </c>
      <c r="E108" s="50">
        <f t="shared" si="25"/>
        <v>0</v>
      </c>
      <c r="F108" s="50">
        <f t="shared" si="19"/>
        <v>0</v>
      </c>
      <c r="G108" s="69">
        <f t="shared" si="20"/>
        <v>0</v>
      </c>
      <c r="H108" s="70">
        <f t="shared" si="21"/>
        <v>4802.7666666666664</v>
      </c>
      <c r="I108" s="70">
        <f t="shared" si="22"/>
        <v>0</v>
      </c>
      <c r="J108" s="53">
        <f t="shared" si="14"/>
        <v>0</v>
      </c>
      <c r="K108" s="53">
        <f t="shared" si="15"/>
        <v>0</v>
      </c>
      <c r="L108" s="289">
        <f t="shared" si="16"/>
        <v>0</v>
      </c>
      <c r="N108" s="7">
        <f t="shared" si="17"/>
        <v>0</v>
      </c>
      <c r="O108" t="str">
        <f>Medicaid!G100</f>
        <v>Yes</v>
      </c>
      <c r="P108" t="str">
        <f>Medicaid!K100</f>
        <v>Yes</v>
      </c>
    </row>
    <row r="109" spans="1:16" ht="14.4" x14ac:dyDescent="0.3">
      <c r="A109" s="3">
        <v>46000</v>
      </c>
      <c r="B109" s="3">
        <f t="shared" si="23"/>
        <v>3833.3333333333335</v>
      </c>
      <c r="C109" s="3">
        <f t="shared" si="24"/>
        <v>321.61666666666667</v>
      </c>
      <c r="D109" s="64">
        <f t="shared" si="13"/>
        <v>1.1892450879007239</v>
      </c>
      <c r="E109" s="50">
        <f t="shared" si="25"/>
        <v>0</v>
      </c>
      <c r="F109" s="50">
        <f t="shared" si="19"/>
        <v>0</v>
      </c>
      <c r="G109" s="69">
        <f t="shared" si="20"/>
        <v>0</v>
      </c>
      <c r="H109" s="70">
        <f t="shared" si="21"/>
        <v>4802.7666666666664</v>
      </c>
      <c r="I109" s="70">
        <f t="shared" si="22"/>
        <v>0</v>
      </c>
      <c r="J109" s="53">
        <f t="shared" si="14"/>
        <v>0</v>
      </c>
      <c r="K109" s="53">
        <f t="shared" si="15"/>
        <v>0</v>
      </c>
      <c r="L109" s="289">
        <f t="shared" si="16"/>
        <v>0</v>
      </c>
      <c r="N109" s="7">
        <f t="shared" si="17"/>
        <v>0</v>
      </c>
      <c r="O109" t="str">
        <f>Medicaid!G101</f>
        <v>Yes</v>
      </c>
      <c r="P109" t="str">
        <f>Medicaid!K101</f>
        <v>Yes</v>
      </c>
    </row>
    <row r="110" spans="1:16" ht="14.4" x14ac:dyDescent="0.3">
      <c r="A110" s="3">
        <v>46500</v>
      </c>
      <c r="B110" s="3">
        <f t="shared" si="23"/>
        <v>3875</v>
      </c>
      <c r="C110" s="3">
        <f t="shared" si="24"/>
        <v>325.11250000000001</v>
      </c>
      <c r="D110" s="64">
        <f t="shared" si="13"/>
        <v>1.2021716649431231</v>
      </c>
      <c r="E110" s="50">
        <f t="shared" si="25"/>
        <v>0</v>
      </c>
      <c r="F110" s="50">
        <f t="shared" si="19"/>
        <v>0</v>
      </c>
      <c r="G110" s="69">
        <f t="shared" si="20"/>
        <v>0</v>
      </c>
      <c r="H110" s="70">
        <f t="shared" si="21"/>
        <v>4802.7666666666664</v>
      </c>
      <c r="I110" s="70">
        <f t="shared" si="22"/>
        <v>0</v>
      </c>
      <c r="J110" s="53">
        <f t="shared" si="14"/>
        <v>0</v>
      </c>
      <c r="K110" s="53">
        <f t="shared" si="15"/>
        <v>0</v>
      </c>
      <c r="L110" s="289">
        <f t="shared" si="16"/>
        <v>0</v>
      </c>
      <c r="N110" s="7">
        <f t="shared" si="17"/>
        <v>0</v>
      </c>
      <c r="O110" t="str">
        <f>Medicaid!G102</f>
        <v>Yes</v>
      </c>
      <c r="P110" t="str">
        <f>Medicaid!K102</f>
        <v>Yes</v>
      </c>
    </row>
    <row r="111" spans="1:16" ht="14.4" x14ac:dyDescent="0.3">
      <c r="A111" s="3">
        <v>47000</v>
      </c>
      <c r="B111" s="3">
        <f t="shared" si="23"/>
        <v>3916.6666666666665</v>
      </c>
      <c r="C111" s="3">
        <f t="shared" si="24"/>
        <v>328.60833333333335</v>
      </c>
      <c r="D111" s="64">
        <f t="shared" si="13"/>
        <v>1.2150982419855221</v>
      </c>
      <c r="E111" s="50">
        <f t="shared" si="25"/>
        <v>0</v>
      </c>
      <c r="F111" s="50">
        <f t="shared" si="19"/>
        <v>0</v>
      </c>
      <c r="G111" s="69">
        <f t="shared" si="20"/>
        <v>0</v>
      </c>
      <c r="H111" s="70">
        <f t="shared" si="21"/>
        <v>4802.7666666666664</v>
      </c>
      <c r="I111" s="70">
        <f t="shared" si="22"/>
        <v>0</v>
      </c>
      <c r="J111" s="53">
        <f t="shared" si="14"/>
        <v>0</v>
      </c>
      <c r="K111" s="53">
        <f t="shared" si="15"/>
        <v>0</v>
      </c>
      <c r="L111" s="289">
        <f t="shared" si="16"/>
        <v>0</v>
      </c>
      <c r="N111" s="7">
        <f t="shared" si="17"/>
        <v>0</v>
      </c>
      <c r="O111" t="str">
        <f>Medicaid!G103</f>
        <v>Yes</v>
      </c>
      <c r="P111" t="str">
        <f>Medicaid!K103</f>
        <v>Yes</v>
      </c>
    </row>
    <row r="112" spans="1:16" ht="14.4" x14ac:dyDescent="0.3">
      <c r="A112" s="3">
        <v>47500</v>
      </c>
      <c r="B112" s="3">
        <f t="shared" si="23"/>
        <v>3958.3333333333335</v>
      </c>
      <c r="C112" s="3">
        <f t="shared" si="24"/>
        <v>332.10416666666669</v>
      </c>
      <c r="D112" s="64">
        <f t="shared" si="13"/>
        <v>1.2280248190279215</v>
      </c>
      <c r="E112" s="50">
        <f t="shared" si="25"/>
        <v>0</v>
      </c>
      <c r="F112" s="50">
        <f t="shared" si="19"/>
        <v>0</v>
      </c>
      <c r="G112" s="69">
        <f t="shared" si="20"/>
        <v>0</v>
      </c>
      <c r="H112" s="70">
        <f t="shared" si="21"/>
        <v>4802.7666666666664</v>
      </c>
      <c r="I112" s="70">
        <f t="shared" si="22"/>
        <v>0</v>
      </c>
      <c r="J112" s="53">
        <f t="shared" si="14"/>
        <v>0</v>
      </c>
      <c r="K112" s="53">
        <f t="shared" si="15"/>
        <v>0</v>
      </c>
      <c r="L112" s="289">
        <f t="shared" si="16"/>
        <v>0</v>
      </c>
      <c r="N112" s="7">
        <f t="shared" si="17"/>
        <v>0</v>
      </c>
      <c r="O112" t="str">
        <f>Medicaid!G104</f>
        <v>Yes</v>
      </c>
      <c r="P112" t="str">
        <f>Medicaid!K104</f>
        <v>Yes</v>
      </c>
    </row>
    <row r="113" spans="1:16" ht="14.4" x14ac:dyDescent="0.3">
      <c r="A113" s="3">
        <v>48000</v>
      </c>
      <c r="B113" s="3">
        <f t="shared" si="23"/>
        <v>4000</v>
      </c>
      <c r="C113" s="3">
        <f t="shared" si="24"/>
        <v>335.6</v>
      </c>
      <c r="D113" s="64">
        <f t="shared" ref="D113:D176" si="26">B113/$K$2</f>
        <v>1.2409513960703205</v>
      </c>
      <c r="E113" s="50">
        <f t="shared" si="25"/>
        <v>0</v>
      </c>
      <c r="F113" s="50">
        <f>IF(D113&gt;3.99,0.085,IF(D113&gt;2.99,0.085,IF(D113&gt;2.49,0.06,IF(D113&gt;1.99,0.04,IF(D113&gt;1.49,0.02,0)))))</f>
        <v>0</v>
      </c>
      <c r="G113" s="69">
        <f t="shared" si="20"/>
        <v>0</v>
      </c>
      <c r="H113" s="70">
        <f t="shared" si="21"/>
        <v>4802.7666666666664</v>
      </c>
      <c r="I113" s="70">
        <f t="shared" si="22"/>
        <v>0</v>
      </c>
      <c r="J113" s="53">
        <f t="shared" si="14"/>
        <v>0</v>
      </c>
      <c r="K113" s="53">
        <f t="shared" si="15"/>
        <v>0</v>
      </c>
      <c r="L113" s="289">
        <f t="shared" si="16"/>
        <v>0</v>
      </c>
      <c r="N113" s="7">
        <f t="shared" si="17"/>
        <v>0</v>
      </c>
      <c r="O113" t="str">
        <f>Medicaid!G105</f>
        <v>Yes</v>
      </c>
      <c r="P113" t="str">
        <f>Medicaid!K105</f>
        <v>Yes</v>
      </c>
    </row>
    <row r="114" spans="1:16" ht="14.4" x14ac:dyDescent="0.3">
      <c r="A114" s="3">
        <v>48500</v>
      </c>
      <c r="B114" s="3">
        <f t="shared" si="23"/>
        <v>4041.6666666666665</v>
      </c>
      <c r="C114" s="3">
        <f t="shared" si="24"/>
        <v>339.0958333333333</v>
      </c>
      <c r="D114" s="64">
        <f t="shared" si="26"/>
        <v>1.2538779731127196</v>
      </c>
      <c r="E114" s="50">
        <f t="shared" si="25"/>
        <v>0</v>
      </c>
      <c r="F114" s="50">
        <f t="shared" si="19"/>
        <v>0</v>
      </c>
      <c r="G114" s="69">
        <f t="shared" si="20"/>
        <v>0</v>
      </c>
      <c r="H114" s="70">
        <f t="shared" si="21"/>
        <v>4802.7666666666664</v>
      </c>
      <c r="I114" s="70">
        <f t="shared" si="22"/>
        <v>0</v>
      </c>
      <c r="J114" s="53">
        <f t="shared" si="14"/>
        <v>0</v>
      </c>
      <c r="K114" s="53">
        <f t="shared" si="15"/>
        <v>0</v>
      </c>
      <c r="L114" s="289">
        <f t="shared" si="16"/>
        <v>0</v>
      </c>
      <c r="N114" s="7">
        <f t="shared" si="17"/>
        <v>0</v>
      </c>
      <c r="O114" t="str">
        <f>Medicaid!G106</f>
        <v>Yes</v>
      </c>
      <c r="P114" t="str">
        <f>Medicaid!K106</f>
        <v>Yes</v>
      </c>
    </row>
    <row r="115" spans="1:16" ht="14.4" x14ac:dyDescent="0.3">
      <c r="A115" s="3">
        <v>49000</v>
      </c>
      <c r="B115" s="3">
        <f t="shared" si="23"/>
        <v>4083.3333333333335</v>
      </c>
      <c r="C115" s="3">
        <f t="shared" si="24"/>
        <v>342.5916666666667</v>
      </c>
      <c r="D115" s="64">
        <f t="shared" si="26"/>
        <v>1.2668045501551188</v>
      </c>
      <c r="E115" s="50">
        <f t="shared" si="25"/>
        <v>0</v>
      </c>
      <c r="F115" s="50">
        <f t="shared" si="19"/>
        <v>0</v>
      </c>
      <c r="G115" s="69">
        <f t="shared" si="20"/>
        <v>0</v>
      </c>
      <c r="H115" s="70">
        <f t="shared" si="21"/>
        <v>4802.7666666666664</v>
      </c>
      <c r="I115" s="70">
        <f t="shared" si="22"/>
        <v>0</v>
      </c>
      <c r="J115" s="53">
        <f t="shared" si="14"/>
        <v>0</v>
      </c>
      <c r="K115" s="53">
        <f t="shared" si="15"/>
        <v>0</v>
      </c>
      <c r="L115" s="289">
        <f t="shared" si="16"/>
        <v>0</v>
      </c>
      <c r="N115" s="7">
        <f t="shared" si="17"/>
        <v>0</v>
      </c>
      <c r="O115" t="str">
        <f>Medicaid!G107</f>
        <v>Yes</v>
      </c>
      <c r="P115" t="str">
        <f>Medicaid!K107</f>
        <v>Yes</v>
      </c>
    </row>
    <row r="116" spans="1:16" ht="14.4" x14ac:dyDescent="0.3">
      <c r="A116" s="3">
        <v>49500</v>
      </c>
      <c r="B116" s="3">
        <f t="shared" si="23"/>
        <v>4125</v>
      </c>
      <c r="C116" s="3">
        <f t="shared" si="24"/>
        <v>346.08750000000003</v>
      </c>
      <c r="D116" s="64">
        <f t="shared" si="26"/>
        <v>1.279731127197518</v>
      </c>
      <c r="E116" s="50">
        <f t="shared" si="25"/>
        <v>0</v>
      </c>
      <c r="F116" s="50">
        <f t="shared" si="19"/>
        <v>0</v>
      </c>
      <c r="G116" s="69">
        <f t="shared" si="20"/>
        <v>0</v>
      </c>
      <c r="H116" s="70">
        <f t="shared" si="21"/>
        <v>4802.7666666666664</v>
      </c>
      <c r="I116" s="70">
        <f t="shared" si="22"/>
        <v>0</v>
      </c>
      <c r="J116" s="53">
        <f t="shared" si="14"/>
        <v>0</v>
      </c>
      <c r="K116" s="53">
        <f t="shared" si="15"/>
        <v>0</v>
      </c>
      <c r="L116" s="289">
        <f t="shared" si="16"/>
        <v>0</v>
      </c>
      <c r="N116" s="7">
        <f t="shared" si="17"/>
        <v>0</v>
      </c>
      <c r="O116" t="str">
        <f>Medicaid!G108</f>
        <v>Yes</v>
      </c>
      <c r="P116" t="str">
        <f>Medicaid!K108</f>
        <v>Yes</v>
      </c>
    </row>
    <row r="117" spans="1:16" ht="14.4" x14ac:dyDescent="0.3">
      <c r="A117" s="3">
        <v>50000</v>
      </c>
      <c r="B117" s="3">
        <f t="shared" si="23"/>
        <v>4166.666666666667</v>
      </c>
      <c r="C117" s="3">
        <f t="shared" si="24"/>
        <v>349.58333333333337</v>
      </c>
      <c r="D117" s="64">
        <f t="shared" si="26"/>
        <v>1.2926577042399172</v>
      </c>
      <c r="E117" s="50">
        <f t="shared" si="25"/>
        <v>0</v>
      </c>
      <c r="F117" s="50">
        <f t="shared" si="19"/>
        <v>0</v>
      </c>
      <c r="G117" s="69">
        <f t="shared" si="20"/>
        <v>0</v>
      </c>
      <c r="H117" s="70">
        <f t="shared" si="21"/>
        <v>4802.7666666666664</v>
      </c>
      <c r="I117" s="70">
        <f t="shared" si="22"/>
        <v>0</v>
      </c>
      <c r="J117" s="53">
        <f t="shared" si="14"/>
        <v>0</v>
      </c>
      <c r="K117" s="53">
        <f t="shared" si="15"/>
        <v>0</v>
      </c>
      <c r="L117" s="289">
        <f t="shared" si="16"/>
        <v>0</v>
      </c>
      <c r="N117" s="7">
        <f t="shared" si="17"/>
        <v>0</v>
      </c>
      <c r="O117" t="str">
        <f>Medicaid!G109</f>
        <v>Yes</v>
      </c>
      <c r="P117" t="str">
        <f>Medicaid!K109</f>
        <v>Yes</v>
      </c>
    </row>
    <row r="118" spans="1:16" ht="14.4" x14ac:dyDescent="0.3">
      <c r="A118" s="3">
        <v>50500</v>
      </c>
      <c r="B118" s="3">
        <f t="shared" si="23"/>
        <v>4208.333333333333</v>
      </c>
      <c r="C118" s="3">
        <f t="shared" si="24"/>
        <v>353.07916666666665</v>
      </c>
      <c r="D118" s="64">
        <f t="shared" si="26"/>
        <v>1.3055842812823162</v>
      </c>
      <c r="E118" s="50">
        <f t="shared" si="25"/>
        <v>0</v>
      </c>
      <c r="F118" s="50">
        <f t="shared" si="19"/>
        <v>0</v>
      </c>
      <c r="G118" s="69">
        <f t="shared" si="20"/>
        <v>0</v>
      </c>
      <c r="H118" s="70">
        <f t="shared" si="21"/>
        <v>4802.7666666666664</v>
      </c>
      <c r="I118" s="70">
        <f t="shared" si="22"/>
        <v>0</v>
      </c>
      <c r="J118" s="53">
        <f t="shared" si="14"/>
        <v>0</v>
      </c>
      <c r="K118" s="53">
        <f t="shared" si="15"/>
        <v>0</v>
      </c>
      <c r="L118" s="289">
        <f t="shared" si="16"/>
        <v>0</v>
      </c>
      <c r="N118" s="7">
        <f t="shared" si="17"/>
        <v>0</v>
      </c>
      <c r="O118" t="str">
        <f>Medicaid!G110</f>
        <v>Yes</v>
      </c>
      <c r="P118" t="str">
        <f>Medicaid!K110</f>
        <v>Yes</v>
      </c>
    </row>
    <row r="119" spans="1:16" ht="15" customHeight="1" x14ac:dyDescent="0.3">
      <c r="A119" s="3">
        <v>51000</v>
      </c>
      <c r="B119" s="3">
        <f t="shared" si="23"/>
        <v>4250</v>
      </c>
      <c r="C119" s="3">
        <f t="shared" si="24"/>
        <v>356.57499999999999</v>
      </c>
      <c r="D119" s="64">
        <f t="shared" si="26"/>
        <v>1.3185108583247156</v>
      </c>
      <c r="E119" s="50">
        <f t="shared" si="25"/>
        <v>0</v>
      </c>
      <c r="F119" s="50">
        <f t="shared" si="19"/>
        <v>0</v>
      </c>
      <c r="G119" s="69">
        <f t="shared" si="20"/>
        <v>0</v>
      </c>
      <c r="H119" s="70">
        <f t="shared" si="21"/>
        <v>4802.7666666666664</v>
      </c>
      <c r="I119" s="70">
        <f t="shared" si="22"/>
        <v>0</v>
      </c>
      <c r="J119" s="53">
        <f t="shared" si="14"/>
        <v>0</v>
      </c>
      <c r="K119" s="53">
        <f t="shared" si="15"/>
        <v>0</v>
      </c>
      <c r="L119" s="289">
        <f t="shared" si="16"/>
        <v>0</v>
      </c>
      <c r="N119" s="7">
        <f t="shared" si="17"/>
        <v>0</v>
      </c>
      <c r="O119" t="str">
        <f>Medicaid!G111</f>
        <v>Yes</v>
      </c>
      <c r="P119" t="str">
        <f>Medicaid!K111</f>
        <v>Yes</v>
      </c>
    </row>
    <row r="120" spans="1:16" ht="15" customHeight="1" x14ac:dyDescent="0.3">
      <c r="A120" s="3">
        <v>51500</v>
      </c>
      <c r="B120" s="3">
        <f t="shared" si="23"/>
        <v>4291.666666666667</v>
      </c>
      <c r="C120" s="3">
        <f t="shared" si="24"/>
        <v>360.07083333333338</v>
      </c>
      <c r="D120" s="64">
        <f t="shared" si="26"/>
        <v>1.3314374353671148</v>
      </c>
      <c r="E120" s="50">
        <f t="shared" si="25"/>
        <v>0</v>
      </c>
      <c r="F120" s="50">
        <f t="shared" si="19"/>
        <v>0</v>
      </c>
      <c r="G120" s="69">
        <f t="shared" si="20"/>
        <v>0</v>
      </c>
      <c r="H120" s="70">
        <f t="shared" si="21"/>
        <v>4802.7666666666664</v>
      </c>
      <c r="I120" s="70">
        <f t="shared" si="22"/>
        <v>0</v>
      </c>
      <c r="J120" s="53">
        <f t="shared" si="14"/>
        <v>0</v>
      </c>
      <c r="K120" s="53">
        <f t="shared" si="15"/>
        <v>0</v>
      </c>
      <c r="L120" s="289">
        <f t="shared" si="16"/>
        <v>0</v>
      </c>
      <c r="N120" s="7">
        <f t="shared" si="17"/>
        <v>0</v>
      </c>
      <c r="O120" t="str">
        <f>Medicaid!G112</f>
        <v>Yes</v>
      </c>
      <c r="P120" t="str">
        <f>Medicaid!K112</f>
        <v>Yes</v>
      </c>
    </row>
    <row r="121" spans="1:16" ht="15" customHeight="1" x14ac:dyDescent="0.3">
      <c r="A121" s="3">
        <v>52000</v>
      </c>
      <c r="B121" s="3">
        <f t="shared" si="23"/>
        <v>4333.333333333333</v>
      </c>
      <c r="C121" s="3">
        <f t="shared" si="24"/>
        <v>363.56666666666666</v>
      </c>
      <c r="D121" s="64">
        <f t="shared" si="26"/>
        <v>1.3443640124095138</v>
      </c>
      <c r="E121" s="50">
        <f t="shared" si="25"/>
        <v>0</v>
      </c>
      <c r="F121" s="50">
        <f t="shared" si="19"/>
        <v>0</v>
      </c>
      <c r="G121" s="69">
        <f t="shared" si="20"/>
        <v>0</v>
      </c>
      <c r="H121" s="70">
        <f t="shared" si="21"/>
        <v>4802.7666666666664</v>
      </c>
      <c r="I121" s="70">
        <f t="shared" si="22"/>
        <v>0</v>
      </c>
      <c r="J121" s="53">
        <f t="shared" si="14"/>
        <v>0</v>
      </c>
      <c r="K121" s="53">
        <f t="shared" si="15"/>
        <v>0</v>
      </c>
      <c r="L121" s="289">
        <f t="shared" si="16"/>
        <v>0</v>
      </c>
      <c r="N121" s="7">
        <f t="shared" si="17"/>
        <v>0</v>
      </c>
      <c r="O121" t="str">
        <f>Medicaid!G113</f>
        <v>Yes</v>
      </c>
      <c r="P121" t="str">
        <f>Medicaid!K113</f>
        <v>Yes</v>
      </c>
    </row>
    <row r="122" spans="1:16" ht="15" customHeight="1" x14ac:dyDescent="0.3">
      <c r="A122" s="3">
        <v>52500</v>
      </c>
      <c r="B122" s="3">
        <f t="shared" si="23"/>
        <v>4375</v>
      </c>
      <c r="C122" s="3">
        <f t="shared" si="24"/>
        <v>367.0625</v>
      </c>
      <c r="D122" s="64">
        <f t="shared" si="26"/>
        <v>1.3572905894519132</v>
      </c>
      <c r="E122" s="50">
        <f t="shared" si="25"/>
        <v>0</v>
      </c>
      <c r="F122" s="50">
        <f t="shared" si="19"/>
        <v>0</v>
      </c>
      <c r="G122" s="69">
        <f t="shared" si="20"/>
        <v>0</v>
      </c>
      <c r="H122" s="70">
        <f t="shared" si="21"/>
        <v>4802.7666666666664</v>
      </c>
      <c r="I122" s="70">
        <f t="shared" si="22"/>
        <v>0</v>
      </c>
      <c r="J122" s="53">
        <f t="shared" si="14"/>
        <v>0</v>
      </c>
      <c r="K122" s="53">
        <f t="shared" si="15"/>
        <v>0</v>
      </c>
      <c r="L122" s="289">
        <f t="shared" si="16"/>
        <v>0</v>
      </c>
      <c r="N122" s="7">
        <f t="shared" si="17"/>
        <v>0</v>
      </c>
      <c r="O122" t="str">
        <f>Medicaid!G114</f>
        <v>Yes</v>
      </c>
      <c r="P122" t="str">
        <f>Medicaid!K114</f>
        <v>Yes</v>
      </c>
    </row>
    <row r="123" spans="1:16" ht="15" customHeight="1" x14ac:dyDescent="0.3">
      <c r="A123" s="3">
        <v>53000</v>
      </c>
      <c r="B123" s="3">
        <f t="shared" si="23"/>
        <v>4416.666666666667</v>
      </c>
      <c r="C123" s="3">
        <f t="shared" si="24"/>
        <v>370.55833333333339</v>
      </c>
      <c r="D123" s="64">
        <f t="shared" si="26"/>
        <v>1.3702171664943124</v>
      </c>
      <c r="E123" s="50">
        <f t="shared" si="25"/>
        <v>0</v>
      </c>
      <c r="F123" s="50">
        <f t="shared" si="19"/>
        <v>0</v>
      </c>
      <c r="G123" s="69">
        <f t="shared" si="20"/>
        <v>0</v>
      </c>
      <c r="H123" s="70">
        <f t="shared" si="21"/>
        <v>4802.7666666666664</v>
      </c>
      <c r="I123" s="70">
        <f t="shared" si="22"/>
        <v>0</v>
      </c>
      <c r="J123" s="53">
        <f t="shared" si="14"/>
        <v>0</v>
      </c>
      <c r="K123" s="53">
        <f t="shared" si="15"/>
        <v>0</v>
      </c>
      <c r="L123" s="289">
        <f t="shared" si="16"/>
        <v>0</v>
      </c>
      <c r="N123" s="7">
        <f t="shared" si="17"/>
        <v>0</v>
      </c>
      <c r="O123" t="str">
        <f>Medicaid!G115</f>
        <v>Yes</v>
      </c>
      <c r="P123" t="str">
        <f>Medicaid!K115</f>
        <v>Yes</v>
      </c>
    </row>
    <row r="124" spans="1:16" ht="15" customHeight="1" x14ac:dyDescent="0.3">
      <c r="A124" s="3">
        <v>53500</v>
      </c>
      <c r="B124" s="3">
        <f t="shared" si="23"/>
        <v>4458.333333333333</v>
      </c>
      <c r="C124" s="3">
        <f t="shared" si="24"/>
        <v>374.05416666666667</v>
      </c>
      <c r="D124" s="64">
        <f t="shared" si="26"/>
        <v>1.3831437435367113</v>
      </c>
      <c r="E124" s="50">
        <f t="shared" si="25"/>
        <v>0</v>
      </c>
      <c r="F124" s="50">
        <f t="shared" si="19"/>
        <v>0</v>
      </c>
      <c r="G124" s="69">
        <f t="shared" si="20"/>
        <v>0</v>
      </c>
      <c r="H124" s="70">
        <f t="shared" si="21"/>
        <v>4802.7666666666664</v>
      </c>
      <c r="I124" s="70">
        <f t="shared" si="22"/>
        <v>0</v>
      </c>
      <c r="J124" s="53">
        <f t="shared" si="14"/>
        <v>0</v>
      </c>
      <c r="K124" s="53">
        <f t="shared" si="15"/>
        <v>889</v>
      </c>
      <c r="L124" s="289">
        <f t="shared" si="16"/>
        <v>889</v>
      </c>
      <c r="N124" s="7">
        <f t="shared" si="17"/>
        <v>10668</v>
      </c>
      <c r="O124" t="str">
        <f>Medicaid!G116</f>
        <v>No</v>
      </c>
      <c r="P124" t="str">
        <f>Medicaid!K116</f>
        <v>Yes</v>
      </c>
    </row>
    <row r="125" spans="1:16" ht="15" customHeight="1" x14ac:dyDescent="0.3">
      <c r="A125" s="3">
        <v>54000</v>
      </c>
      <c r="B125" s="3">
        <f t="shared" si="23"/>
        <v>4500</v>
      </c>
      <c r="C125" s="3">
        <f t="shared" si="24"/>
        <v>377.55</v>
      </c>
      <c r="D125" s="64">
        <f t="shared" si="26"/>
        <v>1.3960703205791105</v>
      </c>
      <c r="E125" s="50">
        <f t="shared" si="25"/>
        <v>0</v>
      </c>
      <c r="F125" s="50">
        <f t="shared" si="19"/>
        <v>0</v>
      </c>
      <c r="G125" s="69">
        <f t="shared" si="20"/>
        <v>0</v>
      </c>
      <c r="H125" s="70">
        <f t="shared" si="21"/>
        <v>4802.7666666666664</v>
      </c>
      <c r="I125" s="70">
        <f t="shared" si="22"/>
        <v>0</v>
      </c>
      <c r="J125" s="53">
        <f t="shared" si="14"/>
        <v>0</v>
      </c>
      <c r="K125" s="53">
        <f t="shared" si="15"/>
        <v>889</v>
      </c>
      <c r="L125" s="289">
        <f t="shared" si="16"/>
        <v>889</v>
      </c>
      <c r="N125" s="7">
        <f t="shared" si="17"/>
        <v>10668</v>
      </c>
      <c r="O125" t="str">
        <f>Medicaid!G117</f>
        <v>No</v>
      </c>
      <c r="P125" t="str">
        <f>Medicaid!K117</f>
        <v>Yes</v>
      </c>
    </row>
    <row r="126" spans="1:16" ht="15" customHeight="1" x14ac:dyDescent="0.3">
      <c r="A126" s="3">
        <v>54500</v>
      </c>
      <c r="B126" s="3">
        <f t="shared" si="23"/>
        <v>4541.666666666667</v>
      </c>
      <c r="C126" s="3">
        <f t="shared" si="24"/>
        <v>381.04583333333335</v>
      </c>
      <c r="D126" s="64">
        <f t="shared" si="26"/>
        <v>1.4089968976215099</v>
      </c>
      <c r="E126" s="50">
        <f t="shared" si="25"/>
        <v>0</v>
      </c>
      <c r="F126" s="50">
        <f t="shared" si="19"/>
        <v>0</v>
      </c>
      <c r="G126" s="69">
        <f t="shared" si="20"/>
        <v>0</v>
      </c>
      <c r="H126" s="70">
        <f t="shared" si="21"/>
        <v>4802.7666666666664</v>
      </c>
      <c r="I126" s="70">
        <f t="shared" si="22"/>
        <v>0</v>
      </c>
      <c r="J126" s="53">
        <f t="shared" si="14"/>
        <v>0</v>
      </c>
      <c r="K126" s="53">
        <f t="shared" si="15"/>
        <v>889</v>
      </c>
      <c r="L126" s="289">
        <f t="shared" si="16"/>
        <v>889</v>
      </c>
      <c r="N126" s="7">
        <f t="shared" si="17"/>
        <v>10668</v>
      </c>
      <c r="O126" t="str">
        <f>Medicaid!G118</f>
        <v>No</v>
      </c>
      <c r="P126" t="str">
        <f>Medicaid!K118</f>
        <v>Yes</v>
      </c>
    </row>
    <row r="127" spans="1:16" ht="15" customHeight="1" x14ac:dyDescent="0.3">
      <c r="A127" s="3">
        <v>55000</v>
      </c>
      <c r="B127" s="3">
        <f t="shared" si="23"/>
        <v>4583.333333333333</v>
      </c>
      <c r="C127" s="3">
        <f t="shared" si="24"/>
        <v>384.54166666666663</v>
      </c>
      <c r="D127" s="64">
        <f t="shared" si="26"/>
        <v>1.4219234746639089</v>
      </c>
      <c r="E127" s="50">
        <f t="shared" si="25"/>
        <v>0</v>
      </c>
      <c r="F127" s="50">
        <f t="shared" si="19"/>
        <v>0</v>
      </c>
      <c r="G127" s="69">
        <f t="shared" si="20"/>
        <v>0</v>
      </c>
      <c r="H127" s="70">
        <f t="shared" si="21"/>
        <v>4802.7666666666664</v>
      </c>
      <c r="I127" s="70">
        <f t="shared" si="22"/>
        <v>0</v>
      </c>
      <c r="J127" s="53">
        <f t="shared" si="14"/>
        <v>0</v>
      </c>
      <c r="K127" s="53">
        <f t="shared" si="15"/>
        <v>889</v>
      </c>
      <c r="L127" s="289">
        <f t="shared" si="16"/>
        <v>889</v>
      </c>
      <c r="N127" s="7">
        <f t="shared" si="17"/>
        <v>10668</v>
      </c>
      <c r="O127" t="str">
        <f>Medicaid!G119</f>
        <v>No</v>
      </c>
      <c r="P127" t="str">
        <f>Medicaid!K119</f>
        <v>Yes</v>
      </c>
    </row>
    <row r="128" spans="1:16" ht="15" customHeight="1" x14ac:dyDescent="0.3">
      <c r="A128" s="3">
        <v>55500</v>
      </c>
      <c r="B128" s="3">
        <f t="shared" si="23"/>
        <v>4625</v>
      </c>
      <c r="C128" s="3">
        <f t="shared" si="24"/>
        <v>388.03750000000002</v>
      </c>
      <c r="D128" s="64">
        <f t="shared" si="26"/>
        <v>1.4348500517063081</v>
      </c>
      <c r="E128" s="50">
        <f t="shared" si="25"/>
        <v>0</v>
      </c>
      <c r="F128" s="50">
        <f t="shared" si="19"/>
        <v>0</v>
      </c>
      <c r="G128" s="69">
        <f t="shared" si="20"/>
        <v>0</v>
      </c>
      <c r="H128" s="70">
        <f t="shared" si="21"/>
        <v>4802.7666666666664</v>
      </c>
      <c r="I128" s="70">
        <f t="shared" si="22"/>
        <v>0</v>
      </c>
      <c r="J128" s="53">
        <f t="shared" si="14"/>
        <v>0</v>
      </c>
      <c r="K128" s="53">
        <f t="shared" si="15"/>
        <v>889</v>
      </c>
      <c r="L128" s="289">
        <f t="shared" si="16"/>
        <v>889</v>
      </c>
      <c r="N128" s="7">
        <f t="shared" si="17"/>
        <v>10668</v>
      </c>
      <c r="O128" t="str">
        <f>Medicaid!G120</f>
        <v>No</v>
      </c>
      <c r="P128" t="str">
        <f>Medicaid!K120</f>
        <v>Yes</v>
      </c>
    </row>
    <row r="129" spans="1:16" ht="15" customHeight="1" x14ac:dyDescent="0.3">
      <c r="A129" s="3">
        <v>56000</v>
      </c>
      <c r="B129" s="3">
        <f t="shared" si="23"/>
        <v>4666.666666666667</v>
      </c>
      <c r="C129" s="3">
        <f t="shared" si="24"/>
        <v>391.53333333333336</v>
      </c>
      <c r="D129" s="64">
        <f t="shared" si="26"/>
        <v>1.4477766287487073</v>
      </c>
      <c r="E129" s="50">
        <f t="shared" si="25"/>
        <v>0</v>
      </c>
      <c r="F129" s="50">
        <f t="shared" si="19"/>
        <v>0</v>
      </c>
      <c r="G129" s="69">
        <f t="shared" si="20"/>
        <v>0</v>
      </c>
      <c r="H129" s="70">
        <f t="shared" si="21"/>
        <v>4802.7666666666664</v>
      </c>
      <c r="I129" s="70">
        <f t="shared" si="22"/>
        <v>0</v>
      </c>
      <c r="J129" s="53">
        <f t="shared" si="14"/>
        <v>0</v>
      </c>
      <c r="K129" s="53">
        <f t="shared" si="15"/>
        <v>889</v>
      </c>
      <c r="L129" s="289">
        <f t="shared" si="16"/>
        <v>889</v>
      </c>
      <c r="N129" s="7">
        <f t="shared" si="17"/>
        <v>10668</v>
      </c>
      <c r="O129" t="str">
        <f>Medicaid!G121</f>
        <v>No</v>
      </c>
      <c r="P129" t="str">
        <f>Medicaid!K121</f>
        <v>Yes</v>
      </c>
    </row>
    <row r="130" spans="1:16" ht="15" customHeight="1" x14ac:dyDescent="0.3">
      <c r="A130" s="3">
        <v>56500</v>
      </c>
      <c r="B130" s="3">
        <f t="shared" si="23"/>
        <v>4708.333333333333</v>
      </c>
      <c r="C130" s="3">
        <f t="shared" si="24"/>
        <v>395.02916666666664</v>
      </c>
      <c r="D130" s="64">
        <f t="shared" si="26"/>
        <v>1.4607032057911065</v>
      </c>
      <c r="E130" s="50">
        <f t="shared" si="25"/>
        <v>0</v>
      </c>
      <c r="F130" s="50">
        <f t="shared" si="19"/>
        <v>0</v>
      </c>
      <c r="G130" s="69">
        <f t="shared" si="20"/>
        <v>0</v>
      </c>
      <c r="H130" s="70">
        <f t="shared" si="21"/>
        <v>4802.7666666666664</v>
      </c>
      <c r="I130" s="70">
        <f t="shared" si="22"/>
        <v>0</v>
      </c>
      <c r="J130" s="53">
        <f t="shared" si="14"/>
        <v>0</v>
      </c>
      <c r="K130" s="53">
        <f t="shared" si="15"/>
        <v>889</v>
      </c>
      <c r="L130" s="289">
        <f t="shared" si="16"/>
        <v>889</v>
      </c>
      <c r="N130" s="7">
        <f t="shared" si="17"/>
        <v>10668</v>
      </c>
      <c r="O130" t="str">
        <f>Medicaid!G122</f>
        <v>No</v>
      </c>
      <c r="P130" t="str">
        <f>Medicaid!K122</f>
        <v>Yes</v>
      </c>
    </row>
    <row r="131" spans="1:16" ht="15" customHeight="1" x14ac:dyDescent="0.3">
      <c r="A131" s="3">
        <v>57000</v>
      </c>
      <c r="B131" s="3">
        <f t="shared" si="23"/>
        <v>4750</v>
      </c>
      <c r="C131" s="3">
        <f t="shared" si="24"/>
        <v>398.52500000000003</v>
      </c>
      <c r="D131" s="64">
        <f t="shared" si="26"/>
        <v>1.4736297828335057</v>
      </c>
      <c r="E131" s="50">
        <f t="shared" si="25"/>
        <v>0</v>
      </c>
      <c r="F131" s="50">
        <f t="shared" si="19"/>
        <v>0</v>
      </c>
      <c r="G131" s="69">
        <f t="shared" si="20"/>
        <v>0</v>
      </c>
      <c r="H131" s="70">
        <f t="shared" si="21"/>
        <v>4802.7666666666664</v>
      </c>
      <c r="I131" s="70">
        <f t="shared" si="22"/>
        <v>0</v>
      </c>
      <c r="J131" s="53">
        <f t="shared" si="14"/>
        <v>0</v>
      </c>
      <c r="K131" s="53">
        <f t="shared" si="15"/>
        <v>889</v>
      </c>
      <c r="L131" s="289">
        <f t="shared" si="16"/>
        <v>889</v>
      </c>
      <c r="N131" s="7">
        <f t="shared" si="17"/>
        <v>10668</v>
      </c>
      <c r="O131" t="str">
        <f>Medicaid!G123</f>
        <v>No</v>
      </c>
      <c r="P131" t="str">
        <f>Medicaid!K123</f>
        <v>Yes</v>
      </c>
    </row>
    <row r="132" spans="1:16" ht="15" customHeight="1" x14ac:dyDescent="0.3">
      <c r="A132" s="3">
        <v>57500</v>
      </c>
      <c r="B132" s="3">
        <f t="shared" si="23"/>
        <v>4791.666666666667</v>
      </c>
      <c r="C132" s="3">
        <f t="shared" si="24"/>
        <v>402.02083333333337</v>
      </c>
      <c r="D132" s="64">
        <f t="shared" si="26"/>
        <v>1.4865563598759048</v>
      </c>
      <c r="E132" s="50">
        <f t="shared" si="25"/>
        <v>0</v>
      </c>
      <c r="F132" s="50">
        <f t="shared" si="19"/>
        <v>0</v>
      </c>
      <c r="G132" s="69">
        <f t="shared" si="20"/>
        <v>0</v>
      </c>
      <c r="H132" s="70">
        <f t="shared" si="21"/>
        <v>4802.7666666666664</v>
      </c>
      <c r="I132" s="70">
        <f t="shared" si="22"/>
        <v>0</v>
      </c>
      <c r="J132" s="53">
        <f t="shared" si="14"/>
        <v>0</v>
      </c>
      <c r="K132" s="53">
        <f t="shared" si="15"/>
        <v>889</v>
      </c>
      <c r="L132" s="289">
        <f t="shared" si="16"/>
        <v>889</v>
      </c>
      <c r="N132" s="7">
        <f t="shared" si="17"/>
        <v>10668</v>
      </c>
      <c r="O132" t="str">
        <f>Medicaid!G124</f>
        <v>No</v>
      </c>
      <c r="P132" t="str">
        <f>Medicaid!K124</f>
        <v>Yes</v>
      </c>
    </row>
    <row r="133" spans="1:16" ht="15" customHeight="1" x14ac:dyDescent="0.3">
      <c r="A133" s="3">
        <v>58000</v>
      </c>
      <c r="B133" s="3">
        <f t="shared" si="23"/>
        <v>4833.333333333333</v>
      </c>
      <c r="C133" s="3">
        <f t="shared" si="24"/>
        <v>405.51666666666665</v>
      </c>
      <c r="D133" s="64">
        <f t="shared" si="26"/>
        <v>1.4994829369183038</v>
      </c>
      <c r="E133" s="50">
        <f t="shared" si="25"/>
        <v>0</v>
      </c>
      <c r="F133" s="50">
        <f t="shared" si="19"/>
        <v>0.02</v>
      </c>
      <c r="G133" s="69">
        <f t="shared" si="20"/>
        <v>4835</v>
      </c>
      <c r="H133" s="70">
        <f t="shared" si="21"/>
        <v>6414.4333333333334</v>
      </c>
      <c r="I133" s="70">
        <f t="shared" si="22"/>
        <v>4802.7666666666664</v>
      </c>
      <c r="J133" s="53">
        <f t="shared" si="14"/>
        <v>1.8333678042054424</v>
      </c>
      <c r="K133" s="53">
        <f t="shared" si="15"/>
        <v>889</v>
      </c>
      <c r="L133" s="289">
        <f t="shared" si="16"/>
        <v>887.16663219579459</v>
      </c>
      <c r="N133" s="7">
        <f t="shared" si="17"/>
        <v>10645.999586349535</v>
      </c>
      <c r="O133" t="str">
        <f>Medicaid!G125</f>
        <v>No</v>
      </c>
      <c r="P133" t="str">
        <f>Medicaid!K125</f>
        <v>Yes</v>
      </c>
    </row>
    <row r="134" spans="1:16" ht="15" customHeight="1" x14ac:dyDescent="0.3">
      <c r="A134" s="3">
        <v>58500</v>
      </c>
      <c r="B134" s="3">
        <f t="shared" si="23"/>
        <v>4875</v>
      </c>
      <c r="C134" s="3">
        <f t="shared" si="24"/>
        <v>409.01249999999999</v>
      </c>
      <c r="D134" s="64">
        <f t="shared" si="26"/>
        <v>1.5124095139607032</v>
      </c>
      <c r="E134" s="50">
        <f t="shared" si="25"/>
        <v>0</v>
      </c>
      <c r="F134" s="50">
        <f t="shared" si="19"/>
        <v>0.02</v>
      </c>
      <c r="G134" s="69">
        <f t="shared" si="20"/>
        <v>4835</v>
      </c>
      <c r="H134" s="70">
        <f t="shared" si="21"/>
        <v>6414.4333333333334</v>
      </c>
      <c r="I134" s="70">
        <f t="shared" si="22"/>
        <v>4802.7666666666664</v>
      </c>
      <c r="J134" s="53">
        <f t="shared" si="14"/>
        <v>4.3698552223371392</v>
      </c>
      <c r="K134" s="53">
        <f t="shared" si="15"/>
        <v>889</v>
      </c>
      <c r="L134" s="289">
        <f t="shared" si="16"/>
        <v>884.63014477766285</v>
      </c>
      <c r="N134" s="7">
        <f t="shared" si="17"/>
        <v>10615.561737331955</v>
      </c>
      <c r="O134" t="str">
        <f>Medicaid!G126</f>
        <v>No</v>
      </c>
      <c r="P134" t="str">
        <f>Medicaid!K126</f>
        <v>Yes</v>
      </c>
    </row>
    <row r="135" spans="1:16" ht="15" customHeight="1" x14ac:dyDescent="0.3">
      <c r="A135" s="3">
        <v>59000</v>
      </c>
      <c r="B135" s="3">
        <f t="shared" si="23"/>
        <v>4916.666666666667</v>
      </c>
      <c r="C135" s="3">
        <f t="shared" si="24"/>
        <v>412.50833333333338</v>
      </c>
      <c r="D135" s="64">
        <f t="shared" si="26"/>
        <v>1.5253360910031024</v>
      </c>
      <c r="E135" s="50">
        <f t="shared" si="25"/>
        <v>0</v>
      </c>
      <c r="F135" s="50">
        <f t="shared" si="19"/>
        <v>0.02</v>
      </c>
      <c r="G135" s="69">
        <f t="shared" si="20"/>
        <v>4835</v>
      </c>
      <c r="H135" s="70">
        <f t="shared" si="21"/>
        <v>6414.4333333333334</v>
      </c>
      <c r="I135" s="70">
        <f t="shared" si="22"/>
        <v>4802.7666666666664</v>
      </c>
      <c r="J135" s="53">
        <f t="shared" si="14"/>
        <v>6.949431230610168</v>
      </c>
      <c r="K135" s="53">
        <f t="shared" si="15"/>
        <v>889</v>
      </c>
      <c r="L135" s="289">
        <f t="shared" si="16"/>
        <v>882.05056876938988</v>
      </c>
      <c r="N135" s="7">
        <f t="shared" si="17"/>
        <v>10584.606825232679</v>
      </c>
      <c r="O135" t="str">
        <f>Medicaid!G127</f>
        <v>No</v>
      </c>
      <c r="P135" t="str">
        <f>Medicaid!K127</f>
        <v>Yes</v>
      </c>
    </row>
    <row r="136" spans="1:16" ht="15" customHeight="1" x14ac:dyDescent="0.3">
      <c r="A136" s="3">
        <v>59500</v>
      </c>
      <c r="B136" s="3">
        <f t="shared" si="23"/>
        <v>4958.333333333333</v>
      </c>
      <c r="C136" s="3">
        <f t="shared" si="24"/>
        <v>416.00416666666666</v>
      </c>
      <c r="D136" s="64">
        <f t="shared" si="26"/>
        <v>1.5382626680455014</v>
      </c>
      <c r="E136" s="50">
        <f t="shared" si="25"/>
        <v>0</v>
      </c>
      <c r="F136" s="50">
        <f t="shared" si="19"/>
        <v>0.02</v>
      </c>
      <c r="G136" s="69">
        <f t="shared" si="20"/>
        <v>4835</v>
      </c>
      <c r="H136" s="70">
        <f t="shared" si="21"/>
        <v>6414.4333333333334</v>
      </c>
      <c r="I136" s="70">
        <f t="shared" si="22"/>
        <v>4802.7666666666664</v>
      </c>
      <c r="J136" s="53">
        <f t="shared" si="14"/>
        <v>9.5720958290244678</v>
      </c>
      <c r="K136" s="53">
        <f t="shared" si="15"/>
        <v>889</v>
      </c>
      <c r="L136" s="289">
        <f t="shared" si="16"/>
        <v>879.42790417097558</v>
      </c>
      <c r="N136" s="7">
        <f t="shared" si="17"/>
        <v>10553.134850051707</v>
      </c>
      <c r="O136" t="str">
        <f>Medicaid!G128</f>
        <v>No</v>
      </c>
      <c r="P136" t="str">
        <f>Medicaid!K128</f>
        <v>Yes</v>
      </c>
    </row>
    <row r="137" spans="1:16" ht="15" customHeight="1" x14ac:dyDescent="0.3">
      <c r="A137" s="3">
        <v>60000</v>
      </c>
      <c r="B137" s="3">
        <f t="shared" si="23"/>
        <v>5000</v>
      </c>
      <c r="C137" s="3">
        <f t="shared" si="24"/>
        <v>419.5</v>
      </c>
      <c r="D137" s="64">
        <f t="shared" si="26"/>
        <v>1.5511892450879006</v>
      </c>
      <c r="E137" s="50">
        <f t="shared" si="25"/>
        <v>0</v>
      </c>
      <c r="F137" s="50">
        <f t="shared" si="19"/>
        <v>0.02</v>
      </c>
      <c r="G137" s="69">
        <f t="shared" si="20"/>
        <v>4835</v>
      </c>
      <c r="H137" s="70">
        <f t="shared" si="21"/>
        <v>6414.4333333333334</v>
      </c>
      <c r="I137" s="70">
        <f t="shared" si="22"/>
        <v>4802.7666666666664</v>
      </c>
      <c r="J137" s="53">
        <f t="shared" si="14"/>
        <v>12.237849017580158</v>
      </c>
      <c r="K137" s="53">
        <f t="shared" si="15"/>
        <v>889</v>
      </c>
      <c r="L137" s="289">
        <f t="shared" si="16"/>
        <v>876.76215098241983</v>
      </c>
      <c r="N137" s="7">
        <f t="shared" si="17"/>
        <v>10521.145811789038</v>
      </c>
      <c r="O137" t="str">
        <f>Medicaid!G129</f>
        <v>No</v>
      </c>
      <c r="P137" t="str">
        <f>Medicaid!K129</f>
        <v>Yes</v>
      </c>
    </row>
    <row r="138" spans="1:16" ht="15" customHeight="1" x14ac:dyDescent="0.3">
      <c r="A138" s="3">
        <v>60500</v>
      </c>
      <c r="B138" s="3">
        <f t="shared" si="23"/>
        <v>5041.666666666667</v>
      </c>
      <c r="C138" s="3">
        <f t="shared" si="24"/>
        <v>422.99583333333339</v>
      </c>
      <c r="D138" s="64">
        <f t="shared" si="26"/>
        <v>1.5641158221303</v>
      </c>
      <c r="E138" s="50">
        <f t="shared" si="25"/>
        <v>0</v>
      </c>
      <c r="F138" s="50">
        <f t="shared" si="19"/>
        <v>0.02</v>
      </c>
      <c r="G138" s="69">
        <f t="shared" si="20"/>
        <v>4835</v>
      </c>
      <c r="H138" s="70">
        <f t="shared" si="21"/>
        <v>6414.4333333333334</v>
      </c>
      <c r="I138" s="70">
        <f t="shared" si="22"/>
        <v>4802.7666666666664</v>
      </c>
      <c r="J138" s="53">
        <f t="shared" si="14"/>
        <v>14.94669079627718</v>
      </c>
      <c r="K138" s="53">
        <f t="shared" si="15"/>
        <v>889</v>
      </c>
      <c r="L138" s="289">
        <f t="shared" si="16"/>
        <v>874.05330920372285</v>
      </c>
      <c r="N138" s="7">
        <f t="shared" si="17"/>
        <v>10488.639710444673</v>
      </c>
      <c r="O138" t="str">
        <f>Medicaid!G130</f>
        <v>No</v>
      </c>
      <c r="P138" t="str">
        <f>Medicaid!K130</f>
        <v>Yes</v>
      </c>
    </row>
    <row r="139" spans="1:16" ht="15" customHeight="1" x14ac:dyDescent="0.3">
      <c r="A139" s="3">
        <v>61000</v>
      </c>
      <c r="B139" s="3">
        <f t="shared" si="23"/>
        <v>5083.333333333333</v>
      </c>
      <c r="C139" s="3">
        <f t="shared" si="24"/>
        <v>426.49166666666667</v>
      </c>
      <c r="D139" s="64">
        <f t="shared" si="26"/>
        <v>1.5770423991726989</v>
      </c>
      <c r="E139" s="50">
        <f t="shared" si="25"/>
        <v>0</v>
      </c>
      <c r="F139" s="50">
        <f t="shared" si="19"/>
        <v>0.02</v>
      </c>
      <c r="G139" s="69">
        <f t="shared" si="20"/>
        <v>4835</v>
      </c>
      <c r="H139" s="70">
        <f t="shared" si="21"/>
        <v>6414.4333333333334</v>
      </c>
      <c r="I139" s="70">
        <f t="shared" si="22"/>
        <v>4802.7666666666664</v>
      </c>
      <c r="J139" s="53">
        <f t="shared" si="14"/>
        <v>17.698621165115469</v>
      </c>
      <c r="K139" s="53">
        <f t="shared" si="15"/>
        <v>889</v>
      </c>
      <c r="L139" s="289">
        <f t="shared" si="16"/>
        <v>871.30137883488453</v>
      </c>
      <c r="N139" s="7">
        <f t="shared" si="17"/>
        <v>10455.616546018615</v>
      </c>
      <c r="O139" t="str">
        <f>Medicaid!G131</f>
        <v>No</v>
      </c>
      <c r="P139" t="str">
        <f>Medicaid!K131</f>
        <v>Yes</v>
      </c>
    </row>
    <row r="140" spans="1:16" ht="15" customHeight="1" x14ac:dyDescent="0.3">
      <c r="A140" s="3">
        <v>61500</v>
      </c>
      <c r="B140" s="3">
        <f t="shared" si="23"/>
        <v>5125</v>
      </c>
      <c r="C140" s="3">
        <f t="shared" si="24"/>
        <v>429.98750000000001</v>
      </c>
      <c r="D140" s="64">
        <f t="shared" si="26"/>
        <v>1.5899689762150981</v>
      </c>
      <c r="E140" s="50">
        <f t="shared" si="25"/>
        <v>0</v>
      </c>
      <c r="F140" s="50">
        <f t="shared" si="19"/>
        <v>0.02</v>
      </c>
      <c r="G140" s="69">
        <f t="shared" si="20"/>
        <v>4835</v>
      </c>
      <c r="H140" s="70">
        <f t="shared" si="21"/>
        <v>6414.4333333333334</v>
      </c>
      <c r="I140" s="70">
        <f t="shared" si="22"/>
        <v>4802.7666666666664</v>
      </c>
      <c r="J140" s="53">
        <f t="shared" si="14"/>
        <v>20.493640124095151</v>
      </c>
      <c r="K140" s="53">
        <f t="shared" si="15"/>
        <v>889</v>
      </c>
      <c r="L140" s="289">
        <f t="shared" si="16"/>
        <v>868.50635987590488</v>
      </c>
      <c r="N140" s="7">
        <f t="shared" si="17"/>
        <v>10422.076318510859</v>
      </c>
      <c r="O140" t="str">
        <f>Medicaid!G132</f>
        <v>No</v>
      </c>
      <c r="P140" t="str">
        <f>Medicaid!K132</f>
        <v>Yes</v>
      </c>
    </row>
    <row r="141" spans="1:16" ht="15" customHeight="1" x14ac:dyDescent="0.3">
      <c r="A141" s="3">
        <v>62000</v>
      </c>
      <c r="B141" s="3">
        <f t="shared" si="23"/>
        <v>5166.666666666667</v>
      </c>
      <c r="C141" s="3">
        <f t="shared" si="24"/>
        <v>433.48333333333335</v>
      </c>
      <c r="D141" s="64">
        <f t="shared" si="26"/>
        <v>1.6028955532574973</v>
      </c>
      <c r="E141" s="50">
        <f t="shared" si="25"/>
        <v>0</v>
      </c>
      <c r="F141" s="50">
        <f t="shared" si="19"/>
        <v>0.02</v>
      </c>
      <c r="G141" s="69">
        <f t="shared" si="20"/>
        <v>4835</v>
      </c>
      <c r="H141" s="70">
        <f t="shared" si="21"/>
        <v>6414.4333333333334</v>
      </c>
      <c r="I141" s="70">
        <f t="shared" si="22"/>
        <v>4802.7666666666664</v>
      </c>
      <c r="J141" s="53">
        <f t="shared" si="14"/>
        <v>23.331747673216167</v>
      </c>
      <c r="K141" s="53">
        <f t="shared" si="15"/>
        <v>889</v>
      </c>
      <c r="L141" s="289">
        <f t="shared" si="16"/>
        <v>865.66825232678389</v>
      </c>
      <c r="N141" s="7">
        <f t="shared" si="17"/>
        <v>10388.019027921408</v>
      </c>
      <c r="O141" t="str">
        <f>Medicaid!G133</f>
        <v>No</v>
      </c>
      <c r="P141" t="str">
        <f>Medicaid!K133</f>
        <v>Yes</v>
      </c>
    </row>
    <row r="142" spans="1:16" ht="15" customHeight="1" x14ac:dyDescent="0.3">
      <c r="A142" s="3">
        <v>62500</v>
      </c>
      <c r="B142" s="3">
        <f t="shared" si="23"/>
        <v>5208.333333333333</v>
      </c>
      <c r="C142" s="3">
        <f t="shared" si="24"/>
        <v>436.97916666666663</v>
      </c>
      <c r="D142" s="64">
        <f t="shared" si="26"/>
        <v>1.6158221302998965</v>
      </c>
      <c r="E142" s="50">
        <f t="shared" si="25"/>
        <v>0</v>
      </c>
      <c r="F142" s="50">
        <f t="shared" si="19"/>
        <v>0.02</v>
      </c>
      <c r="G142" s="69">
        <f t="shared" si="20"/>
        <v>4835</v>
      </c>
      <c r="H142" s="70">
        <f t="shared" si="21"/>
        <v>6414.4333333333334</v>
      </c>
      <c r="I142" s="70">
        <f t="shared" si="22"/>
        <v>4802.7666666666664</v>
      </c>
      <c r="J142" s="53">
        <f t="shared" si="14"/>
        <v>26.212943812478446</v>
      </c>
      <c r="K142" s="53">
        <f t="shared" si="15"/>
        <v>889</v>
      </c>
      <c r="L142" s="289">
        <f t="shared" si="16"/>
        <v>862.78705618752156</v>
      </c>
      <c r="N142" s="7">
        <f t="shared" si="17"/>
        <v>10353.444674250259</v>
      </c>
      <c r="O142" t="str">
        <f>Medicaid!G134</f>
        <v>No</v>
      </c>
      <c r="P142" t="str">
        <f>Medicaid!K134</f>
        <v>Yes</v>
      </c>
    </row>
    <row r="143" spans="1:16" ht="15" customHeight="1" x14ac:dyDescent="0.3">
      <c r="A143" s="3">
        <v>63000</v>
      </c>
      <c r="B143" s="3">
        <f t="shared" si="23"/>
        <v>5250</v>
      </c>
      <c r="C143" s="3">
        <f t="shared" si="24"/>
        <v>440.47500000000002</v>
      </c>
      <c r="D143" s="64">
        <f t="shared" si="26"/>
        <v>1.6287487073422957</v>
      </c>
      <c r="E143" s="50">
        <f t="shared" si="25"/>
        <v>0</v>
      </c>
      <c r="F143" s="50">
        <f t="shared" si="19"/>
        <v>0.02</v>
      </c>
      <c r="G143" s="69">
        <f t="shared" si="20"/>
        <v>4835</v>
      </c>
      <c r="H143" s="70">
        <f t="shared" si="21"/>
        <v>6414.4333333333334</v>
      </c>
      <c r="I143" s="70">
        <f t="shared" si="22"/>
        <v>4802.7666666666664</v>
      </c>
      <c r="J143" s="53">
        <f t="shared" si="14"/>
        <v>29.137228541882124</v>
      </c>
      <c r="K143" s="53">
        <f t="shared" si="15"/>
        <v>889</v>
      </c>
      <c r="L143" s="289">
        <f t="shared" si="16"/>
        <v>859.86277145811789</v>
      </c>
      <c r="N143" s="7">
        <f t="shared" si="17"/>
        <v>10318.353257497414</v>
      </c>
      <c r="O143" t="str">
        <f>Medicaid!G135</f>
        <v>No</v>
      </c>
      <c r="P143" t="str">
        <f>Medicaid!K135</f>
        <v>Yes</v>
      </c>
    </row>
    <row r="144" spans="1:16" ht="15" customHeight="1" x14ac:dyDescent="0.3">
      <c r="A144" s="3">
        <v>63500</v>
      </c>
      <c r="B144" s="3">
        <f t="shared" si="23"/>
        <v>5291.666666666667</v>
      </c>
      <c r="C144" s="3">
        <f t="shared" si="24"/>
        <v>443.97083333333336</v>
      </c>
      <c r="D144" s="64">
        <f t="shared" si="26"/>
        <v>1.6416752843846949</v>
      </c>
      <c r="E144" s="50">
        <f t="shared" si="25"/>
        <v>0</v>
      </c>
      <c r="F144" s="50">
        <f t="shared" si="19"/>
        <v>0.02</v>
      </c>
      <c r="G144" s="69">
        <f t="shared" si="20"/>
        <v>4835</v>
      </c>
      <c r="H144" s="70">
        <f t="shared" si="21"/>
        <v>6414.4333333333334</v>
      </c>
      <c r="I144" s="70">
        <f t="shared" si="22"/>
        <v>4802.7666666666664</v>
      </c>
      <c r="J144" s="53">
        <f t="shared" si="14"/>
        <v>32.104601861427128</v>
      </c>
      <c r="K144" s="53">
        <f t="shared" si="15"/>
        <v>889</v>
      </c>
      <c r="L144" s="289">
        <f t="shared" si="16"/>
        <v>856.89539813857289</v>
      </c>
      <c r="N144" s="7">
        <f t="shared" si="17"/>
        <v>10282.744777662874</v>
      </c>
      <c r="O144" t="str">
        <f>Medicaid!G136</f>
        <v>No</v>
      </c>
      <c r="P144" t="str">
        <f>Medicaid!K136</f>
        <v>Yes</v>
      </c>
    </row>
    <row r="145" spans="1:16" ht="15" customHeight="1" x14ac:dyDescent="0.3">
      <c r="A145" s="3">
        <v>64000</v>
      </c>
      <c r="B145" s="3">
        <f t="shared" si="23"/>
        <v>5333.333333333333</v>
      </c>
      <c r="C145" s="3">
        <f t="shared" si="24"/>
        <v>447.46666666666664</v>
      </c>
      <c r="D145" s="64">
        <f t="shared" si="26"/>
        <v>1.6546018614270939</v>
      </c>
      <c r="E145" s="50">
        <f t="shared" si="25"/>
        <v>0</v>
      </c>
      <c r="F145" s="50">
        <f t="shared" si="19"/>
        <v>0.02</v>
      </c>
      <c r="G145" s="69">
        <f t="shared" si="20"/>
        <v>4835</v>
      </c>
      <c r="H145" s="70">
        <f t="shared" si="21"/>
        <v>6414.4333333333334</v>
      </c>
      <c r="I145" s="70">
        <f t="shared" si="22"/>
        <v>4802.7666666666664</v>
      </c>
      <c r="J145" s="53">
        <f t="shared" si="14"/>
        <v>35.115063771113398</v>
      </c>
      <c r="K145" s="53">
        <f t="shared" si="15"/>
        <v>889</v>
      </c>
      <c r="L145" s="289">
        <f t="shared" si="16"/>
        <v>853.88493622888654</v>
      </c>
      <c r="N145" s="7">
        <f t="shared" si="17"/>
        <v>10246.619234746639</v>
      </c>
      <c r="O145" t="str">
        <f>Medicaid!G137</f>
        <v>No</v>
      </c>
      <c r="P145" t="str">
        <f>Medicaid!K137</f>
        <v>Yes</v>
      </c>
    </row>
    <row r="146" spans="1:16" ht="15" customHeight="1" x14ac:dyDescent="0.3">
      <c r="A146" s="3">
        <v>64500</v>
      </c>
      <c r="B146" s="3">
        <f t="shared" si="23"/>
        <v>5375</v>
      </c>
      <c r="C146" s="3">
        <f t="shared" si="24"/>
        <v>450.96250000000003</v>
      </c>
      <c r="D146" s="64">
        <f t="shared" si="26"/>
        <v>1.6675284384694933</v>
      </c>
      <c r="E146" s="50">
        <f t="shared" si="25"/>
        <v>0</v>
      </c>
      <c r="F146" s="50">
        <f t="shared" si="19"/>
        <v>0.02</v>
      </c>
      <c r="G146" s="69">
        <f t="shared" si="20"/>
        <v>4835</v>
      </c>
      <c r="H146" s="70">
        <f t="shared" si="21"/>
        <v>6414.4333333333334</v>
      </c>
      <c r="I146" s="70">
        <f t="shared" si="22"/>
        <v>4802.7666666666664</v>
      </c>
      <c r="J146" s="53">
        <f t="shared" ref="J146:J209" si="27">B146*(E146+(B146-I146)*(F146-E146)/(H146-I146))</f>
        <v>38.168614270941063</v>
      </c>
      <c r="K146" s="53">
        <f t="shared" ref="K146:K209" si="28">SUM(IF(O146="Yes",0,$C$12),IF(P146="Yes",0,$C$13))</f>
        <v>889</v>
      </c>
      <c r="L146" s="289">
        <f t="shared" ref="L146:L209" si="29">MAX(0,K146-J146)</f>
        <v>850.83138572905898</v>
      </c>
      <c r="N146" s="7">
        <f t="shared" ref="N146:N209" si="30">MAX(0,L146*12)</f>
        <v>10209.976628748707</v>
      </c>
      <c r="O146" t="str">
        <f>Medicaid!G138</f>
        <v>No</v>
      </c>
      <c r="P146" t="str">
        <f>Medicaid!K138</f>
        <v>Yes</v>
      </c>
    </row>
    <row r="147" spans="1:16" ht="15" customHeight="1" x14ac:dyDescent="0.3">
      <c r="A147" s="3">
        <v>65000</v>
      </c>
      <c r="B147" s="3">
        <f t="shared" si="23"/>
        <v>5416.666666666667</v>
      </c>
      <c r="C147" s="3">
        <f t="shared" si="24"/>
        <v>454.45833333333337</v>
      </c>
      <c r="D147" s="64">
        <f t="shared" si="26"/>
        <v>1.6804550155118925</v>
      </c>
      <c r="E147" s="50">
        <f t="shared" si="25"/>
        <v>0</v>
      </c>
      <c r="F147" s="50">
        <f t="shared" ref="F147:F210" si="31">IF(D147&gt;3.99,0.085,IF(D147&gt;2.99,0.085,IF(D147&gt;2.49,0.06,IF(D147&gt;1.99,0.04,IF(D147&gt;1.49,0.02,0)))))</f>
        <v>0.02</v>
      </c>
      <c r="G147" s="69">
        <f t="shared" ref="G147:G210" si="32">IF(D147&gt;3.99,$M$7,IF(D147&gt;2.99,$M$6,IF(D147&gt;2.49,$M$5,IF(D147&gt;1.99,$M$4,IF(D147&gt;1.49,$M$3,0)))))</f>
        <v>4835</v>
      </c>
      <c r="H147" s="70">
        <f t="shared" ref="H147:H210" si="33">IF(D147&gt;3.99,$N$7,IF(D147&gt;2.99,$N$6,IF(D147&gt;2.49,$N$5,IF(D147&gt;1.99,$N$4,IF(D147&gt;1.49,$N$3,IF(D147&gt;=0,$N$2,0))))))</f>
        <v>6414.4333333333334</v>
      </c>
      <c r="I147" s="70">
        <f t="shared" ref="I147:I210" si="34">IF(D147&gt;3.99,$N$6,IF(D147&gt;2.99,$N$5,IF(D147&gt;2.49,$N$4,IF(D147&gt;1.99,$N$3,IF(D147&gt;1.49,$N$2,IF(D147&gt;=0,0))))))</f>
        <v>4802.7666666666664</v>
      </c>
      <c r="J147" s="53">
        <f t="shared" si="27"/>
        <v>41.265253360910059</v>
      </c>
      <c r="K147" s="53">
        <f t="shared" si="28"/>
        <v>889</v>
      </c>
      <c r="L147" s="289">
        <f t="shared" si="29"/>
        <v>847.73474663908996</v>
      </c>
      <c r="N147" s="7">
        <f t="shared" si="30"/>
        <v>10172.816959669079</v>
      </c>
      <c r="O147" t="str">
        <f>Medicaid!G139</f>
        <v>No</v>
      </c>
      <c r="P147" t="str">
        <f>Medicaid!K139</f>
        <v>Yes</v>
      </c>
    </row>
    <row r="148" spans="1:16" ht="15" customHeight="1" x14ac:dyDescent="0.3">
      <c r="A148" s="3">
        <v>65500</v>
      </c>
      <c r="B148" s="3">
        <f t="shared" ref="B148:B211" si="35">A148/12</f>
        <v>5458.333333333333</v>
      </c>
      <c r="C148" s="3">
        <f t="shared" ref="C148:C211" si="36">B148*0.0839</f>
        <v>457.95416666666665</v>
      </c>
      <c r="D148" s="64">
        <f t="shared" si="26"/>
        <v>1.6933815925542914</v>
      </c>
      <c r="E148" s="50">
        <f t="shared" si="25"/>
        <v>0</v>
      </c>
      <c r="F148" s="50">
        <f t="shared" si="31"/>
        <v>0.02</v>
      </c>
      <c r="G148" s="69">
        <f t="shared" si="32"/>
        <v>4835</v>
      </c>
      <c r="H148" s="70">
        <f t="shared" si="33"/>
        <v>6414.4333333333334</v>
      </c>
      <c r="I148" s="70">
        <f t="shared" si="34"/>
        <v>4802.7666666666664</v>
      </c>
      <c r="J148" s="53">
        <f t="shared" si="27"/>
        <v>44.404981041020328</v>
      </c>
      <c r="K148" s="53">
        <f t="shared" si="28"/>
        <v>889</v>
      </c>
      <c r="L148" s="289">
        <f t="shared" si="29"/>
        <v>844.59501895897972</v>
      </c>
      <c r="N148" s="7">
        <f t="shared" si="30"/>
        <v>10135.140227507756</v>
      </c>
      <c r="O148" t="str">
        <f>Medicaid!G140</f>
        <v>No</v>
      </c>
      <c r="P148" t="str">
        <f>Medicaid!K140</f>
        <v>Yes</v>
      </c>
    </row>
    <row r="149" spans="1:16" ht="15" customHeight="1" x14ac:dyDescent="0.3">
      <c r="A149" s="3">
        <v>66000</v>
      </c>
      <c r="B149" s="3">
        <f t="shared" si="35"/>
        <v>5500</v>
      </c>
      <c r="C149" s="3">
        <f t="shared" si="36"/>
        <v>461.45</v>
      </c>
      <c r="D149" s="64">
        <f t="shared" si="26"/>
        <v>1.7063081695966906</v>
      </c>
      <c r="E149" s="50">
        <f t="shared" si="25"/>
        <v>0</v>
      </c>
      <c r="F149" s="50">
        <f t="shared" si="31"/>
        <v>0.02</v>
      </c>
      <c r="G149" s="69">
        <f t="shared" si="32"/>
        <v>4835</v>
      </c>
      <c r="H149" s="70">
        <f t="shared" si="33"/>
        <v>6414.4333333333334</v>
      </c>
      <c r="I149" s="70">
        <f t="shared" si="34"/>
        <v>4802.7666666666664</v>
      </c>
      <c r="J149" s="53">
        <f t="shared" si="27"/>
        <v>47.587797311271984</v>
      </c>
      <c r="K149" s="53">
        <f t="shared" si="28"/>
        <v>889</v>
      </c>
      <c r="L149" s="289">
        <f t="shared" si="29"/>
        <v>841.41220268872803</v>
      </c>
      <c r="N149" s="7">
        <f t="shared" si="30"/>
        <v>10096.946432264736</v>
      </c>
      <c r="O149" t="str">
        <f>Medicaid!G141</f>
        <v>No</v>
      </c>
      <c r="P149" t="str">
        <f>Medicaid!K141</f>
        <v>Yes</v>
      </c>
    </row>
    <row r="150" spans="1:16" ht="15" customHeight="1" x14ac:dyDescent="0.3">
      <c r="A150" s="3">
        <v>66500</v>
      </c>
      <c r="B150" s="3">
        <f t="shared" si="35"/>
        <v>5541.666666666667</v>
      </c>
      <c r="C150" s="3">
        <f t="shared" si="36"/>
        <v>464.94583333333338</v>
      </c>
      <c r="D150" s="64">
        <f t="shared" si="26"/>
        <v>1.71923474663909</v>
      </c>
      <c r="E150" s="50">
        <f t="shared" si="25"/>
        <v>0</v>
      </c>
      <c r="F150" s="50">
        <f t="shared" si="31"/>
        <v>0.02</v>
      </c>
      <c r="G150" s="69">
        <f t="shared" si="32"/>
        <v>4835</v>
      </c>
      <c r="H150" s="70">
        <f t="shared" si="33"/>
        <v>6414.4333333333334</v>
      </c>
      <c r="I150" s="70">
        <f t="shared" si="34"/>
        <v>4802.7666666666664</v>
      </c>
      <c r="J150" s="53">
        <f t="shared" si="27"/>
        <v>50.813702171664971</v>
      </c>
      <c r="K150" s="53">
        <f t="shared" si="28"/>
        <v>889</v>
      </c>
      <c r="L150" s="289">
        <f t="shared" si="29"/>
        <v>838.186297828335</v>
      </c>
      <c r="N150" s="7">
        <f t="shared" si="30"/>
        <v>10058.235573940019</v>
      </c>
      <c r="O150" t="str">
        <f>Medicaid!G142</f>
        <v>No</v>
      </c>
      <c r="P150" t="str">
        <f>Medicaid!K142</f>
        <v>Yes</v>
      </c>
    </row>
    <row r="151" spans="1:16" ht="15" customHeight="1" x14ac:dyDescent="0.3">
      <c r="A151" s="3">
        <v>67000</v>
      </c>
      <c r="B151" s="3">
        <f t="shared" si="35"/>
        <v>5583.333333333333</v>
      </c>
      <c r="C151" s="3">
        <f t="shared" si="36"/>
        <v>468.44166666666666</v>
      </c>
      <c r="D151" s="64">
        <f t="shared" si="26"/>
        <v>1.732161323681489</v>
      </c>
      <c r="E151" s="50">
        <f t="shared" si="25"/>
        <v>0</v>
      </c>
      <c r="F151" s="50">
        <f t="shared" si="31"/>
        <v>0.02</v>
      </c>
      <c r="G151" s="69">
        <f t="shared" si="32"/>
        <v>4835</v>
      </c>
      <c r="H151" s="70">
        <f t="shared" si="33"/>
        <v>6414.4333333333334</v>
      </c>
      <c r="I151" s="70">
        <f t="shared" si="34"/>
        <v>4802.7666666666664</v>
      </c>
      <c r="J151" s="53">
        <f t="shared" si="27"/>
        <v>54.082695622199232</v>
      </c>
      <c r="K151" s="53">
        <f t="shared" si="28"/>
        <v>889</v>
      </c>
      <c r="L151" s="289">
        <f t="shared" si="29"/>
        <v>834.91730437780075</v>
      </c>
      <c r="N151" s="7">
        <f t="shared" si="30"/>
        <v>10019.007652533608</v>
      </c>
      <c r="O151" t="str">
        <f>Medicaid!G143</f>
        <v>No</v>
      </c>
      <c r="P151" t="str">
        <f>Medicaid!K143</f>
        <v>Yes</v>
      </c>
    </row>
    <row r="152" spans="1:16" ht="15" customHeight="1" x14ac:dyDescent="0.3">
      <c r="A152" s="3">
        <v>67500</v>
      </c>
      <c r="B152" s="3">
        <f t="shared" si="35"/>
        <v>5625</v>
      </c>
      <c r="C152" s="3">
        <f t="shared" si="36"/>
        <v>471.9375</v>
      </c>
      <c r="D152" s="64">
        <f t="shared" si="26"/>
        <v>1.7450879007238882</v>
      </c>
      <c r="E152" s="50">
        <f t="shared" si="25"/>
        <v>0</v>
      </c>
      <c r="F152" s="50">
        <f t="shared" si="31"/>
        <v>0.02</v>
      </c>
      <c r="G152" s="69">
        <f t="shared" si="32"/>
        <v>4835</v>
      </c>
      <c r="H152" s="70">
        <f t="shared" si="33"/>
        <v>6414.4333333333334</v>
      </c>
      <c r="I152" s="70">
        <f t="shared" si="34"/>
        <v>4802.7666666666664</v>
      </c>
      <c r="J152" s="53">
        <f t="shared" si="27"/>
        <v>57.394777662874873</v>
      </c>
      <c r="K152" s="53">
        <f t="shared" si="28"/>
        <v>889</v>
      </c>
      <c r="L152" s="289">
        <f t="shared" si="29"/>
        <v>831.60522233712516</v>
      </c>
      <c r="N152" s="7">
        <f t="shared" si="30"/>
        <v>9979.2626680455014</v>
      </c>
      <c r="O152" t="str">
        <f>Medicaid!G144</f>
        <v>No</v>
      </c>
      <c r="P152" t="str">
        <f>Medicaid!K144</f>
        <v>Yes</v>
      </c>
    </row>
    <row r="153" spans="1:16" ht="15" customHeight="1" x14ac:dyDescent="0.3">
      <c r="A153" s="3">
        <v>68000</v>
      </c>
      <c r="B153" s="3">
        <f t="shared" si="35"/>
        <v>5666.666666666667</v>
      </c>
      <c r="C153" s="3">
        <f t="shared" si="36"/>
        <v>475.43333333333339</v>
      </c>
      <c r="D153" s="64">
        <f t="shared" si="26"/>
        <v>1.7580144777662876</v>
      </c>
      <c r="E153" s="50">
        <f t="shared" si="25"/>
        <v>0</v>
      </c>
      <c r="F153" s="50">
        <f t="shared" si="31"/>
        <v>0.02</v>
      </c>
      <c r="G153" s="69">
        <f t="shared" si="32"/>
        <v>4835</v>
      </c>
      <c r="H153" s="70">
        <f t="shared" si="33"/>
        <v>6414.4333333333334</v>
      </c>
      <c r="I153" s="70">
        <f t="shared" si="34"/>
        <v>4802.7666666666664</v>
      </c>
      <c r="J153" s="53">
        <f t="shared" si="27"/>
        <v>60.749948293691872</v>
      </c>
      <c r="K153" s="53">
        <f t="shared" si="28"/>
        <v>889</v>
      </c>
      <c r="L153" s="289">
        <f t="shared" si="29"/>
        <v>828.25005170630811</v>
      </c>
      <c r="N153" s="7">
        <f t="shared" si="30"/>
        <v>9939.0006204756974</v>
      </c>
      <c r="O153" t="str">
        <f>Medicaid!G145</f>
        <v>No</v>
      </c>
      <c r="P153" t="str">
        <f>Medicaid!K145</f>
        <v>Yes</v>
      </c>
    </row>
    <row r="154" spans="1:16" ht="15" customHeight="1" x14ac:dyDescent="0.3">
      <c r="A154" s="3">
        <v>68500</v>
      </c>
      <c r="B154" s="3">
        <f t="shared" si="35"/>
        <v>5708.333333333333</v>
      </c>
      <c r="C154" s="3">
        <f t="shared" si="36"/>
        <v>478.92916666666667</v>
      </c>
      <c r="D154" s="64">
        <f t="shared" si="26"/>
        <v>1.7709410548086866</v>
      </c>
      <c r="E154" s="50">
        <f t="shared" si="25"/>
        <v>0</v>
      </c>
      <c r="F154" s="50">
        <f t="shared" si="31"/>
        <v>0.02</v>
      </c>
      <c r="G154" s="69">
        <f t="shared" si="32"/>
        <v>4835</v>
      </c>
      <c r="H154" s="70">
        <f t="shared" si="33"/>
        <v>6414.4333333333334</v>
      </c>
      <c r="I154" s="70">
        <f t="shared" si="34"/>
        <v>4802.7666666666664</v>
      </c>
      <c r="J154" s="53">
        <f t="shared" si="27"/>
        <v>64.148207514650096</v>
      </c>
      <c r="K154" s="53">
        <f t="shared" si="28"/>
        <v>889</v>
      </c>
      <c r="L154" s="289">
        <f t="shared" si="29"/>
        <v>824.85179248534996</v>
      </c>
      <c r="N154" s="7">
        <f t="shared" si="30"/>
        <v>9898.2215098241995</v>
      </c>
      <c r="O154" t="str">
        <f>Medicaid!G146</f>
        <v>No</v>
      </c>
      <c r="P154" t="str">
        <f>Medicaid!K146</f>
        <v>Yes</v>
      </c>
    </row>
    <row r="155" spans="1:16" ht="15" customHeight="1" x14ac:dyDescent="0.3">
      <c r="A155" s="3">
        <v>69000</v>
      </c>
      <c r="B155" s="3">
        <f t="shared" si="35"/>
        <v>5750</v>
      </c>
      <c r="C155" s="3">
        <f t="shared" si="36"/>
        <v>482.42500000000001</v>
      </c>
      <c r="D155" s="64">
        <f t="shared" si="26"/>
        <v>1.7838676318510858</v>
      </c>
      <c r="E155" s="50">
        <f t="shared" si="25"/>
        <v>0</v>
      </c>
      <c r="F155" s="50">
        <f t="shared" si="31"/>
        <v>0.02</v>
      </c>
      <c r="G155" s="69">
        <f t="shared" si="32"/>
        <v>4835</v>
      </c>
      <c r="H155" s="70">
        <f t="shared" si="33"/>
        <v>6414.4333333333334</v>
      </c>
      <c r="I155" s="70">
        <f t="shared" si="34"/>
        <v>4802.7666666666664</v>
      </c>
      <c r="J155" s="53">
        <f t="shared" si="27"/>
        <v>67.589555325749757</v>
      </c>
      <c r="K155" s="53">
        <f t="shared" si="28"/>
        <v>889</v>
      </c>
      <c r="L155" s="289">
        <f t="shared" si="29"/>
        <v>821.41044467425024</v>
      </c>
      <c r="N155" s="7">
        <f t="shared" si="30"/>
        <v>9856.9253360910025</v>
      </c>
      <c r="O155" t="str">
        <f>Medicaid!G147</f>
        <v>No</v>
      </c>
      <c r="P155" t="str">
        <f>Medicaid!K147</f>
        <v>Yes</v>
      </c>
    </row>
    <row r="156" spans="1:16" ht="15" customHeight="1" x14ac:dyDescent="0.3">
      <c r="A156" s="3">
        <v>69500</v>
      </c>
      <c r="B156" s="3">
        <f t="shared" si="35"/>
        <v>5791.666666666667</v>
      </c>
      <c r="C156" s="3">
        <f t="shared" si="36"/>
        <v>485.92083333333335</v>
      </c>
      <c r="D156" s="64">
        <f t="shared" si="26"/>
        <v>1.796794208893485</v>
      </c>
      <c r="E156" s="50">
        <f t="shared" si="25"/>
        <v>0</v>
      </c>
      <c r="F156" s="50">
        <f t="shared" si="31"/>
        <v>0.02</v>
      </c>
      <c r="G156" s="69">
        <f t="shared" si="32"/>
        <v>4835</v>
      </c>
      <c r="H156" s="70">
        <f t="shared" si="33"/>
        <v>6414.4333333333334</v>
      </c>
      <c r="I156" s="70">
        <f t="shared" si="34"/>
        <v>4802.7666666666664</v>
      </c>
      <c r="J156" s="53">
        <f t="shared" si="27"/>
        <v>71.073991726990727</v>
      </c>
      <c r="K156" s="53">
        <f t="shared" si="28"/>
        <v>889</v>
      </c>
      <c r="L156" s="289">
        <f t="shared" si="29"/>
        <v>817.9260082730093</v>
      </c>
      <c r="N156" s="7">
        <f t="shared" si="30"/>
        <v>9815.1120992761116</v>
      </c>
      <c r="O156" t="str">
        <f>Medicaid!G148</f>
        <v>No</v>
      </c>
      <c r="P156" t="str">
        <f>Medicaid!K148</f>
        <v>Yes</v>
      </c>
    </row>
    <row r="157" spans="1:16" ht="15" customHeight="1" x14ac:dyDescent="0.3">
      <c r="A157" s="3">
        <v>70000</v>
      </c>
      <c r="B157" s="3">
        <f t="shared" si="35"/>
        <v>5833.333333333333</v>
      </c>
      <c r="C157" s="3">
        <f t="shared" si="36"/>
        <v>489.41666666666663</v>
      </c>
      <c r="D157" s="64">
        <f t="shared" si="26"/>
        <v>1.8097207859358839</v>
      </c>
      <c r="E157" s="50">
        <f t="shared" si="25"/>
        <v>0</v>
      </c>
      <c r="F157" s="50">
        <f t="shared" si="31"/>
        <v>0.02</v>
      </c>
      <c r="G157" s="69">
        <f t="shared" si="32"/>
        <v>4835</v>
      </c>
      <c r="H157" s="70">
        <f t="shared" si="33"/>
        <v>6414.4333333333334</v>
      </c>
      <c r="I157" s="70">
        <f t="shared" si="34"/>
        <v>4802.7666666666664</v>
      </c>
      <c r="J157" s="53">
        <f t="shared" si="27"/>
        <v>74.601516718372949</v>
      </c>
      <c r="K157" s="53">
        <f t="shared" si="28"/>
        <v>889</v>
      </c>
      <c r="L157" s="289">
        <f t="shared" si="29"/>
        <v>814.39848328162702</v>
      </c>
      <c r="N157" s="7">
        <f t="shared" si="30"/>
        <v>9772.7817993795252</v>
      </c>
      <c r="O157" t="str">
        <f>Medicaid!G149</f>
        <v>No</v>
      </c>
      <c r="P157" t="str">
        <f>Medicaid!K149</f>
        <v>Yes</v>
      </c>
    </row>
    <row r="158" spans="1:16" ht="15" customHeight="1" x14ac:dyDescent="0.3">
      <c r="A158" s="3">
        <v>70500</v>
      </c>
      <c r="B158" s="3">
        <f t="shared" si="35"/>
        <v>5875</v>
      </c>
      <c r="C158" s="3">
        <f t="shared" si="36"/>
        <v>492.91250000000002</v>
      </c>
      <c r="D158" s="64">
        <f t="shared" si="26"/>
        <v>1.8226473629782833</v>
      </c>
      <c r="E158" s="50">
        <f t="shared" si="25"/>
        <v>0</v>
      </c>
      <c r="F158" s="50">
        <f t="shared" si="31"/>
        <v>0.02</v>
      </c>
      <c r="G158" s="69">
        <f t="shared" si="32"/>
        <v>4835</v>
      </c>
      <c r="H158" s="70">
        <f t="shared" si="33"/>
        <v>6414.4333333333334</v>
      </c>
      <c r="I158" s="70">
        <f t="shared" si="34"/>
        <v>4802.7666666666664</v>
      </c>
      <c r="J158" s="53">
        <f t="shared" si="27"/>
        <v>78.172130299896594</v>
      </c>
      <c r="K158" s="53">
        <f t="shared" si="28"/>
        <v>889</v>
      </c>
      <c r="L158" s="289">
        <f t="shared" si="29"/>
        <v>810.82786970010341</v>
      </c>
      <c r="N158" s="7">
        <f t="shared" si="30"/>
        <v>9729.9344364012413</v>
      </c>
      <c r="O158" t="str">
        <f>Medicaid!G150</f>
        <v>No</v>
      </c>
      <c r="P158" t="str">
        <f>Medicaid!K150</f>
        <v>Yes</v>
      </c>
    </row>
    <row r="159" spans="1:16" ht="15" customHeight="1" x14ac:dyDescent="0.3">
      <c r="A159" s="3">
        <v>71000</v>
      </c>
      <c r="B159" s="3">
        <f t="shared" si="35"/>
        <v>5916.666666666667</v>
      </c>
      <c r="C159" s="3">
        <f t="shared" si="36"/>
        <v>496.40833333333336</v>
      </c>
      <c r="D159" s="64">
        <f t="shared" si="26"/>
        <v>1.8355739400206825</v>
      </c>
      <c r="E159" s="50">
        <f t="shared" si="25"/>
        <v>0</v>
      </c>
      <c r="F159" s="50">
        <f t="shared" si="31"/>
        <v>0.02</v>
      </c>
      <c r="G159" s="69">
        <f t="shared" si="32"/>
        <v>4835</v>
      </c>
      <c r="H159" s="70">
        <f t="shared" si="33"/>
        <v>6414.4333333333334</v>
      </c>
      <c r="I159" s="70">
        <f t="shared" si="34"/>
        <v>4802.7666666666664</v>
      </c>
      <c r="J159" s="53">
        <f t="shared" si="27"/>
        <v>81.785832471561562</v>
      </c>
      <c r="K159" s="53">
        <f t="shared" si="28"/>
        <v>889</v>
      </c>
      <c r="L159" s="289">
        <f t="shared" si="29"/>
        <v>807.21416752843845</v>
      </c>
      <c r="N159" s="7">
        <f t="shared" si="30"/>
        <v>9686.5700103412619</v>
      </c>
      <c r="O159" t="str">
        <f>Medicaid!G151</f>
        <v>No</v>
      </c>
      <c r="P159" t="str">
        <f>Medicaid!K151</f>
        <v>Yes</v>
      </c>
    </row>
    <row r="160" spans="1:16" ht="15" customHeight="1" x14ac:dyDescent="0.3">
      <c r="A160" s="3">
        <v>71500</v>
      </c>
      <c r="B160" s="3">
        <f t="shared" si="35"/>
        <v>5958.333333333333</v>
      </c>
      <c r="C160" s="3">
        <f t="shared" si="36"/>
        <v>499.90416666666664</v>
      </c>
      <c r="D160" s="64">
        <f t="shared" si="26"/>
        <v>1.8485005170630815</v>
      </c>
      <c r="E160" s="50">
        <f t="shared" si="25"/>
        <v>0</v>
      </c>
      <c r="F160" s="50">
        <f t="shared" si="31"/>
        <v>0.02</v>
      </c>
      <c r="G160" s="69">
        <f t="shared" si="32"/>
        <v>4835</v>
      </c>
      <c r="H160" s="70">
        <f t="shared" si="33"/>
        <v>6414.4333333333334</v>
      </c>
      <c r="I160" s="70">
        <f t="shared" si="34"/>
        <v>4802.7666666666664</v>
      </c>
      <c r="J160" s="53">
        <f t="shared" si="27"/>
        <v>85.442623233367769</v>
      </c>
      <c r="K160" s="53">
        <f t="shared" si="28"/>
        <v>889</v>
      </c>
      <c r="L160" s="289">
        <f t="shared" si="29"/>
        <v>803.55737676663227</v>
      </c>
      <c r="N160" s="7">
        <f t="shared" si="30"/>
        <v>9642.6885211995868</v>
      </c>
      <c r="O160" t="str">
        <f>Medicaid!G152</f>
        <v>No</v>
      </c>
      <c r="P160" t="str">
        <f>Medicaid!K152</f>
        <v>Yes</v>
      </c>
    </row>
    <row r="161" spans="1:16" ht="15" customHeight="1" x14ac:dyDescent="0.3">
      <c r="A161" s="3">
        <v>72000</v>
      </c>
      <c r="B161" s="3">
        <f t="shared" si="35"/>
        <v>6000</v>
      </c>
      <c r="C161" s="3">
        <f t="shared" si="36"/>
        <v>503.40000000000003</v>
      </c>
      <c r="D161" s="64">
        <f t="shared" si="26"/>
        <v>1.8614270941054807</v>
      </c>
      <c r="E161" s="50">
        <f t="shared" si="25"/>
        <v>0</v>
      </c>
      <c r="F161" s="50">
        <f t="shared" si="31"/>
        <v>0.02</v>
      </c>
      <c r="G161" s="69">
        <f t="shared" si="32"/>
        <v>4835</v>
      </c>
      <c r="H161" s="70">
        <f t="shared" si="33"/>
        <v>6414.4333333333334</v>
      </c>
      <c r="I161" s="70">
        <f t="shared" si="34"/>
        <v>4802.7666666666664</v>
      </c>
      <c r="J161" s="53">
        <f t="shared" si="27"/>
        <v>89.142502585315412</v>
      </c>
      <c r="K161" s="53">
        <f t="shared" si="28"/>
        <v>889</v>
      </c>
      <c r="L161" s="289">
        <f t="shared" si="29"/>
        <v>799.85749741468453</v>
      </c>
      <c r="N161" s="7">
        <f t="shared" si="30"/>
        <v>9598.2899689762144</v>
      </c>
      <c r="O161" t="str">
        <f>Medicaid!G153</f>
        <v>No</v>
      </c>
      <c r="P161" t="str">
        <f>Medicaid!K153</f>
        <v>Yes</v>
      </c>
    </row>
    <row r="162" spans="1:16" ht="15" customHeight="1" x14ac:dyDescent="0.3">
      <c r="A162" s="3">
        <v>72500</v>
      </c>
      <c r="B162" s="3">
        <f t="shared" si="35"/>
        <v>6041.666666666667</v>
      </c>
      <c r="C162" s="3">
        <f t="shared" si="36"/>
        <v>506.89583333333337</v>
      </c>
      <c r="D162" s="64">
        <f t="shared" si="26"/>
        <v>1.8743536711478801</v>
      </c>
      <c r="E162" s="50">
        <f t="shared" ref="E162:E217" si="37">IF(D162&gt;3.99,0.085,IF(D162&gt;2.99,0.06,IF(D162&gt;1.99,0.02,IF(D162&gt;1.49,0,0))))</f>
        <v>0</v>
      </c>
      <c r="F162" s="50">
        <f t="shared" si="31"/>
        <v>0.02</v>
      </c>
      <c r="G162" s="69">
        <f t="shared" si="32"/>
        <v>4835</v>
      </c>
      <c r="H162" s="70">
        <f t="shared" si="33"/>
        <v>6414.4333333333334</v>
      </c>
      <c r="I162" s="70">
        <f t="shared" si="34"/>
        <v>4802.7666666666664</v>
      </c>
      <c r="J162" s="53">
        <f t="shared" si="27"/>
        <v>92.885470527404379</v>
      </c>
      <c r="K162" s="53">
        <f t="shared" si="28"/>
        <v>889</v>
      </c>
      <c r="L162" s="289">
        <f t="shared" si="29"/>
        <v>796.11452947259568</v>
      </c>
      <c r="N162" s="7">
        <f t="shared" si="30"/>
        <v>9553.3743536711481</v>
      </c>
      <c r="O162" t="str">
        <f>Medicaid!G154</f>
        <v>No</v>
      </c>
      <c r="P162" t="str">
        <f>Medicaid!K154</f>
        <v>Yes</v>
      </c>
    </row>
    <row r="163" spans="1:16" ht="15" customHeight="1" x14ac:dyDescent="0.3">
      <c r="A163" s="3">
        <v>73000</v>
      </c>
      <c r="B163" s="3">
        <f t="shared" si="35"/>
        <v>6083.333333333333</v>
      </c>
      <c r="C163" s="3">
        <f t="shared" si="36"/>
        <v>510.39166666666665</v>
      </c>
      <c r="D163" s="64">
        <f t="shared" si="26"/>
        <v>1.8872802481902791</v>
      </c>
      <c r="E163" s="50">
        <f t="shared" si="37"/>
        <v>0</v>
      </c>
      <c r="F163" s="50">
        <f t="shared" si="31"/>
        <v>0.02</v>
      </c>
      <c r="G163" s="69">
        <f t="shared" si="32"/>
        <v>4835</v>
      </c>
      <c r="H163" s="70">
        <f t="shared" si="33"/>
        <v>6414.4333333333334</v>
      </c>
      <c r="I163" s="70">
        <f t="shared" si="34"/>
        <v>4802.7666666666664</v>
      </c>
      <c r="J163" s="53">
        <f t="shared" si="27"/>
        <v>96.671527059634585</v>
      </c>
      <c r="K163" s="53">
        <f t="shared" si="28"/>
        <v>889</v>
      </c>
      <c r="L163" s="289">
        <f t="shared" si="29"/>
        <v>792.32847294036537</v>
      </c>
      <c r="N163" s="7">
        <f t="shared" si="30"/>
        <v>9507.9416752843845</v>
      </c>
      <c r="O163" t="str">
        <f>Medicaid!G155</f>
        <v>No</v>
      </c>
      <c r="P163" t="str">
        <f>Medicaid!K155</f>
        <v>Yes</v>
      </c>
    </row>
    <row r="164" spans="1:16" ht="15" customHeight="1" x14ac:dyDescent="0.3">
      <c r="A164" s="3">
        <v>73500</v>
      </c>
      <c r="B164" s="3">
        <f t="shared" si="35"/>
        <v>6125</v>
      </c>
      <c r="C164" s="3">
        <f t="shared" si="36"/>
        <v>513.88750000000005</v>
      </c>
      <c r="D164" s="64">
        <f t="shared" si="26"/>
        <v>1.9002068252326783</v>
      </c>
      <c r="E164" s="50">
        <f t="shared" si="37"/>
        <v>0</v>
      </c>
      <c r="F164" s="50">
        <f t="shared" si="31"/>
        <v>0.02</v>
      </c>
      <c r="G164" s="69">
        <f t="shared" si="32"/>
        <v>4835</v>
      </c>
      <c r="H164" s="70">
        <f t="shared" si="33"/>
        <v>6414.4333333333334</v>
      </c>
      <c r="I164" s="70">
        <f t="shared" si="34"/>
        <v>4802.7666666666664</v>
      </c>
      <c r="J164" s="53">
        <f t="shared" si="27"/>
        <v>100.50067218200621</v>
      </c>
      <c r="K164" s="53">
        <f t="shared" si="28"/>
        <v>889</v>
      </c>
      <c r="L164" s="289">
        <f t="shared" si="29"/>
        <v>788.49932781799384</v>
      </c>
      <c r="N164" s="7">
        <f t="shared" si="30"/>
        <v>9461.991933815927</v>
      </c>
      <c r="O164" t="str">
        <f>Medicaid!G156</f>
        <v>No</v>
      </c>
      <c r="P164" t="str">
        <f>Medicaid!K156</f>
        <v>Yes</v>
      </c>
    </row>
    <row r="165" spans="1:16" ht="15" customHeight="1" x14ac:dyDescent="0.3">
      <c r="A165" s="3">
        <v>74000</v>
      </c>
      <c r="B165" s="3">
        <f t="shared" si="35"/>
        <v>6166.666666666667</v>
      </c>
      <c r="C165" s="3">
        <f t="shared" si="36"/>
        <v>517.38333333333333</v>
      </c>
      <c r="D165" s="64">
        <f t="shared" si="26"/>
        <v>1.9131334022750777</v>
      </c>
      <c r="E165" s="50">
        <f t="shared" si="37"/>
        <v>0</v>
      </c>
      <c r="F165" s="50">
        <f t="shared" si="31"/>
        <v>0.02</v>
      </c>
      <c r="G165" s="69">
        <f t="shared" si="32"/>
        <v>4835</v>
      </c>
      <c r="H165" s="70">
        <f t="shared" si="33"/>
        <v>6414.4333333333334</v>
      </c>
      <c r="I165" s="70">
        <f t="shared" si="34"/>
        <v>4802.7666666666664</v>
      </c>
      <c r="J165" s="53">
        <f t="shared" si="27"/>
        <v>104.37290589451916</v>
      </c>
      <c r="K165" s="53">
        <f t="shared" si="28"/>
        <v>889</v>
      </c>
      <c r="L165" s="289">
        <f t="shared" si="29"/>
        <v>784.62709410548086</v>
      </c>
      <c r="N165" s="7">
        <f t="shared" si="30"/>
        <v>9415.5251292657704</v>
      </c>
      <c r="O165" t="str">
        <f>Medicaid!G157</f>
        <v>No</v>
      </c>
      <c r="P165" t="str">
        <f>Medicaid!K157</f>
        <v>Yes</v>
      </c>
    </row>
    <row r="166" spans="1:16" ht="15" customHeight="1" x14ac:dyDescent="0.3">
      <c r="A166" s="3">
        <v>74500</v>
      </c>
      <c r="B166" s="3">
        <f t="shared" si="35"/>
        <v>6208.333333333333</v>
      </c>
      <c r="C166" s="3">
        <f t="shared" si="36"/>
        <v>520.87916666666661</v>
      </c>
      <c r="D166" s="64">
        <f t="shared" si="26"/>
        <v>1.9260599793174766</v>
      </c>
      <c r="E166" s="50">
        <f t="shared" si="37"/>
        <v>0</v>
      </c>
      <c r="F166" s="50">
        <f t="shared" si="31"/>
        <v>0.02</v>
      </c>
      <c r="G166" s="69">
        <f t="shared" si="32"/>
        <v>4835</v>
      </c>
      <c r="H166" s="70">
        <f t="shared" si="33"/>
        <v>6414.4333333333334</v>
      </c>
      <c r="I166" s="70">
        <f t="shared" si="34"/>
        <v>4802.7666666666664</v>
      </c>
      <c r="J166" s="53">
        <f t="shared" si="27"/>
        <v>108.28822819717337</v>
      </c>
      <c r="K166" s="53">
        <f t="shared" si="28"/>
        <v>889</v>
      </c>
      <c r="L166" s="289">
        <f t="shared" si="29"/>
        <v>780.71177180282666</v>
      </c>
      <c r="N166" s="7">
        <f t="shared" si="30"/>
        <v>9368.5412616339199</v>
      </c>
      <c r="O166" t="str">
        <f>Medicaid!G158</f>
        <v>No</v>
      </c>
      <c r="P166" t="str">
        <f>Medicaid!K158</f>
        <v>Yes</v>
      </c>
    </row>
    <row r="167" spans="1:16" ht="15" customHeight="1" x14ac:dyDescent="0.3">
      <c r="A167" s="3">
        <v>75000</v>
      </c>
      <c r="B167" s="3">
        <f t="shared" si="35"/>
        <v>6250</v>
      </c>
      <c r="C167" s="3">
        <f t="shared" si="36"/>
        <v>524.375</v>
      </c>
      <c r="D167" s="64">
        <f t="shared" si="26"/>
        <v>1.9389865563598758</v>
      </c>
      <c r="E167" s="50">
        <f t="shared" si="37"/>
        <v>0</v>
      </c>
      <c r="F167" s="50">
        <f t="shared" si="31"/>
        <v>0.02</v>
      </c>
      <c r="G167" s="69">
        <f t="shared" si="32"/>
        <v>4835</v>
      </c>
      <c r="H167" s="70">
        <f t="shared" si="33"/>
        <v>6414.4333333333334</v>
      </c>
      <c r="I167" s="70">
        <f t="shared" si="34"/>
        <v>4802.7666666666664</v>
      </c>
      <c r="J167" s="53">
        <f t="shared" si="27"/>
        <v>112.24663908996899</v>
      </c>
      <c r="K167" s="53">
        <f t="shared" si="28"/>
        <v>889</v>
      </c>
      <c r="L167" s="289">
        <f t="shared" si="29"/>
        <v>776.75336091003101</v>
      </c>
      <c r="N167" s="7">
        <f t="shared" si="30"/>
        <v>9321.0403309203721</v>
      </c>
      <c r="O167" t="str">
        <f>Medicaid!G159</f>
        <v>No</v>
      </c>
      <c r="P167" t="str">
        <f>Medicaid!K159</f>
        <v>Yes</v>
      </c>
    </row>
    <row r="168" spans="1:16" ht="15" customHeight="1" x14ac:dyDescent="0.3">
      <c r="A168" s="3">
        <v>75500</v>
      </c>
      <c r="B168" s="3">
        <f t="shared" si="35"/>
        <v>6291.666666666667</v>
      </c>
      <c r="C168" s="3">
        <f t="shared" si="36"/>
        <v>527.87083333333339</v>
      </c>
      <c r="D168" s="64">
        <f t="shared" si="26"/>
        <v>1.951913133402275</v>
      </c>
      <c r="E168" s="50">
        <f t="shared" si="37"/>
        <v>0</v>
      </c>
      <c r="F168" s="50">
        <f t="shared" si="31"/>
        <v>0.02</v>
      </c>
      <c r="G168" s="69">
        <f t="shared" si="32"/>
        <v>4835</v>
      </c>
      <c r="H168" s="70">
        <f t="shared" si="33"/>
        <v>6414.4333333333334</v>
      </c>
      <c r="I168" s="70">
        <f t="shared" si="34"/>
        <v>4802.7666666666664</v>
      </c>
      <c r="J168" s="53">
        <f t="shared" si="27"/>
        <v>116.24813857290592</v>
      </c>
      <c r="K168" s="53">
        <f t="shared" si="28"/>
        <v>889</v>
      </c>
      <c r="L168" s="289">
        <f t="shared" si="29"/>
        <v>772.75186142709413</v>
      </c>
      <c r="N168" s="7">
        <f t="shared" si="30"/>
        <v>9273.0223371251304</v>
      </c>
      <c r="O168" t="str">
        <f>Medicaid!G160</f>
        <v>No</v>
      </c>
      <c r="P168" t="str">
        <f>Medicaid!K160</f>
        <v>Yes</v>
      </c>
    </row>
    <row r="169" spans="1:16" ht="15" customHeight="1" x14ac:dyDescent="0.3">
      <c r="A169" s="3">
        <v>76000</v>
      </c>
      <c r="B169" s="3">
        <f t="shared" si="35"/>
        <v>6333.333333333333</v>
      </c>
      <c r="C169" s="3">
        <f t="shared" si="36"/>
        <v>531.36666666666667</v>
      </c>
      <c r="D169" s="64">
        <f t="shared" si="26"/>
        <v>1.964839710444674</v>
      </c>
      <c r="E169" s="50">
        <f t="shared" si="37"/>
        <v>0</v>
      </c>
      <c r="F169" s="50">
        <f t="shared" si="31"/>
        <v>0.02</v>
      </c>
      <c r="G169" s="69">
        <f t="shared" si="32"/>
        <v>4835</v>
      </c>
      <c r="H169" s="70">
        <f t="shared" si="33"/>
        <v>6414.4333333333334</v>
      </c>
      <c r="I169" s="70">
        <f t="shared" si="34"/>
        <v>4802.7666666666664</v>
      </c>
      <c r="J169" s="53">
        <f t="shared" si="27"/>
        <v>120.29272664598412</v>
      </c>
      <c r="K169" s="53">
        <f t="shared" si="28"/>
        <v>889</v>
      </c>
      <c r="L169" s="289">
        <f t="shared" si="29"/>
        <v>768.70727335401591</v>
      </c>
      <c r="N169" s="7">
        <f t="shared" si="30"/>
        <v>9224.4872802481914</v>
      </c>
      <c r="O169" t="str">
        <f>Medicaid!G161</f>
        <v>No</v>
      </c>
      <c r="P169" t="str">
        <f>Medicaid!K161</f>
        <v>Yes</v>
      </c>
    </row>
    <row r="170" spans="1:16" ht="15" customHeight="1" x14ac:dyDescent="0.3">
      <c r="A170" s="3">
        <v>76500</v>
      </c>
      <c r="B170" s="3">
        <f t="shared" si="35"/>
        <v>6375</v>
      </c>
      <c r="C170" s="3">
        <f t="shared" si="36"/>
        <v>534.86250000000007</v>
      </c>
      <c r="D170" s="64">
        <f t="shared" si="26"/>
        <v>1.9777662874870734</v>
      </c>
      <c r="E170" s="50">
        <f t="shared" si="37"/>
        <v>0</v>
      </c>
      <c r="F170" s="50">
        <f t="shared" si="31"/>
        <v>0.02</v>
      </c>
      <c r="G170" s="69">
        <f t="shared" si="32"/>
        <v>4835</v>
      </c>
      <c r="H170" s="70">
        <f t="shared" si="33"/>
        <v>6414.4333333333334</v>
      </c>
      <c r="I170" s="70">
        <f t="shared" si="34"/>
        <v>4802.7666666666664</v>
      </c>
      <c r="J170" s="53">
        <f t="shared" si="27"/>
        <v>124.38040330920373</v>
      </c>
      <c r="K170" s="53">
        <f t="shared" si="28"/>
        <v>889</v>
      </c>
      <c r="L170" s="289">
        <f t="shared" si="29"/>
        <v>764.61959669079624</v>
      </c>
      <c r="N170" s="7">
        <f t="shared" si="30"/>
        <v>9175.4351602895549</v>
      </c>
      <c r="O170" t="str">
        <f>Medicaid!G162</f>
        <v>No</v>
      </c>
      <c r="P170" t="str">
        <f>Medicaid!K162</f>
        <v>Yes</v>
      </c>
    </row>
    <row r="171" spans="1:16" ht="15" customHeight="1" x14ac:dyDescent="0.3">
      <c r="A171" s="3">
        <v>77000</v>
      </c>
      <c r="B171" s="3">
        <f t="shared" si="35"/>
        <v>6416.666666666667</v>
      </c>
      <c r="C171" s="3">
        <f t="shared" si="36"/>
        <v>538.35833333333335</v>
      </c>
      <c r="D171" s="64">
        <f t="shared" si="26"/>
        <v>1.9906928645294726</v>
      </c>
      <c r="E171" s="50">
        <f t="shared" si="37"/>
        <v>0.02</v>
      </c>
      <c r="F171" s="50">
        <f t="shared" si="31"/>
        <v>0.04</v>
      </c>
      <c r="G171" s="69">
        <f t="shared" si="32"/>
        <v>6446.666666666667</v>
      </c>
      <c r="H171" s="70">
        <f t="shared" si="33"/>
        <v>8026.1000000000013</v>
      </c>
      <c r="I171" s="70">
        <f t="shared" si="34"/>
        <v>6414.4333333333334</v>
      </c>
      <c r="J171" s="53">
        <f t="shared" si="27"/>
        <v>128.51116856256465</v>
      </c>
      <c r="K171" s="53">
        <f t="shared" si="28"/>
        <v>889</v>
      </c>
      <c r="L171" s="289">
        <f t="shared" si="29"/>
        <v>760.48883143743535</v>
      </c>
      <c r="N171" s="7">
        <f t="shared" si="30"/>
        <v>9125.8659772492247</v>
      </c>
      <c r="O171" t="str">
        <f>Medicaid!G163</f>
        <v>No</v>
      </c>
      <c r="P171" t="str">
        <f>Medicaid!K163</f>
        <v>Yes</v>
      </c>
    </row>
    <row r="172" spans="1:16" ht="15" customHeight="1" x14ac:dyDescent="0.3">
      <c r="A172" s="3">
        <v>77500</v>
      </c>
      <c r="B172" s="3">
        <f t="shared" si="35"/>
        <v>6458.333333333333</v>
      </c>
      <c r="C172" s="3">
        <f t="shared" si="36"/>
        <v>541.85416666666663</v>
      </c>
      <c r="D172" s="64">
        <f t="shared" si="26"/>
        <v>2.0036194415718716</v>
      </c>
      <c r="E172" s="50">
        <f t="shared" si="37"/>
        <v>0.02</v>
      </c>
      <c r="F172" s="50">
        <f t="shared" si="31"/>
        <v>0.04</v>
      </c>
      <c r="G172" s="69">
        <f t="shared" si="32"/>
        <v>6446.666666666667</v>
      </c>
      <c r="H172" s="70">
        <f t="shared" si="33"/>
        <v>8026.1000000000013</v>
      </c>
      <c r="I172" s="70">
        <f t="shared" si="34"/>
        <v>6414.4333333333334</v>
      </c>
      <c r="J172" s="53">
        <f t="shared" si="27"/>
        <v>132.68502240606685</v>
      </c>
      <c r="K172" s="53">
        <f t="shared" si="28"/>
        <v>1264</v>
      </c>
      <c r="L172" s="289">
        <f t="shared" si="29"/>
        <v>1131.3149775939332</v>
      </c>
      <c r="N172" s="7">
        <f t="shared" si="30"/>
        <v>13575.779731127199</v>
      </c>
      <c r="O172" t="str">
        <f>Medicaid!G164</f>
        <v>No</v>
      </c>
      <c r="P172" t="str">
        <f>Medicaid!K164</f>
        <v>No</v>
      </c>
    </row>
    <row r="173" spans="1:16" ht="15" customHeight="1" x14ac:dyDescent="0.3">
      <c r="A173" s="3">
        <v>78000</v>
      </c>
      <c r="B173" s="3">
        <f t="shared" si="35"/>
        <v>6500</v>
      </c>
      <c r="C173" s="3">
        <f t="shared" si="36"/>
        <v>545.35</v>
      </c>
      <c r="D173" s="64">
        <f t="shared" si="26"/>
        <v>2.016546018614271</v>
      </c>
      <c r="E173" s="50">
        <f t="shared" si="37"/>
        <v>0.02</v>
      </c>
      <c r="F173" s="50">
        <f t="shared" si="31"/>
        <v>0.04</v>
      </c>
      <c r="G173" s="69">
        <f t="shared" si="32"/>
        <v>6446.666666666667</v>
      </c>
      <c r="H173" s="70">
        <f t="shared" si="33"/>
        <v>8026.1000000000013</v>
      </c>
      <c r="I173" s="70">
        <f t="shared" si="34"/>
        <v>6414.4333333333334</v>
      </c>
      <c r="J173" s="53">
        <f t="shared" si="27"/>
        <v>136.90196483971044</v>
      </c>
      <c r="K173" s="53">
        <f t="shared" si="28"/>
        <v>1264</v>
      </c>
      <c r="L173" s="289">
        <f t="shared" si="29"/>
        <v>1127.0980351602896</v>
      </c>
      <c r="N173" s="7">
        <f t="shared" si="30"/>
        <v>13525.176421923476</v>
      </c>
      <c r="O173" t="str">
        <f>Medicaid!G165</f>
        <v>No</v>
      </c>
      <c r="P173" t="str">
        <f>Medicaid!K165</f>
        <v>No</v>
      </c>
    </row>
    <row r="174" spans="1:16" ht="15" customHeight="1" x14ac:dyDescent="0.3">
      <c r="A174" s="3">
        <v>78500</v>
      </c>
      <c r="B174" s="3">
        <f t="shared" si="35"/>
        <v>6541.666666666667</v>
      </c>
      <c r="C174" s="3">
        <f t="shared" si="36"/>
        <v>548.84583333333342</v>
      </c>
      <c r="D174" s="64">
        <f t="shared" si="26"/>
        <v>2.0294725956566699</v>
      </c>
      <c r="E174" s="50">
        <f t="shared" si="37"/>
        <v>0.02</v>
      </c>
      <c r="F174" s="50">
        <f t="shared" si="31"/>
        <v>0.04</v>
      </c>
      <c r="G174" s="69">
        <f t="shared" si="32"/>
        <v>6446.666666666667</v>
      </c>
      <c r="H174" s="70">
        <f t="shared" si="33"/>
        <v>8026.1000000000013</v>
      </c>
      <c r="I174" s="70">
        <f t="shared" si="34"/>
        <v>6414.4333333333334</v>
      </c>
      <c r="J174" s="53">
        <f t="shared" si="27"/>
        <v>141.16199586349538</v>
      </c>
      <c r="K174" s="53">
        <f t="shared" si="28"/>
        <v>1264</v>
      </c>
      <c r="L174" s="289">
        <f t="shared" si="29"/>
        <v>1122.8380041365047</v>
      </c>
      <c r="N174" s="7">
        <f t="shared" si="30"/>
        <v>13474.056049638057</v>
      </c>
      <c r="O174" t="str">
        <f>Medicaid!G166</f>
        <v>No</v>
      </c>
      <c r="P174" t="str">
        <f>Medicaid!K166</f>
        <v>No</v>
      </c>
    </row>
    <row r="175" spans="1:16" ht="15" customHeight="1" x14ac:dyDescent="0.3">
      <c r="A175" s="3">
        <v>79000</v>
      </c>
      <c r="B175" s="3">
        <f t="shared" si="35"/>
        <v>6583.333333333333</v>
      </c>
      <c r="C175" s="3">
        <f t="shared" si="36"/>
        <v>552.3416666666667</v>
      </c>
      <c r="D175" s="64">
        <f t="shared" si="26"/>
        <v>2.0423991726990689</v>
      </c>
      <c r="E175" s="50">
        <f t="shared" si="37"/>
        <v>0.02</v>
      </c>
      <c r="F175" s="50">
        <f t="shared" si="31"/>
        <v>0.04</v>
      </c>
      <c r="G175" s="69">
        <f t="shared" si="32"/>
        <v>6446.666666666667</v>
      </c>
      <c r="H175" s="70">
        <f t="shared" si="33"/>
        <v>8026.1000000000013</v>
      </c>
      <c r="I175" s="70">
        <f t="shared" si="34"/>
        <v>6414.4333333333334</v>
      </c>
      <c r="J175" s="53">
        <f t="shared" si="27"/>
        <v>145.46511547742153</v>
      </c>
      <c r="K175" s="53">
        <f t="shared" si="28"/>
        <v>1264</v>
      </c>
      <c r="L175" s="289">
        <f t="shared" si="29"/>
        <v>1118.5348845225785</v>
      </c>
      <c r="N175" s="7">
        <f t="shared" si="30"/>
        <v>13422.418614270942</v>
      </c>
      <c r="O175" t="str">
        <f>Medicaid!G167</f>
        <v>No</v>
      </c>
      <c r="P175" t="str">
        <f>Medicaid!K167</f>
        <v>No</v>
      </c>
    </row>
    <row r="176" spans="1:16" ht="15" customHeight="1" x14ac:dyDescent="0.3">
      <c r="A176" s="3">
        <v>79500</v>
      </c>
      <c r="B176" s="3">
        <f t="shared" si="35"/>
        <v>6625</v>
      </c>
      <c r="C176" s="3">
        <f t="shared" si="36"/>
        <v>555.83749999999998</v>
      </c>
      <c r="D176" s="64">
        <f t="shared" si="26"/>
        <v>2.0553257497414683</v>
      </c>
      <c r="E176" s="50">
        <f t="shared" si="37"/>
        <v>0.02</v>
      </c>
      <c r="F176" s="50">
        <f t="shared" si="31"/>
        <v>0.04</v>
      </c>
      <c r="G176" s="69">
        <f t="shared" si="32"/>
        <v>6446.666666666667</v>
      </c>
      <c r="H176" s="70">
        <f t="shared" si="33"/>
        <v>8026.1000000000013</v>
      </c>
      <c r="I176" s="70">
        <f t="shared" si="34"/>
        <v>6414.4333333333334</v>
      </c>
      <c r="J176" s="53">
        <f t="shared" si="27"/>
        <v>149.81132368148914</v>
      </c>
      <c r="K176" s="53">
        <f t="shared" si="28"/>
        <v>1264</v>
      </c>
      <c r="L176" s="289">
        <f t="shared" si="29"/>
        <v>1114.1886763185109</v>
      </c>
      <c r="N176" s="7">
        <f t="shared" si="30"/>
        <v>13370.26411582213</v>
      </c>
      <c r="O176" t="str">
        <f>Medicaid!G168</f>
        <v>No</v>
      </c>
      <c r="P176" t="str">
        <f>Medicaid!K168</f>
        <v>No</v>
      </c>
    </row>
    <row r="177" spans="1:16" ht="15" customHeight="1" x14ac:dyDescent="0.3">
      <c r="A177" s="3">
        <v>80000</v>
      </c>
      <c r="B177" s="3">
        <f t="shared" si="35"/>
        <v>6666.666666666667</v>
      </c>
      <c r="C177" s="3">
        <f t="shared" si="36"/>
        <v>559.33333333333337</v>
      </c>
      <c r="D177" s="64">
        <f t="shared" ref="D177:D217" si="38">B177/$K$2</f>
        <v>2.0682523267838677</v>
      </c>
      <c r="E177" s="50">
        <f t="shared" si="37"/>
        <v>0.02</v>
      </c>
      <c r="F177" s="50">
        <f t="shared" si="31"/>
        <v>0.04</v>
      </c>
      <c r="G177" s="69">
        <f t="shared" si="32"/>
        <v>6446.666666666667</v>
      </c>
      <c r="H177" s="70">
        <f t="shared" si="33"/>
        <v>8026.1000000000013</v>
      </c>
      <c r="I177" s="70">
        <f t="shared" si="34"/>
        <v>6414.4333333333334</v>
      </c>
      <c r="J177" s="53">
        <f t="shared" si="27"/>
        <v>154.20062047569806</v>
      </c>
      <c r="K177" s="53">
        <f t="shared" si="28"/>
        <v>1264</v>
      </c>
      <c r="L177" s="289">
        <f t="shared" si="29"/>
        <v>1109.7993795243019</v>
      </c>
      <c r="N177" s="7">
        <f t="shared" si="30"/>
        <v>13317.592554291623</v>
      </c>
      <c r="O177" t="str">
        <f>Medicaid!G169</f>
        <v>No</v>
      </c>
      <c r="P177" t="str">
        <f>Medicaid!K169</f>
        <v>No</v>
      </c>
    </row>
    <row r="178" spans="1:16" ht="15" customHeight="1" x14ac:dyDescent="0.3">
      <c r="A178" s="3">
        <v>80500</v>
      </c>
      <c r="B178" s="3">
        <f t="shared" si="35"/>
        <v>6708.333333333333</v>
      </c>
      <c r="C178" s="3">
        <f t="shared" si="36"/>
        <v>562.82916666666665</v>
      </c>
      <c r="D178" s="64">
        <f t="shared" si="38"/>
        <v>2.0811789038262667</v>
      </c>
      <c r="E178" s="50">
        <f t="shared" si="37"/>
        <v>0.02</v>
      </c>
      <c r="F178" s="50">
        <f t="shared" si="31"/>
        <v>0.04</v>
      </c>
      <c r="G178" s="69">
        <f t="shared" si="32"/>
        <v>6446.666666666667</v>
      </c>
      <c r="H178" s="70">
        <f t="shared" si="33"/>
        <v>8026.1000000000013</v>
      </c>
      <c r="I178" s="70">
        <f t="shared" si="34"/>
        <v>6414.4333333333334</v>
      </c>
      <c r="J178" s="53">
        <f t="shared" si="27"/>
        <v>158.6330058600482</v>
      </c>
      <c r="K178" s="53">
        <f t="shared" si="28"/>
        <v>1264</v>
      </c>
      <c r="L178" s="289">
        <f t="shared" si="29"/>
        <v>1105.3669941399519</v>
      </c>
      <c r="N178" s="7">
        <f t="shared" si="30"/>
        <v>13264.403929679422</v>
      </c>
      <c r="O178" t="str">
        <f>Medicaid!G170</f>
        <v>No</v>
      </c>
      <c r="P178" t="str">
        <f>Medicaid!K170</f>
        <v>No</v>
      </c>
    </row>
    <row r="179" spans="1:16" ht="15" customHeight="1" x14ac:dyDescent="0.3">
      <c r="A179" s="3">
        <v>81000</v>
      </c>
      <c r="B179" s="3">
        <f t="shared" si="35"/>
        <v>6750</v>
      </c>
      <c r="C179" s="3">
        <f t="shared" si="36"/>
        <v>566.32500000000005</v>
      </c>
      <c r="D179" s="64">
        <f t="shared" si="38"/>
        <v>2.0941054808686657</v>
      </c>
      <c r="E179" s="50">
        <f t="shared" si="37"/>
        <v>0.02</v>
      </c>
      <c r="F179" s="50">
        <f t="shared" si="31"/>
        <v>0.04</v>
      </c>
      <c r="G179" s="69">
        <f t="shared" si="32"/>
        <v>6446.666666666667</v>
      </c>
      <c r="H179" s="70">
        <f t="shared" si="33"/>
        <v>8026.1000000000013</v>
      </c>
      <c r="I179" s="70">
        <f t="shared" si="34"/>
        <v>6414.4333333333334</v>
      </c>
      <c r="J179" s="53">
        <f t="shared" si="27"/>
        <v>163.10847983453979</v>
      </c>
      <c r="K179" s="53">
        <f t="shared" si="28"/>
        <v>1264</v>
      </c>
      <c r="L179" s="289">
        <f t="shared" si="29"/>
        <v>1100.8915201654602</v>
      </c>
      <c r="N179" s="7">
        <f t="shared" si="30"/>
        <v>13210.698241985523</v>
      </c>
      <c r="O179" t="str">
        <f>Medicaid!G171</f>
        <v>No</v>
      </c>
      <c r="P179" t="str">
        <f>Medicaid!K171</f>
        <v>No</v>
      </c>
    </row>
    <row r="180" spans="1:16" ht="15" customHeight="1" x14ac:dyDescent="0.3">
      <c r="A180" s="3">
        <v>81500</v>
      </c>
      <c r="B180" s="3">
        <f t="shared" si="35"/>
        <v>6791.666666666667</v>
      </c>
      <c r="C180" s="3">
        <f t="shared" si="36"/>
        <v>569.82083333333333</v>
      </c>
      <c r="D180" s="64">
        <f t="shared" si="38"/>
        <v>2.1070320579110651</v>
      </c>
      <c r="E180" s="50">
        <f t="shared" si="37"/>
        <v>0.02</v>
      </c>
      <c r="F180" s="50">
        <f t="shared" si="31"/>
        <v>0.04</v>
      </c>
      <c r="G180" s="69">
        <f t="shared" si="32"/>
        <v>6446.666666666667</v>
      </c>
      <c r="H180" s="70">
        <f t="shared" si="33"/>
        <v>8026.1000000000013</v>
      </c>
      <c r="I180" s="70">
        <f t="shared" si="34"/>
        <v>6414.4333333333334</v>
      </c>
      <c r="J180" s="53">
        <f t="shared" si="27"/>
        <v>167.62704239917272</v>
      </c>
      <c r="K180" s="53">
        <f t="shared" si="28"/>
        <v>1264</v>
      </c>
      <c r="L180" s="289">
        <f t="shared" si="29"/>
        <v>1096.3729576008272</v>
      </c>
      <c r="N180" s="7">
        <f t="shared" si="30"/>
        <v>13156.475491209927</v>
      </c>
      <c r="O180" t="str">
        <f>Medicaid!G172</f>
        <v>No</v>
      </c>
      <c r="P180" t="str">
        <f>Medicaid!K172</f>
        <v>No</v>
      </c>
    </row>
    <row r="181" spans="1:16" ht="15" customHeight="1" x14ac:dyDescent="0.3">
      <c r="A181" s="3">
        <v>82000</v>
      </c>
      <c r="B181" s="3">
        <f t="shared" si="35"/>
        <v>6833.333333333333</v>
      </c>
      <c r="C181" s="3">
        <f t="shared" si="36"/>
        <v>573.31666666666661</v>
      </c>
      <c r="D181" s="64">
        <f t="shared" si="38"/>
        <v>2.119958634953464</v>
      </c>
      <c r="E181" s="50">
        <f t="shared" si="37"/>
        <v>0.02</v>
      </c>
      <c r="F181" s="50">
        <f t="shared" si="31"/>
        <v>0.04</v>
      </c>
      <c r="G181" s="69">
        <f t="shared" si="32"/>
        <v>6446.666666666667</v>
      </c>
      <c r="H181" s="70">
        <f t="shared" si="33"/>
        <v>8026.1000000000013</v>
      </c>
      <c r="I181" s="70">
        <f t="shared" si="34"/>
        <v>6414.4333333333334</v>
      </c>
      <c r="J181" s="53">
        <f t="shared" si="27"/>
        <v>172.18869355394685</v>
      </c>
      <c r="K181" s="53">
        <f t="shared" si="28"/>
        <v>1264</v>
      </c>
      <c r="L181" s="289">
        <f t="shared" si="29"/>
        <v>1091.8113064460531</v>
      </c>
      <c r="N181" s="7">
        <f t="shared" si="30"/>
        <v>13101.735677352637</v>
      </c>
      <c r="O181" t="str">
        <f>Medicaid!G173</f>
        <v>No</v>
      </c>
      <c r="P181" t="str">
        <f>Medicaid!K173</f>
        <v>No</v>
      </c>
    </row>
    <row r="182" spans="1:16" ht="15" customHeight="1" x14ac:dyDescent="0.3">
      <c r="A182" s="3">
        <v>82500</v>
      </c>
      <c r="B182" s="3">
        <f t="shared" si="35"/>
        <v>6875</v>
      </c>
      <c r="C182" s="3">
        <f t="shared" si="36"/>
        <v>576.8125</v>
      </c>
      <c r="D182" s="64">
        <f t="shared" si="38"/>
        <v>2.1328852119958635</v>
      </c>
      <c r="E182" s="50">
        <f t="shared" si="37"/>
        <v>0.02</v>
      </c>
      <c r="F182" s="50">
        <f t="shared" si="31"/>
        <v>0.04</v>
      </c>
      <c r="G182" s="69">
        <f t="shared" si="32"/>
        <v>6446.666666666667</v>
      </c>
      <c r="H182" s="70">
        <f t="shared" si="33"/>
        <v>8026.1000000000013</v>
      </c>
      <c r="I182" s="70">
        <f t="shared" si="34"/>
        <v>6414.4333333333334</v>
      </c>
      <c r="J182" s="53">
        <f t="shared" si="27"/>
        <v>176.79343329886242</v>
      </c>
      <c r="K182" s="53">
        <f t="shared" si="28"/>
        <v>1264</v>
      </c>
      <c r="L182" s="289">
        <f t="shared" si="29"/>
        <v>1087.2065667011375</v>
      </c>
      <c r="N182" s="7">
        <f t="shared" si="30"/>
        <v>13046.47880041365</v>
      </c>
      <c r="O182" t="str">
        <f>Medicaid!G174</f>
        <v>No</v>
      </c>
      <c r="P182" t="str">
        <f>Medicaid!K174</f>
        <v>No</v>
      </c>
    </row>
    <row r="183" spans="1:16" ht="15" customHeight="1" x14ac:dyDescent="0.3">
      <c r="A183" s="3">
        <v>83000</v>
      </c>
      <c r="B183" s="3">
        <f t="shared" si="35"/>
        <v>6916.666666666667</v>
      </c>
      <c r="C183" s="3">
        <f t="shared" si="36"/>
        <v>580.30833333333339</v>
      </c>
      <c r="D183" s="64">
        <f t="shared" si="38"/>
        <v>2.1458117890382629</v>
      </c>
      <c r="E183" s="50">
        <f t="shared" si="37"/>
        <v>0.02</v>
      </c>
      <c r="F183" s="50">
        <f t="shared" si="31"/>
        <v>0.04</v>
      </c>
      <c r="G183" s="69">
        <f t="shared" si="32"/>
        <v>6446.666666666667</v>
      </c>
      <c r="H183" s="70">
        <f t="shared" si="33"/>
        <v>8026.1000000000013</v>
      </c>
      <c r="I183" s="70">
        <f t="shared" si="34"/>
        <v>6414.4333333333334</v>
      </c>
      <c r="J183" s="53">
        <f t="shared" si="27"/>
        <v>181.44126163391934</v>
      </c>
      <c r="K183" s="53">
        <f t="shared" si="28"/>
        <v>1264</v>
      </c>
      <c r="L183" s="289">
        <f t="shared" si="29"/>
        <v>1082.5587383660807</v>
      </c>
      <c r="N183" s="7">
        <f t="shared" si="30"/>
        <v>12990.704860392969</v>
      </c>
      <c r="O183" t="str">
        <f>Medicaid!G175</f>
        <v>No</v>
      </c>
      <c r="P183" t="str">
        <f>Medicaid!K175</f>
        <v>No</v>
      </c>
    </row>
    <row r="184" spans="1:16" ht="15" customHeight="1" x14ac:dyDescent="0.3">
      <c r="A184" s="3">
        <v>83500</v>
      </c>
      <c r="B184" s="3">
        <f t="shared" si="35"/>
        <v>6958.333333333333</v>
      </c>
      <c r="C184" s="3">
        <f t="shared" si="36"/>
        <v>583.80416666666667</v>
      </c>
      <c r="D184" s="64">
        <f t="shared" si="38"/>
        <v>2.1587383660806618</v>
      </c>
      <c r="E184" s="50">
        <f t="shared" si="37"/>
        <v>0.02</v>
      </c>
      <c r="F184" s="50">
        <f t="shared" si="31"/>
        <v>0.04</v>
      </c>
      <c r="G184" s="69">
        <f t="shared" si="32"/>
        <v>6446.666666666667</v>
      </c>
      <c r="H184" s="70">
        <f t="shared" si="33"/>
        <v>8026.1000000000013</v>
      </c>
      <c r="I184" s="70">
        <f t="shared" si="34"/>
        <v>6414.4333333333334</v>
      </c>
      <c r="J184" s="53">
        <f t="shared" si="27"/>
        <v>186.13217855911748</v>
      </c>
      <c r="K184" s="53">
        <f t="shared" si="28"/>
        <v>1264</v>
      </c>
      <c r="L184" s="289">
        <f t="shared" si="29"/>
        <v>1077.8678214408826</v>
      </c>
      <c r="N184" s="7">
        <f t="shared" si="30"/>
        <v>12934.41385729059</v>
      </c>
      <c r="O184" t="str">
        <f>Medicaid!G176</f>
        <v>No</v>
      </c>
      <c r="P184" t="str">
        <f>Medicaid!K176</f>
        <v>No</v>
      </c>
    </row>
    <row r="185" spans="1:16" ht="15" customHeight="1" x14ac:dyDescent="0.3">
      <c r="A185" s="3">
        <v>84000</v>
      </c>
      <c r="B185" s="3">
        <f t="shared" si="35"/>
        <v>7000</v>
      </c>
      <c r="C185" s="3">
        <f t="shared" si="36"/>
        <v>587.30000000000007</v>
      </c>
      <c r="D185" s="64">
        <f t="shared" si="38"/>
        <v>2.1716649431230608</v>
      </c>
      <c r="E185" s="50">
        <f t="shared" si="37"/>
        <v>0.02</v>
      </c>
      <c r="F185" s="50">
        <f t="shared" si="31"/>
        <v>0.04</v>
      </c>
      <c r="G185" s="69">
        <f t="shared" si="32"/>
        <v>6446.666666666667</v>
      </c>
      <c r="H185" s="70">
        <f t="shared" si="33"/>
        <v>8026.1000000000013</v>
      </c>
      <c r="I185" s="70">
        <f t="shared" si="34"/>
        <v>6414.4333333333334</v>
      </c>
      <c r="J185" s="53">
        <f t="shared" si="27"/>
        <v>190.86618407445704</v>
      </c>
      <c r="K185" s="53">
        <f t="shared" si="28"/>
        <v>1264</v>
      </c>
      <c r="L185" s="289">
        <f t="shared" si="29"/>
        <v>1073.1338159255429</v>
      </c>
      <c r="N185" s="7">
        <f t="shared" si="30"/>
        <v>12877.605791106515</v>
      </c>
      <c r="O185" t="str">
        <f>Medicaid!G177</f>
        <v>No</v>
      </c>
      <c r="P185" t="str">
        <f>Medicaid!K177</f>
        <v>No</v>
      </c>
    </row>
    <row r="186" spans="1:16" ht="15" customHeight="1" x14ac:dyDescent="0.3">
      <c r="A186" s="3">
        <v>84500</v>
      </c>
      <c r="B186" s="3">
        <f t="shared" si="35"/>
        <v>7041.666666666667</v>
      </c>
      <c r="C186" s="3">
        <f t="shared" si="36"/>
        <v>590.79583333333335</v>
      </c>
      <c r="D186" s="64">
        <f t="shared" si="38"/>
        <v>2.1845915201654602</v>
      </c>
      <c r="E186" s="50">
        <f t="shared" si="37"/>
        <v>0.02</v>
      </c>
      <c r="F186" s="50">
        <f t="shared" si="31"/>
        <v>0.04</v>
      </c>
      <c r="G186" s="69">
        <f t="shared" si="32"/>
        <v>6446.666666666667</v>
      </c>
      <c r="H186" s="70">
        <f t="shared" si="33"/>
        <v>8026.1000000000013</v>
      </c>
      <c r="I186" s="70">
        <f t="shared" si="34"/>
        <v>6414.4333333333334</v>
      </c>
      <c r="J186" s="53">
        <f t="shared" si="27"/>
        <v>195.64327817993794</v>
      </c>
      <c r="K186" s="53">
        <f t="shared" si="28"/>
        <v>1264</v>
      </c>
      <c r="L186" s="289">
        <f t="shared" si="29"/>
        <v>1068.3567218200621</v>
      </c>
      <c r="N186" s="7">
        <f t="shared" si="30"/>
        <v>12820.280661840745</v>
      </c>
      <c r="O186" t="str">
        <f>Medicaid!G178</f>
        <v>No</v>
      </c>
      <c r="P186" t="str">
        <f>Medicaid!K178</f>
        <v>No</v>
      </c>
    </row>
    <row r="187" spans="1:16" ht="15" customHeight="1" x14ac:dyDescent="0.3">
      <c r="A187" s="3">
        <v>85000</v>
      </c>
      <c r="B187" s="3">
        <f t="shared" si="35"/>
        <v>7083.333333333333</v>
      </c>
      <c r="C187" s="3">
        <f t="shared" si="36"/>
        <v>594.29166666666663</v>
      </c>
      <c r="D187" s="64">
        <f t="shared" si="38"/>
        <v>2.1975180972078592</v>
      </c>
      <c r="E187" s="50">
        <f t="shared" si="37"/>
        <v>0.02</v>
      </c>
      <c r="F187" s="50">
        <f t="shared" si="31"/>
        <v>0.04</v>
      </c>
      <c r="G187" s="69">
        <f t="shared" si="32"/>
        <v>6446.666666666667</v>
      </c>
      <c r="H187" s="70">
        <f t="shared" si="33"/>
        <v>8026.1000000000013</v>
      </c>
      <c r="I187" s="70">
        <f t="shared" si="34"/>
        <v>6414.4333333333334</v>
      </c>
      <c r="J187" s="53">
        <f t="shared" si="27"/>
        <v>200.46346087556009</v>
      </c>
      <c r="K187" s="53">
        <f t="shared" si="28"/>
        <v>1264</v>
      </c>
      <c r="L187" s="289">
        <f t="shared" si="29"/>
        <v>1063.53653912444</v>
      </c>
      <c r="N187" s="7">
        <f t="shared" si="30"/>
        <v>12762.43846949328</v>
      </c>
      <c r="O187" t="str">
        <f>Medicaid!G179</f>
        <v>No</v>
      </c>
      <c r="P187" t="str">
        <f>Medicaid!K179</f>
        <v>No</v>
      </c>
    </row>
    <row r="188" spans="1:16" ht="15" customHeight="1" x14ac:dyDescent="0.3">
      <c r="A188" s="3">
        <v>85500</v>
      </c>
      <c r="B188" s="3">
        <f t="shared" si="35"/>
        <v>7125</v>
      </c>
      <c r="C188" s="3">
        <f t="shared" si="36"/>
        <v>597.78750000000002</v>
      </c>
      <c r="D188" s="64">
        <f t="shared" si="38"/>
        <v>2.2104446742502586</v>
      </c>
      <c r="E188" s="50">
        <f t="shared" si="37"/>
        <v>0.02</v>
      </c>
      <c r="F188" s="50">
        <f t="shared" si="31"/>
        <v>0.04</v>
      </c>
      <c r="G188" s="69">
        <f t="shared" si="32"/>
        <v>6446.666666666667</v>
      </c>
      <c r="H188" s="70">
        <f t="shared" si="33"/>
        <v>8026.1000000000013</v>
      </c>
      <c r="I188" s="70">
        <f t="shared" si="34"/>
        <v>6414.4333333333334</v>
      </c>
      <c r="J188" s="53">
        <f t="shared" si="27"/>
        <v>205.32673216132363</v>
      </c>
      <c r="K188" s="53">
        <f t="shared" si="28"/>
        <v>1264</v>
      </c>
      <c r="L188" s="289">
        <f t="shared" si="29"/>
        <v>1058.6732678386763</v>
      </c>
      <c r="N188" s="7">
        <f t="shared" si="30"/>
        <v>12704.079214064117</v>
      </c>
      <c r="O188" t="str">
        <f>Medicaid!G180</f>
        <v>No</v>
      </c>
      <c r="P188" t="str">
        <f>Medicaid!K180</f>
        <v>No</v>
      </c>
    </row>
    <row r="189" spans="1:16" ht="15" customHeight="1" x14ac:dyDescent="0.3">
      <c r="A189" s="3">
        <v>86000</v>
      </c>
      <c r="B189" s="3">
        <f t="shared" si="35"/>
        <v>7166.666666666667</v>
      </c>
      <c r="C189" s="3">
        <f t="shared" si="36"/>
        <v>601.28333333333342</v>
      </c>
      <c r="D189" s="64">
        <f t="shared" si="38"/>
        <v>2.2233712512926576</v>
      </c>
      <c r="E189" s="50">
        <f t="shared" si="37"/>
        <v>0.02</v>
      </c>
      <c r="F189" s="50">
        <f t="shared" si="31"/>
        <v>0.04</v>
      </c>
      <c r="G189" s="69">
        <f t="shared" si="32"/>
        <v>6446.666666666667</v>
      </c>
      <c r="H189" s="70">
        <f t="shared" si="33"/>
        <v>8026.1000000000013</v>
      </c>
      <c r="I189" s="70">
        <f t="shared" si="34"/>
        <v>6414.4333333333334</v>
      </c>
      <c r="J189" s="53">
        <f t="shared" si="27"/>
        <v>210.23309203722852</v>
      </c>
      <c r="K189" s="53">
        <f t="shared" si="28"/>
        <v>1264</v>
      </c>
      <c r="L189" s="289">
        <f t="shared" si="29"/>
        <v>1053.7669079627715</v>
      </c>
      <c r="N189" s="7">
        <f t="shared" si="30"/>
        <v>12645.202895553259</v>
      </c>
      <c r="O189" t="str">
        <f>Medicaid!G181</f>
        <v>No</v>
      </c>
      <c r="P189" t="str">
        <f>Medicaid!K181</f>
        <v>No</v>
      </c>
    </row>
    <row r="190" spans="1:16" ht="15" customHeight="1" x14ac:dyDescent="0.3">
      <c r="A190" s="3">
        <v>86500</v>
      </c>
      <c r="B190" s="3">
        <f t="shared" si="35"/>
        <v>7208.333333333333</v>
      </c>
      <c r="C190" s="3">
        <f t="shared" si="36"/>
        <v>604.7791666666667</v>
      </c>
      <c r="D190" s="64">
        <f t="shared" si="38"/>
        <v>2.2362978283350565</v>
      </c>
      <c r="E190" s="50">
        <f t="shared" si="37"/>
        <v>0.02</v>
      </c>
      <c r="F190" s="50">
        <f t="shared" si="31"/>
        <v>0.04</v>
      </c>
      <c r="G190" s="69">
        <f t="shared" si="32"/>
        <v>6446.666666666667</v>
      </c>
      <c r="H190" s="70">
        <f t="shared" si="33"/>
        <v>8026.1000000000013</v>
      </c>
      <c r="I190" s="70">
        <f t="shared" si="34"/>
        <v>6414.4333333333334</v>
      </c>
      <c r="J190" s="53">
        <f t="shared" si="27"/>
        <v>215.18254050327462</v>
      </c>
      <c r="K190" s="53">
        <f t="shared" si="28"/>
        <v>1264</v>
      </c>
      <c r="L190" s="289">
        <f t="shared" si="29"/>
        <v>1048.8174594967254</v>
      </c>
      <c r="N190" s="7">
        <f t="shared" si="30"/>
        <v>12585.809513960705</v>
      </c>
      <c r="O190" t="str">
        <f>Medicaid!G182</f>
        <v>No</v>
      </c>
      <c r="P190" t="str">
        <f>Medicaid!K182</f>
        <v>No</v>
      </c>
    </row>
    <row r="191" spans="1:16" ht="15" customHeight="1" x14ac:dyDescent="0.3">
      <c r="A191" s="3">
        <v>87000</v>
      </c>
      <c r="B191" s="3">
        <f t="shared" si="35"/>
        <v>7250</v>
      </c>
      <c r="C191" s="3">
        <f t="shared" si="36"/>
        <v>608.27499999999998</v>
      </c>
      <c r="D191" s="64">
        <f t="shared" si="38"/>
        <v>2.2492244053774559</v>
      </c>
      <c r="E191" s="50">
        <f t="shared" si="37"/>
        <v>0.02</v>
      </c>
      <c r="F191" s="50">
        <f t="shared" si="31"/>
        <v>0.04</v>
      </c>
      <c r="G191" s="69">
        <f t="shared" si="32"/>
        <v>6446.666666666667</v>
      </c>
      <c r="H191" s="70">
        <f t="shared" si="33"/>
        <v>8026.1000000000013</v>
      </c>
      <c r="I191" s="70">
        <f t="shared" si="34"/>
        <v>6414.4333333333334</v>
      </c>
      <c r="J191" s="53">
        <f t="shared" si="27"/>
        <v>220.17507755946218</v>
      </c>
      <c r="K191" s="53">
        <f t="shared" si="28"/>
        <v>1264</v>
      </c>
      <c r="L191" s="289">
        <f t="shared" si="29"/>
        <v>1043.8249224405379</v>
      </c>
      <c r="N191" s="7">
        <f t="shared" si="30"/>
        <v>12525.899069286454</v>
      </c>
      <c r="O191" t="str">
        <f>Medicaid!G183</f>
        <v>No</v>
      </c>
      <c r="P191" t="str">
        <f>Medicaid!K183</f>
        <v>No</v>
      </c>
    </row>
    <row r="192" spans="1:16" ht="15" customHeight="1" x14ac:dyDescent="0.3">
      <c r="A192" s="3">
        <v>87500</v>
      </c>
      <c r="B192" s="3">
        <f t="shared" si="35"/>
        <v>7291.666666666667</v>
      </c>
      <c r="C192" s="3">
        <f t="shared" si="36"/>
        <v>611.77083333333337</v>
      </c>
      <c r="D192" s="64">
        <f t="shared" si="38"/>
        <v>2.2621509824198553</v>
      </c>
      <c r="E192" s="50">
        <f t="shared" si="37"/>
        <v>0.02</v>
      </c>
      <c r="F192" s="50">
        <f t="shared" si="31"/>
        <v>0.04</v>
      </c>
      <c r="G192" s="69">
        <f t="shared" si="32"/>
        <v>6446.666666666667</v>
      </c>
      <c r="H192" s="70">
        <f t="shared" si="33"/>
        <v>8026.1000000000013</v>
      </c>
      <c r="I192" s="70">
        <f t="shared" si="34"/>
        <v>6414.4333333333334</v>
      </c>
      <c r="J192" s="53">
        <f t="shared" si="27"/>
        <v>225.21070320579108</v>
      </c>
      <c r="K192" s="53">
        <f t="shared" si="28"/>
        <v>1264</v>
      </c>
      <c r="L192" s="289">
        <f t="shared" si="29"/>
        <v>1038.7892967942089</v>
      </c>
      <c r="N192" s="7">
        <f t="shared" si="30"/>
        <v>12465.471561530507</v>
      </c>
      <c r="O192" t="str">
        <f>Medicaid!G184</f>
        <v>No</v>
      </c>
      <c r="P192" t="str">
        <f>Medicaid!K184</f>
        <v>No</v>
      </c>
    </row>
    <row r="193" spans="1:16" ht="15" customHeight="1" x14ac:dyDescent="0.3">
      <c r="A193" s="3">
        <v>88000</v>
      </c>
      <c r="B193" s="3">
        <f t="shared" si="35"/>
        <v>7333.333333333333</v>
      </c>
      <c r="C193" s="3">
        <f t="shared" si="36"/>
        <v>615.26666666666665</v>
      </c>
      <c r="D193" s="64">
        <f t="shared" si="38"/>
        <v>2.2750775594622543</v>
      </c>
      <c r="E193" s="50">
        <f t="shared" si="37"/>
        <v>0.02</v>
      </c>
      <c r="F193" s="50">
        <f t="shared" si="31"/>
        <v>0.04</v>
      </c>
      <c r="G193" s="69">
        <f t="shared" si="32"/>
        <v>6446.666666666667</v>
      </c>
      <c r="H193" s="70">
        <f t="shared" si="33"/>
        <v>8026.1000000000013</v>
      </c>
      <c r="I193" s="70">
        <f t="shared" si="34"/>
        <v>6414.4333333333334</v>
      </c>
      <c r="J193" s="53">
        <f t="shared" si="27"/>
        <v>230.2894174422612</v>
      </c>
      <c r="K193" s="53">
        <f t="shared" si="28"/>
        <v>1264</v>
      </c>
      <c r="L193" s="289">
        <f t="shared" si="29"/>
        <v>1033.7105825577387</v>
      </c>
      <c r="N193" s="7">
        <f t="shared" si="30"/>
        <v>12404.526990692864</v>
      </c>
      <c r="O193" t="str">
        <f>Medicaid!G185</f>
        <v>No</v>
      </c>
      <c r="P193" t="str">
        <f>Medicaid!K185</f>
        <v>No</v>
      </c>
    </row>
    <row r="194" spans="1:16" ht="15" customHeight="1" x14ac:dyDescent="0.3">
      <c r="A194" s="3">
        <v>88500</v>
      </c>
      <c r="B194" s="3">
        <f t="shared" si="35"/>
        <v>7375</v>
      </c>
      <c r="C194" s="3">
        <f t="shared" si="36"/>
        <v>618.76250000000005</v>
      </c>
      <c r="D194" s="64">
        <f t="shared" si="38"/>
        <v>2.2880041365046533</v>
      </c>
      <c r="E194" s="50">
        <f t="shared" si="37"/>
        <v>0.02</v>
      </c>
      <c r="F194" s="50">
        <f t="shared" si="31"/>
        <v>0.04</v>
      </c>
      <c r="G194" s="69">
        <f t="shared" si="32"/>
        <v>6446.666666666667</v>
      </c>
      <c r="H194" s="70">
        <f t="shared" si="33"/>
        <v>8026.1000000000013</v>
      </c>
      <c r="I194" s="70">
        <f t="shared" si="34"/>
        <v>6414.4333333333334</v>
      </c>
      <c r="J194" s="53">
        <f t="shared" si="27"/>
        <v>235.41122026887274</v>
      </c>
      <c r="K194" s="53">
        <f t="shared" si="28"/>
        <v>1264</v>
      </c>
      <c r="L194" s="289">
        <f t="shared" si="29"/>
        <v>1028.5887797311273</v>
      </c>
      <c r="N194" s="7">
        <f t="shared" si="30"/>
        <v>12343.065356773528</v>
      </c>
      <c r="O194" t="str">
        <f>Medicaid!G186</f>
        <v>No</v>
      </c>
      <c r="P194" t="str">
        <f>Medicaid!K186</f>
        <v>No</v>
      </c>
    </row>
    <row r="195" spans="1:16" ht="15" customHeight="1" x14ac:dyDescent="0.3">
      <c r="A195" s="3">
        <v>89000</v>
      </c>
      <c r="B195" s="3">
        <f t="shared" si="35"/>
        <v>7416.666666666667</v>
      </c>
      <c r="C195" s="3">
        <f t="shared" si="36"/>
        <v>622.25833333333333</v>
      </c>
      <c r="D195" s="64">
        <f t="shared" si="38"/>
        <v>2.3009307135470527</v>
      </c>
      <c r="E195" s="50">
        <f t="shared" si="37"/>
        <v>0.02</v>
      </c>
      <c r="F195" s="50">
        <f t="shared" si="31"/>
        <v>0.04</v>
      </c>
      <c r="G195" s="69">
        <f t="shared" si="32"/>
        <v>6446.666666666667</v>
      </c>
      <c r="H195" s="70">
        <f t="shared" si="33"/>
        <v>8026.1000000000013</v>
      </c>
      <c r="I195" s="70">
        <f t="shared" si="34"/>
        <v>6414.4333333333334</v>
      </c>
      <c r="J195" s="53">
        <f t="shared" si="27"/>
        <v>240.57611168562565</v>
      </c>
      <c r="K195" s="53">
        <f t="shared" si="28"/>
        <v>1264</v>
      </c>
      <c r="L195" s="289">
        <f t="shared" si="29"/>
        <v>1023.4238883143744</v>
      </c>
      <c r="N195" s="7">
        <f t="shared" si="30"/>
        <v>12281.086659772493</v>
      </c>
      <c r="O195" t="str">
        <f>Medicaid!G187</f>
        <v>No</v>
      </c>
      <c r="P195" t="str">
        <f>Medicaid!K187</f>
        <v>No</v>
      </c>
    </row>
    <row r="196" spans="1:16" ht="15" customHeight="1" x14ac:dyDescent="0.3">
      <c r="A196" s="3">
        <v>89500</v>
      </c>
      <c r="B196" s="3">
        <f t="shared" si="35"/>
        <v>7458.333333333333</v>
      </c>
      <c r="C196" s="3">
        <f t="shared" si="36"/>
        <v>625.75416666666661</v>
      </c>
      <c r="D196" s="64">
        <f t="shared" si="38"/>
        <v>2.3138572905894517</v>
      </c>
      <c r="E196" s="50">
        <f t="shared" si="37"/>
        <v>0.02</v>
      </c>
      <c r="F196" s="50">
        <f t="shared" si="31"/>
        <v>0.04</v>
      </c>
      <c r="G196" s="69">
        <f t="shared" si="32"/>
        <v>6446.666666666667</v>
      </c>
      <c r="H196" s="70">
        <f t="shared" si="33"/>
        <v>8026.1000000000013</v>
      </c>
      <c r="I196" s="70">
        <f t="shared" si="34"/>
        <v>6414.4333333333334</v>
      </c>
      <c r="J196" s="53">
        <f t="shared" si="27"/>
        <v>245.7840916925197</v>
      </c>
      <c r="K196" s="53">
        <f t="shared" si="28"/>
        <v>1264</v>
      </c>
      <c r="L196" s="289">
        <f t="shared" si="29"/>
        <v>1018.2159083074803</v>
      </c>
      <c r="N196" s="7">
        <f t="shared" si="30"/>
        <v>12218.590899689763</v>
      </c>
      <c r="O196" t="str">
        <f>Medicaid!G188</f>
        <v>No</v>
      </c>
      <c r="P196" t="str">
        <f>Medicaid!K188</f>
        <v>No</v>
      </c>
    </row>
    <row r="197" spans="1:16" ht="15" customHeight="1" x14ac:dyDescent="0.3">
      <c r="A197" s="3">
        <v>90000</v>
      </c>
      <c r="B197" s="3">
        <f t="shared" si="35"/>
        <v>7500</v>
      </c>
      <c r="C197" s="3">
        <f t="shared" si="36"/>
        <v>629.25</v>
      </c>
      <c r="D197" s="64">
        <f t="shared" si="38"/>
        <v>2.3267838676318511</v>
      </c>
      <c r="E197" s="50">
        <f t="shared" si="37"/>
        <v>0.02</v>
      </c>
      <c r="F197" s="50">
        <f t="shared" si="31"/>
        <v>0.04</v>
      </c>
      <c r="G197" s="69">
        <f t="shared" si="32"/>
        <v>6446.666666666667</v>
      </c>
      <c r="H197" s="70">
        <f t="shared" si="33"/>
        <v>8026.1000000000013</v>
      </c>
      <c r="I197" s="70">
        <f t="shared" si="34"/>
        <v>6414.4333333333334</v>
      </c>
      <c r="J197" s="53">
        <f t="shared" si="27"/>
        <v>251.03516028955528</v>
      </c>
      <c r="K197" s="53">
        <f t="shared" si="28"/>
        <v>1264</v>
      </c>
      <c r="L197" s="289">
        <f t="shared" si="29"/>
        <v>1012.9648397104447</v>
      </c>
      <c r="N197" s="7">
        <f t="shared" si="30"/>
        <v>12155.578076525337</v>
      </c>
      <c r="O197" t="str">
        <f>Medicaid!G189</f>
        <v>No</v>
      </c>
      <c r="P197" t="str">
        <f>Medicaid!K189</f>
        <v>No</v>
      </c>
    </row>
    <row r="198" spans="1:16" ht="15" customHeight="1" x14ac:dyDescent="0.3">
      <c r="A198" s="3">
        <v>90500</v>
      </c>
      <c r="B198" s="3">
        <f t="shared" si="35"/>
        <v>7541.666666666667</v>
      </c>
      <c r="C198" s="3">
        <f t="shared" si="36"/>
        <v>632.74583333333339</v>
      </c>
      <c r="D198" s="64">
        <f t="shared" si="38"/>
        <v>2.33971044467425</v>
      </c>
      <c r="E198" s="50">
        <f t="shared" si="37"/>
        <v>0.02</v>
      </c>
      <c r="F198" s="50">
        <f t="shared" si="31"/>
        <v>0.04</v>
      </c>
      <c r="G198" s="69">
        <f t="shared" si="32"/>
        <v>6446.666666666667</v>
      </c>
      <c r="H198" s="70">
        <f t="shared" si="33"/>
        <v>8026.1000000000013</v>
      </c>
      <c r="I198" s="70">
        <f t="shared" si="34"/>
        <v>6414.4333333333334</v>
      </c>
      <c r="J198" s="53">
        <f t="shared" si="27"/>
        <v>256.32931747673211</v>
      </c>
      <c r="K198" s="53">
        <f t="shared" si="28"/>
        <v>1264</v>
      </c>
      <c r="L198" s="289">
        <f t="shared" si="29"/>
        <v>1007.6706825232679</v>
      </c>
      <c r="N198" s="7">
        <f t="shared" si="30"/>
        <v>12092.048190279216</v>
      </c>
      <c r="O198" t="str">
        <f>Medicaid!G190</f>
        <v>No</v>
      </c>
      <c r="P198" t="str">
        <f>Medicaid!K190</f>
        <v>No</v>
      </c>
    </row>
    <row r="199" spans="1:16" ht="15" customHeight="1" x14ac:dyDescent="0.3">
      <c r="A199" s="3">
        <v>91000</v>
      </c>
      <c r="B199" s="3">
        <f t="shared" si="35"/>
        <v>7583.333333333333</v>
      </c>
      <c r="C199" s="3">
        <f t="shared" si="36"/>
        <v>636.24166666666667</v>
      </c>
      <c r="D199" s="64">
        <f t="shared" si="38"/>
        <v>2.352637021716649</v>
      </c>
      <c r="E199" s="50">
        <f t="shared" si="37"/>
        <v>0.02</v>
      </c>
      <c r="F199" s="50">
        <f t="shared" si="31"/>
        <v>0.04</v>
      </c>
      <c r="G199" s="69">
        <f t="shared" si="32"/>
        <v>6446.666666666667</v>
      </c>
      <c r="H199" s="70">
        <f t="shared" si="33"/>
        <v>8026.1000000000013</v>
      </c>
      <c r="I199" s="70">
        <f t="shared" si="34"/>
        <v>6414.4333333333334</v>
      </c>
      <c r="J199" s="53">
        <f t="shared" si="27"/>
        <v>261.66656325405023</v>
      </c>
      <c r="K199" s="53">
        <f t="shared" si="28"/>
        <v>1264</v>
      </c>
      <c r="L199" s="289">
        <f t="shared" si="29"/>
        <v>1002.3334367459497</v>
      </c>
      <c r="N199" s="7">
        <f t="shared" si="30"/>
        <v>12028.001240951397</v>
      </c>
      <c r="O199" t="str">
        <f>Medicaid!G191</f>
        <v>No</v>
      </c>
      <c r="P199" t="str">
        <f>Medicaid!K191</f>
        <v>No</v>
      </c>
    </row>
    <row r="200" spans="1:16" ht="15" customHeight="1" x14ac:dyDescent="0.3">
      <c r="A200" s="3">
        <v>91500</v>
      </c>
      <c r="B200" s="3">
        <f t="shared" si="35"/>
        <v>7625</v>
      </c>
      <c r="C200" s="3">
        <f t="shared" si="36"/>
        <v>639.73750000000007</v>
      </c>
      <c r="D200" s="64">
        <f t="shared" si="38"/>
        <v>2.3655635987590484</v>
      </c>
      <c r="E200" s="50">
        <f t="shared" si="37"/>
        <v>0.02</v>
      </c>
      <c r="F200" s="50">
        <f t="shared" si="31"/>
        <v>0.04</v>
      </c>
      <c r="G200" s="69">
        <f t="shared" si="32"/>
        <v>6446.666666666667</v>
      </c>
      <c r="H200" s="70">
        <f t="shared" si="33"/>
        <v>8026.1000000000013</v>
      </c>
      <c r="I200" s="70">
        <f t="shared" si="34"/>
        <v>6414.4333333333334</v>
      </c>
      <c r="J200" s="53">
        <f t="shared" si="27"/>
        <v>267.04689762150974</v>
      </c>
      <c r="K200" s="53">
        <f t="shared" si="28"/>
        <v>1264</v>
      </c>
      <c r="L200" s="289">
        <f t="shared" si="29"/>
        <v>996.95310237849026</v>
      </c>
      <c r="N200" s="7">
        <f t="shared" si="30"/>
        <v>11963.437228541883</v>
      </c>
      <c r="O200" t="str">
        <f>Medicaid!G192</f>
        <v>No</v>
      </c>
      <c r="P200" t="str">
        <f>Medicaid!K192</f>
        <v>No</v>
      </c>
    </row>
    <row r="201" spans="1:16" ht="15" customHeight="1" x14ac:dyDescent="0.3">
      <c r="A201" s="3">
        <v>92000</v>
      </c>
      <c r="B201" s="3">
        <f t="shared" si="35"/>
        <v>7666.666666666667</v>
      </c>
      <c r="C201" s="3">
        <f t="shared" si="36"/>
        <v>643.23333333333335</v>
      </c>
      <c r="D201" s="64">
        <f t="shared" si="38"/>
        <v>2.3784901758014478</v>
      </c>
      <c r="E201" s="50">
        <f t="shared" si="37"/>
        <v>0.02</v>
      </c>
      <c r="F201" s="50">
        <f t="shared" si="31"/>
        <v>0.04</v>
      </c>
      <c r="G201" s="69">
        <f t="shared" si="32"/>
        <v>6446.666666666667</v>
      </c>
      <c r="H201" s="70">
        <f t="shared" si="33"/>
        <v>8026.1000000000013</v>
      </c>
      <c r="I201" s="70">
        <f t="shared" si="34"/>
        <v>6414.4333333333334</v>
      </c>
      <c r="J201" s="53">
        <f t="shared" si="27"/>
        <v>272.47032057911059</v>
      </c>
      <c r="K201" s="53">
        <f t="shared" si="28"/>
        <v>1264</v>
      </c>
      <c r="L201" s="289">
        <f t="shared" si="29"/>
        <v>991.52967942088935</v>
      </c>
      <c r="N201" s="7">
        <f t="shared" si="30"/>
        <v>11898.356153050672</v>
      </c>
      <c r="O201" t="str">
        <f>Medicaid!G193</f>
        <v>No</v>
      </c>
      <c r="P201" t="str">
        <f>Medicaid!K193</f>
        <v>No</v>
      </c>
    </row>
    <row r="202" spans="1:16" ht="15" customHeight="1" x14ac:dyDescent="0.3">
      <c r="A202" s="3">
        <v>92500</v>
      </c>
      <c r="B202" s="3">
        <f t="shared" si="35"/>
        <v>7708.333333333333</v>
      </c>
      <c r="C202" s="3">
        <f t="shared" si="36"/>
        <v>646.72916666666663</v>
      </c>
      <c r="D202" s="64">
        <f t="shared" si="38"/>
        <v>2.3914167528438468</v>
      </c>
      <c r="E202" s="50">
        <f t="shared" si="37"/>
        <v>0.02</v>
      </c>
      <c r="F202" s="50">
        <f t="shared" si="31"/>
        <v>0.04</v>
      </c>
      <c r="G202" s="69">
        <f t="shared" si="32"/>
        <v>6446.666666666667</v>
      </c>
      <c r="H202" s="70">
        <f t="shared" si="33"/>
        <v>8026.1000000000013</v>
      </c>
      <c r="I202" s="70">
        <f t="shared" si="34"/>
        <v>6414.4333333333334</v>
      </c>
      <c r="J202" s="53">
        <f t="shared" si="27"/>
        <v>277.93683212685272</v>
      </c>
      <c r="K202" s="53">
        <f t="shared" si="28"/>
        <v>1264</v>
      </c>
      <c r="L202" s="289">
        <f t="shared" si="29"/>
        <v>986.06316787314722</v>
      </c>
      <c r="N202" s="7">
        <f t="shared" si="30"/>
        <v>11832.758014477768</v>
      </c>
      <c r="O202" t="str">
        <f>Medicaid!G194</f>
        <v>No</v>
      </c>
      <c r="P202" t="str">
        <f>Medicaid!K194</f>
        <v>No</v>
      </c>
    </row>
    <row r="203" spans="1:16" ht="15" customHeight="1" x14ac:dyDescent="0.3">
      <c r="A203" s="3">
        <v>93000</v>
      </c>
      <c r="B203" s="3">
        <f t="shared" si="35"/>
        <v>7750</v>
      </c>
      <c r="C203" s="3">
        <f t="shared" si="36"/>
        <v>650.22500000000002</v>
      </c>
      <c r="D203" s="64">
        <f t="shared" si="38"/>
        <v>2.4043433298862462</v>
      </c>
      <c r="E203" s="50">
        <f t="shared" si="37"/>
        <v>0.02</v>
      </c>
      <c r="F203" s="50">
        <f t="shared" si="31"/>
        <v>0.04</v>
      </c>
      <c r="G203" s="69">
        <f t="shared" si="32"/>
        <v>6446.666666666667</v>
      </c>
      <c r="H203" s="70">
        <f t="shared" si="33"/>
        <v>8026.1000000000013</v>
      </c>
      <c r="I203" s="70">
        <f t="shared" si="34"/>
        <v>6414.4333333333334</v>
      </c>
      <c r="J203" s="53">
        <f t="shared" si="27"/>
        <v>283.44643226473619</v>
      </c>
      <c r="K203" s="53">
        <f t="shared" si="28"/>
        <v>1264</v>
      </c>
      <c r="L203" s="289">
        <f t="shared" si="29"/>
        <v>980.55356773526387</v>
      </c>
      <c r="N203" s="7">
        <f t="shared" si="30"/>
        <v>11766.642812823167</v>
      </c>
      <c r="O203" t="str">
        <f>Medicaid!G195</f>
        <v>No</v>
      </c>
      <c r="P203" t="str">
        <f>Medicaid!K195</f>
        <v>No</v>
      </c>
    </row>
    <row r="204" spans="1:16" ht="15" customHeight="1" x14ac:dyDescent="0.3">
      <c r="A204" s="3">
        <v>93500</v>
      </c>
      <c r="B204" s="3">
        <f t="shared" si="35"/>
        <v>7791.666666666667</v>
      </c>
      <c r="C204" s="3">
        <f t="shared" si="36"/>
        <v>653.72083333333342</v>
      </c>
      <c r="D204" s="64">
        <f t="shared" si="38"/>
        <v>2.4172699069286452</v>
      </c>
      <c r="E204" s="50">
        <f t="shared" si="37"/>
        <v>0.02</v>
      </c>
      <c r="F204" s="50">
        <f t="shared" si="31"/>
        <v>0.04</v>
      </c>
      <c r="G204" s="69">
        <f t="shared" si="32"/>
        <v>6446.666666666667</v>
      </c>
      <c r="H204" s="70">
        <f t="shared" si="33"/>
        <v>8026.1000000000013</v>
      </c>
      <c r="I204" s="70">
        <f t="shared" si="34"/>
        <v>6414.4333333333334</v>
      </c>
      <c r="J204" s="53">
        <f t="shared" si="27"/>
        <v>288.99912099276105</v>
      </c>
      <c r="K204" s="53">
        <f t="shared" si="28"/>
        <v>1264</v>
      </c>
      <c r="L204" s="289">
        <f t="shared" si="29"/>
        <v>975.00087900723895</v>
      </c>
      <c r="N204" s="7">
        <f t="shared" si="30"/>
        <v>11700.010548086868</v>
      </c>
      <c r="O204" t="str">
        <f>Medicaid!G196</f>
        <v>No</v>
      </c>
      <c r="P204" t="str">
        <f>Medicaid!K196</f>
        <v>No</v>
      </c>
    </row>
    <row r="205" spans="1:16" ht="15" customHeight="1" x14ac:dyDescent="0.3">
      <c r="A205" s="3">
        <v>94000</v>
      </c>
      <c r="B205" s="3">
        <f t="shared" si="35"/>
        <v>7833.333333333333</v>
      </c>
      <c r="C205" s="3">
        <f t="shared" si="36"/>
        <v>657.2166666666667</v>
      </c>
      <c r="D205" s="64">
        <f t="shared" si="38"/>
        <v>2.4301964839710442</v>
      </c>
      <c r="E205" s="50">
        <f t="shared" si="37"/>
        <v>0.02</v>
      </c>
      <c r="F205" s="50">
        <f t="shared" si="31"/>
        <v>0.04</v>
      </c>
      <c r="G205" s="69">
        <f t="shared" si="32"/>
        <v>6446.666666666667</v>
      </c>
      <c r="H205" s="70">
        <f t="shared" si="33"/>
        <v>8026.1000000000013</v>
      </c>
      <c r="I205" s="70">
        <f t="shared" si="34"/>
        <v>6414.4333333333334</v>
      </c>
      <c r="J205" s="53">
        <f t="shared" si="27"/>
        <v>294.59489831092714</v>
      </c>
      <c r="K205" s="53">
        <f t="shared" si="28"/>
        <v>1264</v>
      </c>
      <c r="L205" s="289">
        <f t="shared" si="29"/>
        <v>969.40510168907281</v>
      </c>
      <c r="N205" s="7">
        <f t="shared" si="30"/>
        <v>11632.861220268875</v>
      </c>
      <c r="O205" t="str">
        <f>Medicaid!G197</f>
        <v>No</v>
      </c>
      <c r="P205" t="str">
        <f>Medicaid!K197</f>
        <v>No</v>
      </c>
    </row>
    <row r="206" spans="1:16" ht="15" customHeight="1" x14ac:dyDescent="0.3">
      <c r="A206" s="3">
        <v>94500</v>
      </c>
      <c r="B206" s="3">
        <f t="shared" si="35"/>
        <v>7875</v>
      </c>
      <c r="C206" s="3">
        <f t="shared" si="36"/>
        <v>660.71249999999998</v>
      </c>
      <c r="D206" s="64">
        <f t="shared" si="38"/>
        <v>2.4431230610134436</v>
      </c>
      <c r="E206" s="50">
        <f t="shared" si="37"/>
        <v>0.02</v>
      </c>
      <c r="F206" s="50">
        <f t="shared" si="31"/>
        <v>0.04</v>
      </c>
      <c r="G206" s="69">
        <f t="shared" si="32"/>
        <v>6446.666666666667</v>
      </c>
      <c r="H206" s="70">
        <f t="shared" si="33"/>
        <v>8026.1000000000013</v>
      </c>
      <c r="I206" s="70">
        <f t="shared" si="34"/>
        <v>6414.4333333333334</v>
      </c>
      <c r="J206" s="53">
        <f t="shared" si="27"/>
        <v>300.23376421923467</v>
      </c>
      <c r="K206" s="53">
        <f t="shared" si="28"/>
        <v>1264</v>
      </c>
      <c r="L206" s="289">
        <f t="shared" si="29"/>
        <v>963.76623578076533</v>
      </c>
      <c r="N206" s="7">
        <f t="shared" si="30"/>
        <v>11565.194829369184</v>
      </c>
      <c r="O206" t="str">
        <f>Medicaid!G198</f>
        <v>No</v>
      </c>
      <c r="P206" t="str">
        <f>Medicaid!K198</f>
        <v>No</v>
      </c>
    </row>
    <row r="207" spans="1:16" ht="15" customHeight="1" x14ac:dyDescent="0.3">
      <c r="A207" s="3">
        <v>95000</v>
      </c>
      <c r="B207" s="3">
        <f t="shared" si="35"/>
        <v>7916.666666666667</v>
      </c>
      <c r="C207" s="3">
        <f t="shared" si="36"/>
        <v>664.20833333333337</v>
      </c>
      <c r="D207" s="64">
        <f t="shared" si="38"/>
        <v>2.456049638055843</v>
      </c>
      <c r="E207" s="50">
        <f t="shared" si="37"/>
        <v>0.02</v>
      </c>
      <c r="F207" s="50">
        <f t="shared" si="31"/>
        <v>0.04</v>
      </c>
      <c r="G207" s="69">
        <f t="shared" si="32"/>
        <v>6446.666666666667</v>
      </c>
      <c r="H207" s="70">
        <f t="shared" si="33"/>
        <v>8026.1000000000013</v>
      </c>
      <c r="I207" s="70">
        <f t="shared" si="34"/>
        <v>6414.4333333333334</v>
      </c>
      <c r="J207" s="53">
        <f t="shared" si="27"/>
        <v>305.91571871768349</v>
      </c>
      <c r="K207" s="53">
        <f t="shared" si="28"/>
        <v>1264</v>
      </c>
      <c r="L207" s="289">
        <f t="shared" si="29"/>
        <v>958.08428128231651</v>
      </c>
      <c r="N207" s="7">
        <f t="shared" si="30"/>
        <v>11497.011375387798</v>
      </c>
      <c r="O207" t="str">
        <f>Medicaid!G199</f>
        <v>No</v>
      </c>
      <c r="P207" t="str">
        <f>Medicaid!K199</f>
        <v>No</v>
      </c>
    </row>
    <row r="208" spans="1:16" ht="15" customHeight="1" x14ac:dyDescent="0.3">
      <c r="A208" s="3">
        <v>95500</v>
      </c>
      <c r="B208" s="3">
        <f t="shared" si="35"/>
        <v>7958.333333333333</v>
      </c>
      <c r="C208" s="3">
        <f t="shared" si="36"/>
        <v>667.70416666666665</v>
      </c>
      <c r="D208" s="64">
        <f t="shared" si="38"/>
        <v>2.4689762150982419</v>
      </c>
      <c r="E208" s="50">
        <f t="shared" si="37"/>
        <v>0.02</v>
      </c>
      <c r="F208" s="50">
        <f t="shared" si="31"/>
        <v>0.04</v>
      </c>
      <c r="G208" s="69">
        <f t="shared" si="32"/>
        <v>6446.666666666667</v>
      </c>
      <c r="H208" s="70">
        <f t="shared" si="33"/>
        <v>8026.1000000000013</v>
      </c>
      <c r="I208" s="70">
        <f t="shared" si="34"/>
        <v>6414.4333333333334</v>
      </c>
      <c r="J208" s="53">
        <f t="shared" si="27"/>
        <v>311.64076180627353</v>
      </c>
      <c r="K208" s="53">
        <f t="shared" si="28"/>
        <v>1264</v>
      </c>
      <c r="L208" s="289">
        <f t="shared" si="29"/>
        <v>952.35923819372647</v>
      </c>
      <c r="N208" s="7">
        <f t="shared" si="30"/>
        <v>11428.310858324718</v>
      </c>
      <c r="O208" t="str">
        <f>Medicaid!G200</f>
        <v>No</v>
      </c>
      <c r="P208" t="str">
        <f>Medicaid!K200</f>
        <v>No</v>
      </c>
    </row>
    <row r="209" spans="1:16" ht="15" customHeight="1" x14ac:dyDescent="0.3">
      <c r="A209" s="3">
        <v>96000</v>
      </c>
      <c r="B209" s="3">
        <f t="shared" si="35"/>
        <v>8000</v>
      </c>
      <c r="C209" s="3">
        <f t="shared" si="36"/>
        <v>671.2</v>
      </c>
      <c r="D209" s="64">
        <f t="shared" si="38"/>
        <v>2.4819027921406409</v>
      </c>
      <c r="E209" s="50">
        <f t="shared" si="37"/>
        <v>0.02</v>
      </c>
      <c r="F209" s="50">
        <f t="shared" si="31"/>
        <v>0.04</v>
      </c>
      <c r="G209" s="69">
        <f t="shared" si="32"/>
        <v>6446.666666666667</v>
      </c>
      <c r="H209" s="70">
        <f t="shared" si="33"/>
        <v>8026.1000000000013</v>
      </c>
      <c r="I209" s="70">
        <f t="shared" si="34"/>
        <v>6414.4333333333334</v>
      </c>
      <c r="J209" s="53">
        <f t="shared" si="27"/>
        <v>317.40889348500508</v>
      </c>
      <c r="K209" s="53">
        <f t="shared" si="28"/>
        <v>1264</v>
      </c>
      <c r="L209" s="289">
        <f t="shared" si="29"/>
        <v>946.59110651499486</v>
      </c>
      <c r="N209" s="7">
        <f t="shared" si="30"/>
        <v>11359.093278179938</v>
      </c>
      <c r="O209" t="str">
        <f>Medicaid!G201</f>
        <v>No</v>
      </c>
      <c r="P209" t="str">
        <f>Medicaid!K201</f>
        <v>No</v>
      </c>
    </row>
    <row r="210" spans="1:16" ht="15" customHeight="1" x14ac:dyDescent="0.3">
      <c r="A210" s="3">
        <v>96500</v>
      </c>
      <c r="B210" s="3">
        <f t="shared" si="35"/>
        <v>8041.666666666667</v>
      </c>
      <c r="C210" s="3">
        <f t="shared" si="36"/>
        <v>674.69583333333333</v>
      </c>
      <c r="D210" s="64">
        <f t="shared" si="38"/>
        <v>2.4948293691830403</v>
      </c>
      <c r="E210" s="50">
        <f t="shared" si="37"/>
        <v>0.02</v>
      </c>
      <c r="F210" s="50">
        <f t="shared" si="31"/>
        <v>0.06</v>
      </c>
      <c r="G210" s="69">
        <f t="shared" si="32"/>
        <v>8058.3333333333339</v>
      </c>
      <c r="H210" s="70">
        <f t="shared" si="33"/>
        <v>9637.7666666666682</v>
      </c>
      <c r="I210" s="70">
        <f t="shared" si="34"/>
        <v>8026.1000000000013</v>
      </c>
      <c r="J210" s="53">
        <f t="shared" ref="J210:J217" si="39">B210*(E210+(B210-I210)*(F210-E210)/(H210-I210))</f>
        <v>163.94022750775576</v>
      </c>
      <c r="K210" s="53">
        <f t="shared" ref="K210:K217" si="40">SUM(IF(O210="Yes",0,$C$12),IF(P210="Yes",0,$C$13))</f>
        <v>1264</v>
      </c>
      <c r="L210" s="289">
        <f t="shared" ref="L210:L217" si="41">MAX(0,K210-J210)</f>
        <v>1100.0597724922443</v>
      </c>
      <c r="N210" s="7">
        <f t="shared" ref="N210:N217" si="42">MAX(0,L210*12)</f>
        <v>13200.717269906931</v>
      </c>
      <c r="O210" t="str">
        <f>Medicaid!G202</f>
        <v>No</v>
      </c>
      <c r="P210" t="str">
        <f>Medicaid!K202</f>
        <v>No</v>
      </c>
    </row>
    <row r="211" spans="1:16" ht="15" customHeight="1" x14ac:dyDescent="0.3">
      <c r="A211" s="3">
        <v>97000</v>
      </c>
      <c r="B211" s="3">
        <f t="shared" si="35"/>
        <v>8083.333333333333</v>
      </c>
      <c r="C211" s="3">
        <f t="shared" si="36"/>
        <v>678.19166666666661</v>
      </c>
      <c r="D211" s="64">
        <f t="shared" si="38"/>
        <v>2.5077559462254393</v>
      </c>
      <c r="E211" s="50">
        <f t="shared" si="37"/>
        <v>0.02</v>
      </c>
      <c r="F211" s="50">
        <f t="shared" ref="F211:F217" si="43">IF(D211&gt;3.99,0.085,IF(D211&gt;2.99,0.085,IF(D211&gt;2.49,0.06,IF(D211&gt;1.99,0.04,IF(D211&gt;1.49,0.02,0)))))</f>
        <v>0.06</v>
      </c>
      <c r="G211" s="69">
        <f t="shared" ref="G211:G217" si="44">IF(D211&gt;3.99,$M$7,IF(D211&gt;2.99,$M$6,IF(D211&gt;2.49,$M$5,IF(D211&gt;1.99,$M$4,IF(D211&gt;1.49,$M$3,0)))))</f>
        <v>8058.3333333333339</v>
      </c>
      <c r="H211" s="70">
        <f t="shared" ref="H211:H217" si="45">IF(D211&gt;3.99,$N$7,IF(D211&gt;2.99,$N$6,IF(D211&gt;2.49,$N$5,IF(D211&gt;1.99,$N$4,IF(D211&gt;1.49,$N$3,IF(D211&gt;=0,$N$2,0))))))</f>
        <v>9637.7666666666682</v>
      </c>
      <c r="I211" s="70">
        <f t="shared" ref="I211:I217" si="46">IF(D211&gt;3.99,$N$6,IF(D211&gt;2.99,$N$5,IF(D211&gt;2.49,$N$4,IF(D211&gt;1.99,$N$3,IF(D211&gt;1.49,$N$2,IF(D211&gt;=0,0))))))</f>
        <v>8026.1000000000013</v>
      </c>
      <c r="J211" s="53">
        <f t="shared" si="39"/>
        <v>173.14884522578387</v>
      </c>
      <c r="K211" s="53">
        <f t="shared" si="40"/>
        <v>1264</v>
      </c>
      <c r="L211" s="289">
        <f t="shared" si="41"/>
        <v>1090.8511547742162</v>
      </c>
      <c r="N211" s="7">
        <f t="shared" si="42"/>
        <v>13090.213857290593</v>
      </c>
      <c r="O211" t="str">
        <f>Medicaid!G203</f>
        <v>No</v>
      </c>
      <c r="P211" t="str">
        <f>Medicaid!K203</f>
        <v>No</v>
      </c>
    </row>
    <row r="212" spans="1:16" ht="15" customHeight="1" x14ac:dyDescent="0.3">
      <c r="A212" s="3">
        <v>97500</v>
      </c>
      <c r="B212" s="3">
        <f t="shared" ref="B212:B217" si="47">A212/12</f>
        <v>8125</v>
      </c>
      <c r="C212" s="3">
        <f t="shared" ref="C212:C217" si="48">B212*0.0839</f>
        <v>681.6875</v>
      </c>
      <c r="D212" s="64">
        <f t="shared" si="38"/>
        <v>2.5206825232678387</v>
      </c>
      <c r="E212" s="50">
        <f t="shared" si="37"/>
        <v>0.02</v>
      </c>
      <c r="F212" s="50">
        <f t="shared" si="43"/>
        <v>0.06</v>
      </c>
      <c r="G212" s="69">
        <f t="shared" si="44"/>
        <v>8058.3333333333339</v>
      </c>
      <c r="H212" s="70">
        <f t="shared" si="45"/>
        <v>9637.7666666666682</v>
      </c>
      <c r="I212" s="70">
        <f t="shared" si="46"/>
        <v>8026.1000000000013</v>
      </c>
      <c r="J212" s="53">
        <f t="shared" si="39"/>
        <v>182.44364012409488</v>
      </c>
      <c r="K212" s="53">
        <f t="shared" si="40"/>
        <v>1264</v>
      </c>
      <c r="L212" s="289">
        <f t="shared" si="41"/>
        <v>1081.5563598759052</v>
      </c>
      <c r="N212" s="7">
        <f t="shared" si="42"/>
        <v>12978.676318510861</v>
      </c>
      <c r="O212" t="str">
        <f>Medicaid!G204</f>
        <v>No</v>
      </c>
      <c r="P212" t="str">
        <f>Medicaid!K204</f>
        <v>No</v>
      </c>
    </row>
    <row r="213" spans="1:16" ht="15" customHeight="1" x14ac:dyDescent="0.3">
      <c r="A213" s="3">
        <v>98000</v>
      </c>
      <c r="B213" s="3">
        <f t="shared" si="47"/>
        <v>8166.666666666667</v>
      </c>
      <c r="C213" s="3">
        <f t="shared" si="48"/>
        <v>685.18333333333339</v>
      </c>
      <c r="D213" s="64">
        <f t="shared" si="38"/>
        <v>2.5336091003102377</v>
      </c>
      <c r="E213" s="50">
        <f t="shared" si="37"/>
        <v>0.02</v>
      </c>
      <c r="F213" s="50">
        <f t="shared" si="43"/>
        <v>0.06</v>
      </c>
      <c r="G213" s="69">
        <f t="shared" si="44"/>
        <v>8058.3333333333339</v>
      </c>
      <c r="H213" s="70">
        <f t="shared" si="45"/>
        <v>9637.7666666666682</v>
      </c>
      <c r="I213" s="70">
        <f t="shared" si="46"/>
        <v>8026.1000000000013</v>
      </c>
      <c r="J213" s="53">
        <f t="shared" si="39"/>
        <v>191.82461220268851</v>
      </c>
      <c r="K213" s="53">
        <f t="shared" si="40"/>
        <v>1264</v>
      </c>
      <c r="L213" s="289">
        <f t="shared" si="41"/>
        <v>1072.1753877973115</v>
      </c>
      <c r="N213" s="7">
        <f t="shared" si="42"/>
        <v>12866.104653567738</v>
      </c>
      <c r="O213" t="str">
        <f>Medicaid!G205</f>
        <v>No</v>
      </c>
      <c r="P213" t="str">
        <f>Medicaid!K205</f>
        <v>No</v>
      </c>
    </row>
    <row r="214" spans="1:16" ht="15" customHeight="1" x14ac:dyDescent="0.3">
      <c r="A214" s="3">
        <v>98500</v>
      </c>
      <c r="B214" s="3">
        <f t="shared" si="47"/>
        <v>8208.3333333333339</v>
      </c>
      <c r="C214" s="3">
        <f t="shared" si="48"/>
        <v>688.67916666666679</v>
      </c>
      <c r="D214" s="64">
        <f t="shared" si="38"/>
        <v>2.5465356773526371</v>
      </c>
      <c r="E214" s="50">
        <f t="shared" si="37"/>
        <v>0.02</v>
      </c>
      <c r="F214" s="50">
        <f t="shared" si="43"/>
        <v>0.06</v>
      </c>
      <c r="G214" s="69">
        <f t="shared" si="44"/>
        <v>8058.3333333333339</v>
      </c>
      <c r="H214" s="70">
        <f t="shared" si="45"/>
        <v>9637.7666666666682</v>
      </c>
      <c r="I214" s="70">
        <f t="shared" si="46"/>
        <v>8026.1000000000013</v>
      </c>
      <c r="J214" s="53">
        <f t="shared" si="39"/>
        <v>201.29176146156485</v>
      </c>
      <c r="K214" s="53">
        <f t="shared" si="40"/>
        <v>1264</v>
      </c>
      <c r="L214" s="289">
        <f t="shared" si="41"/>
        <v>1062.7082385384351</v>
      </c>
      <c r="N214" s="7">
        <f t="shared" si="42"/>
        <v>12752.498862461222</v>
      </c>
      <c r="O214" t="str">
        <f>Medicaid!G206</f>
        <v>No</v>
      </c>
      <c r="P214" t="str">
        <f>Medicaid!K206</f>
        <v>No</v>
      </c>
    </row>
    <row r="215" spans="1:16" ht="15" customHeight="1" x14ac:dyDescent="0.3">
      <c r="A215" s="3">
        <v>99000</v>
      </c>
      <c r="B215" s="3">
        <f t="shared" si="47"/>
        <v>8250</v>
      </c>
      <c r="C215" s="3">
        <f t="shared" si="48"/>
        <v>692.17500000000007</v>
      </c>
      <c r="D215" s="64">
        <f t="shared" si="38"/>
        <v>2.5594622543950361</v>
      </c>
      <c r="E215" s="50">
        <f t="shared" si="37"/>
        <v>0.02</v>
      </c>
      <c r="F215" s="50">
        <f t="shared" si="43"/>
        <v>0.06</v>
      </c>
      <c r="G215" s="69">
        <f t="shared" si="44"/>
        <v>8058.3333333333339</v>
      </c>
      <c r="H215" s="70">
        <f t="shared" si="45"/>
        <v>9637.7666666666682</v>
      </c>
      <c r="I215" s="70">
        <f t="shared" si="46"/>
        <v>8026.1000000000013</v>
      </c>
      <c r="J215" s="53">
        <f t="shared" si="39"/>
        <v>210.8450879007236</v>
      </c>
      <c r="K215" s="53">
        <f t="shared" si="40"/>
        <v>1264</v>
      </c>
      <c r="L215" s="289">
        <f t="shared" si="41"/>
        <v>1053.1549120992763</v>
      </c>
      <c r="N215" s="7">
        <f t="shared" si="42"/>
        <v>12637.858945191316</v>
      </c>
      <c r="O215" t="str">
        <f>Medicaid!G207</f>
        <v>No</v>
      </c>
      <c r="P215" t="str">
        <f>Medicaid!K207</f>
        <v>No</v>
      </c>
    </row>
    <row r="216" spans="1:16" ht="15" customHeight="1" x14ac:dyDescent="0.3">
      <c r="A216" s="3">
        <v>99500</v>
      </c>
      <c r="B216" s="3">
        <f t="shared" si="47"/>
        <v>8291.6666666666661</v>
      </c>
      <c r="C216" s="3">
        <f t="shared" si="48"/>
        <v>695.67083333333335</v>
      </c>
      <c r="D216" s="64">
        <f t="shared" si="38"/>
        <v>2.572388831437435</v>
      </c>
      <c r="E216" s="50">
        <f t="shared" si="37"/>
        <v>0.02</v>
      </c>
      <c r="F216" s="50">
        <f t="shared" si="43"/>
        <v>0.06</v>
      </c>
      <c r="G216" s="69">
        <f t="shared" si="44"/>
        <v>8058.3333333333339</v>
      </c>
      <c r="H216" s="70">
        <f t="shared" si="45"/>
        <v>9637.7666666666682</v>
      </c>
      <c r="I216" s="70">
        <f t="shared" si="46"/>
        <v>8026.1000000000013</v>
      </c>
      <c r="J216" s="53">
        <f t="shared" si="39"/>
        <v>220.48459152016503</v>
      </c>
      <c r="K216" s="53">
        <f t="shared" si="40"/>
        <v>1264</v>
      </c>
      <c r="L216" s="289">
        <f t="shared" si="41"/>
        <v>1043.5154084798351</v>
      </c>
      <c r="N216" s="7">
        <f t="shared" si="42"/>
        <v>12522.184901758021</v>
      </c>
      <c r="O216" t="str">
        <f>Medicaid!G208</f>
        <v>No</v>
      </c>
      <c r="P216" t="str">
        <f>Medicaid!K208</f>
        <v>No</v>
      </c>
    </row>
    <row r="217" spans="1:16" ht="15" customHeight="1" x14ac:dyDescent="0.3">
      <c r="A217" s="3">
        <v>100000</v>
      </c>
      <c r="B217" s="3">
        <f t="shared" si="47"/>
        <v>8333.3333333333339</v>
      </c>
      <c r="C217" s="3">
        <f t="shared" si="48"/>
        <v>699.16666666666674</v>
      </c>
      <c r="D217" s="64">
        <f t="shared" si="38"/>
        <v>2.5853154084798344</v>
      </c>
      <c r="E217" s="50">
        <f t="shared" si="37"/>
        <v>0.02</v>
      </c>
      <c r="F217" s="50">
        <f t="shared" si="43"/>
        <v>0.06</v>
      </c>
      <c r="G217" s="69">
        <f t="shared" si="44"/>
        <v>8058.3333333333339</v>
      </c>
      <c r="H217" s="70">
        <f t="shared" si="45"/>
        <v>9637.7666666666682</v>
      </c>
      <c r="I217" s="70">
        <f t="shared" si="46"/>
        <v>8026.1000000000013</v>
      </c>
      <c r="J217" s="53">
        <f t="shared" si="39"/>
        <v>230.21027231988955</v>
      </c>
      <c r="K217" s="53">
        <f t="shared" si="40"/>
        <v>1264</v>
      </c>
      <c r="L217" s="289">
        <f t="shared" si="41"/>
        <v>1033.7897276801104</v>
      </c>
      <c r="N217" s="7">
        <f t="shared" si="42"/>
        <v>12405.476732161325</v>
      </c>
      <c r="O217" t="str">
        <f>Medicaid!G209</f>
        <v>No</v>
      </c>
      <c r="P217" t="str">
        <f>Medicaid!K209</f>
        <v>No</v>
      </c>
    </row>
    <row r="218" spans="1:16" ht="15" customHeight="1" x14ac:dyDescent="0.3">
      <c r="C218" s="3"/>
      <c r="D218" s="64"/>
      <c r="E218" s="50"/>
      <c r="F218" s="50"/>
      <c r="G218" s="69"/>
      <c r="H218" s="70"/>
      <c r="I218" s="70"/>
      <c r="J218" s="53"/>
      <c r="K218" s="53"/>
      <c r="L218" s="53"/>
      <c r="N218" s="7"/>
    </row>
    <row r="219" spans="1:16" ht="15" customHeight="1" x14ac:dyDescent="0.3">
      <c r="A219" s="116" t="s">
        <v>302</v>
      </c>
      <c r="C219" s="3"/>
      <c r="D219" s="64"/>
      <c r="E219" s="50"/>
      <c r="F219" s="50"/>
      <c r="G219" s="69"/>
      <c r="H219" s="70"/>
      <c r="I219" s="70"/>
      <c r="J219" s="53"/>
      <c r="K219" s="53"/>
      <c r="L219" s="53"/>
      <c r="N219" s="7"/>
    </row>
    <row r="220" spans="1:16" ht="15" customHeight="1" x14ac:dyDescent="0.3">
      <c r="B220" s="7">
        <f>'Total income package'!$B$90</f>
        <v>1423</v>
      </c>
      <c r="C220" s="3">
        <f>B220*0.0839</f>
        <v>119.3897</v>
      </c>
      <c r="D220" s="64">
        <f>B220/$K$2</f>
        <v>0.44146845915201655</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4802.7666666666664</v>
      </c>
      <c r="I220" s="70">
        <f>IF(D220&gt;3.99,$N$6,IF(D220&gt;2.99,$N$5,IF(D220&gt;2.49,$N$4,IF(D220&gt;1.99,$N$3,IF(D220&gt;1.49,$N$2,IF(D220&gt;=0,0))))))</f>
        <v>0</v>
      </c>
      <c r="J220" s="53">
        <f>B220*(E220+(B220-I220)*(F220-E220)/(H220-I220))</f>
        <v>0</v>
      </c>
      <c r="K220" s="53">
        <f>$C$12</f>
        <v>889</v>
      </c>
      <c r="L220" s="289">
        <f t="shared" ref="L220:L222" si="49">IF(O220="Yes",0,MAX(0,K220-J220))</f>
        <v>0</v>
      </c>
      <c r="N220" s="7">
        <f>MAX(0,L220*12)</f>
        <v>0</v>
      </c>
      <c r="O220" t="str">
        <f>Medicaid!G212</f>
        <v>Yes</v>
      </c>
      <c r="P220" t="str">
        <f>Medicaid!K212</f>
        <v>Yes</v>
      </c>
    </row>
    <row r="221" spans="1:16" ht="15" customHeight="1" x14ac:dyDescent="0.3">
      <c r="A221" s="116" t="s">
        <v>303</v>
      </c>
      <c r="C221" s="3"/>
      <c r="D221" s="64"/>
      <c r="E221" s="50"/>
      <c r="F221" s="50"/>
      <c r="G221" s="69"/>
      <c r="H221" s="70"/>
      <c r="I221" s="70"/>
      <c r="J221" s="53"/>
      <c r="K221" s="53"/>
      <c r="L221" s="53"/>
      <c r="N221" s="7"/>
    </row>
    <row r="222" spans="1:16" ht="15" customHeight="1" x14ac:dyDescent="0.3">
      <c r="B222" s="7">
        <f>'Total income package'!$B$91</f>
        <v>3000</v>
      </c>
      <c r="C222" s="3">
        <f>B222*0.0839</f>
        <v>251.70000000000002</v>
      </c>
      <c r="D222" s="64">
        <f>B222/$K$2</f>
        <v>0.93071354705274034</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4802.7666666666664</v>
      </c>
      <c r="I222" s="70">
        <f>IF(D222&gt;3.99,$N$6,IF(D222&gt;2.99,$N$5,IF(D222&gt;2.49,$N$4,IF(D222&gt;1.99,$N$3,IF(D222&gt;1.49,$N$2,IF(D222&gt;=0,0))))))</f>
        <v>0</v>
      </c>
      <c r="J222" s="53">
        <f>B222*(E222+(B222-I222)*(F222-E222)/(H222-I222))</f>
        <v>0</v>
      </c>
      <c r="K222" s="53">
        <f>$C$12</f>
        <v>889</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4.4" x14ac:dyDescent="0.3"/>
  <cols>
    <col min="1" max="1" width="13.109375" customWidth="1"/>
    <col min="2" max="2" width="16.109375" customWidth="1"/>
    <col min="3" max="3" width="21.5546875" customWidth="1"/>
    <col min="4" max="4" width="19.88671875" customWidth="1"/>
    <col min="5" max="5" width="21.33203125" customWidth="1"/>
    <col min="6" max="6" width="22.88671875" style="12" customWidth="1"/>
    <col min="7" max="7" width="21.109375" customWidth="1"/>
    <col min="8" max="8" width="21.33203125" customWidth="1"/>
    <col min="9" max="9" width="24" customWidth="1"/>
    <col min="10" max="12" width="21.33203125" customWidth="1"/>
    <col min="13" max="13" width="13.88671875" customWidth="1"/>
    <col min="14" max="14" width="17.5546875" customWidth="1"/>
    <col min="15" max="15" width="25.88671875" customWidth="1"/>
    <col min="16" max="16" width="19.109375" customWidth="1"/>
    <col min="17" max="17" width="23.5546875" customWidth="1"/>
    <col min="18" max="18" width="16" customWidth="1"/>
  </cols>
  <sheetData>
    <row r="1" spans="1:21" s="24" customFormat="1" ht="74.25" customHeight="1" x14ac:dyDescent="0.3">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3">
      <c r="A2" s="78" t="str">
        <f>'Total income package'!B3</f>
        <v xml:space="preserve">Buckingham </v>
      </c>
      <c r="B2" s="77">
        <f>'Total income package'!B32</f>
        <v>5</v>
      </c>
      <c r="C2" s="77">
        <f>'Total income package'!B30</f>
        <v>3</v>
      </c>
      <c r="D2" s="77">
        <f>'Total income package'!B31</f>
        <v>2</v>
      </c>
      <c r="E2" s="77">
        <f>ROUNDUP(C2/2,0)</f>
        <v>2</v>
      </c>
      <c r="F2" s="77">
        <f>ROUNDDOWN(D2/2,0)</f>
        <v>1</v>
      </c>
      <c r="G2" s="77">
        <f>'Total income package'!D13</f>
        <v>4</v>
      </c>
      <c r="H2" s="77">
        <f>COUNTIF('Total income package'!B37:B44,"&gt;61")</f>
        <v>1</v>
      </c>
      <c r="I2" s="77">
        <f>'Total income package'!F59</f>
        <v>0</v>
      </c>
      <c r="J2" s="77">
        <f>'Total income package'!D59</f>
        <v>1</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6075</v>
      </c>
      <c r="N2" t="s">
        <v>347</v>
      </c>
      <c r="O2" s="17"/>
    </row>
    <row r="3" spans="1:21" x14ac:dyDescent="0.3">
      <c r="C3" s="77"/>
      <c r="M3" s="1"/>
    </row>
    <row r="4" spans="1:21" x14ac:dyDescent="0.3">
      <c r="L4" s="1"/>
    </row>
    <row r="5" spans="1:21" ht="86.4" x14ac:dyDescent="0.3">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3">
      <c r="A6" s="3">
        <v>0</v>
      </c>
      <c r="B6" s="4">
        <f t="shared" ref="B6:B70" si="0">A6/12</f>
        <v>0</v>
      </c>
      <c r="C6" s="4">
        <f>MAX('TANF-VIEW'!L9,'TANF-VIEW'!T9)</f>
        <v>385</v>
      </c>
      <c r="D6" s="4">
        <f>'Total income package'!$D$80</f>
        <v>0</v>
      </c>
      <c r="E6" s="4">
        <f>'Total income package'!$H$61+'Total income package'!$F$66</f>
        <v>250</v>
      </c>
      <c r="F6" s="4">
        <f>B6+C6+D6+E6</f>
        <v>635</v>
      </c>
      <c r="G6" s="181" t="str">
        <f>IF(F6&lt;$L$2,"Yes","No")</f>
        <v>Yes</v>
      </c>
      <c r="H6" s="3">
        <f>40*($D$2+$I$2)</f>
        <v>80</v>
      </c>
      <c r="I6" s="3">
        <f>IF($H$2+$J$2&gt;0,33.33,0)</f>
        <v>33.33</v>
      </c>
      <c r="J6" s="3">
        <f t="shared" ref="J6:J69" si="1">IF(F6-H6-I6&lt;0,0,F6-H6-I6)</f>
        <v>521.66999999999996</v>
      </c>
      <c r="K6" s="3">
        <f>J6*0.3</f>
        <v>156.50099999999998</v>
      </c>
      <c r="L6" s="3">
        <f t="shared" ref="L6:L69" si="2">F6*0.1</f>
        <v>63.5</v>
      </c>
      <c r="M6" s="3">
        <v>50</v>
      </c>
      <c r="N6" s="3">
        <f>MAX(K6:M6)</f>
        <v>156.50099999999998</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6" s="337">
        <f>IF(AND(G6="Yes",'Total income package'!$A$14=TRUE,P6-N6&gt;0),P6-N6,0)</f>
        <v>1337.499</v>
      </c>
      <c r="R6" s="24"/>
      <c r="S6" s="28"/>
    </row>
    <row r="7" spans="1:21" x14ac:dyDescent="0.3">
      <c r="A7" s="117">
        <v>500</v>
      </c>
      <c r="B7" s="4">
        <f t="shared" si="0"/>
        <v>41.666666666666664</v>
      </c>
      <c r="C7" s="4">
        <f>MAX('TANF-VIEW'!L10,'TANF-VIEW'!T10)</f>
        <v>385</v>
      </c>
      <c r="D7" s="4">
        <f>'Total income package'!$D$80</f>
        <v>0</v>
      </c>
      <c r="E7" s="4">
        <f>'Total income package'!$H$61+'Total income package'!$F$66</f>
        <v>250</v>
      </c>
      <c r="F7" s="4">
        <f t="shared" ref="F7:F70" si="3">B7+C7+D7+E7</f>
        <v>676.66666666666674</v>
      </c>
      <c r="G7" s="181" t="str">
        <f t="shared" ref="G7:G70" si="4">IF(F7&lt;$L$2,"Yes","No")</f>
        <v>Yes</v>
      </c>
      <c r="H7" s="3">
        <f t="shared" ref="H7:H70" si="5">40*($D$2+$I$2)</f>
        <v>80</v>
      </c>
      <c r="I7" s="3">
        <f t="shared" ref="I7:I70" si="6">IF($H$2+$I$2&gt;0,33.33,0)</f>
        <v>33.33</v>
      </c>
      <c r="J7" s="3">
        <f t="shared" si="1"/>
        <v>563.3366666666667</v>
      </c>
      <c r="K7" s="3">
        <f t="shared" ref="K7:K69" si="7">J7*0.3</f>
        <v>169.001</v>
      </c>
      <c r="L7" s="3">
        <f t="shared" si="2"/>
        <v>67.666666666666671</v>
      </c>
      <c r="M7" s="3">
        <v>50</v>
      </c>
      <c r="N7" s="3">
        <f t="shared" ref="N7:N71" si="8">MAX(K7:M7)</f>
        <v>169.001</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7" s="337">
        <f>IF(AND(G7="Yes",'Total income package'!$A$14=TRUE,P7-N7&gt;0),P7-N7,0)</f>
        <v>1324.999</v>
      </c>
      <c r="R7" s="29"/>
      <c r="S7" s="7"/>
    </row>
    <row r="8" spans="1:21" x14ac:dyDescent="0.3">
      <c r="A8" s="182">
        <v>1000</v>
      </c>
      <c r="B8" s="4">
        <f t="shared" si="0"/>
        <v>83.333333333333329</v>
      </c>
      <c r="C8" s="4">
        <f>MAX('TANF-VIEW'!L11,'TANF-VIEW'!T11)</f>
        <v>385</v>
      </c>
      <c r="D8" s="4">
        <f>'Total income package'!$D$80</f>
        <v>0</v>
      </c>
      <c r="E8" s="4">
        <f>'Total income package'!$H$61+'Total income package'!$F$66</f>
        <v>250</v>
      </c>
      <c r="F8" s="4">
        <f t="shared" si="3"/>
        <v>718.33333333333326</v>
      </c>
      <c r="G8" s="181" t="str">
        <f t="shared" si="4"/>
        <v>Yes</v>
      </c>
      <c r="H8" s="3">
        <f t="shared" si="5"/>
        <v>80</v>
      </c>
      <c r="I8" s="3">
        <f t="shared" si="6"/>
        <v>33.33</v>
      </c>
      <c r="J8" s="3">
        <f t="shared" si="1"/>
        <v>605.00333333333322</v>
      </c>
      <c r="K8" s="3">
        <f t="shared" si="7"/>
        <v>181.50099999999995</v>
      </c>
      <c r="L8" s="3">
        <f t="shared" si="2"/>
        <v>71.833333333333329</v>
      </c>
      <c r="M8" s="3">
        <v>50</v>
      </c>
      <c r="N8" s="3">
        <f t="shared" si="8"/>
        <v>181.50099999999995</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8" s="337">
        <f>IF(AND(G8="Yes",'Total income package'!$A$14=TRUE,P8-N8&gt;0),P8-N8,0)</f>
        <v>1312.499</v>
      </c>
      <c r="R8" s="29"/>
    </row>
    <row r="9" spans="1:21" x14ac:dyDescent="0.3">
      <c r="A9" s="182">
        <v>1500</v>
      </c>
      <c r="B9" s="4">
        <f t="shared" si="0"/>
        <v>125</v>
      </c>
      <c r="C9" s="4">
        <f>MAX('TANF-VIEW'!L12,'TANF-VIEW'!T12)</f>
        <v>385</v>
      </c>
      <c r="D9" s="4">
        <f>'Total income package'!$D$80</f>
        <v>0</v>
      </c>
      <c r="E9" s="4">
        <f>'Total income package'!$H$61+'Total income package'!$F$66</f>
        <v>250</v>
      </c>
      <c r="F9" s="4">
        <f t="shared" si="3"/>
        <v>760</v>
      </c>
      <c r="G9" s="181" t="str">
        <f t="shared" si="4"/>
        <v>Yes</v>
      </c>
      <c r="H9" s="3">
        <f t="shared" si="5"/>
        <v>80</v>
      </c>
      <c r="I9" s="3">
        <f t="shared" si="6"/>
        <v>33.33</v>
      </c>
      <c r="J9" s="3">
        <f t="shared" si="1"/>
        <v>646.66999999999996</v>
      </c>
      <c r="K9" s="3">
        <f t="shared" si="7"/>
        <v>194.00099999999998</v>
      </c>
      <c r="L9" s="3">
        <f t="shared" si="2"/>
        <v>76</v>
      </c>
      <c r="M9" s="3">
        <v>50</v>
      </c>
      <c r="N9" s="3">
        <f>MAX(K9:M9)</f>
        <v>194.00099999999998</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9" s="337">
        <f>IF(AND(G9="Yes",'Total income package'!$A$14=TRUE,P9-N9&gt;0),P9-N9,0)</f>
        <v>1299.999</v>
      </c>
      <c r="R9" s="29"/>
    </row>
    <row r="10" spans="1:21" x14ac:dyDescent="0.3">
      <c r="A10" s="182">
        <v>2000</v>
      </c>
      <c r="B10" s="4">
        <f t="shared" si="0"/>
        <v>166.66666666666666</v>
      </c>
      <c r="C10" s="4">
        <f>MAX('TANF-VIEW'!L13,'TANF-VIEW'!T13)</f>
        <v>385</v>
      </c>
      <c r="D10" s="4">
        <f>'Total income package'!$D$80</f>
        <v>0</v>
      </c>
      <c r="E10" s="4">
        <f>'Total income package'!$H$61+'Total income package'!$F$66</f>
        <v>250</v>
      </c>
      <c r="F10" s="4">
        <f t="shared" si="3"/>
        <v>801.66666666666663</v>
      </c>
      <c r="G10" s="181" t="str">
        <f t="shared" si="4"/>
        <v>Yes</v>
      </c>
      <c r="H10" s="3">
        <f t="shared" si="5"/>
        <v>80</v>
      </c>
      <c r="I10" s="3">
        <f t="shared" si="6"/>
        <v>33.33</v>
      </c>
      <c r="J10" s="3">
        <f t="shared" si="1"/>
        <v>688.33666666666659</v>
      </c>
      <c r="K10" s="3">
        <f t="shared" si="7"/>
        <v>206.50099999999998</v>
      </c>
      <c r="L10" s="3">
        <f t="shared" si="2"/>
        <v>80.166666666666671</v>
      </c>
      <c r="M10" s="3">
        <v>50</v>
      </c>
      <c r="N10" s="3">
        <f t="shared" si="8"/>
        <v>206.50099999999998</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0" s="337">
        <f>IF(AND(G10="Yes",'Total income package'!$A$14=TRUE,P10-N10&gt;0),P10-N10,0)</f>
        <v>1287.499</v>
      </c>
      <c r="R10" s="29"/>
    </row>
    <row r="11" spans="1:21" x14ac:dyDescent="0.3">
      <c r="A11" s="182">
        <v>2500</v>
      </c>
      <c r="B11" s="4">
        <f t="shared" si="0"/>
        <v>208.33333333333334</v>
      </c>
      <c r="C11" s="4">
        <f>MAX('TANF-VIEW'!L14,'TANF-VIEW'!T14)</f>
        <v>385</v>
      </c>
      <c r="D11" s="4">
        <f>'Total income package'!$D$80</f>
        <v>0</v>
      </c>
      <c r="E11" s="4">
        <f>'Total income package'!$H$61+'Total income package'!$F$66</f>
        <v>250</v>
      </c>
      <c r="F11" s="4">
        <f t="shared" si="3"/>
        <v>843.33333333333337</v>
      </c>
      <c r="G11" s="181" t="str">
        <f t="shared" si="4"/>
        <v>Yes</v>
      </c>
      <c r="H11" s="3">
        <f t="shared" si="5"/>
        <v>80</v>
      </c>
      <c r="I11" s="3">
        <f t="shared" si="6"/>
        <v>33.33</v>
      </c>
      <c r="J11" s="3">
        <f t="shared" si="1"/>
        <v>730.00333333333333</v>
      </c>
      <c r="K11" s="3">
        <f t="shared" si="7"/>
        <v>219.001</v>
      </c>
      <c r="L11" s="3">
        <f t="shared" si="2"/>
        <v>84.333333333333343</v>
      </c>
      <c r="M11" s="3">
        <v>50</v>
      </c>
      <c r="N11" s="3">
        <f t="shared" si="8"/>
        <v>219.001</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1" s="337">
        <f>IF(AND(G11="Yes",'Total income package'!$A$14=TRUE,P11-N11&gt;0),P11-N11,0)</f>
        <v>1274.999</v>
      </c>
      <c r="R11" s="29"/>
    </row>
    <row r="12" spans="1:21" x14ac:dyDescent="0.3">
      <c r="A12" s="182">
        <v>3000</v>
      </c>
      <c r="B12" s="4">
        <f t="shared" si="0"/>
        <v>250</v>
      </c>
      <c r="C12" s="4">
        <f>MAX('TANF-VIEW'!L15,'TANF-VIEW'!T15)</f>
        <v>352.2</v>
      </c>
      <c r="D12" s="4">
        <f>'Total income package'!$D$80</f>
        <v>0</v>
      </c>
      <c r="E12" s="4">
        <f>'Total income package'!$H$61+'Total income package'!$F$66</f>
        <v>250</v>
      </c>
      <c r="F12" s="4">
        <f t="shared" si="3"/>
        <v>852.2</v>
      </c>
      <c r="G12" s="181" t="str">
        <f t="shared" si="4"/>
        <v>Yes</v>
      </c>
      <c r="H12" s="3">
        <f t="shared" si="5"/>
        <v>80</v>
      </c>
      <c r="I12" s="3">
        <f t="shared" si="6"/>
        <v>33.33</v>
      </c>
      <c r="J12" s="3">
        <f t="shared" si="1"/>
        <v>738.87</v>
      </c>
      <c r="K12" s="3">
        <f t="shared" si="7"/>
        <v>221.661</v>
      </c>
      <c r="L12" s="3">
        <f t="shared" si="2"/>
        <v>85.220000000000013</v>
      </c>
      <c r="M12" s="3">
        <v>50</v>
      </c>
      <c r="N12" s="3">
        <f t="shared" si="8"/>
        <v>221.661</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2" s="337">
        <f>IF(AND(G12="Yes",'Total income package'!$A$14=TRUE,P12-N12&gt;0),P12-N12,0)</f>
        <v>1272.3389999999999</v>
      </c>
      <c r="R12" s="29"/>
    </row>
    <row r="13" spans="1:21" x14ac:dyDescent="0.3">
      <c r="A13" s="182">
        <v>3500</v>
      </c>
      <c r="B13" s="4">
        <f t="shared" si="0"/>
        <v>291.66666666666669</v>
      </c>
      <c r="C13" s="4">
        <f>MAX('TANF-VIEW'!L16,'TANF-VIEW'!T16)</f>
        <v>318.86666666666667</v>
      </c>
      <c r="D13" s="4">
        <f>'Total income package'!$D$80</f>
        <v>0</v>
      </c>
      <c r="E13" s="4">
        <f>'Total income package'!$H$61+'Total income package'!$F$66</f>
        <v>250</v>
      </c>
      <c r="F13" s="4">
        <f t="shared" si="3"/>
        <v>860.5333333333333</v>
      </c>
      <c r="G13" s="181" t="str">
        <f t="shared" si="4"/>
        <v>Yes</v>
      </c>
      <c r="H13" s="3">
        <f t="shared" si="5"/>
        <v>80</v>
      </c>
      <c r="I13" s="3">
        <f t="shared" si="6"/>
        <v>33.33</v>
      </c>
      <c r="J13" s="3">
        <f t="shared" si="1"/>
        <v>747.20333333333326</v>
      </c>
      <c r="K13" s="3">
        <f t="shared" si="7"/>
        <v>224.16099999999997</v>
      </c>
      <c r="L13" s="3">
        <f t="shared" si="2"/>
        <v>86.053333333333342</v>
      </c>
      <c r="M13" s="3">
        <v>50</v>
      </c>
      <c r="N13" s="3">
        <f t="shared" si="8"/>
        <v>224.16099999999997</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3" s="337">
        <f>IF(AND(G13="Yes",'Total income package'!$A$14=TRUE,P13-N13&gt;0),P13-N13,0)</f>
        <v>1269.8389999999999</v>
      </c>
      <c r="R13" s="29"/>
    </row>
    <row r="14" spans="1:21" x14ac:dyDescent="0.3">
      <c r="A14" s="182">
        <v>4000</v>
      </c>
      <c r="B14" s="4">
        <f t="shared" si="0"/>
        <v>333.33333333333331</v>
      </c>
      <c r="C14" s="4">
        <f>MAX('TANF-VIEW'!L17,'TANF-VIEW'!T17)</f>
        <v>285.53333333333336</v>
      </c>
      <c r="D14" s="4">
        <f>'Total income package'!$D$80</f>
        <v>0</v>
      </c>
      <c r="E14" s="4">
        <f>'Total income package'!$H$61+'Total income package'!$F$66</f>
        <v>250</v>
      </c>
      <c r="F14" s="4">
        <f>B14+C14+D14+E14</f>
        <v>868.86666666666667</v>
      </c>
      <c r="G14" s="181" t="str">
        <f t="shared" si="4"/>
        <v>Yes</v>
      </c>
      <c r="H14" s="3">
        <f t="shared" si="5"/>
        <v>80</v>
      </c>
      <c r="I14" s="3">
        <f t="shared" si="6"/>
        <v>33.33</v>
      </c>
      <c r="J14" s="3">
        <f t="shared" si="1"/>
        <v>755.53666666666663</v>
      </c>
      <c r="K14" s="3">
        <f t="shared" si="7"/>
        <v>226.66099999999997</v>
      </c>
      <c r="L14" s="3">
        <f t="shared" si="2"/>
        <v>86.88666666666667</v>
      </c>
      <c r="M14" s="3">
        <v>50</v>
      </c>
      <c r="N14" s="3">
        <f t="shared" si="8"/>
        <v>226.66099999999997</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4" s="337">
        <f>IF(AND(G14="Yes",'Total income package'!$A$14=TRUE,P14-N14&gt;0),P14-N14,0)</f>
        <v>1267.3389999999999</v>
      </c>
      <c r="R14" s="29"/>
    </row>
    <row r="15" spans="1:21" x14ac:dyDescent="0.3">
      <c r="A15" s="182">
        <v>4500</v>
      </c>
      <c r="B15" s="4">
        <f t="shared" si="0"/>
        <v>375</v>
      </c>
      <c r="C15" s="4">
        <f>MAX('TANF-VIEW'!L18,'TANF-VIEW'!T18)</f>
        <v>252.2</v>
      </c>
      <c r="D15" s="4">
        <f>'Total income package'!$D$80</f>
        <v>0</v>
      </c>
      <c r="E15" s="4">
        <f>'Total income package'!$H$61+'Total income package'!$F$66</f>
        <v>250</v>
      </c>
      <c r="F15" s="4">
        <f t="shared" si="3"/>
        <v>877.2</v>
      </c>
      <c r="G15" s="181" t="str">
        <f t="shared" si="4"/>
        <v>Yes</v>
      </c>
      <c r="H15" s="3">
        <f t="shared" si="5"/>
        <v>80</v>
      </c>
      <c r="I15" s="3">
        <f t="shared" si="6"/>
        <v>33.33</v>
      </c>
      <c r="J15" s="3">
        <f t="shared" si="1"/>
        <v>763.87</v>
      </c>
      <c r="K15" s="3">
        <f t="shared" si="7"/>
        <v>229.161</v>
      </c>
      <c r="L15" s="3">
        <f t="shared" si="2"/>
        <v>87.720000000000013</v>
      </c>
      <c r="M15" s="3">
        <v>50</v>
      </c>
      <c r="N15" s="3">
        <f t="shared" si="8"/>
        <v>229.161</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5" s="337">
        <f>IF(AND(G15="Yes",'Total income package'!$A$14=TRUE,P15-N15&gt;0),P15-N15,0)</f>
        <v>1264.8389999999999</v>
      </c>
      <c r="R15" s="29"/>
    </row>
    <row r="16" spans="1:21" x14ac:dyDescent="0.3">
      <c r="A16" s="182">
        <v>5000</v>
      </c>
      <c r="B16" s="4">
        <f t="shared" si="0"/>
        <v>416.66666666666669</v>
      </c>
      <c r="C16" s="4">
        <f>MAX('TANF-VIEW'!L19,'TANF-VIEW'!T19)</f>
        <v>218.86666666666665</v>
      </c>
      <c r="D16" s="4">
        <f>'Total income package'!$D$80</f>
        <v>0</v>
      </c>
      <c r="E16" s="4">
        <f>'Total income package'!$H$61+'Total income package'!$F$66</f>
        <v>250</v>
      </c>
      <c r="F16" s="4">
        <f t="shared" si="3"/>
        <v>885.5333333333333</v>
      </c>
      <c r="G16" s="181" t="str">
        <f t="shared" si="4"/>
        <v>Yes</v>
      </c>
      <c r="H16" s="3">
        <f t="shared" si="5"/>
        <v>80</v>
      </c>
      <c r="I16" s="3">
        <f t="shared" si="6"/>
        <v>33.33</v>
      </c>
      <c r="J16" s="3">
        <f t="shared" si="1"/>
        <v>772.20333333333326</v>
      </c>
      <c r="K16" s="3">
        <f t="shared" si="7"/>
        <v>231.66099999999997</v>
      </c>
      <c r="L16" s="3">
        <f t="shared" si="2"/>
        <v>88.553333333333342</v>
      </c>
      <c r="M16" s="3">
        <v>50</v>
      </c>
      <c r="N16" s="3">
        <f t="shared" si="8"/>
        <v>231.66099999999997</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6" s="337">
        <f>IF(AND(G16="Yes",'Total income package'!$A$14=TRUE,P16-N16&gt;0),P16-N16,0)</f>
        <v>1262.3389999999999</v>
      </c>
      <c r="R16" s="29"/>
    </row>
    <row r="17" spans="1:18" x14ac:dyDescent="0.3">
      <c r="A17" s="182">
        <v>5500</v>
      </c>
      <c r="B17" s="4">
        <f t="shared" si="0"/>
        <v>458.33333333333331</v>
      </c>
      <c r="C17" s="4">
        <f>MAX('TANF-VIEW'!L20,'TANF-VIEW'!T20)</f>
        <v>185.53333333333336</v>
      </c>
      <c r="D17" s="4">
        <f>'Total income package'!$D$80</f>
        <v>0</v>
      </c>
      <c r="E17" s="4">
        <f>'Total income package'!$H$61+'Total income package'!$F$66</f>
        <v>250</v>
      </c>
      <c r="F17" s="4">
        <f t="shared" si="3"/>
        <v>893.86666666666667</v>
      </c>
      <c r="G17" s="181" t="str">
        <f t="shared" si="4"/>
        <v>Yes</v>
      </c>
      <c r="H17" s="3">
        <f t="shared" si="5"/>
        <v>80</v>
      </c>
      <c r="I17" s="3">
        <f t="shared" si="6"/>
        <v>33.33</v>
      </c>
      <c r="J17" s="3">
        <f t="shared" si="1"/>
        <v>780.53666666666663</v>
      </c>
      <c r="K17" s="3">
        <f t="shared" si="7"/>
        <v>234.16099999999997</v>
      </c>
      <c r="L17" s="3">
        <f t="shared" si="2"/>
        <v>89.38666666666667</v>
      </c>
      <c r="M17" s="3">
        <v>50</v>
      </c>
      <c r="N17" s="3">
        <f t="shared" si="8"/>
        <v>234.16099999999997</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7" s="337">
        <f>IF(AND(G17="Yes",'Total income package'!$A$14=TRUE,P17-N17&gt;0),P17-N17,0)</f>
        <v>1259.8389999999999</v>
      </c>
      <c r="R17" s="29"/>
    </row>
    <row r="18" spans="1:18" x14ac:dyDescent="0.3">
      <c r="A18" s="182">
        <v>6000</v>
      </c>
      <c r="B18" s="4">
        <f t="shared" si="0"/>
        <v>500</v>
      </c>
      <c r="C18" s="4">
        <f>MAX('TANF-VIEW'!L21,'TANF-VIEW'!T21)</f>
        <v>152.19999999999999</v>
      </c>
      <c r="D18" s="4">
        <f>'Total income package'!$D$80</f>
        <v>0</v>
      </c>
      <c r="E18" s="4">
        <f>'Total income package'!$H$61+'Total income package'!$F$66</f>
        <v>250</v>
      </c>
      <c r="F18" s="4">
        <f t="shared" si="3"/>
        <v>902.2</v>
      </c>
      <c r="G18" s="181" t="str">
        <f t="shared" si="4"/>
        <v>Yes</v>
      </c>
      <c r="H18" s="3">
        <f t="shared" si="5"/>
        <v>80</v>
      </c>
      <c r="I18" s="3">
        <f t="shared" si="6"/>
        <v>33.33</v>
      </c>
      <c r="J18" s="3">
        <f t="shared" si="1"/>
        <v>788.87</v>
      </c>
      <c r="K18" s="3">
        <f t="shared" si="7"/>
        <v>236.661</v>
      </c>
      <c r="L18" s="3">
        <f t="shared" si="2"/>
        <v>90.220000000000013</v>
      </c>
      <c r="M18" s="3">
        <v>50</v>
      </c>
      <c r="N18" s="3">
        <f t="shared" si="8"/>
        <v>236.661</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8" s="337">
        <f>IF(AND(G18="Yes",'Total income package'!$A$14=TRUE,P18-N18&gt;0),P18-N18,0)</f>
        <v>1257.3389999999999</v>
      </c>
      <c r="R18" s="29"/>
    </row>
    <row r="19" spans="1:18" x14ac:dyDescent="0.3">
      <c r="A19" s="182">
        <v>6500</v>
      </c>
      <c r="B19" s="4">
        <f t="shared" si="0"/>
        <v>541.66666666666663</v>
      </c>
      <c r="C19" s="4">
        <f>MAX('TANF-VIEW'!L22,'TANF-VIEW'!T22)</f>
        <v>118.86666666666667</v>
      </c>
      <c r="D19" s="4">
        <f>'Total income package'!$D$80</f>
        <v>0</v>
      </c>
      <c r="E19" s="4">
        <f>'Total income package'!$H$61+'Total income package'!$F$66</f>
        <v>250</v>
      </c>
      <c r="F19" s="4">
        <f t="shared" si="3"/>
        <v>910.5333333333333</v>
      </c>
      <c r="G19" s="181" t="str">
        <f t="shared" si="4"/>
        <v>Yes</v>
      </c>
      <c r="H19" s="3">
        <f t="shared" si="5"/>
        <v>80</v>
      </c>
      <c r="I19" s="3">
        <f t="shared" si="6"/>
        <v>33.33</v>
      </c>
      <c r="J19" s="3">
        <f t="shared" si="1"/>
        <v>797.20333333333326</v>
      </c>
      <c r="K19" s="3">
        <f t="shared" si="7"/>
        <v>239.16099999999997</v>
      </c>
      <c r="L19" s="3">
        <f t="shared" si="2"/>
        <v>91.053333333333342</v>
      </c>
      <c r="M19" s="3">
        <v>50</v>
      </c>
      <c r="N19" s="3">
        <f t="shared" si="8"/>
        <v>239.16099999999997</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9" s="337">
        <f>IF(AND(G19="Yes",'Total income package'!$A$14=TRUE,P19-N19&gt;0),P19-N19,0)</f>
        <v>1254.8389999999999</v>
      </c>
      <c r="R19" s="29"/>
    </row>
    <row r="20" spans="1:18" x14ac:dyDescent="0.3">
      <c r="A20" s="182">
        <v>7000</v>
      </c>
      <c r="B20" s="4">
        <f t="shared" si="0"/>
        <v>583.33333333333337</v>
      </c>
      <c r="C20" s="4">
        <f>MAX('TANF-VIEW'!L23,'TANF-VIEW'!T23)</f>
        <v>85.533333333333303</v>
      </c>
      <c r="D20" s="4">
        <f>'Total income package'!$D$80</f>
        <v>0</v>
      </c>
      <c r="E20" s="4">
        <f>'Total income package'!$H$61+'Total income package'!$F$66</f>
        <v>250</v>
      </c>
      <c r="F20" s="4">
        <f t="shared" si="3"/>
        <v>918.86666666666667</v>
      </c>
      <c r="G20" s="181" t="str">
        <f t="shared" si="4"/>
        <v>Yes</v>
      </c>
      <c r="H20" s="3">
        <f t="shared" si="5"/>
        <v>80</v>
      </c>
      <c r="I20" s="3">
        <f t="shared" si="6"/>
        <v>33.33</v>
      </c>
      <c r="J20" s="3">
        <f t="shared" si="1"/>
        <v>805.53666666666663</v>
      </c>
      <c r="K20" s="3">
        <f t="shared" si="7"/>
        <v>241.66099999999997</v>
      </c>
      <c r="L20" s="3">
        <f t="shared" si="2"/>
        <v>91.88666666666667</v>
      </c>
      <c r="M20" s="3">
        <v>50</v>
      </c>
      <c r="N20" s="3">
        <f t="shared" si="8"/>
        <v>241.66099999999997</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20" s="337">
        <f>IF(AND(G20="Yes",'Total income package'!$A$14=TRUE,P20-N20&gt;0),P20-N20,0)</f>
        <v>1252.3389999999999</v>
      </c>
      <c r="R20" s="29"/>
    </row>
    <row r="21" spans="1:18" x14ac:dyDescent="0.3">
      <c r="A21" s="182">
        <v>7500</v>
      </c>
      <c r="B21" s="4">
        <f t="shared" si="0"/>
        <v>625</v>
      </c>
      <c r="C21" s="4">
        <f>MAX('TANF-VIEW'!L24,'TANF-VIEW'!T24)</f>
        <v>52.199999999999989</v>
      </c>
      <c r="D21" s="4">
        <f>'Total income package'!$D$80</f>
        <v>0</v>
      </c>
      <c r="E21" s="4">
        <f>'Total income package'!$H$61+'Total income package'!$F$66</f>
        <v>250</v>
      </c>
      <c r="F21" s="4">
        <f t="shared" si="3"/>
        <v>927.2</v>
      </c>
      <c r="G21" s="181" t="str">
        <f t="shared" si="4"/>
        <v>Yes</v>
      </c>
      <c r="H21" s="3">
        <f t="shared" si="5"/>
        <v>80</v>
      </c>
      <c r="I21" s="3">
        <f t="shared" si="6"/>
        <v>33.33</v>
      </c>
      <c r="J21" s="3">
        <f t="shared" si="1"/>
        <v>813.87</v>
      </c>
      <c r="K21" s="3">
        <f t="shared" si="7"/>
        <v>244.161</v>
      </c>
      <c r="L21" s="3">
        <f t="shared" si="2"/>
        <v>92.720000000000013</v>
      </c>
      <c r="M21" s="3">
        <v>50</v>
      </c>
      <c r="N21" s="3">
        <f t="shared" si="8"/>
        <v>244.161</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21" s="337">
        <f>IF(AND(G21="Yes",'Total income package'!$A$14=TRUE,P21-N21&gt;0),P21-N21,0)</f>
        <v>1249.8389999999999</v>
      </c>
      <c r="R21" s="29"/>
    </row>
    <row r="22" spans="1:18" x14ac:dyDescent="0.3">
      <c r="A22" s="182">
        <v>8000</v>
      </c>
      <c r="B22" s="4">
        <f t="shared" si="0"/>
        <v>666.66666666666663</v>
      </c>
      <c r="C22" s="4">
        <f>MAX('TANF-VIEW'!L25,'TANF-VIEW'!T25)</f>
        <v>18.866666666666674</v>
      </c>
      <c r="D22" s="4">
        <f>'Total income package'!$D$80</f>
        <v>0</v>
      </c>
      <c r="E22" s="4">
        <f>'Total income package'!$H$61+'Total income package'!$F$66</f>
        <v>250</v>
      </c>
      <c r="F22" s="4">
        <f t="shared" si="3"/>
        <v>935.5333333333333</v>
      </c>
      <c r="G22" s="181" t="str">
        <f t="shared" si="4"/>
        <v>Yes</v>
      </c>
      <c r="H22" s="3">
        <f t="shared" si="5"/>
        <v>80</v>
      </c>
      <c r="I22" s="3">
        <f t="shared" si="6"/>
        <v>33.33</v>
      </c>
      <c r="J22" s="3">
        <f t="shared" si="1"/>
        <v>822.20333333333326</v>
      </c>
      <c r="K22" s="3">
        <f t="shared" si="7"/>
        <v>246.66099999999997</v>
      </c>
      <c r="L22" s="3">
        <f t="shared" si="2"/>
        <v>93.553333333333342</v>
      </c>
      <c r="M22" s="3">
        <v>50</v>
      </c>
      <c r="N22" s="3">
        <f t="shared" si="8"/>
        <v>246.66099999999997</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22" s="337">
        <f>IF(AND(G22="Yes",'Total income package'!$A$14=TRUE,P22-N22&gt;0),P22-N22,0)</f>
        <v>1247.3389999999999</v>
      </c>
      <c r="R22" s="29"/>
    </row>
    <row r="23" spans="1:18" x14ac:dyDescent="0.3">
      <c r="A23" s="182">
        <v>8500</v>
      </c>
      <c r="B23" s="4">
        <f t="shared" si="0"/>
        <v>708.33333333333337</v>
      </c>
      <c r="C23" s="4">
        <f>MAX('TANF-VIEW'!L26,'TANF-VIEW'!T26)</f>
        <v>0</v>
      </c>
      <c r="D23" s="4">
        <f>'Total income package'!$D$80</f>
        <v>0</v>
      </c>
      <c r="E23" s="4">
        <f>'Total income package'!$H$61+'Total income package'!$F$66</f>
        <v>250</v>
      </c>
      <c r="F23" s="4">
        <f t="shared" si="3"/>
        <v>958.33333333333337</v>
      </c>
      <c r="G23" s="181" t="str">
        <f t="shared" si="4"/>
        <v>Yes</v>
      </c>
      <c r="H23" s="3">
        <f t="shared" si="5"/>
        <v>80</v>
      </c>
      <c r="I23" s="3">
        <f t="shared" si="6"/>
        <v>33.33</v>
      </c>
      <c r="J23" s="3">
        <f t="shared" si="1"/>
        <v>845.00333333333333</v>
      </c>
      <c r="K23" s="3">
        <f t="shared" si="7"/>
        <v>253.50099999999998</v>
      </c>
      <c r="L23" s="3">
        <f t="shared" si="2"/>
        <v>95.833333333333343</v>
      </c>
      <c r="M23" s="3">
        <v>50</v>
      </c>
      <c r="N23" s="3">
        <f t="shared" si="8"/>
        <v>253.50099999999998</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23" s="337">
        <f>IF(AND(G23="Yes",'Total income package'!$A$14=TRUE,P23-N23&gt;0),P23-N23,0)</f>
        <v>1240.499</v>
      </c>
      <c r="R23" s="29"/>
    </row>
    <row r="24" spans="1:18" x14ac:dyDescent="0.3">
      <c r="A24" s="182">
        <v>9000</v>
      </c>
      <c r="B24" s="4">
        <f t="shared" si="0"/>
        <v>750</v>
      </c>
      <c r="C24" s="4">
        <f>MAX('TANF-VIEW'!L27,'TANF-VIEW'!T27)</f>
        <v>0</v>
      </c>
      <c r="D24" s="4">
        <f>'Total income package'!$D$80</f>
        <v>0</v>
      </c>
      <c r="E24" s="4">
        <f>'Total income package'!$H$61+'Total income package'!$F$66</f>
        <v>250</v>
      </c>
      <c r="F24" s="4">
        <f t="shared" si="3"/>
        <v>1000</v>
      </c>
      <c r="G24" s="181" t="str">
        <f t="shared" si="4"/>
        <v>Yes</v>
      </c>
      <c r="H24" s="3">
        <f t="shared" si="5"/>
        <v>80</v>
      </c>
      <c r="I24" s="3">
        <f t="shared" si="6"/>
        <v>33.33</v>
      </c>
      <c r="J24" s="3">
        <f t="shared" si="1"/>
        <v>886.67</v>
      </c>
      <c r="K24" s="3">
        <f t="shared" si="7"/>
        <v>266.00099999999998</v>
      </c>
      <c r="L24" s="3">
        <f t="shared" si="2"/>
        <v>100</v>
      </c>
      <c r="M24" s="3">
        <v>50</v>
      </c>
      <c r="N24" s="3">
        <f t="shared" si="8"/>
        <v>266.00099999999998</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24" s="337">
        <f>IF(AND(G24="Yes",'Total income package'!$A$14=TRUE,P24-N24&gt;0),P24-N24,0)</f>
        <v>1227.999</v>
      </c>
      <c r="R24" s="29"/>
    </row>
    <row r="25" spans="1:18" x14ac:dyDescent="0.3">
      <c r="A25" s="182">
        <v>9500</v>
      </c>
      <c r="B25" s="4">
        <f t="shared" si="0"/>
        <v>791.66666666666663</v>
      </c>
      <c r="C25" s="4">
        <f>MAX('TANF-VIEW'!L28,'TANF-VIEW'!T28)</f>
        <v>0</v>
      </c>
      <c r="D25" s="4">
        <f>'Total income package'!$D$80</f>
        <v>0</v>
      </c>
      <c r="E25" s="4">
        <f>'Total income package'!$H$61+'Total income package'!$F$66</f>
        <v>250</v>
      </c>
      <c r="F25" s="4">
        <f t="shared" si="3"/>
        <v>1041.6666666666665</v>
      </c>
      <c r="G25" s="181" t="str">
        <f t="shared" si="4"/>
        <v>Yes</v>
      </c>
      <c r="H25" s="3">
        <f t="shared" si="5"/>
        <v>80</v>
      </c>
      <c r="I25" s="3">
        <f t="shared" si="6"/>
        <v>33.33</v>
      </c>
      <c r="J25" s="3">
        <f t="shared" si="1"/>
        <v>928.33666666666647</v>
      </c>
      <c r="K25" s="3">
        <f t="shared" si="7"/>
        <v>278.50099999999992</v>
      </c>
      <c r="L25" s="3">
        <f t="shared" si="2"/>
        <v>104.16666666666666</v>
      </c>
      <c r="M25" s="3">
        <v>50</v>
      </c>
      <c r="N25" s="3">
        <f t="shared" si="8"/>
        <v>278.50099999999992</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25" s="337">
        <f>IF(AND(G25="Yes",'Total income package'!$A$14=TRUE,P25-N25&gt;0),P25-N25,0)</f>
        <v>1215.499</v>
      </c>
      <c r="R25" s="29"/>
    </row>
    <row r="26" spans="1:18" x14ac:dyDescent="0.3">
      <c r="A26" s="182">
        <v>10000</v>
      </c>
      <c r="B26" s="4">
        <f t="shared" si="0"/>
        <v>833.33333333333337</v>
      </c>
      <c r="C26" s="4">
        <f>MAX('TANF-VIEW'!L29,'TANF-VIEW'!T29)</f>
        <v>0</v>
      </c>
      <c r="D26" s="4">
        <f>'Total income package'!$D$80</f>
        <v>0</v>
      </c>
      <c r="E26" s="4">
        <f>'Total income package'!$H$61+'Total income package'!$F$66</f>
        <v>250</v>
      </c>
      <c r="F26" s="4">
        <f t="shared" si="3"/>
        <v>1083.3333333333335</v>
      </c>
      <c r="G26" s="181" t="str">
        <f t="shared" si="4"/>
        <v>Yes</v>
      </c>
      <c r="H26" s="3">
        <f t="shared" si="5"/>
        <v>80</v>
      </c>
      <c r="I26" s="3">
        <f t="shared" si="6"/>
        <v>33.33</v>
      </c>
      <c r="J26" s="3">
        <f t="shared" si="1"/>
        <v>970.00333333333344</v>
      </c>
      <c r="K26" s="3">
        <f t="shared" si="7"/>
        <v>291.00100000000003</v>
      </c>
      <c r="L26" s="3">
        <f t="shared" si="2"/>
        <v>108.33333333333336</v>
      </c>
      <c r="M26" s="3">
        <v>50</v>
      </c>
      <c r="N26" s="3">
        <f t="shared" si="8"/>
        <v>291.00100000000003</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26" s="337">
        <f>IF(AND(G26="Yes",'Total income package'!$A$14=TRUE,P26-N26&gt;0),P26-N26,0)</f>
        <v>1202.999</v>
      </c>
      <c r="R26" s="29"/>
    </row>
    <row r="27" spans="1:18" x14ac:dyDescent="0.3">
      <c r="A27" s="182">
        <v>10500</v>
      </c>
      <c r="B27" s="4">
        <f t="shared" si="0"/>
        <v>875</v>
      </c>
      <c r="C27" s="4">
        <f>MAX('TANF-VIEW'!L30,'TANF-VIEW'!T30)</f>
        <v>0</v>
      </c>
      <c r="D27" s="4">
        <f>'Total income package'!$D$80</f>
        <v>0</v>
      </c>
      <c r="E27" s="4">
        <f>'Total income package'!$H$61+'Total income package'!$F$66</f>
        <v>250</v>
      </c>
      <c r="F27" s="4">
        <f t="shared" si="3"/>
        <v>1125</v>
      </c>
      <c r="G27" s="181" t="str">
        <f t="shared" si="4"/>
        <v>Yes</v>
      </c>
      <c r="H27" s="3">
        <f t="shared" si="5"/>
        <v>80</v>
      </c>
      <c r="I27" s="3">
        <f t="shared" si="6"/>
        <v>33.33</v>
      </c>
      <c r="J27" s="3">
        <f t="shared" si="1"/>
        <v>1011.67</v>
      </c>
      <c r="K27" s="3">
        <f t="shared" si="7"/>
        <v>303.50099999999998</v>
      </c>
      <c r="L27" s="3">
        <f t="shared" si="2"/>
        <v>112.5</v>
      </c>
      <c r="M27" s="3">
        <v>50</v>
      </c>
      <c r="N27" s="3">
        <f t="shared" si="8"/>
        <v>303.50099999999998</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27" s="337">
        <f>IF(AND(G27="Yes",'Total income package'!$A$14=TRUE,P27-N27&gt;0),P27-N27,0)</f>
        <v>1190.499</v>
      </c>
      <c r="R27" s="29"/>
    </row>
    <row r="28" spans="1:18" x14ac:dyDescent="0.3">
      <c r="A28" s="182">
        <v>11000</v>
      </c>
      <c r="B28" s="4">
        <f t="shared" si="0"/>
        <v>916.66666666666663</v>
      </c>
      <c r="C28" s="4">
        <f>MAX('TANF-VIEW'!L31,'TANF-VIEW'!T31)</f>
        <v>0</v>
      </c>
      <c r="D28" s="4">
        <f>'Total income package'!$D$80</f>
        <v>0</v>
      </c>
      <c r="E28" s="4">
        <f>'Total income package'!$H$61+'Total income package'!$F$66</f>
        <v>250</v>
      </c>
      <c r="F28" s="4">
        <f t="shared" si="3"/>
        <v>1166.6666666666665</v>
      </c>
      <c r="G28" s="181" t="str">
        <f t="shared" si="4"/>
        <v>Yes</v>
      </c>
      <c r="H28" s="3">
        <f t="shared" si="5"/>
        <v>80</v>
      </c>
      <c r="I28" s="3">
        <f t="shared" si="6"/>
        <v>33.33</v>
      </c>
      <c r="J28" s="3">
        <f t="shared" si="1"/>
        <v>1053.3366666666666</v>
      </c>
      <c r="K28" s="3">
        <f t="shared" si="7"/>
        <v>316.00099999999998</v>
      </c>
      <c r="L28" s="3">
        <f t="shared" si="2"/>
        <v>116.66666666666666</v>
      </c>
      <c r="M28" s="3">
        <v>50</v>
      </c>
      <c r="N28" s="3">
        <f t="shared" si="8"/>
        <v>316.00099999999998</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28" s="337">
        <f>IF(AND(G28="Yes",'Total income package'!$A$14=TRUE,P28-N28&gt;0),P28-N28,0)</f>
        <v>1177.999</v>
      </c>
      <c r="R28" s="29"/>
    </row>
    <row r="29" spans="1:18" x14ac:dyDescent="0.3">
      <c r="A29" s="182">
        <v>11500</v>
      </c>
      <c r="B29" s="4">
        <f t="shared" si="0"/>
        <v>958.33333333333337</v>
      </c>
      <c r="C29" s="4">
        <f>MAX('TANF-VIEW'!L32,'TANF-VIEW'!T32)</f>
        <v>0</v>
      </c>
      <c r="D29" s="4">
        <f>'Total income package'!$D$80</f>
        <v>0</v>
      </c>
      <c r="E29" s="4">
        <f>'Total income package'!$H$61+'Total income package'!$F$66</f>
        <v>250</v>
      </c>
      <c r="F29" s="4">
        <f t="shared" si="3"/>
        <v>1208.3333333333335</v>
      </c>
      <c r="G29" s="181" t="str">
        <f t="shared" si="4"/>
        <v>Yes</v>
      </c>
      <c r="H29" s="3">
        <f t="shared" si="5"/>
        <v>80</v>
      </c>
      <c r="I29" s="3">
        <f t="shared" si="6"/>
        <v>33.33</v>
      </c>
      <c r="J29" s="3">
        <f t="shared" si="1"/>
        <v>1095.0033333333336</v>
      </c>
      <c r="K29" s="3">
        <f t="shared" si="7"/>
        <v>328.50100000000003</v>
      </c>
      <c r="L29" s="3">
        <f t="shared" si="2"/>
        <v>120.83333333333336</v>
      </c>
      <c r="M29" s="3">
        <v>50</v>
      </c>
      <c r="N29" s="3">
        <f t="shared" si="8"/>
        <v>328.50100000000003</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29" s="337">
        <f>IF(AND(G29="Yes",'Total income package'!$A$14=TRUE,P29-N29&gt;0),P29-N29,0)</f>
        <v>1165.499</v>
      </c>
      <c r="R29" s="29"/>
    </row>
    <row r="30" spans="1:18" x14ac:dyDescent="0.3">
      <c r="A30" s="182">
        <v>12000</v>
      </c>
      <c r="B30" s="4">
        <f t="shared" si="0"/>
        <v>1000</v>
      </c>
      <c r="C30" s="4">
        <f>MAX('TANF-VIEW'!L33,'TANF-VIEW'!T33)</f>
        <v>0</v>
      </c>
      <c r="D30" s="4">
        <f>'Total income package'!$D$80</f>
        <v>0</v>
      </c>
      <c r="E30" s="4">
        <f>'Total income package'!$H$61+'Total income package'!$F$66</f>
        <v>250</v>
      </c>
      <c r="F30" s="4">
        <f t="shared" si="3"/>
        <v>1250</v>
      </c>
      <c r="G30" s="181" t="str">
        <f t="shared" si="4"/>
        <v>Yes</v>
      </c>
      <c r="H30" s="3">
        <f t="shared" si="5"/>
        <v>80</v>
      </c>
      <c r="I30" s="3">
        <f t="shared" si="6"/>
        <v>33.33</v>
      </c>
      <c r="J30" s="3">
        <f t="shared" si="1"/>
        <v>1136.67</v>
      </c>
      <c r="K30" s="3">
        <f t="shared" si="7"/>
        <v>341.00100000000003</v>
      </c>
      <c r="L30" s="3">
        <f t="shared" si="2"/>
        <v>125</v>
      </c>
      <c r="M30" s="3">
        <v>50</v>
      </c>
      <c r="N30" s="3">
        <f t="shared" si="8"/>
        <v>341.00100000000003</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30" s="337">
        <f>IF(AND(G30="Yes",'Total income package'!$A$14=TRUE,P30-N30&gt;0),P30-N30,0)</f>
        <v>1152.999</v>
      </c>
      <c r="R30" s="29"/>
    </row>
    <row r="31" spans="1:18" x14ac:dyDescent="0.3">
      <c r="A31" s="182">
        <v>12500</v>
      </c>
      <c r="B31" s="4">
        <f t="shared" si="0"/>
        <v>1041.6666666666667</v>
      </c>
      <c r="C31" s="4">
        <f>MAX('TANF-VIEW'!L34,'TANF-VIEW'!T34)</f>
        <v>0</v>
      </c>
      <c r="D31" s="4">
        <f>'Total income package'!$D$80</f>
        <v>0</v>
      </c>
      <c r="E31" s="4">
        <f>'Total income package'!$H$61+'Total income package'!$F$66</f>
        <v>250</v>
      </c>
      <c r="F31" s="4">
        <f t="shared" si="3"/>
        <v>1291.6666666666667</v>
      </c>
      <c r="G31" s="181" t="str">
        <f t="shared" si="4"/>
        <v>Yes</v>
      </c>
      <c r="H31" s="3">
        <f t="shared" si="5"/>
        <v>80</v>
      </c>
      <c r="I31" s="3">
        <f t="shared" si="6"/>
        <v>33.33</v>
      </c>
      <c r="J31" s="3">
        <f t="shared" si="1"/>
        <v>1178.3366666666668</v>
      </c>
      <c r="K31" s="3">
        <f t="shared" si="7"/>
        <v>353.50100000000003</v>
      </c>
      <c r="L31" s="3">
        <f t="shared" si="2"/>
        <v>129.16666666666669</v>
      </c>
      <c r="M31" s="3">
        <v>50</v>
      </c>
      <c r="N31" s="3">
        <f t="shared" si="8"/>
        <v>353.50100000000003</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31" s="337">
        <f>IF(AND(G31="Yes",'Total income package'!$A$14=TRUE,P31-N31&gt;0),P31-N31,0)</f>
        <v>1140.499</v>
      </c>
      <c r="R31" s="29"/>
    </row>
    <row r="32" spans="1:18" x14ac:dyDescent="0.3">
      <c r="A32" s="182">
        <v>13000</v>
      </c>
      <c r="B32" s="4">
        <f t="shared" si="0"/>
        <v>1083.3333333333333</v>
      </c>
      <c r="C32" s="4">
        <f>MAX('TANF-VIEW'!L35,'TANF-VIEW'!T35)</f>
        <v>0</v>
      </c>
      <c r="D32" s="4">
        <f>'Total income package'!$D$80</f>
        <v>0</v>
      </c>
      <c r="E32" s="4">
        <f>'Total income package'!$H$61+'Total income package'!$F$66</f>
        <v>250</v>
      </c>
      <c r="F32" s="4">
        <f t="shared" si="3"/>
        <v>1333.3333333333333</v>
      </c>
      <c r="G32" s="181" t="str">
        <f t="shared" si="4"/>
        <v>Yes</v>
      </c>
      <c r="H32" s="3">
        <f t="shared" si="5"/>
        <v>80</v>
      </c>
      <c r="I32" s="3">
        <f t="shared" si="6"/>
        <v>33.33</v>
      </c>
      <c r="J32" s="3">
        <f t="shared" si="1"/>
        <v>1220.0033333333333</v>
      </c>
      <c r="K32" s="3">
        <f t="shared" si="7"/>
        <v>366.00099999999998</v>
      </c>
      <c r="L32" s="3">
        <f t="shared" si="2"/>
        <v>133.33333333333334</v>
      </c>
      <c r="M32" s="3">
        <v>50</v>
      </c>
      <c r="N32" s="3">
        <f t="shared" si="8"/>
        <v>366.00099999999998</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32" s="337">
        <f>IF(AND(G32="Yes",'Total income package'!$A$14=TRUE,P32-N32&gt;0),P32-N32,0)</f>
        <v>1127.999</v>
      </c>
      <c r="R32" s="29"/>
    </row>
    <row r="33" spans="1:18" x14ac:dyDescent="0.3">
      <c r="A33" s="182">
        <v>13500</v>
      </c>
      <c r="B33" s="4">
        <f t="shared" si="0"/>
        <v>1125</v>
      </c>
      <c r="C33" s="4">
        <f>MAX('TANF-VIEW'!L36,'TANF-VIEW'!T36)</f>
        <v>0</v>
      </c>
      <c r="D33" s="4">
        <f>'Total income package'!$D$80</f>
        <v>0</v>
      </c>
      <c r="E33" s="4">
        <f>'Total income package'!$H$61+'Total income package'!$F$66</f>
        <v>250</v>
      </c>
      <c r="F33" s="4">
        <f t="shared" si="3"/>
        <v>1375</v>
      </c>
      <c r="G33" s="181" t="str">
        <f t="shared" si="4"/>
        <v>Yes</v>
      </c>
      <c r="H33" s="3">
        <f t="shared" si="5"/>
        <v>80</v>
      </c>
      <c r="I33" s="3">
        <f t="shared" si="6"/>
        <v>33.33</v>
      </c>
      <c r="J33" s="3">
        <f t="shared" si="1"/>
        <v>1261.67</v>
      </c>
      <c r="K33" s="3">
        <f t="shared" si="7"/>
        <v>378.50100000000003</v>
      </c>
      <c r="L33" s="3">
        <f t="shared" si="2"/>
        <v>137.5</v>
      </c>
      <c r="M33" s="3">
        <v>50</v>
      </c>
      <c r="N33" s="3">
        <f t="shared" si="8"/>
        <v>378.50100000000003</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33" s="337">
        <f>IF(AND(G33="Yes",'Total income package'!$A$14=TRUE,P33-N33&gt;0),P33-N33,0)</f>
        <v>1115.499</v>
      </c>
      <c r="R33" s="29"/>
    </row>
    <row r="34" spans="1:18" x14ac:dyDescent="0.3">
      <c r="A34" s="182">
        <v>14000</v>
      </c>
      <c r="B34" s="4">
        <f t="shared" si="0"/>
        <v>1166.6666666666667</v>
      </c>
      <c r="C34" s="4">
        <f>MAX('TANF-VIEW'!L37,'TANF-VIEW'!T37)</f>
        <v>0</v>
      </c>
      <c r="D34" s="4">
        <f>'Total income package'!$D$80</f>
        <v>0</v>
      </c>
      <c r="E34" s="4">
        <f>'Total income package'!$H$61+'Total income package'!$F$66</f>
        <v>250</v>
      </c>
      <c r="F34" s="4">
        <f t="shared" si="3"/>
        <v>1416.6666666666667</v>
      </c>
      <c r="G34" s="181" t="str">
        <f t="shared" si="4"/>
        <v>Yes</v>
      </c>
      <c r="H34" s="3">
        <f t="shared" si="5"/>
        <v>80</v>
      </c>
      <c r="I34" s="3">
        <f t="shared" si="6"/>
        <v>33.33</v>
      </c>
      <c r="J34" s="3">
        <f t="shared" si="1"/>
        <v>1303.3366666666668</v>
      </c>
      <c r="K34" s="3">
        <f t="shared" si="7"/>
        <v>391.00100000000003</v>
      </c>
      <c r="L34" s="3">
        <f t="shared" si="2"/>
        <v>141.66666666666669</v>
      </c>
      <c r="M34" s="3">
        <v>50</v>
      </c>
      <c r="N34" s="3">
        <f t="shared" si="8"/>
        <v>391.00100000000003</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34" s="337">
        <f>IF(AND(G34="Yes",'Total income package'!$A$14=TRUE,P34-N34&gt;0),P34-N34,0)</f>
        <v>1102.999</v>
      </c>
      <c r="R34" s="29"/>
    </row>
    <row r="35" spans="1:18" x14ac:dyDescent="0.3">
      <c r="A35" s="182">
        <v>14500</v>
      </c>
      <c r="B35" s="4">
        <f t="shared" si="0"/>
        <v>1208.3333333333333</v>
      </c>
      <c r="C35" s="4">
        <f>MAX('TANF-VIEW'!L38,'TANF-VIEW'!T38)</f>
        <v>0</v>
      </c>
      <c r="D35" s="4">
        <f>'Total income package'!$D$80</f>
        <v>0</v>
      </c>
      <c r="E35" s="4">
        <f>'Total income package'!$H$61+'Total income package'!$F$66</f>
        <v>250</v>
      </c>
      <c r="F35" s="4">
        <f t="shared" si="3"/>
        <v>1458.3333333333333</v>
      </c>
      <c r="G35" s="181" t="str">
        <f t="shared" si="4"/>
        <v>Yes</v>
      </c>
      <c r="H35" s="3">
        <f t="shared" si="5"/>
        <v>80</v>
      </c>
      <c r="I35" s="3">
        <f t="shared" si="6"/>
        <v>33.33</v>
      </c>
      <c r="J35" s="3">
        <f t="shared" si="1"/>
        <v>1345.0033333333333</v>
      </c>
      <c r="K35" s="3">
        <f t="shared" si="7"/>
        <v>403.50099999999998</v>
      </c>
      <c r="L35" s="3">
        <f t="shared" si="2"/>
        <v>145.83333333333334</v>
      </c>
      <c r="M35" s="3">
        <v>50</v>
      </c>
      <c r="N35" s="3">
        <f t="shared" si="8"/>
        <v>403.50099999999998</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35" s="337">
        <f>IF(AND(G35="Yes",'Total income package'!$A$14=TRUE,P35-N35&gt;0),P35-N35,0)</f>
        <v>1090.499</v>
      </c>
      <c r="R35" s="29"/>
    </row>
    <row r="36" spans="1:18" x14ac:dyDescent="0.3">
      <c r="A36" s="182">
        <v>15000</v>
      </c>
      <c r="B36" s="4">
        <f t="shared" si="0"/>
        <v>1250</v>
      </c>
      <c r="C36" s="4">
        <f>MAX('TANF-VIEW'!L39,'TANF-VIEW'!T39)</f>
        <v>0</v>
      </c>
      <c r="D36" s="4">
        <f>'Total income package'!$D$80</f>
        <v>0</v>
      </c>
      <c r="E36" s="4">
        <f>'Total income package'!$H$61+'Total income package'!$F$66</f>
        <v>250</v>
      </c>
      <c r="F36" s="4">
        <f t="shared" si="3"/>
        <v>1500</v>
      </c>
      <c r="G36" s="181" t="str">
        <f t="shared" si="4"/>
        <v>Yes</v>
      </c>
      <c r="H36" s="3">
        <f t="shared" si="5"/>
        <v>80</v>
      </c>
      <c r="I36" s="3">
        <f t="shared" si="6"/>
        <v>33.33</v>
      </c>
      <c r="J36" s="3">
        <f t="shared" si="1"/>
        <v>1386.67</v>
      </c>
      <c r="K36" s="3">
        <f t="shared" si="7"/>
        <v>416.00100000000003</v>
      </c>
      <c r="L36" s="3">
        <f t="shared" si="2"/>
        <v>150</v>
      </c>
      <c r="M36" s="3">
        <v>50</v>
      </c>
      <c r="N36" s="3">
        <f t="shared" si="8"/>
        <v>416.00100000000003</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36" s="337">
        <f>IF(AND(G36="Yes",'Total income package'!$A$14=TRUE,P36-N36&gt;0),P36-N36,0)</f>
        <v>1077.999</v>
      </c>
      <c r="R36" s="29"/>
    </row>
    <row r="37" spans="1:18" x14ac:dyDescent="0.3">
      <c r="A37" s="182">
        <v>15500</v>
      </c>
      <c r="B37" s="4">
        <f t="shared" si="0"/>
        <v>1291.6666666666667</v>
      </c>
      <c r="C37" s="4">
        <f>MAX('TANF-VIEW'!L40,'TANF-VIEW'!T40)</f>
        <v>0</v>
      </c>
      <c r="D37" s="4">
        <f>'Total income package'!$D$80</f>
        <v>0</v>
      </c>
      <c r="E37" s="4">
        <f>'Total income package'!$H$61+'Total income package'!$F$66</f>
        <v>250</v>
      </c>
      <c r="F37" s="4">
        <f t="shared" si="3"/>
        <v>1541.6666666666667</v>
      </c>
      <c r="G37" s="181" t="str">
        <f t="shared" si="4"/>
        <v>Yes</v>
      </c>
      <c r="H37" s="3">
        <f t="shared" si="5"/>
        <v>80</v>
      </c>
      <c r="I37" s="3">
        <f t="shared" si="6"/>
        <v>33.33</v>
      </c>
      <c r="J37" s="3">
        <f t="shared" si="1"/>
        <v>1428.3366666666668</v>
      </c>
      <c r="K37" s="3">
        <f t="shared" si="7"/>
        <v>428.50100000000003</v>
      </c>
      <c r="L37" s="3">
        <f t="shared" si="2"/>
        <v>154.16666666666669</v>
      </c>
      <c r="M37" s="3">
        <v>50</v>
      </c>
      <c r="N37" s="3">
        <f t="shared" si="8"/>
        <v>428.50100000000003</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37" s="337">
        <f>IF(AND(G37="Yes",'Total income package'!$A$14=TRUE,P37-N37&gt;0),P37-N37,0)</f>
        <v>1065.499</v>
      </c>
      <c r="R37" s="29"/>
    </row>
    <row r="38" spans="1:18" x14ac:dyDescent="0.3">
      <c r="A38" s="182">
        <v>16000</v>
      </c>
      <c r="B38" s="4">
        <f t="shared" si="0"/>
        <v>1333.3333333333333</v>
      </c>
      <c r="C38" s="4">
        <f>MAX('TANF-VIEW'!L41,'TANF-VIEW'!T41)</f>
        <v>0</v>
      </c>
      <c r="D38" s="4">
        <f>'Total income package'!$D$80</f>
        <v>0</v>
      </c>
      <c r="E38" s="4">
        <f>'Total income package'!$H$61+'Total income package'!$F$66</f>
        <v>250</v>
      </c>
      <c r="F38" s="4">
        <f t="shared" si="3"/>
        <v>1583.3333333333333</v>
      </c>
      <c r="G38" s="181" t="str">
        <f t="shared" si="4"/>
        <v>Yes</v>
      </c>
      <c r="H38" s="3">
        <f t="shared" si="5"/>
        <v>80</v>
      </c>
      <c r="I38" s="3">
        <f t="shared" si="6"/>
        <v>33.33</v>
      </c>
      <c r="J38" s="3">
        <f t="shared" si="1"/>
        <v>1470.0033333333333</v>
      </c>
      <c r="K38" s="3">
        <f t="shared" si="7"/>
        <v>441.00099999999998</v>
      </c>
      <c r="L38" s="3">
        <f t="shared" si="2"/>
        <v>158.33333333333334</v>
      </c>
      <c r="M38" s="3">
        <v>50</v>
      </c>
      <c r="N38" s="3">
        <f t="shared" si="8"/>
        <v>441.00099999999998</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38" s="337">
        <f>IF(AND(G38="Yes",'Total income package'!$A$14=TRUE,P38-N38&gt;0),P38-N38,0)</f>
        <v>1052.999</v>
      </c>
      <c r="R38" s="29"/>
    </row>
    <row r="39" spans="1:18" x14ac:dyDescent="0.3">
      <c r="A39" s="182">
        <v>16500</v>
      </c>
      <c r="B39" s="4">
        <f t="shared" si="0"/>
        <v>1375</v>
      </c>
      <c r="C39" s="4">
        <f>MAX('TANF-VIEW'!L42,'TANF-VIEW'!T42)</f>
        <v>0</v>
      </c>
      <c r="D39" s="4">
        <f>'Total income package'!$D$80</f>
        <v>0</v>
      </c>
      <c r="E39" s="4">
        <f>'Total income package'!$H$61+'Total income package'!$F$66</f>
        <v>250</v>
      </c>
      <c r="F39" s="4">
        <f t="shared" si="3"/>
        <v>1625</v>
      </c>
      <c r="G39" s="181" t="str">
        <f t="shared" si="4"/>
        <v>Yes</v>
      </c>
      <c r="H39" s="3">
        <f t="shared" si="5"/>
        <v>80</v>
      </c>
      <c r="I39" s="3">
        <f t="shared" si="6"/>
        <v>33.33</v>
      </c>
      <c r="J39" s="3">
        <f t="shared" si="1"/>
        <v>1511.67</v>
      </c>
      <c r="K39" s="3">
        <f t="shared" si="7"/>
        <v>453.50100000000003</v>
      </c>
      <c r="L39" s="3">
        <f t="shared" si="2"/>
        <v>162.5</v>
      </c>
      <c r="M39" s="3">
        <v>50</v>
      </c>
      <c r="N39" s="3">
        <f t="shared" si="8"/>
        <v>453.50100000000003</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39" s="337">
        <f>IF(AND(G39="Yes",'Total income package'!$A$14=TRUE,P39-N39&gt;0),P39-N39,0)</f>
        <v>1040.499</v>
      </c>
      <c r="R39" s="29"/>
    </row>
    <row r="40" spans="1:18" x14ac:dyDescent="0.3">
      <c r="A40" s="182">
        <v>17000</v>
      </c>
      <c r="B40" s="4">
        <f t="shared" si="0"/>
        <v>1416.6666666666667</v>
      </c>
      <c r="C40" s="4">
        <f>MAX('TANF-VIEW'!L43,'TANF-VIEW'!T43)</f>
        <v>0</v>
      </c>
      <c r="D40" s="4">
        <f>'Total income package'!$D$80</f>
        <v>0</v>
      </c>
      <c r="E40" s="4">
        <f>'Total income package'!$H$61+'Total income package'!$F$66</f>
        <v>250</v>
      </c>
      <c r="F40" s="4">
        <f t="shared" si="3"/>
        <v>1666.6666666666667</v>
      </c>
      <c r="G40" s="181" t="str">
        <f t="shared" si="4"/>
        <v>Yes</v>
      </c>
      <c r="H40" s="3">
        <f t="shared" si="5"/>
        <v>80</v>
      </c>
      <c r="I40" s="3">
        <f t="shared" si="6"/>
        <v>33.33</v>
      </c>
      <c r="J40" s="3">
        <f t="shared" si="1"/>
        <v>1553.3366666666668</v>
      </c>
      <c r="K40" s="3">
        <f t="shared" si="7"/>
        <v>466.00100000000003</v>
      </c>
      <c r="L40" s="3">
        <f t="shared" si="2"/>
        <v>166.66666666666669</v>
      </c>
      <c r="M40" s="3">
        <v>50</v>
      </c>
      <c r="N40" s="3">
        <f t="shared" si="8"/>
        <v>466.00100000000003</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40" s="337">
        <f>IF(AND(G40="Yes",'Total income package'!$A$14=TRUE,P40-N40&gt;0),P40-N40,0)</f>
        <v>1027.999</v>
      </c>
      <c r="R40" s="29"/>
    </row>
    <row r="41" spans="1:18" x14ac:dyDescent="0.3">
      <c r="A41" s="182">
        <v>17500</v>
      </c>
      <c r="B41" s="4">
        <f t="shared" si="0"/>
        <v>1458.3333333333333</v>
      </c>
      <c r="C41" s="4">
        <f>MAX('TANF-VIEW'!L44,'TANF-VIEW'!T44)</f>
        <v>0</v>
      </c>
      <c r="D41" s="4">
        <f>'Total income package'!$D$80</f>
        <v>0</v>
      </c>
      <c r="E41" s="4">
        <f>'Total income package'!$H$61+'Total income package'!$F$66</f>
        <v>250</v>
      </c>
      <c r="F41" s="4">
        <f t="shared" si="3"/>
        <v>1708.3333333333333</v>
      </c>
      <c r="G41" s="181" t="str">
        <f t="shared" si="4"/>
        <v>Yes</v>
      </c>
      <c r="H41" s="3">
        <f t="shared" si="5"/>
        <v>80</v>
      </c>
      <c r="I41" s="3">
        <f t="shared" si="6"/>
        <v>33.33</v>
      </c>
      <c r="J41" s="3">
        <f t="shared" si="1"/>
        <v>1595.0033333333333</v>
      </c>
      <c r="K41" s="3">
        <f t="shared" si="7"/>
        <v>478.50099999999998</v>
      </c>
      <c r="L41" s="3">
        <f t="shared" si="2"/>
        <v>170.83333333333334</v>
      </c>
      <c r="M41" s="3">
        <v>50</v>
      </c>
      <c r="N41" s="3">
        <f t="shared" si="8"/>
        <v>478.50099999999998</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41" s="337">
        <f>IF(AND(G41="Yes",'Total income package'!$A$14=TRUE,P41-N41&gt;0),P41-N41,0)</f>
        <v>1015.499</v>
      </c>
      <c r="R41" s="29"/>
    </row>
    <row r="42" spans="1:18" x14ac:dyDescent="0.3">
      <c r="A42" s="182">
        <v>18000</v>
      </c>
      <c r="B42" s="4">
        <f t="shared" si="0"/>
        <v>1500</v>
      </c>
      <c r="C42" s="4">
        <f>MAX('TANF-VIEW'!L45,'TANF-VIEW'!T45)</f>
        <v>0</v>
      </c>
      <c r="D42" s="4">
        <f>'Total income package'!$D$80</f>
        <v>0</v>
      </c>
      <c r="E42" s="4">
        <f>'Total income package'!$H$61+'Total income package'!$F$66</f>
        <v>250</v>
      </c>
      <c r="F42" s="4">
        <f t="shared" si="3"/>
        <v>1750</v>
      </c>
      <c r="G42" s="181" t="str">
        <f t="shared" si="4"/>
        <v>Yes</v>
      </c>
      <c r="H42" s="3">
        <f t="shared" si="5"/>
        <v>80</v>
      </c>
      <c r="I42" s="3">
        <f t="shared" si="6"/>
        <v>33.33</v>
      </c>
      <c r="J42" s="3">
        <f t="shared" si="1"/>
        <v>1636.67</v>
      </c>
      <c r="K42" s="3">
        <f t="shared" si="7"/>
        <v>491.00099999999998</v>
      </c>
      <c r="L42" s="3">
        <f t="shared" si="2"/>
        <v>175</v>
      </c>
      <c r="M42" s="3">
        <v>50</v>
      </c>
      <c r="N42" s="3">
        <f t="shared" si="8"/>
        <v>491.00099999999998</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42" s="337">
        <f>IF(AND(G42="Yes",'Total income package'!$A$14=TRUE,P42-N42&gt;0),P42-N42,0)</f>
        <v>1002.999</v>
      </c>
      <c r="R42" s="29"/>
    </row>
    <row r="43" spans="1:18" x14ac:dyDescent="0.3">
      <c r="A43" s="182">
        <v>18500</v>
      </c>
      <c r="B43" s="4">
        <f t="shared" si="0"/>
        <v>1541.6666666666667</v>
      </c>
      <c r="C43" s="4">
        <f>MAX('TANF-VIEW'!L46,'TANF-VIEW'!T46)</f>
        <v>0</v>
      </c>
      <c r="D43" s="4">
        <f>'Total income package'!$D$80</f>
        <v>0</v>
      </c>
      <c r="E43" s="4">
        <f>'Total income package'!$H$61+'Total income package'!$F$66</f>
        <v>250</v>
      </c>
      <c r="F43" s="4">
        <f t="shared" si="3"/>
        <v>1791.6666666666667</v>
      </c>
      <c r="G43" s="181" t="str">
        <f t="shared" si="4"/>
        <v>Yes</v>
      </c>
      <c r="H43" s="3">
        <f t="shared" si="5"/>
        <v>80</v>
      </c>
      <c r="I43" s="3">
        <f t="shared" si="6"/>
        <v>33.33</v>
      </c>
      <c r="J43" s="3">
        <f t="shared" si="1"/>
        <v>1678.3366666666668</v>
      </c>
      <c r="K43" s="3">
        <f t="shared" si="7"/>
        <v>503.50100000000003</v>
      </c>
      <c r="L43" s="3">
        <f t="shared" si="2"/>
        <v>179.16666666666669</v>
      </c>
      <c r="M43" s="3">
        <v>50</v>
      </c>
      <c r="N43" s="3">
        <f t="shared" si="8"/>
        <v>503.50100000000003</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43" s="337">
        <f>IF(AND(G43="Yes",'Total income package'!$A$14=TRUE,P43-N43&gt;0),P43-N43,0)</f>
        <v>990.49900000000002</v>
      </c>
      <c r="R43" s="29"/>
    </row>
    <row r="44" spans="1:18" x14ac:dyDescent="0.3">
      <c r="A44" s="182">
        <v>19000</v>
      </c>
      <c r="B44" s="4">
        <f t="shared" si="0"/>
        <v>1583.3333333333333</v>
      </c>
      <c r="C44" s="4">
        <f>MAX('TANF-VIEW'!L47,'TANF-VIEW'!T47)</f>
        <v>0</v>
      </c>
      <c r="D44" s="4">
        <f>'Total income package'!$D$80</f>
        <v>0</v>
      </c>
      <c r="E44" s="4">
        <f>'Total income package'!$H$61+'Total income package'!$F$66</f>
        <v>250</v>
      </c>
      <c r="F44" s="4">
        <f t="shared" si="3"/>
        <v>1833.3333333333333</v>
      </c>
      <c r="G44" s="181" t="str">
        <f t="shared" si="4"/>
        <v>Yes</v>
      </c>
      <c r="H44" s="3">
        <f t="shared" si="5"/>
        <v>80</v>
      </c>
      <c r="I44" s="3">
        <f t="shared" si="6"/>
        <v>33.33</v>
      </c>
      <c r="J44" s="3">
        <f t="shared" si="1"/>
        <v>1720.0033333333333</v>
      </c>
      <c r="K44" s="3">
        <f t="shared" si="7"/>
        <v>516.00099999999998</v>
      </c>
      <c r="L44" s="3">
        <f t="shared" si="2"/>
        <v>183.33333333333334</v>
      </c>
      <c r="M44" s="3">
        <v>50</v>
      </c>
      <c r="N44" s="3">
        <f t="shared" si="8"/>
        <v>516.00099999999998</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44" s="337">
        <f>IF(AND(G44="Yes",'Total income package'!$A$14=TRUE,P44-N44&gt;0),P44-N44,0)</f>
        <v>977.99900000000002</v>
      </c>
      <c r="R44" s="29"/>
    </row>
    <row r="45" spans="1:18" x14ac:dyDescent="0.3">
      <c r="A45" s="182">
        <v>19500</v>
      </c>
      <c r="B45" s="4">
        <f t="shared" si="0"/>
        <v>1625</v>
      </c>
      <c r="C45" s="4">
        <f>MAX('TANF-VIEW'!L48,'TANF-VIEW'!T48)</f>
        <v>0</v>
      </c>
      <c r="D45" s="4">
        <f>'Total income package'!$D$80</f>
        <v>0</v>
      </c>
      <c r="E45" s="4">
        <f>'Total income package'!$H$61+'Total income package'!$F$66</f>
        <v>250</v>
      </c>
      <c r="F45" s="4">
        <f t="shared" si="3"/>
        <v>1875</v>
      </c>
      <c r="G45" s="181" t="str">
        <f t="shared" si="4"/>
        <v>Yes</v>
      </c>
      <c r="H45" s="3">
        <f t="shared" si="5"/>
        <v>80</v>
      </c>
      <c r="I45" s="3">
        <f t="shared" si="6"/>
        <v>33.33</v>
      </c>
      <c r="J45" s="3">
        <f t="shared" si="1"/>
        <v>1761.67</v>
      </c>
      <c r="K45" s="3">
        <f t="shared" si="7"/>
        <v>528.50099999999998</v>
      </c>
      <c r="L45" s="3">
        <f t="shared" si="2"/>
        <v>187.5</v>
      </c>
      <c r="M45" s="3">
        <v>50</v>
      </c>
      <c r="N45" s="3">
        <f t="shared" si="8"/>
        <v>528.50099999999998</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45" s="337">
        <f>IF(AND(G45="Yes",'Total income package'!$A$14=TRUE,P45-N45&gt;0),P45-N45,0)</f>
        <v>965.49900000000002</v>
      </c>
      <c r="R45" s="29"/>
    </row>
    <row r="46" spans="1:18" x14ac:dyDescent="0.3">
      <c r="A46" s="182">
        <v>20000</v>
      </c>
      <c r="B46" s="4">
        <f t="shared" si="0"/>
        <v>1666.6666666666667</v>
      </c>
      <c r="C46" s="4">
        <f>MAX('TANF-VIEW'!L49,'TANF-VIEW'!T49)</f>
        <v>0</v>
      </c>
      <c r="D46" s="4">
        <f>'Total income package'!$D$80</f>
        <v>0</v>
      </c>
      <c r="E46" s="4">
        <f>'Total income package'!$H$61+'Total income package'!$F$66</f>
        <v>250</v>
      </c>
      <c r="F46" s="4">
        <f t="shared" si="3"/>
        <v>1916.6666666666667</v>
      </c>
      <c r="G46" s="181" t="str">
        <f t="shared" si="4"/>
        <v>Yes</v>
      </c>
      <c r="H46" s="3">
        <f t="shared" si="5"/>
        <v>80</v>
      </c>
      <c r="I46" s="3">
        <f t="shared" si="6"/>
        <v>33.33</v>
      </c>
      <c r="J46" s="3">
        <f t="shared" si="1"/>
        <v>1803.3366666666668</v>
      </c>
      <c r="K46" s="3">
        <f t="shared" si="7"/>
        <v>541.00099999999998</v>
      </c>
      <c r="L46" s="3">
        <f t="shared" si="2"/>
        <v>191.66666666666669</v>
      </c>
      <c r="M46" s="3">
        <v>50</v>
      </c>
      <c r="N46" s="3">
        <f t="shared" si="8"/>
        <v>541.00099999999998</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46" s="337">
        <f>IF(AND(G46="Yes",'Total income package'!$A$14=TRUE,P46-N46&gt;0),P46-N46,0)</f>
        <v>952.99900000000002</v>
      </c>
      <c r="R46" s="29"/>
    </row>
    <row r="47" spans="1:18" x14ac:dyDescent="0.3">
      <c r="A47" s="182">
        <v>20500</v>
      </c>
      <c r="B47" s="4">
        <f t="shared" si="0"/>
        <v>1708.3333333333333</v>
      </c>
      <c r="C47" s="4">
        <f>MAX('TANF-VIEW'!L50,'TANF-VIEW'!T50)</f>
        <v>0</v>
      </c>
      <c r="D47" s="4">
        <f>'Total income package'!$D$80</f>
        <v>0</v>
      </c>
      <c r="E47" s="4">
        <f>'Total income package'!$H$61+'Total income package'!$F$66</f>
        <v>250</v>
      </c>
      <c r="F47" s="4">
        <f t="shared" si="3"/>
        <v>1958.3333333333333</v>
      </c>
      <c r="G47" s="181" t="str">
        <f t="shared" si="4"/>
        <v>Yes</v>
      </c>
      <c r="H47" s="3">
        <f t="shared" si="5"/>
        <v>80</v>
      </c>
      <c r="I47" s="3">
        <f t="shared" si="6"/>
        <v>33.33</v>
      </c>
      <c r="J47" s="3">
        <f t="shared" si="1"/>
        <v>1845.0033333333333</v>
      </c>
      <c r="K47" s="3">
        <f t="shared" si="7"/>
        <v>553.50099999999998</v>
      </c>
      <c r="L47" s="3">
        <f t="shared" si="2"/>
        <v>195.83333333333334</v>
      </c>
      <c r="M47" s="3">
        <v>50</v>
      </c>
      <c r="N47" s="3">
        <f t="shared" si="8"/>
        <v>553.50099999999998</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47" s="337">
        <f>IF(AND(G47="Yes",'Total income package'!$A$14=TRUE,P47-N47&gt;0),P47-N47,0)</f>
        <v>940.49900000000002</v>
      </c>
      <c r="R47" s="29"/>
    </row>
    <row r="48" spans="1:18" x14ac:dyDescent="0.3">
      <c r="A48" s="182">
        <v>21000</v>
      </c>
      <c r="B48" s="4">
        <f t="shared" si="0"/>
        <v>1750</v>
      </c>
      <c r="C48" s="4">
        <f>MAX('TANF-VIEW'!L51,'TANF-VIEW'!T51)</f>
        <v>0</v>
      </c>
      <c r="D48" s="4">
        <f>'Total income package'!$D$80</f>
        <v>0</v>
      </c>
      <c r="E48" s="4">
        <f>'Total income package'!$H$61+'Total income package'!$F$66</f>
        <v>250</v>
      </c>
      <c r="F48" s="4">
        <f t="shared" si="3"/>
        <v>2000</v>
      </c>
      <c r="G48" s="181" t="str">
        <f t="shared" si="4"/>
        <v>Yes</v>
      </c>
      <c r="H48" s="3">
        <f t="shared" si="5"/>
        <v>80</v>
      </c>
      <c r="I48" s="3">
        <f t="shared" si="6"/>
        <v>33.33</v>
      </c>
      <c r="J48" s="3">
        <f t="shared" si="1"/>
        <v>1886.67</v>
      </c>
      <c r="K48" s="3">
        <f t="shared" si="7"/>
        <v>566.00099999999998</v>
      </c>
      <c r="L48" s="3">
        <f t="shared" si="2"/>
        <v>200</v>
      </c>
      <c r="M48" s="3">
        <v>50</v>
      </c>
      <c r="N48" s="3">
        <f t="shared" si="8"/>
        <v>566.00099999999998</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48" s="337">
        <f>IF(AND(G48="Yes",'Total income package'!$A$14=TRUE,P48-N48&gt;0),P48-N48,0)</f>
        <v>927.99900000000002</v>
      </c>
      <c r="R48" s="29"/>
    </row>
    <row r="49" spans="1:18" x14ac:dyDescent="0.3">
      <c r="A49" s="182">
        <v>21500</v>
      </c>
      <c r="B49" s="4">
        <f t="shared" si="0"/>
        <v>1791.6666666666667</v>
      </c>
      <c r="C49" s="4">
        <f>MAX('TANF-VIEW'!L52,'TANF-VIEW'!T52)</f>
        <v>0</v>
      </c>
      <c r="D49" s="4">
        <f>'Total income package'!$D$80</f>
        <v>0</v>
      </c>
      <c r="E49" s="4">
        <f>'Total income package'!$H$61+'Total income package'!$F$66</f>
        <v>250</v>
      </c>
      <c r="F49" s="4">
        <f t="shared" si="3"/>
        <v>2041.6666666666667</v>
      </c>
      <c r="G49" s="181" t="str">
        <f t="shared" si="4"/>
        <v>Yes</v>
      </c>
      <c r="H49" s="3">
        <f t="shared" si="5"/>
        <v>80</v>
      </c>
      <c r="I49" s="3">
        <f t="shared" si="6"/>
        <v>33.33</v>
      </c>
      <c r="J49" s="3">
        <f t="shared" si="1"/>
        <v>1928.3366666666668</v>
      </c>
      <c r="K49" s="3">
        <f t="shared" si="7"/>
        <v>578.50099999999998</v>
      </c>
      <c r="L49" s="3">
        <f t="shared" si="2"/>
        <v>204.16666666666669</v>
      </c>
      <c r="M49" s="3">
        <v>50</v>
      </c>
      <c r="N49" s="3">
        <f t="shared" si="8"/>
        <v>578.50099999999998</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49" s="337">
        <f>IF(AND(G49="Yes",'Total income package'!$A$14=TRUE,P49-N49&gt;0),P49-N49,0)</f>
        <v>915.49900000000002</v>
      </c>
      <c r="R49" s="29"/>
    </row>
    <row r="50" spans="1:18" x14ac:dyDescent="0.3">
      <c r="A50" s="182">
        <v>22000</v>
      </c>
      <c r="B50" s="4">
        <f t="shared" si="0"/>
        <v>1833.3333333333333</v>
      </c>
      <c r="C50" s="4">
        <f>MAX('TANF-VIEW'!L53,'TANF-VIEW'!T53)</f>
        <v>0</v>
      </c>
      <c r="D50" s="4">
        <f>'Total income package'!$D$80</f>
        <v>0</v>
      </c>
      <c r="E50" s="4">
        <f>'Total income package'!$H$61+'Total income package'!$F$66</f>
        <v>250</v>
      </c>
      <c r="F50" s="4">
        <f t="shared" si="3"/>
        <v>2083.333333333333</v>
      </c>
      <c r="G50" s="181" t="str">
        <f t="shared" si="4"/>
        <v>Yes</v>
      </c>
      <c r="H50" s="3">
        <f t="shared" si="5"/>
        <v>80</v>
      </c>
      <c r="I50" s="3">
        <f t="shared" si="6"/>
        <v>33.33</v>
      </c>
      <c r="J50" s="3">
        <f t="shared" si="1"/>
        <v>1970.0033333333331</v>
      </c>
      <c r="K50" s="3">
        <f t="shared" si="7"/>
        <v>591.00099999999986</v>
      </c>
      <c r="L50" s="3">
        <f t="shared" si="2"/>
        <v>208.33333333333331</v>
      </c>
      <c r="M50" s="3">
        <v>50</v>
      </c>
      <c r="N50" s="3">
        <f t="shared" si="8"/>
        <v>591.00099999999986</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50" s="337">
        <f>IF(AND(G50="Yes",'Total income package'!$A$14=TRUE,P50-N50&gt;0),P50-N50,0)</f>
        <v>902.99900000000014</v>
      </c>
      <c r="R50" s="29"/>
    </row>
    <row r="51" spans="1:18" x14ac:dyDescent="0.3">
      <c r="A51" s="182">
        <v>22500</v>
      </c>
      <c r="B51" s="4">
        <f t="shared" si="0"/>
        <v>1875</v>
      </c>
      <c r="C51" s="4">
        <f>MAX('TANF-VIEW'!L54,'TANF-VIEW'!T54)</f>
        <v>0</v>
      </c>
      <c r="D51" s="4">
        <f>'Total income package'!$D$80</f>
        <v>0</v>
      </c>
      <c r="E51" s="4">
        <f>'Total income package'!$H$61+'Total income package'!$F$66</f>
        <v>250</v>
      </c>
      <c r="F51" s="4">
        <f t="shared" si="3"/>
        <v>2125</v>
      </c>
      <c r="G51" s="181" t="str">
        <f t="shared" si="4"/>
        <v>Yes</v>
      </c>
      <c r="H51" s="3">
        <f t="shared" si="5"/>
        <v>80</v>
      </c>
      <c r="I51" s="3">
        <f t="shared" si="6"/>
        <v>33.33</v>
      </c>
      <c r="J51" s="3">
        <f t="shared" si="1"/>
        <v>2011.67</v>
      </c>
      <c r="K51" s="3">
        <f t="shared" si="7"/>
        <v>603.50099999999998</v>
      </c>
      <c r="L51" s="3">
        <f t="shared" si="2"/>
        <v>212.5</v>
      </c>
      <c r="M51" s="3">
        <v>50</v>
      </c>
      <c r="N51" s="3">
        <f t="shared" si="8"/>
        <v>603.50099999999998</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51" s="337">
        <f>IF(AND(G51="Yes",'Total income package'!$A$14=TRUE,P51-N51&gt;0),P51-N51,0)</f>
        <v>890.49900000000002</v>
      </c>
      <c r="R51" s="29"/>
    </row>
    <row r="52" spans="1:18" x14ac:dyDescent="0.3">
      <c r="A52" s="182">
        <v>23000</v>
      </c>
      <c r="B52" s="4">
        <f t="shared" si="0"/>
        <v>1916.6666666666667</v>
      </c>
      <c r="C52" s="4">
        <f>MAX('TANF-VIEW'!L55,'TANF-VIEW'!T55)</f>
        <v>0</v>
      </c>
      <c r="D52" s="4">
        <f>'Total income package'!$D$80</f>
        <v>0</v>
      </c>
      <c r="E52" s="4">
        <f>'Total income package'!$H$61+'Total income package'!$F$66</f>
        <v>250</v>
      </c>
      <c r="F52" s="4">
        <f t="shared" si="3"/>
        <v>2166.666666666667</v>
      </c>
      <c r="G52" s="181" t="str">
        <f t="shared" si="4"/>
        <v>Yes</v>
      </c>
      <c r="H52" s="3">
        <f t="shared" si="5"/>
        <v>80</v>
      </c>
      <c r="I52" s="3">
        <f t="shared" si="6"/>
        <v>33.33</v>
      </c>
      <c r="J52" s="3">
        <f t="shared" si="1"/>
        <v>2053.336666666667</v>
      </c>
      <c r="K52" s="3">
        <f t="shared" si="7"/>
        <v>616.00100000000009</v>
      </c>
      <c r="L52" s="3">
        <f t="shared" si="2"/>
        <v>216.66666666666671</v>
      </c>
      <c r="M52" s="3">
        <v>50</v>
      </c>
      <c r="N52" s="3">
        <f t="shared" si="8"/>
        <v>616.00100000000009</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52" s="337">
        <f>IF(AND(G52="Yes",'Total income package'!$A$14=TRUE,P52-N52&gt;0),P52-N52,0)</f>
        <v>877.99899999999991</v>
      </c>
      <c r="R52" s="29"/>
    </row>
    <row r="53" spans="1:18" x14ac:dyDescent="0.3">
      <c r="A53" s="182">
        <v>23500</v>
      </c>
      <c r="B53" s="4">
        <f t="shared" si="0"/>
        <v>1958.3333333333333</v>
      </c>
      <c r="C53" s="4">
        <f>MAX('TANF-VIEW'!L56,'TANF-VIEW'!T56)</f>
        <v>0</v>
      </c>
      <c r="D53" s="4">
        <f>'Total income package'!$D$80</f>
        <v>0</v>
      </c>
      <c r="E53" s="4">
        <f>'Total income package'!$H$61+'Total income package'!$F$66</f>
        <v>250</v>
      </c>
      <c r="F53" s="4">
        <f t="shared" si="3"/>
        <v>2208.333333333333</v>
      </c>
      <c r="G53" s="181" t="str">
        <f t="shared" si="4"/>
        <v>Yes</v>
      </c>
      <c r="H53" s="3">
        <f t="shared" si="5"/>
        <v>80</v>
      </c>
      <c r="I53" s="3">
        <f t="shared" si="6"/>
        <v>33.33</v>
      </c>
      <c r="J53" s="3">
        <f t="shared" si="1"/>
        <v>2095.0033333333331</v>
      </c>
      <c r="K53" s="3">
        <f t="shared" si="7"/>
        <v>628.50099999999986</v>
      </c>
      <c r="L53" s="3">
        <f t="shared" si="2"/>
        <v>220.83333333333331</v>
      </c>
      <c r="M53" s="3">
        <v>50</v>
      </c>
      <c r="N53" s="3">
        <f t="shared" si="8"/>
        <v>628.50099999999986</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53" s="337">
        <f>IF(AND(G53="Yes",'Total income package'!$A$14=TRUE,P53-N53&gt;0),P53-N53,0)</f>
        <v>865.49900000000014</v>
      </c>
      <c r="R53" s="29"/>
    </row>
    <row r="54" spans="1:18" x14ac:dyDescent="0.3">
      <c r="A54" s="182">
        <v>24000</v>
      </c>
      <c r="B54" s="4">
        <f t="shared" si="0"/>
        <v>2000</v>
      </c>
      <c r="C54" s="4">
        <f>MAX('TANF-VIEW'!L57,'TANF-VIEW'!T57)</f>
        <v>0</v>
      </c>
      <c r="D54" s="4">
        <f>'Total income package'!$D$80</f>
        <v>0</v>
      </c>
      <c r="E54" s="4">
        <f>'Total income package'!$H$61+'Total income package'!$F$66</f>
        <v>250</v>
      </c>
      <c r="F54" s="4">
        <f t="shared" si="3"/>
        <v>2250</v>
      </c>
      <c r="G54" s="181" t="str">
        <f t="shared" si="4"/>
        <v>Yes</v>
      </c>
      <c r="H54" s="3">
        <f t="shared" si="5"/>
        <v>80</v>
      </c>
      <c r="I54" s="3">
        <f t="shared" si="6"/>
        <v>33.33</v>
      </c>
      <c r="J54" s="3">
        <f t="shared" si="1"/>
        <v>2136.67</v>
      </c>
      <c r="K54" s="3">
        <f t="shared" si="7"/>
        <v>641.00099999999998</v>
      </c>
      <c r="L54" s="3">
        <f t="shared" si="2"/>
        <v>225</v>
      </c>
      <c r="M54" s="3">
        <v>50</v>
      </c>
      <c r="N54" s="3">
        <f t="shared" si="8"/>
        <v>641.00099999999998</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54" s="337">
        <f>IF(AND(G54="Yes",'Total income package'!$A$14=TRUE,P54-N54&gt;0),P54-N54,0)</f>
        <v>852.99900000000002</v>
      </c>
      <c r="R54" s="29"/>
    </row>
    <row r="55" spans="1:18" x14ac:dyDescent="0.3">
      <c r="A55" s="182">
        <v>24500</v>
      </c>
      <c r="B55" s="4">
        <f t="shared" si="0"/>
        <v>2041.6666666666667</v>
      </c>
      <c r="C55" s="4">
        <f>MAX('TANF-VIEW'!L58,'TANF-VIEW'!T58)</f>
        <v>0</v>
      </c>
      <c r="D55" s="4">
        <f>'Total income package'!$D$80</f>
        <v>0</v>
      </c>
      <c r="E55" s="4">
        <f>'Total income package'!$H$61+'Total income package'!$F$66</f>
        <v>250</v>
      </c>
      <c r="F55" s="4">
        <f t="shared" si="3"/>
        <v>2291.666666666667</v>
      </c>
      <c r="G55" s="181" t="str">
        <f t="shared" si="4"/>
        <v>Yes</v>
      </c>
      <c r="H55" s="3">
        <f t="shared" si="5"/>
        <v>80</v>
      </c>
      <c r="I55" s="3">
        <f t="shared" si="6"/>
        <v>33.33</v>
      </c>
      <c r="J55" s="3">
        <f t="shared" si="1"/>
        <v>2178.336666666667</v>
      </c>
      <c r="K55" s="3">
        <f t="shared" si="7"/>
        <v>653.50100000000009</v>
      </c>
      <c r="L55" s="3">
        <f t="shared" si="2"/>
        <v>229.16666666666671</v>
      </c>
      <c r="M55" s="3">
        <v>50</v>
      </c>
      <c r="N55" s="3">
        <f t="shared" si="8"/>
        <v>653.50100000000009</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55" s="337">
        <f>IF(AND(G55="Yes",'Total income package'!$A$14=TRUE,P55-N55&gt;0),P55-N55,0)</f>
        <v>840.49899999999991</v>
      </c>
      <c r="R55" s="29"/>
    </row>
    <row r="56" spans="1:18" x14ac:dyDescent="0.3">
      <c r="A56" s="182">
        <v>25000</v>
      </c>
      <c r="B56" s="4">
        <f t="shared" si="0"/>
        <v>2083.3333333333335</v>
      </c>
      <c r="C56" s="4">
        <f>MAX('TANF-VIEW'!L59,'TANF-VIEW'!T59)</f>
        <v>0</v>
      </c>
      <c r="D56" s="4">
        <f>'Total income package'!$D$80</f>
        <v>0</v>
      </c>
      <c r="E56" s="4">
        <f>'Total income package'!$H$61+'Total income package'!$F$66</f>
        <v>250</v>
      </c>
      <c r="F56" s="4">
        <f t="shared" si="3"/>
        <v>2333.3333333333335</v>
      </c>
      <c r="G56" s="181" t="str">
        <f t="shared" si="4"/>
        <v>Yes</v>
      </c>
      <c r="H56" s="3">
        <f t="shared" si="5"/>
        <v>80</v>
      </c>
      <c r="I56" s="3">
        <f t="shared" si="6"/>
        <v>33.33</v>
      </c>
      <c r="J56" s="3">
        <f t="shared" si="1"/>
        <v>2220.0033333333336</v>
      </c>
      <c r="K56" s="3">
        <f t="shared" si="7"/>
        <v>666.00100000000009</v>
      </c>
      <c r="L56" s="3">
        <f t="shared" si="2"/>
        <v>233.33333333333337</v>
      </c>
      <c r="M56" s="3">
        <v>50</v>
      </c>
      <c r="N56" s="3">
        <f t="shared" si="8"/>
        <v>666.00100000000009</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56" s="337">
        <f>IF(AND(G56="Yes",'Total income package'!$A$14=TRUE,P56-N56&gt;0),P56-N56,0)</f>
        <v>827.99899999999991</v>
      </c>
      <c r="R56" s="29"/>
    </row>
    <row r="57" spans="1:18" x14ac:dyDescent="0.3">
      <c r="A57" s="182">
        <v>25500</v>
      </c>
      <c r="B57" s="4">
        <f t="shared" si="0"/>
        <v>2125</v>
      </c>
      <c r="C57" s="4">
        <f>MAX('TANF-VIEW'!L60,'TANF-VIEW'!T60)</f>
        <v>0</v>
      </c>
      <c r="D57" s="4">
        <f>'Total income package'!$D$80</f>
        <v>0</v>
      </c>
      <c r="E57" s="4">
        <f>'Total income package'!$H$61+'Total income package'!$F$66</f>
        <v>250</v>
      </c>
      <c r="F57" s="4">
        <f t="shared" si="3"/>
        <v>2375</v>
      </c>
      <c r="G57" s="181" t="str">
        <f t="shared" si="4"/>
        <v>Yes</v>
      </c>
      <c r="H57" s="3">
        <f t="shared" si="5"/>
        <v>80</v>
      </c>
      <c r="I57" s="3">
        <f t="shared" si="6"/>
        <v>33.33</v>
      </c>
      <c r="J57" s="3">
        <f t="shared" si="1"/>
        <v>2261.67</v>
      </c>
      <c r="K57" s="3">
        <f t="shared" si="7"/>
        <v>678.50099999999998</v>
      </c>
      <c r="L57" s="3">
        <f t="shared" si="2"/>
        <v>237.5</v>
      </c>
      <c r="M57" s="3">
        <v>50</v>
      </c>
      <c r="N57" s="3">
        <f t="shared" si="8"/>
        <v>678.50099999999998</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57" s="337">
        <f>IF(AND(G57="Yes",'Total income package'!$A$14=TRUE,P57-N57&gt;0),P57-N57,0)</f>
        <v>815.49900000000002</v>
      </c>
      <c r="R57" s="29"/>
    </row>
    <row r="58" spans="1:18" x14ac:dyDescent="0.3">
      <c r="A58" s="182">
        <v>26000</v>
      </c>
      <c r="B58" s="4">
        <f t="shared" si="0"/>
        <v>2166.6666666666665</v>
      </c>
      <c r="C58" s="4">
        <f>MAX('TANF-VIEW'!L61,'TANF-VIEW'!T61)</f>
        <v>0</v>
      </c>
      <c r="D58" s="4">
        <f>'Total income package'!$D$80</f>
        <v>0</v>
      </c>
      <c r="E58" s="4">
        <f>'Total income package'!$H$61+'Total income package'!$F$66</f>
        <v>250</v>
      </c>
      <c r="F58" s="4">
        <f t="shared" si="3"/>
        <v>2416.6666666666665</v>
      </c>
      <c r="G58" s="181" t="str">
        <f t="shared" si="4"/>
        <v>Yes</v>
      </c>
      <c r="H58" s="3">
        <f t="shared" si="5"/>
        <v>80</v>
      </c>
      <c r="I58" s="3">
        <f t="shared" si="6"/>
        <v>33.33</v>
      </c>
      <c r="J58" s="3">
        <f t="shared" si="1"/>
        <v>2303.3366666666666</v>
      </c>
      <c r="K58" s="3">
        <f t="shared" si="7"/>
        <v>691.00099999999998</v>
      </c>
      <c r="L58" s="3">
        <f t="shared" si="2"/>
        <v>241.66666666666666</v>
      </c>
      <c r="M58" s="3">
        <v>50</v>
      </c>
      <c r="N58" s="3">
        <f t="shared" si="8"/>
        <v>691.00099999999998</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58" s="337">
        <f>IF(AND(G58="Yes",'Total income package'!$A$14=TRUE,P58-N58&gt;0),P58-N58,0)</f>
        <v>802.99900000000002</v>
      </c>
      <c r="R58" s="29"/>
    </row>
    <row r="59" spans="1:18" x14ac:dyDescent="0.3">
      <c r="A59" s="182">
        <v>26500</v>
      </c>
      <c r="B59" s="4">
        <f t="shared" si="0"/>
        <v>2208.3333333333335</v>
      </c>
      <c r="C59" s="4">
        <f>MAX('TANF-VIEW'!L62,'TANF-VIEW'!T62)</f>
        <v>0</v>
      </c>
      <c r="D59" s="4">
        <f>'Total income package'!$D$80</f>
        <v>0</v>
      </c>
      <c r="E59" s="4">
        <f>'Total income package'!$H$61+'Total income package'!$F$66</f>
        <v>250</v>
      </c>
      <c r="F59" s="4">
        <f t="shared" si="3"/>
        <v>2458.3333333333335</v>
      </c>
      <c r="G59" s="181" t="str">
        <f t="shared" si="4"/>
        <v>Yes</v>
      </c>
      <c r="H59" s="3">
        <f t="shared" si="5"/>
        <v>80</v>
      </c>
      <c r="I59" s="3">
        <f t="shared" si="6"/>
        <v>33.33</v>
      </c>
      <c r="J59" s="3">
        <f t="shared" si="1"/>
        <v>2345.0033333333336</v>
      </c>
      <c r="K59" s="3">
        <f t="shared" si="7"/>
        <v>703.50100000000009</v>
      </c>
      <c r="L59" s="3">
        <f t="shared" si="2"/>
        <v>245.83333333333337</v>
      </c>
      <c r="M59" s="3">
        <v>50</v>
      </c>
      <c r="N59" s="3">
        <f t="shared" si="8"/>
        <v>703.50100000000009</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59" s="337">
        <f>IF(AND(G59="Yes",'Total income package'!$A$14=TRUE,P59-N59&gt;0),P59-N59,0)</f>
        <v>790.49899999999991</v>
      </c>
      <c r="R59" s="29"/>
    </row>
    <row r="60" spans="1:18" x14ac:dyDescent="0.3">
      <c r="A60" s="182">
        <v>27000</v>
      </c>
      <c r="B60" s="4">
        <f t="shared" si="0"/>
        <v>2250</v>
      </c>
      <c r="C60" s="4">
        <f>MAX('TANF-VIEW'!L63,'TANF-VIEW'!T63)</f>
        <v>0</v>
      </c>
      <c r="D60" s="4">
        <f>'Total income package'!$D$80</f>
        <v>0</v>
      </c>
      <c r="E60" s="4">
        <f>'Total income package'!$H$61+'Total income package'!$F$66</f>
        <v>250</v>
      </c>
      <c r="F60" s="4">
        <f t="shared" si="3"/>
        <v>2500</v>
      </c>
      <c r="G60" s="181" t="str">
        <f t="shared" si="4"/>
        <v>Yes</v>
      </c>
      <c r="H60" s="3">
        <f t="shared" si="5"/>
        <v>80</v>
      </c>
      <c r="I60" s="3">
        <f t="shared" si="6"/>
        <v>33.33</v>
      </c>
      <c r="J60" s="3">
        <f t="shared" si="1"/>
        <v>2386.67</v>
      </c>
      <c r="K60" s="3">
        <f t="shared" si="7"/>
        <v>716.00099999999998</v>
      </c>
      <c r="L60" s="3">
        <f t="shared" si="2"/>
        <v>250</v>
      </c>
      <c r="M60" s="3">
        <v>50</v>
      </c>
      <c r="N60" s="3">
        <f t="shared" si="8"/>
        <v>716.00099999999998</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60" s="337">
        <f>IF(AND(G60="Yes",'Total income package'!$A$14=TRUE,P60-N60&gt;0),P60-N60,0)</f>
        <v>777.99900000000002</v>
      </c>
      <c r="R60" s="29"/>
    </row>
    <row r="61" spans="1:18" x14ac:dyDescent="0.3">
      <c r="A61" s="182">
        <v>27500</v>
      </c>
      <c r="B61" s="4">
        <f t="shared" si="0"/>
        <v>2291.6666666666665</v>
      </c>
      <c r="C61" s="4">
        <f>MAX('TANF-VIEW'!L64,'TANF-VIEW'!T64)</f>
        <v>0</v>
      </c>
      <c r="D61" s="4">
        <f>'Total income package'!$D$80</f>
        <v>0</v>
      </c>
      <c r="E61" s="4">
        <f>'Total income package'!$H$61+'Total income package'!$F$66</f>
        <v>250</v>
      </c>
      <c r="F61" s="4">
        <f t="shared" si="3"/>
        <v>2541.6666666666665</v>
      </c>
      <c r="G61" s="181" t="str">
        <f t="shared" si="4"/>
        <v>Yes</v>
      </c>
      <c r="H61" s="3">
        <f t="shared" si="5"/>
        <v>80</v>
      </c>
      <c r="I61" s="3">
        <f t="shared" si="6"/>
        <v>33.33</v>
      </c>
      <c r="J61" s="3">
        <f t="shared" si="1"/>
        <v>2428.3366666666666</v>
      </c>
      <c r="K61" s="3">
        <f t="shared" si="7"/>
        <v>728.50099999999998</v>
      </c>
      <c r="L61" s="3">
        <f t="shared" si="2"/>
        <v>254.16666666666666</v>
      </c>
      <c r="M61" s="3">
        <v>50</v>
      </c>
      <c r="N61" s="3">
        <f t="shared" si="8"/>
        <v>728.50099999999998</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61" s="337">
        <f>IF(AND(G61="Yes",'Total income package'!$A$14=TRUE,P61-N61&gt;0),P61-N61,0)</f>
        <v>765.49900000000002</v>
      </c>
      <c r="R61" s="29"/>
    </row>
    <row r="62" spans="1:18" x14ac:dyDescent="0.3">
      <c r="A62" s="182">
        <v>28000</v>
      </c>
      <c r="B62" s="4">
        <f t="shared" si="0"/>
        <v>2333.3333333333335</v>
      </c>
      <c r="C62" s="4">
        <f>MAX('TANF-VIEW'!L65,'TANF-VIEW'!T65)</f>
        <v>0</v>
      </c>
      <c r="D62" s="4">
        <f>'Total income package'!$D$80</f>
        <v>0</v>
      </c>
      <c r="E62" s="4">
        <f>'Total income package'!$H$61+'Total income package'!$F$66</f>
        <v>250</v>
      </c>
      <c r="F62" s="4">
        <f t="shared" si="3"/>
        <v>2583.3333333333335</v>
      </c>
      <c r="G62" s="181" t="str">
        <f t="shared" si="4"/>
        <v>Yes</v>
      </c>
      <c r="H62" s="3">
        <f t="shared" si="5"/>
        <v>80</v>
      </c>
      <c r="I62" s="3">
        <f t="shared" si="6"/>
        <v>33.33</v>
      </c>
      <c r="J62" s="3">
        <f t="shared" si="1"/>
        <v>2470.0033333333336</v>
      </c>
      <c r="K62" s="3">
        <f t="shared" si="7"/>
        <v>741.00100000000009</v>
      </c>
      <c r="L62" s="3">
        <f t="shared" si="2"/>
        <v>258.33333333333337</v>
      </c>
      <c r="M62" s="3">
        <v>50</v>
      </c>
      <c r="N62" s="3">
        <f t="shared" si="8"/>
        <v>741.00100000000009</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62" s="337">
        <f>IF(AND(G62="Yes",'Total income package'!$A$14=TRUE,P62-N62&gt;0),P62-N62,0)</f>
        <v>752.99899999999991</v>
      </c>
      <c r="R62" s="29"/>
    </row>
    <row r="63" spans="1:18" x14ac:dyDescent="0.3">
      <c r="A63" s="182">
        <v>28500</v>
      </c>
      <c r="B63" s="4">
        <f t="shared" si="0"/>
        <v>2375</v>
      </c>
      <c r="C63" s="4">
        <f>MAX('TANF-VIEW'!L66,'TANF-VIEW'!T66)</f>
        <v>0</v>
      </c>
      <c r="D63" s="4">
        <f>'Total income package'!$D$80</f>
        <v>0</v>
      </c>
      <c r="E63" s="4">
        <f>'Total income package'!$H$61+'Total income package'!$F$66</f>
        <v>250</v>
      </c>
      <c r="F63" s="4">
        <f t="shared" si="3"/>
        <v>2625</v>
      </c>
      <c r="G63" s="181" t="str">
        <f t="shared" si="4"/>
        <v>Yes</v>
      </c>
      <c r="H63" s="3">
        <f t="shared" si="5"/>
        <v>80</v>
      </c>
      <c r="I63" s="3">
        <f t="shared" si="6"/>
        <v>33.33</v>
      </c>
      <c r="J63" s="3">
        <f t="shared" si="1"/>
        <v>2511.67</v>
      </c>
      <c r="K63" s="3">
        <f t="shared" si="7"/>
        <v>753.50099999999998</v>
      </c>
      <c r="L63" s="3">
        <f t="shared" si="2"/>
        <v>262.5</v>
      </c>
      <c r="M63" s="3">
        <v>50</v>
      </c>
      <c r="N63" s="3">
        <f t="shared" si="8"/>
        <v>753.50099999999998</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63" s="337">
        <f>IF(AND(G63="Yes",'Total income package'!$A$14=TRUE,P63-N63&gt;0),P63-N63,0)</f>
        <v>740.49900000000002</v>
      </c>
      <c r="R63" s="29"/>
    </row>
    <row r="64" spans="1:18" x14ac:dyDescent="0.3">
      <c r="A64" s="182">
        <v>29000</v>
      </c>
      <c r="B64" s="4">
        <f t="shared" si="0"/>
        <v>2416.6666666666665</v>
      </c>
      <c r="C64" s="4">
        <f>MAX('TANF-VIEW'!L67,'TANF-VIEW'!T67)</f>
        <v>0</v>
      </c>
      <c r="D64" s="4">
        <f>'Total income package'!$D$80</f>
        <v>0</v>
      </c>
      <c r="E64" s="4">
        <f>'Total income package'!$H$61+'Total income package'!$F$66</f>
        <v>250</v>
      </c>
      <c r="F64" s="4">
        <f t="shared" si="3"/>
        <v>2666.6666666666665</v>
      </c>
      <c r="G64" s="181" t="str">
        <f t="shared" si="4"/>
        <v>Yes</v>
      </c>
      <c r="H64" s="3">
        <f t="shared" si="5"/>
        <v>80</v>
      </c>
      <c r="I64" s="3">
        <f t="shared" si="6"/>
        <v>33.33</v>
      </c>
      <c r="J64" s="3">
        <f t="shared" si="1"/>
        <v>2553.3366666666666</v>
      </c>
      <c r="K64" s="3">
        <f t="shared" si="7"/>
        <v>766.00099999999998</v>
      </c>
      <c r="L64" s="3">
        <f t="shared" si="2"/>
        <v>266.66666666666669</v>
      </c>
      <c r="M64" s="3">
        <v>50</v>
      </c>
      <c r="N64" s="3">
        <f t="shared" si="8"/>
        <v>766.00099999999998</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64" s="337">
        <f>IF(AND(G64="Yes",'Total income package'!$A$14=TRUE,P64-N64&gt;0),P64-N64,0)</f>
        <v>727.99900000000002</v>
      </c>
      <c r="R64" s="29"/>
    </row>
    <row r="65" spans="1:18" x14ac:dyDescent="0.3">
      <c r="A65" s="182">
        <v>29500</v>
      </c>
      <c r="B65" s="4">
        <f t="shared" si="0"/>
        <v>2458.3333333333335</v>
      </c>
      <c r="C65" s="4">
        <f>MAX('TANF-VIEW'!L68,'TANF-VIEW'!T68)</f>
        <v>0</v>
      </c>
      <c r="D65" s="4">
        <f>'Total income package'!$D$80</f>
        <v>0</v>
      </c>
      <c r="E65" s="4">
        <f>'Total income package'!$H$61+'Total income package'!$F$66</f>
        <v>250</v>
      </c>
      <c r="F65" s="4">
        <f t="shared" si="3"/>
        <v>2708.3333333333335</v>
      </c>
      <c r="G65" s="181" t="str">
        <f t="shared" si="4"/>
        <v>Yes</v>
      </c>
      <c r="H65" s="3">
        <f t="shared" si="5"/>
        <v>80</v>
      </c>
      <c r="I65" s="3">
        <f t="shared" si="6"/>
        <v>33.33</v>
      </c>
      <c r="J65" s="3">
        <f t="shared" si="1"/>
        <v>2595.0033333333336</v>
      </c>
      <c r="K65" s="3">
        <f t="shared" si="7"/>
        <v>778.50100000000009</v>
      </c>
      <c r="L65" s="3">
        <f t="shared" si="2"/>
        <v>270.83333333333337</v>
      </c>
      <c r="M65" s="3">
        <v>50</v>
      </c>
      <c r="N65" s="3">
        <f t="shared" si="8"/>
        <v>778.50100000000009</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65" s="337">
        <f>IF(AND(G65="Yes",'Total income package'!$A$14=TRUE,P65-N65&gt;0),P65-N65,0)</f>
        <v>715.49899999999991</v>
      </c>
      <c r="R65" s="29"/>
    </row>
    <row r="66" spans="1:18" x14ac:dyDescent="0.3">
      <c r="A66" s="182">
        <v>30000</v>
      </c>
      <c r="B66" s="4">
        <f t="shared" si="0"/>
        <v>2500</v>
      </c>
      <c r="C66" s="4">
        <f>MAX('TANF-VIEW'!L69,'TANF-VIEW'!T69)</f>
        <v>0</v>
      </c>
      <c r="D66" s="4">
        <f>'Total income package'!$D$80</f>
        <v>0</v>
      </c>
      <c r="E66" s="4">
        <f>'Total income package'!$H$61+'Total income package'!$F$66</f>
        <v>250</v>
      </c>
      <c r="F66" s="4">
        <f t="shared" si="3"/>
        <v>2750</v>
      </c>
      <c r="G66" s="181" t="str">
        <f t="shared" si="4"/>
        <v>Yes</v>
      </c>
      <c r="H66" s="3">
        <f t="shared" si="5"/>
        <v>80</v>
      </c>
      <c r="I66" s="3">
        <f t="shared" si="6"/>
        <v>33.33</v>
      </c>
      <c r="J66" s="3">
        <f t="shared" si="1"/>
        <v>2636.67</v>
      </c>
      <c r="K66" s="3">
        <f t="shared" si="7"/>
        <v>791.00099999999998</v>
      </c>
      <c r="L66" s="3">
        <f t="shared" si="2"/>
        <v>275</v>
      </c>
      <c r="M66" s="3">
        <v>50</v>
      </c>
      <c r="N66" s="3">
        <f t="shared" si="8"/>
        <v>791.00099999999998</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66" s="337">
        <f>IF(AND(G66="Yes",'Total income package'!$A$14=TRUE,P66-N66&gt;0),P66-N66,0)</f>
        <v>702.99900000000002</v>
      </c>
      <c r="R66" s="29"/>
    </row>
    <row r="67" spans="1:18" x14ac:dyDescent="0.3">
      <c r="A67" s="182">
        <v>30500</v>
      </c>
      <c r="B67" s="4">
        <f t="shared" si="0"/>
        <v>2541.6666666666665</v>
      </c>
      <c r="C67" s="4">
        <f>MAX('TANF-VIEW'!L70,'TANF-VIEW'!T70)</f>
        <v>0</v>
      </c>
      <c r="D67" s="4">
        <f>'Total income package'!$D$80</f>
        <v>0</v>
      </c>
      <c r="E67" s="4">
        <f>'Total income package'!$H$61+'Total income package'!$F$66</f>
        <v>250</v>
      </c>
      <c r="F67" s="4">
        <f t="shared" si="3"/>
        <v>2791.6666666666665</v>
      </c>
      <c r="G67" s="181" t="str">
        <f t="shared" si="4"/>
        <v>Yes</v>
      </c>
      <c r="H67" s="3">
        <f t="shared" si="5"/>
        <v>80</v>
      </c>
      <c r="I67" s="3">
        <f t="shared" si="6"/>
        <v>33.33</v>
      </c>
      <c r="J67" s="3">
        <f t="shared" si="1"/>
        <v>2678.3366666666666</v>
      </c>
      <c r="K67" s="3">
        <f t="shared" si="7"/>
        <v>803.50099999999998</v>
      </c>
      <c r="L67" s="3">
        <f t="shared" si="2"/>
        <v>279.16666666666669</v>
      </c>
      <c r="M67" s="3">
        <v>50</v>
      </c>
      <c r="N67" s="3">
        <f t="shared" si="8"/>
        <v>803.50099999999998</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67" s="337">
        <f>IF(AND(G67="Yes",'Total income package'!$A$14=TRUE,P67-N67&gt;0),P67-N67,0)</f>
        <v>690.49900000000002</v>
      </c>
      <c r="R67" s="29"/>
    </row>
    <row r="68" spans="1:18" x14ac:dyDescent="0.3">
      <c r="A68" s="182">
        <v>31000</v>
      </c>
      <c r="B68" s="4">
        <f t="shared" si="0"/>
        <v>2583.3333333333335</v>
      </c>
      <c r="C68" s="4">
        <f>MAX('TANF-VIEW'!L71,'TANF-VIEW'!T71)</f>
        <v>0</v>
      </c>
      <c r="D68" s="4">
        <f>'Total income package'!$D$80</f>
        <v>0</v>
      </c>
      <c r="E68" s="4">
        <f>'Total income package'!$H$61+'Total income package'!$F$66</f>
        <v>250</v>
      </c>
      <c r="F68" s="4">
        <f t="shared" si="3"/>
        <v>2833.3333333333335</v>
      </c>
      <c r="G68" s="181" t="str">
        <f t="shared" si="4"/>
        <v>Yes</v>
      </c>
      <c r="H68" s="3">
        <f t="shared" si="5"/>
        <v>80</v>
      </c>
      <c r="I68" s="3">
        <f t="shared" si="6"/>
        <v>33.33</v>
      </c>
      <c r="J68" s="3">
        <f t="shared" si="1"/>
        <v>2720.0033333333336</v>
      </c>
      <c r="K68" s="3">
        <f t="shared" si="7"/>
        <v>816.00100000000009</v>
      </c>
      <c r="L68" s="3">
        <f t="shared" si="2"/>
        <v>283.33333333333337</v>
      </c>
      <c r="M68" s="3">
        <v>50</v>
      </c>
      <c r="N68" s="3">
        <f t="shared" si="8"/>
        <v>816.00100000000009</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68" s="337">
        <f>IF(AND(G68="Yes",'Total income package'!$A$14=TRUE,P68-N68&gt;0),P68-N68,0)</f>
        <v>677.99899999999991</v>
      </c>
      <c r="R68" s="29"/>
    </row>
    <row r="69" spans="1:18" x14ac:dyDescent="0.3">
      <c r="A69" s="182">
        <v>31500</v>
      </c>
      <c r="B69" s="4">
        <f t="shared" si="0"/>
        <v>2625</v>
      </c>
      <c r="C69" s="4">
        <f>MAX('TANF-VIEW'!L72,'TANF-VIEW'!T72)</f>
        <v>0</v>
      </c>
      <c r="D69" s="4">
        <f>'Total income package'!$D$80</f>
        <v>0</v>
      </c>
      <c r="E69" s="4">
        <f>'Total income package'!$H$61+'Total income package'!$F$66</f>
        <v>250</v>
      </c>
      <c r="F69" s="4">
        <f t="shared" si="3"/>
        <v>2875</v>
      </c>
      <c r="G69" s="181" t="str">
        <f t="shared" si="4"/>
        <v>Yes</v>
      </c>
      <c r="H69" s="3">
        <f t="shared" si="5"/>
        <v>80</v>
      </c>
      <c r="I69" s="3">
        <f t="shared" si="6"/>
        <v>33.33</v>
      </c>
      <c r="J69" s="3">
        <f t="shared" si="1"/>
        <v>2761.67</v>
      </c>
      <c r="K69" s="3">
        <f t="shared" si="7"/>
        <v>828.50099999999998</v>
      </c>
      <c r="L69" s="3">
        <f t="shared" si="2"/>
        <v>287.5</v>
      </c>
      <c r="M69" s="3">
        <v>50</v>
      </c>
      <c r="N69" s="3">
        <f t="shared" si="8"/>
        <v>828.50099999999998</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69" s="337">
        <f>IF(AND(G69="Yes",'Total income package'!$A$14=TRUE,P69-N69&gt;0),P69-N69,0)</f>
        <v>665.49900000000002</v>
      </c>
      <c r="R69" s="29"/>
    </row>
    <row r="70" spans="1:18" x14ac:dyDescent="0.3">
      <c r="A70" s="182">
        <v>32000</v>
      </c>
      <c r="B70" s="4">
        <f t="shared" si="0"/>
        <v>2666.6666666666665</v>
      </c>
      <c r="C70" s="4">
        <f>MAX('TANF-VIEW'!L73,'TANF-VIEW'!T73)</f>
        <v>0</v>
      </c>
      <c r="D70" s="4">
        <f>'Total income package'!$D$80</f>
        <v>0</v>
      </c>
      <c r="E70" s="4">
        <f>'Total income package'!$H$61+'Total income package'!$F$66</f>
        <v>250</v>
      </c>
      <c r="F70" s="4">
        <f t="shared" si="3"/>
        <v>2916.6666666666665</v>
      </c>
      <c r="G70" s="181" t="str">
        <f t="shared" si="4"/>
        <v>Yes</v>
      </c>
      <c r="H70" s="3">
        <f t="shared" si="5"/>
        <v>80</v>
      </c>
      <c r="I70" s="3">
        <f t="shared" si="6"/>
        <v>33.33</v>
      </c>
      <c r="J70" s="3">
        <f t="shared" ref="J70:J133" si="9">IF(F70-H70-I70&lt;0,0,F70-H70-I70)</f>
        <v>2803.3366666666666</v>
      </c>
      <c r="K70" s="3">
        <f t="shared" ref="K70:K133" si="10">J70*0.3</f>
        <v>841.00099999999998</v>
      </c>
      <c r="L70" s="3">
        <f t="shared" ref="L70:L133" si="11">F70*0.1</f>
        <v>291.66666666666669</v>
      </c>
      <c r="M70" s="3">
        <v>50</v>
      </c>
      <c r="N70" s="3">
        <f t="shared" si="8"/>
        <v>841.00099999999998</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70" s="337">
        <f>IF(AND(G70="Yes",'Total income package'!$A$14=TRUE,P70-N70&gt;0),P70-N70,0)</f>
        <v>652.99900000000002</v>
      </c>
      <c r="R70" s="29"/>
    </row>
    <row r="71" spans="1:18" x14ac:dyDescent="0.3">
      <c r="A71" s="182">
        <v>32500</v>
      </c>
      <c r="B71" s="4">
        <f t="shared" ref="B71:B134" si="12">A71/12</f>
        <v>2708.3333333333335</v>
      </c>
      <c r="C71" s="4">
        <f>MAX('TANF-VIEW'!L74,'TANF-VIEW'!T74)</f>
        <v>0</v>
      </c>
      <c r="D71" s="4">
        <f>'Total income package'!$D$80</f>
        <v>0</v>
      </c>
      <c r="E71" s="4">
        <f>'Total income package'!$H$61+'Total income package'!$F$66</f>
        <v>250</v>
      </c>
      <c r="F71" s="4">
        <f t="shared" ref="F71:F134" si="13">B71+C71+D71+E71</f>
        <v>2958.3333333333335</v>
      </c>
      <c r="G71" s="181" t="str">
        <f t="shared" ref="G71:G134" si="14">IF(F71&lt;$L$2,"Yes","No")</f>
        <v>Yes</v>
      </c>
      <c r="H71" s="3">
        <f t="shared" ref="H71:H134" si="15">40*($D$2+$I$2)</f>
        <v>80</v>
      </c>
      <c r="I71" s="3">
        <f t="shared" ref="I71:I134" si="16">IF($H$2+$I$2&gt;0,33.33,0)</f>
        <v>33.33</v>
      </c>
      <c r="J71" s="3">
        <f t="shared" si="9"/>
        <v>2845.0033333333336</v>
      </c>
      <c r="K71" s="3">
        <f t="shared" si="10"/>
        <v>853.50100000000009</v>
      </c>
      <c r="L71" s="3">
        <f t="shared" si="11"/>
        <v>295.83333333333337</v>
      </c>
      <c r="M71" s="3">
        <v>50</v>
      </c>
      <c r="N71" s="3">
        <f t="shared" si="8"/>
        <v>853.50100000000009</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71" s="337">
        <f>IF(AND(G71="Yes",'Total income package'!$A$14=TRUE,P71-N71&gt;0),P71-N71,0)</f>
        <v>640.49899999999991</v>
      </c>
      <c r="R71" s="29"/>
    </row>
    <row r="72" spans="1:18" x14ac:dyDescent="0.3">
      <c r="A72" s="182">
        <v>33000</v>
      </c>
      <c r="B72" s="4">
        <f t="shared" si="12"/>
        <v>2750</v>
      </c>
      <c r="C72" s="4">
        <f>MAX('TANF-VIEW'!L75,'TANF-VIEW'!T75)</f>
        <v>0</v>
      </c>
      <c r="D72" s="4">
        <f>'Total income package'!$D$80</f>
        <v>0</v>
      </c>
      <c r="E72" s="4">
        <f>'Total income package'!$H$61+'Total income package'!$F$66</f>
        <v>250</v>
      </c>
      <c r="F72" s="4">
        <f t="shared" si="13"/>
        <v>3000</v>
      </c>
      <c r="G72" s="181" t="str">
        <f t="shared" si="14"/>
        <v>Yes</v>
      </c>
      <c r="H72" s="3">
        <f t="shared" si="15"/>
        <v>80</v>
      </c>
      <c r="I72" s="3">
        <f t="shared" si="16"/>
        <v>33.33</v>
      </c>
      <c r="J72" s="3">
        <f t="shared" si="9"/>
        <v>2886.67</v>
      </c>
      <c r="K72" s="3">
        <f t="shared" si="10"/>
        <v>866.00099999999998</v>
      </c>
      <c r="L72" s="3">
        <f t="shared" si="11"/>
        <v>300</v>
      </c>
      <c r="M72" s="3">
        <v>50</v>
      </c>
      <c r="N72" s="3">
        <f t="shared" ref="N72:N106" si="17">MAX(K72:M72)</f>
        <v>866.00099999999998</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72" s="337">
        <f>IF(AND(G72="Yes",'Total income package'!$A$14=TRUE,P72-N72&gt;0),P72-N72,0)</f>
        <v>627.99900000000002</v>
      </c>
      <c r="R72" s="29"/>
    </row>
    <row r="73" spans="1:18" x14ac:dyDescent="0.3">
      <c r="A73" s="182">
        <v>33500</v>
      </c>
      <c r="B73" s="4">
        <f t="shared" si="12"/>
        <v>2791.6666666666665</v>
      </c>
      <c r="C73" s="4">
        <f>MAX('TANF-VIEW'!L76,'TANF-VIEW'!T76)</f>
        <v>0</v>
      </c>
      <c r="D73" s="4">
        <f>'Total income package'!$D$80</f>
        <v>0</v>
      </c>
      <c r="E73" s="4">
        <f>'Total income package'!$H$61+'Total income package'!$F$66</f>
        <v>250</v>
      </c>
      <c r="F73" s="4">
        <f t="shared" si="13"/>
        <v>3041.6666666666665</v>
      </c>
      <c r="G73" s="181" t="str">
        <f t="shared" si="14"/>
        <v>Yes</v>
      </c>
      <c r="H73" s="3">
        <f t="shared" si="15"/>
        <v>80</v>
      </c>
      <c r="I73" s="3">
        <f t="shared" si="16"/>
        <v>33.33</v>
      </c>
      <c r="J73" s="3">
        <f t="shared" si="9"/>
        <v>2928.3366666666666</v>
      </c>
      <c r="K73" s="3">
        <f t="shared" si="10"/>
        <v>878.50099999999998</v>
      </c>
      <c r="L73" s="3">
        <f t="shared" si="11"/>
        <v>304.16666666666669</v>
      </c>
      <c r="M73" s="3">
        <v>50</v>
      </c>
      <c r="N73" s="3">
        <f t="shared" si="17"/>
        <v>878.50099999999998</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73" s="337">
        <f>IF(AND(G73="Yes",'Total income package'!$A$14=TRUE,P73-N73&gt;0),P73-N73,0)</f>
        <v>615.49900000000002</v>
      </c>
      <c r="R73" s="29"/>
    </row>
    <row r="74" spans="1:18" x14ac:dyDescent="0.3">
      <c r="A74" s="182">
        <v>34000</v>
      </c>
      <c r="B74" s="4">
        <f t="shared" si="12"/>
        <v>2833.3333333333335</v>
      </c>
      <c r="C74" s="4">
        <f>MAX('TANF-VIEW'!L77,'TANF-VIEW'!T77)</f>
        <v>0</v>
      </c>
      <c r="D74" s="4">
        <f>'Total income package'!$D$80</f>
        <v>0</v>
      </c>
      <c r="E74" s="4">
        <f>'Total income package'!$H$61+'Total income package'!$F$66</f>
        <v>250</v>
      </c>
      <c r="F74" s="4">
        <f t="shared" si="13"/>
        <v>3083.3333333333335</v>
      </c>
      <c r="G74" s="181" t="str">
        <f t="shared" si="14"/>
        <v>Yes</v>
      </c>
      <c r="H74" s="3">
        <f t="shared" si="15"/>
        <v>80</v>
      </c>
      <c r="I74" s="3">
        <f t="shared" si="16"/>
        <v>33.33</v>
      </c>
      <c r="J74" s="3">
        <f t="shared" si="9"/>
        <v>2970.0033333333336</v>
      </c>
      <c r="K74" s="3">
        <f t="shared" si="10"/>
        <v>891.00100000000009</v>
      </c>
      <c r="L74" s="3">
        <f t="shared" si="11"/>
        <v>308.33333333333337</v>
      </c>
      <c r="M74" s="3">
        <v>50</v>
      </c>
      <c r="N74" s="3">
        <f t="shared" si="17"/>
        <v>891.00100000000009</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74" s="337">
        <f>IF(AND(G74="Yes",'Total income package'!$A$14=TRUE,P74-N74&gt;0),P74-N74,0)</f>
        <v>602.99899999999991</v>
      </c>
      <c r="R74" s="29"/>
    </row>
    <row r="75" spans="1:18" x14ac:dyDescent="0.3">
      <c r="A75" s="182">
        <v>34500</v>
      </c>
      <c r="B75" s="4">
        <f t="shared" si="12"/>
        <v>2875</v>
      </c>
      <c r="C75" s="4">
        <f>MAX('TANF-VIEW'!L78,'TANF-VIEW'!T78)</f>
        <v>0</v>
      </c>
      <c r="D75" s="4">
        <f>'Total income package'!$D$80</f>
        <v>0</v>
      </c>
      <c r="E75" s="4">
        <f>'Total income package'!$H$61+'Total income package'!$F$66</f>
        <v>250</v>
      </c>
      <c r="F75" s="4">
        <f t="shared" si="13"/>
        <v>3125</v>
      </c>
      <c r="G75" s="181" t="str">
        <f t="shared" si="14"/>
        <v>Yes</v>
      </c>
      <c r="H75" s="3">
        <f t="shared" si="15"/>
        <v>80</v>
      </c>
      <c r="I75" s="3">
        <f t="shared" si="16"/>
        <v>33.33</v>
      </c>
      <c r="J75" s="3">
        <f t="shared" si="9"/>
        <v>3011.67</v>
      </c>
      <c r="K75" s="3">
        <f t="shared" si="10"/>
        <v>903.50099999999998</v>
      </c>
      <c r="L75" s="3">
        <f t="shared" si="11"/>
        <v>312.5</v>
      </c>
      <c r="M75" s="3">
        <v>50</v>
      </c>
      <c r="N75" s="3">
        <f t="shared" si="17"/>
        <v>903.50099999999998</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75" s="337">
        <f>IF(AND(G75="Yes",'Total income package'!$A$14=TRUE,P75-N75&gt;0),P75-N75,0)</f>
        <v>590.49900000000002</v>
      </c>
      <c r="R75" s="29"/>
    </row>
    <row r="76" spans="1:18" x14ac:dyDescent="0.3">
      <c r="A76" s="182">
        <v>35000</v>
      </c>
      <c r="B76" s="4">
        <f t="shared" si="12"/>
        <v>2916.6666666666665</v>
      </c>
      <c r="C76" s="4">
        <f>MAX('TANF-VIEW'!L79,'TANF-VIEW'!T79)</f>
        <v>0</v>
      </c>
      <c r="D76" s="4">
        <f>'Total income package'!$D$80</f>
        <v>0</v>
      </c>
      <c r="E76" s="4">
        <f>'Total income package'!$H$61+'Total income package'!$F$66</f>
        <v>250</v>
      </c>
      <c r="F76" s="4">
        <f t="shared" si="13"/>
        <v>3166.6666666666665</v>
      </c>
      <c r="G76" s="181" t="str">
        <f t="shared" si="14"/>
        <v>Yes</v>
      </c>
      <c r="H76" s="3">
        <f t="shared" si="15"/>
        <v>80</v>
      </c>
      <c r="I76" s="3">
        <f t="shared" si="16"/>
        <v>33.33</v>
      </c>
      <c r="J76" s="3">
        <f t="shared" si="9"/>
        <v>3053.3366666666666</v>
      </c>
      <c r="K76" s="3">
        <f t="shared" si="10"/>
        <v>916.00099999999998</v>
      </c>
      <c r="L76" s="3">
        <f t="shared" si="11"/>
        <v>316.66666666666669</v>
      </c>
      <c r="M76" s="3">
        <v>50</v>
      </c>
      <c r="N76" s="3">
        <f t="shared" si="17"/>
        <v>916.00099999999998</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76" s="337">
        <f>IF(AND(G76="Yes",'Total income package'!$A$14=TRUE,P76-N76&gt;0),P76-N76,0)</f>
        <v>577.99900000000002</v>
      </c>
      <c r="R76" s="29"/>
    </row>
    <row r="77" spans="1:18" x14ac:dyDescent="0.3">
      <c r="A77" s="182">
        <v>35500</v>
      </c>
      <c r="B77" s="4">
        <f t="shared" si="12"/>
        <v>2958.3333333333335</v>
      </c>
      <c r="C77" s="4">
        <f>MAX('TANF-VIEW'!L80,'TANF-VIEW'!T80)</f>
        <v>0</v>
      </c>
      <c r="D77" s="4">
        <f>'Total income package'!$D$80</f>
        <v>0</v>
      </c>
      <c r="E77" s="4">
        <f>'Total income package'!$H$61+'Total income package'!$F$66</f>
        <v>250</v>
      </c>
      <c r="F77" s="4">
        <f t="shared" si="13"/>
        <v>3208.3333333333335</v>
      </c>
      <c r="G77" s="181" t="str">
        <f t="shared" si="14"/>
        <v>Yes</v>
      </c>
      <c r="H77" s="3">
        <f t="shared" si="15"/>
        <v>80</v>
      </c>
      <c r="I77" s="3">
        <f t="shared" si="16"/>
        <v>33.33</v>
      </c>
      <c r="J77" s="3">
        <f t="shared" si="9"/>
        <v>3095.0033333333336</v>
      </c>
      <c r="K77" s="3">
        <f t="shared" si="10"/>
        <v>928.50099999999998</v>
      </c>
      <c r="L77" s="3">
        <f t="shared" si="11"/>
        <v>320.83333333333337</v>
      </c>
      <c r="M77" s="3">
        <v>50</v>
      </c>
      <c r="N77" s="3">
        <f t="shared" si="17"/>
        <v>928.50099999999998</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77" s="337">
        <f>IF(AND(G77="Yes",'Total income package'!$A$14=TRUE,P77-N77&gt;0),P77-N77,0)</f>
        <v>565.49900000000002</v>
      </c>
      <c r="R77" s="29"/>
    </row>
    <row r="78" spans="1:18" x14ac:dyDescent="0.3">
      <c r="A78" s="182">
        <v>36000</v>
      </c>
      <c r="B78" s="4">
        <f t="shared" si="12"/>
        <v>3000</v>
      </c>
      <c r="C78" s="4">
        <f>MAX('TANF-VIEW'!L81,'TANF-VIEW'!T81)</f>
        <v>0</v>
      </c>
      <c r="D78" s="4">
        <f>'Total income package'!$D$80</f>
        <v>0</v>
      </c>
      <c r="E78" s="4">
        <f>'Total income package'!$H$61+'Total income package'!$F$66</f>
        <v>250</v>
      </c>
      <c r="F78" s="4">
        <f t="shared" si="13"/>
        <v>3250</v>
      </c>
      <c r="G78" s="181" t="str">
        <f t="shared" si="14"/>
        <v>Yes</v>
      </c>
      <c r="H78" s="3">
        <f t="shared" si="15"/>
        <v>80</v>
      </c>
      <c r="I78" s="3">
        <f t="shared" si="16"/>
        <v>33.33</v>
      </c>
      <c r="J78" s="3">
        <f t="shared" si="9"/>
        <v>3136.67</v>
      </c>
      <c r="K78" s="3">
        <f t="shared" si="10"/>
        <v>941.00099999999998</v>
      </c>
      <c r="L78" s="3">
        <f t="shared" si="11"/>
        <v>325</v>
      </c>
      <c r="M78" s="3">
        <v>50</v>
      </c>
      <c r="N78" s="3">
        <f t="shared" si="17"/>
        <v>941.00099999999998</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78" s="337">
        <f>IF(AND(G78="Yes",'Total income package'!$A$14=TRUE,P78-N78&gt;0),P78-N78,0)</f>
        <v>552.99900000000002</v>
      </c>
      <c r="R78" s="29"/>
    </row>
    <row r="79" spans="1:18" x14ac:dyDescent="0.3">
      <c r="A79" s="182">
        <v>36500</v>
      </c>
      <c r="B79" s="4">
        <f t="shared" si="12"/>
        <v>3041.6666666666665</v>
      </c>
      <c r="C79" s="4">
        <f>MAX('TANF-VIEW'!L82,'TANF-VIEW'!T82)</f>
        <v>0</v>
      </c>
      <c r="D79" s="4">
        <f>'Total income package'!$D$80</f>
        <v>0</v>
      </c>
      <c r="E79" s="4">
        <f>'Total income package'!$H$61+'Total income package'!$F$66</f>
        <v>250</v>
      </c>
      <c r="F79" s="4">
        <f t="shared" si="13"/>
        <v>3291.6666666666665</v>
      </c>
      <c r="G79" s="181" t="str">
        <f t="shared" si="14"/>
        <v>Yes</v>
      </c>
      <c r="H79" s="3">
        <f t="shared" si="15"/>
        <v>80</v>
      </c>
      <c r="I79" s="3">
        <f t="shared" si="16"/>
        <v>33.33</v>
      </c>
      <c r="J79" s="3">
        <f t="shared" si="9"/>
        <v>3178.3366666666666</v>
      </c>
      <c r="K79" s="3">
        <f t="shared" si="10"/>
        <v>953.50099999999998</v>
      </c>
      <c r="L79" s="3">
        <f t="shared" si="11"/>
        <v>329.16666666666669</v>
      </c>
      <c r="M79" s="3">
        <v>50</v>
      </c>
      <c r="N79" s="3">
        <f t="shared" si="17"/>
        <v>953.50099999999998</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79" s="337">
        <f>IF(AND(G79="Yes",'Total income package'!$A$14=TRUE,P79-N79&gt;0),P79-N79,0)</f>
        <v>540.49900000000002</v>
      </c>
      <c r="R79" s="29"/>
    </row>
    <row r="80" spans="1:18" x14ac:dyDescent="0.3">
      <c r="A80" s="182">
        <v>37000</v>
      </c>
      <c r="B80" s="4">
        <f t="shared" si="12"/>
        <v>3083.3333333333335</v>
      </c>
      <c r="C80" s="4">
        <f>MAX('TANF-VIEW'!L83,'TANF-VIEW'!T83)</f>
        <v>0</v>
      </c>
      <c r="D80" s="4">
        <f>'Total income package'!$D$80</f>
        <v>0</v>
      </c>
      <c r="E80" s="4">
        <f>'Total income package'!$H$61+'Total income package'!$F$66</f>
        <v>250</v>
      </c>
      <c r="F80" s="4">
        <f t="shared" si="13"/>
        <v>3333.3333333333335</v>
      </c>
      <c r="G80" s="181" t="str">
        <f t="shared" si="14"/>
        <v>Yes</v>
      </c>
      <c r="H80" s="3">
        <f t="shared" si="15"/>
        <v>80</v>
      </c>
      <c r="I80" s="3">
        <f t="shared" si="16"/>
        <v>33.33</v>
      </c>
      <c r="J80" s="3">
        <f t="shared" si="9"/>
        <v>3220.0033333333336</v>
      </c>
      <c r="K80" s="3">
        <f t="shared" si="10"/>
        <v>966.00099999999998</v>
      </c>
      <c r="L80" s="3">
        <f t="shared" si="11"/>
        <v>333.33333333333337</v>
      </c>
      <c r="M80" s="3">
        <v>50</v>
      </c>
      <c r="N80" s="3">
        <f t="shared" si="17"/>
        <v>966.00099999999998</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80" s="337">
        <f>IF(AND(G80="Yes",'Total income package'!$A$14=TRUE,P80-N80&gt;0),P80-N80,0)</f>
        <v>527.99900000000002</v>
      </c>
      <c r="R80" s="29"/>
    </row>
    <row r="81" spans="1:18" x14ac:dyDescent="0.3">
      <c r="A81" s="182">
        <v>37500</v>
      </c>
      <c r="B81" s="4">
        <f t="shared" si="12"/>
        <v>3125</v>
      </c>
      <c r="C81" s="4">
        <f>MAX('TANF-VIEW'!L84,'TANF-VIEW'!T84)</f>
        <v>0</v>
      </c>
      <c r="D81" s="4">
        <f>'Total income package'!$D$80</f>
        <v>0</v>
      </c>
      <c r="E81" s="4">
        <f>'Total income package'!$H$61+'Total income package'!$F$66</f>
        <v>250</v>
      </c>
      <c r="F81" s="4">
        <f t="shared" si="13"/>
        <v>3375</v>
      </c>
      <c r="G81" s="181" t="str">
        <f t="shared" si="14"/>
        <v>Yes</v>
      </c>
      <c r="H81" s="3">
        <f t="shared" si="15"/>
        <v>80</v>
      </c>
      <c r="I81" s="3">
        <f t="shared" si="16"/>
        <v>33.33</v>
      </c>
      <c r="J81" s="3">
        <f t="shared" si="9"/>
        <v>3261.67</v>
      </c>
      <c r="K81" s="3">
        <f t="shared" si="10"/>
        <v>978.50099999999998</v>
      </c>
      <c r="L81" s="3">
        <f t="shared" si="11"/>
        <v>337.5</v>
      </c>
      <c r="M81" s="3">
        <v>50</v>
      </c>
      <c r="N81" s="3">
        <f t="shared" si="17"/>
        <v>978.50099999999998</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81" s="337">
        <f>IF(AND(G81="Yes",'Total income package'!$A$14=TRUE,P81-N81&gt;0),P81-N81,0)</f>
        <v>515.49900000000002</v>
      </c>
      <c r="R81" s="29"/>
    </row>
    <row r="82" spans="1:18" x14ac:dyDescent="0.3">
      <c r="A82" s="182">
        <v>38000</v>
      </c>
      <c r="B82" s="4">
        <f t="shared" si="12"/>
        <v>3166.6666666666665</v>
      </c>
      <c r="C82" s="4">
        <f>MAX('TANF-VIEW'!L85,'TANF-VIEW'!T85)</f>
        <v>0</v>
      </c>
      <c r="D82" s="4">
        <f>'Total income package'!$D$80</f>
        <v>0</v>
      </c>
      <c r="E82" s="4">
        <f>'Total income package'!$H$61+'Total income package'!$F$66</f>
        <v>250</v>
      </c>
      <c r="F82" s="4">
        <f t="shared" si="13"/>
        <v>3416.6666666666665</v>
      </c>
      <c r="G82" s="181" t="str">
        <f t="shared" si="14"/>
        <v>Yes</v>
      </c>
      <c r="H82" s="3">
        <f t="shared" si="15"/>
        <v>80</v>
      </c>
      <c r="I82" s="3">
        <f t="shared" si="16"/>
        <v>33.33</v>
      </c>
      <c r="J82" s="3">
        <f t="shared" si="9"/>
        <v>3303.3366666666666</v>
      </c>
      <c r="K82" s="3">
        <f t="shared" si="10"/>
        <v>991.00099999999998</v>
      </c>
      <c r="L82" s="3">
        <f t="shared" si="11"/>
        <v>341.66666666666669</v>
      </c>
      <c r="M82" s="3">
        <v>50</v>
      </c>
      <c r="N82" s="3">
        <f t="shared" si="17"/>
        <v>991.00099999999998</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82" s="337">
        <f>IF(AND(G82="Yes",'Total income package'!$A$14=TRUE,P82-N82&gt;0),P82-N82,0)</f>
        <v>502.99900000000002</v>
      </c>
      <c r="R82" s="29"/>
    </row>
    <row r="83" spans="1:18" x14ac:dyDescent="0.3">
      <c r="A83" s="182">
        <v>38500</v>
      </c>
      <c r="B83" s="4">
        <f t="shared" si="12"/>
        <v>3208.3333333333335</v>
      </c>
      <c r="C83" s="4">
        <f>MAX('TANF-VIEW'!L86,'TANF-VIEW'!T86)</f>
        <v>0</v>
      </c>
      <c r="D83" s="4">
        <f>'Total income package'!$D$80</f>
        <v>0</v>
      </c>
      <c r="E83" s="4">
        <f>'Total income package'!$H$61+'Total income package'!$F$66</f>
        <v>250</v>
      </c>
      <c r="F83" s="4">
        <f t="shared" si="13"/>
        <v>3458.3333333333335</v>
      </c>
      <c r="G83" s="181" t="str">
        <f t="shared" si="14"/>
        <v>Yes</v>
      </c>
      <c r="H83" s="3">
        <f t="shared" si="15"/>
        <v>80</v>
      </c>
      <c r="I83" s="3">
        <f t="shared" si="16"/>
        <v>33.33</v>
      </c>
      <c r="J83" s="3">
        <f t="shared" si="9"/>
        <v>3345.0033333333336</v>
      </c>
      <c r="K83" s="3">
        <f t="shared" si="10"/>
        <v>1003.501</v>
      </c>
      <c r="L83" s="3">
        <f t="shared" si="11"/>
        <v>345.83333333333337</v>
      </c>
      <c r="M83" s="3">
        <v>50</v>
      </c>
      <c r="N83" s="3">
        <f t="shared" si="17"/>
        <v>1003.501</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83" s="337">
        <f>IF(AND(G83="Yes",'Total income package'!$A$14=TRUE,P83-N83&gt;0),P83-N83,0)</f>
        <v>490.49900000000002</v>
      </c>
      <c r="R83" s="29"/>
    </row>
    <row r="84" spans="1:18" x14ac:dyDescent="0.3">
      <c r="A84" s="182">
        <v>39000</v>
      </c>
      <c r="B84" s="4">
        <f t="shared" si="12"/>
        <v>3250</v>
      </c>
      <c r="C84" s="4">
        <f>MAX('TANF-VIEW'!L87,'TANF-VIEW'!T87)</f>
        <v>0</v>
      </c>
      <c r="D84" s="4">
        <f>'Total income package'!$D$80</f>
        <v>0</v>
      </c>
      <c r="E84" s="4">
        <f>'Total income package'!$H$61+'Total income package'!$F$66</f>
        <v>250</v>
      </c>
      <c r="F84" s="4">
        <f t="shared" si="13"/>
        <v>3500</v>
      </c>
      <c r="G84" s="181" t="str">
        <f t="shared" si="14"/>
        <v>Yes</v>
      </c>
      <c r="H84" s="3">
        <f t="shared" si="15"/>
        <v>80</v>
      </c>
      <c r="I84" s="3">
        <f t="shared" si="16"/>
        <v>33.33</v>
      </c>
      <c r="J84" s="3">
        <f t="shared" si="9"/>
        <v>3386.67</v>
      </c>
      <c r="K84" s="3">
        <f t="shared" si="10"/>
        <v>1016.001</v>
      </c>
      <c r="L84" s="3">
        <f t="shared" si="11"/>
        <v>350</v>
      </c>
      <c r="M84" s="3">
        <v>50</v>
      </c>
      <c r="N84" s="3">
        <f t="shared" si="17"/>
        <v>1016.001</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84" s="337">
        <f>IF(AND(G84="Yes",'Total income package'!$A$14=TRUE,P84-N84&gt;0),P84-N84,0)</f>
        <v>477.99900000000002</v>
      </c>
      <c r="R84" s="29"/>
    </row>
    <row r="85" spans="1:18" x14ac:dyDescent="0.3">
      <c r="A85" s="182">
        <v>39500</v>
      </c>
      <c r="B85" s="4">
        <f t="shared" si="12"/>
        <v>3291.6666666666665</v>
      </c>
      <c r="C85" s="4">
        <f>MAX('TANF-VIEW'!L88,'TANF-VIEW'!T88)</f>
        <v>0</v>
      </c>
      <c r="D85" s="4">
        <f>'Total income package'!$D$80</f>
        <v>0</v>
      </c>
      <c r="E85" s="4">
        <f>'Total income package'!$H$61+'Total income package'!$F$66</f>
        <v>250</v>
      </c>
      <c r="F85" s="4">
        <f t="shared" si="13"/>
        <v>3541.6666666666665</v>
      </c>
      <c r="G85" s="181" t="str">
        <f t="shared" si="14"/>
        <v>Yes</v>
      </c>
      <c r="H85" s="3">
        <f t="shared" si="15"/>
        <v>80</v>
      </c>
      <c r="I85" s="3">
        <f t="shared" si="16"/>
        <v>33.33</v>
      </c>
      <c r="J85" s="3">
        <f t="shared" si="9"/>
        <v>3428.3366666666666</v>
      </c>
      <c r="K85" s="3">
        <f t="shared" si="10"/>
        <v>1028.501</v>
      </c>
      <c r="L85" s="3">
        <f t="shared" si="11"/>
        <v>354.16666666666669</v>
      </c>
      <c r="M85" s="3">
        <v>50</v>
      </c>
      <c r="N85" s="3">
        <f t="shared" si="17"/>
        <v>1028.501</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85" s="337">
        <f>IF(AND(G85="Yes",'Total income package'!$A$14=TRUE,P85-N85&gt;0),P85-N85,0)</f>
        <v>465.49900000000002</v>
      </c>
      <c r="R85" s="29"/>
    </row>
    <row r="86" spans="1:18" x14ac:dyDescent="0.3">
      <c r="A86" s="182">
        <v>40000</v>
      </c>
      <c r="B86" s="4">
        <f t="shared" si="12"/>
        <v>3333.3333333333335</v>
      </c>
      <c r="C86" s="4">
        <f>MAX('TANF-VIEW'!L89,'TANF-VIEW'!T89)</f>
        <v>0</v>
      </c>
      <c r="D86" s="4">
        <f>'Total income package'!$D$80</f>
        <v>0</v>
      </c>
      <c r="E86" s="4">
        <f>'Total income package'!$H$61+'Total income package'!$F$66</f>
        <v>250</v>
      </c>
      <c r="F86" s="4">
        <f t="shared" si="13"/>
        <v>3583.3333333333335</v>
      </c>
      <c r="G86" s="181" t="str">
        <f t="shared" si="14"/>
        <v>Yes</v>
      </c>
      <c r="H86" s="3">
        <f t="shared" si="15"/>
        <v>80</v>
      </c>
      <c r="I86" s="3">
        <f t="shared" si="16"/>
        <v>33.33</v>
      </c>
      <c r="J86" s="3">
        <f t="shared" si="9"/>
        <v>3470.0033333333336</v>
      </c>
      <c r="K86" s="3">
        <f t="shared" si="10"/>
        <v>1041.001</v>
      </c>
      <c r="L86" s="3">
        <f t="shared" si="11"/>
        <v>358.33333333333337</v>
      </c>
      <c r="M86" s="3">
        <v>50</v>
      </c>
      <c r="N86" s="3">
        <f t="shared" si="17"/>
        <v>1041.001</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86" s="337">
        <f>IF(AND(G86="Yes",'Total income package'!$A$14=TRUE,P86-N86&gt;0),P86-N86,0)</f>
        <v>452.99900000000002</v>
      </c>
      <c r="R86" s="29"/>
    </row>
    <row r="87" spans="1:18" x14ac:dyDescent="0.3">
      <c r="A87" s="182">
        <v>40500</v>
      </c>
      <c r="B87" s="4">
        <f t="shared" si="12"/>
        <v>3375</v>
      </c>
      <c r="C87" s="4">
        <f>MAX('TANF-VIEW'!L90,'TANF-VIEW'!T90)</f>
        <v>0</v>
      </c>
      <c r="D87" s="4">
        <f>'Total income package'!$D$80</f>
        <v>0</v>
      </c>
      <c r="E87" s="4">
        <f>'Total income package'!$H$61+'Total income package'!$F$66</f>
        <v>250</v>
      </c>
      <c r="F87" s="4">
        <f t="shared" si="13"/>
        <v>3625</v>
      </c>
      <c r="G87" s="181" t="str">
        <f t="shared" si="14"/>
        <v>Yes</v>
      </c>
      <c r="H87" s="3">
        <f t="shared" si="15"/>
        <v>80</v>
      </c>
      <c r="I87" s="3">
        <f t="shared" si="16"/>
        <v>33.33</v>
      </c>
      <c r="J87" s="3">
        <f t="shared" si="9"/>
        <v>3511.67</v>
      </c>
      <c r="K87" s="3">
        <f t="shared" si="10"/>
        <v>1053.501</v>
      </c>
      <c r="L87" s="3">
        <f t="shared" si="11"/>
        <v>362.5</v>
      </c>
      <c r="M87" s="3">
        <v>50</v>
      </c>
      <c r="N87" s="3">
        <f t="shared" si="17"/>
        <v>1053.501</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87" s="337">
        <f>IF(AND(G87="Yes",'Total income package'!$A$14=TRUE,P87-N87&gt;0),P87-N87,0)</f>
        <v>440.49900000000002</v>
      </c>
      <c r="R87" s="29"/>
    </row>
    <row r="88" spans="1:18" x14ac:dyDescent="0.3">
      <c r="A88" s="182">
        <v>41000</v>
      </c>
      <c r="B88" s="4">
        <f t="shared" si="12"/>
        <v>3416.6666666666665</v>
      </c>
      <c r="C88" s="4">
        <f>MAX('TANF-VIEW'!L91,'TANF-VIEW'!T91)</f>
        <v>0</v>
      </c>
      <c r="D88" s="4">
        <f>'Total income package'!$D$80</f>
        <v>0</v>
      </c>
      <c r="E88" s="4">
        <f>'Total income package'!$H$61+'Total income package'!$F$66</f>
        <v>250</v>
      </c>
      <c r="F88" s="4">
        <f t="shared" si="13"/>
        <v>3666.6666666666665</v>
      </c>
      <c r="G88" s="181" t="str">
        <f t="shared" si="14"/>
        <v>Yes</v>
      </c>
      <c r="H88" s="3">
        <f t="shared" si="15"/>
        <v>80</v>
      </c>
      <c r="I88" s="3">
        <f t="shared" si="16"/>
        <v>33.33</v>
      </c>
      <c r="J88" s="3">
        <f t="shared" si="9"/>
        <v>3553.3366666666666</v>
      </c>
      <c r="K88" s="3">
        <f t="shared" si="10"/>
        <v>1066.001</v>
      </c>
      <c r="L88" s="3">
        <f t="shared" si="11"/>
        <v>366.66666666666669</v>
      </c>
      <c r="M88" s="3">
        <v>50</v>
      </c>
      <c r="N88" s="3">
        <f t="shared" si="17"/>
        <v>1066.001</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88" s="337">
        <f>IF(AND(G88="Yes",'Total income package'!$A$14=TRUE,P88-N88&gt;0),P88-N88,0)</f>
        <v>427.99900000000002</v>
      </c>
      <c r="R88" s="29"/>
    </row>
    <row r="89" spans="1:18" x14ac:dyDescent="0.3">
      <c r="A89" s="182">
        <v>41500</v>
      </c>
      <c r="B89" s="4">
        <f t="shared" si="12"/>
        <v>3458.3333333333335</v>
      </c>
      <c r="C89" s="4">
        <f>MAX('TANF-VIEW'!L92,'TANF-VIEW'!T92)</f>
        <v>0</v>
      </c>
      <c r="D89" s="4">
        <f>'Total income package'!$D$80</f>
        <v>0</v>
      </c>
      <c r="E89" s="4">
        <f>'Total income package'!$H$61+'Total income package'!$F$66</f>
        <v>250</v>
      </c>
      <c r="F89" s="4">
        <f t="shared" si="13"/>
        <v>3708.3333333333335</v>
      </c>
      <c r="G89" s="181" t="str">
        <f t="shared" si="14"/>
        <v>Yes</v>
      </c>
      <c r="H89" s="3">
        <f t="shared" si="15"/>
        <v>80</v>
      </c>
      <c r="I89" s="3">
        <f t="shared" si="16"/>
        <v>33.33</v>
      </c>
      <c r="J89" s="3">
        <f t="shared" si="9"/>
        <v>3595.0033333333336</v>
      </c>
      <c r="K89" s="3">
        <f t="shared" si="10"/>
        <v>1078.501</v>
      </c>
      <c r="L89" s="3">
        <f t="shared" si="11"/>
        <v>370.83333333333337</v>
      </c>
      <c r="M89" s="3">
        <v>50</v>
      </c>
      <c r="N89" s="3">
        <f t="shared" si="17"/>
        <v>1078.501</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89" s="337">
        <f>IF(AND(G89="Yes",'Total income package'!$A$14=TRUE,P89-N89&gt;0),P89-N89,0)</f>
        <v>415.49900000000002</v>
      </c>
      <c r="R89" s="29"/>
    </row>
    <row r="90" spans="1:18" x14ac:dyDescent="0.3">
      <c r="A90" s="182">
        <v>42000</v>
      </c>
      <c r="B90" s="4">
        <f t="shared" si="12"/>
        <v>3500</v>
      </c>
      <c r="C90" s="4">
        <f>MAX('TANF-VIEW'!L93,'TANF-VIEW'!T93)</f>
        <v>0</v>
      </c>
      <c r="D90" s="4">
        <f>'Total income package'!$D$80</f>
        <v>0</v>
      </c>
      <c r="E90" s="4">
        <f>'Total income package'!$H$61+'Total income package'!$F$66</f>
        <v>250</v>
      </c>
      <c r="F90" s="4">
        <f t="shared" si="13"/>
        <v>3750</v>
      </c>
      <c r="G90" s="181" t="str">
        <f t="shared" si="14"/>
        <v>Yes</v>
      </c>
      <c r="H90" s="3">
        <f t="shared" si="15"/>
        <v>80</v>
      </c>
      <c r="I90" s="3">
        <f t="shared" si="16"/>
        <v>33.33</v>
      </c>
      <c r="J90" s="3">
        <f t="shared" si="9"/>
        <v>3636.67</v>
      </c>
      <c r="K90" s="3">
        <f t="shared" si="10"/>
        <v>1091.001</v>
      </c>
      <c r="L90" s="3">
        <f t="shared" si="11"/>
        <v>375</v>
      </c>
      <c r="M90" s="3">
        <v>50</v>
      </c>
      <c r="N90" s="3">
        <f t="shared" si="17"/>
        <v>1091.001</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90" s="337">
        <f>IF(AND(G90="Yes",'Total income package'!$A$14=TRUE,P90-N90&gt;0),P90-N90,0)</f>
        <v>402.99900000000002</v>
      </c>
      <c r="R90" s="29"/>
    </row>
    <row r="91" spans="1:18" x14ac:dyDescent="0.3">
      <c r="A91" s="182">
        <v>42500</v>
      </c>
      <c r="B91" s="4">
        <f t="shared" si="12"/>
        <v>3541.6666666666665</v>
      </c>
      <c r="C91" s="4">
        <f>MAX('TANF-VIEW'!L94,'TANF-VIEW'!T94)</f>
        <v>0</v>
      </c>
      <c r="D91" s="4">
        <f>'Total income package'!$D$80</f>
        <v>0</v>
      </c>
      <c r="E91" s="4">
        <f>'Total income package'!$H$61+'Total income package'!$F$66</f>
        <v>250</v>
      </c>
      <c r="F91" s="4">
        <f t="shared" si="13"/>
        <v>3791.6666666666665</v>
      </c>
      <c r="G91" s="181" t="str">
        <f t="shared" si="14"/>
        <v>Yes</v>
      </c>
      <c r="H91" s="3">
        <f t="shared" si="15"/>
        <v>80</v>
      </c>
      <c r="I91" s="3">
        <f t="shared" si="16"/>
        <v>33.33</v>
      </c>
      <c r="J91" s="3">
        <f t="shared" si="9"/>
        <v>3678.3366666666666</v>
      </c>
      <c r="K91" s="3">
        <f t="shared" si="10"/>
        <v>1103.501</v>
      </c>
      <c r="L91" s="3">
        <f t="shared" si="11"/>
        <v>379.16666666666669</v>
      </c>
      <c r="M91" s="3">
        <v>50</v>
      </c>
      <c r="N91" s="3">
        <f t="shared" si="17"/>
        <v>1103.501</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91" s="337">
        <f>IF(AND(G91="Yes",'Total income package'!$A$14=TRUE,P91-N91&gt;0),P91-N91,0)</f>
        <v>390.49900000000002</v>
      </c>
      <c r="R91" s="29"/>
    </row>
    <row r="92" spans="1:18" x14ac:dyDescent="0.3">
      <c r="A92" s="182">
        <v>43000</v>
      </c>
      <c r="B92" s="4">
        <f t="shared" si="12"/>
        <v>3583.3333333333335</v>
      </c>
      <c r="C92" s="4">
        <f>MAX('TANF-VIEW'!L95,'TANF-VIEW'!T95)</f>
        <v>0</v>
      </c>
      <c r="D92" s="4">
        <f>'Total income package'!$D$80</f>
        <v>0</v>
      </c>
      <c r="E92" s="4">
        <f>'Total income package'!$H$61+'Total income package'!$F$66</f>
        <v>250</v>
      </c>
      <c r="F92" s="4">
        <f t="shared" si="13"/>
        <v>3833.3333333333335</v>
      </c>
      <c r="G92" s="181" t="str">
        <f t="shared" si="14"/>
        <v>Yes</v>
      </c>
      <c r="H92" s="3">
        <f t="shared" si="15"/>
        <v>80</v>
      </c>
      <c r="I92" s="3">
        <f t="shared" si="16"/>
        <v>33.33</v>
      </c>
      <c r="J92" s="3">
        <f t="shared" si="9"/>
        <v>3720.0033333333336</v>
      </c>
      <c r="K92" s="3">
        <f t="shared" si="10"/>
        <v>1116.001</v>
      </c>
      <c r="L92" s="3">
        <f t="shared" si="11"/>
        <v>383.33333333333337</v>
      </c>
      <c r="M92" s="3">
        <v>50</v>
      </c>
      <c r="N92" s="3">
        <f t="shared" si="17"/>
        <v>1116.001</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92" s="337">
        <f>IF(AND(G92="Yes",'Total income package'!$A$14=TRUE,P92-N92&gt;0),P92-N92,0)</f>
        <v>377.99900000000002</v>
      </c>
      <c r="R92" s="29"/>
    </row>
    <row r="93" spans="1:18" x14ac:dyDescent="0.3">
      <c r="A93" s="182">
        <v>43500</v>
      </c>
      <c r="B93" s="4">
        <f t="shared" si="12"/>
        <v>3625</v>
      </c>
      <c r="C93" s="4">
        <f>MAX('TANF-VIEW'!L96,'TANF-VIEW'!T96)</f>
        <v>0</v>
      </c>
      <c r="D93" s="4">
        <f>'Total income package'!$D$80</f>
        <v>0</v>
      </c>
      <c r="E93" s="4">
        <f>'Total income package'!$H$61+'Total income package'!$F$66</f>
        <v>250</v>
      </c>
      <c r="F93" s="4">
        <f t="shared" si="13"/>
        <v>3875</v>
      </c>
      <c r="G93" s="181" t="str">
        <f t="shared" si="14"/>
        <v>Yes</v>
      </c>
      <c r="H93" s="3">
        <f t="shared" si="15"/>
        <v>80</v>
      </c>
      <c r="I93" s="3">
        <f t="shared" si="16"/>
        <v>33.33</v>
      </c>
      <c r="J93" s="3">
        <f t="shared" si="9"/>
        <v>3761.67</v>
      </c>
      <c r="K93" s="3">
        <f t="shared" si="10"/>
        <v>1128.501</v>
      </c>
      <c r="L93" s="3">
        <f t="shared" si="11"/>
        <v>387.5</v>
      </c>
      <c r="M93" s="3">
        <v>50</v>
      </c>
      <c r="N93" s="3">
        <f t="shared" si="17"/>
        <v>1128.501</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93" s="337">
        <f>IF(AND(G93="Yes",'Total income package'!$A$14=TRUE,P93-N93&gt;0),P93-N93,0)</f>
        <v>365.49900000000002</v>
      </c>
      <c r="R93" s="29"/>
    </row>
    <row r="94" spans="1:18" x14ac:dyDescent="0.3">
      <c r="A94" s="182">
        <v>44000</v>
      </c>
      <c r="B94" s="4">
        <f t="shared" si="12"/>
        <v>3666.6666666666665</v>
      </c>
      <c r="C94" s="4">
        <f>MAX('TANF-VIEW'!L97,'TANF-VIEW'!T97)</f>
        <v>0</v>
      </c>
      <c r="D94" s="4">
        <f>'Total income package'!$D$80</f>
        <v>0</v>
      </c>
      <c r="E94" s="4">
        <f>'Total income package'!$H$61+'Total income package'!$F$66</f>
        <v>250</v>
      </c>
      <c r="F94" s="4">
        <f t="shared" si="13"/>
        <v>3916.6666666666665</v>
      </c>
      <c r="G94" s="181" t="str">
        <f t="shared" si="14"/>
        <v>Yes</v>
      </c>
      <c r="H94" s="3">
        <f t="shared" si="15"/>
        <v>80</v>
      </c>
      <c r="I94" s="3">
        <f t="shared" si="16"/>
        <v>33.33</v>
      </c>
      <c r="J94" s="3">
        <f t="shared" si="9"/>
        <v>3803.3366666666666</v>
      </c>
      <c r="K94" s="3">
        <f t="shared" si="10"/>
        <v>1141.001</v>
      </c>
      <c r="L94" s="3">
        <f t="shared" si="11"/>
        <v>391.66666666666669</v>
      </c>
      <c r="M94" s="3">
        <v>50</v>
      </c>
      <c r="N94" s="3">
        <f t="shared" si="17"/>
        <v>1141.001</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94" s="337">
        <f>IF(AND(G94="Yes",'Total income package'!$A$14=TRUE,P94-N94&gt;0),P94-N94,0)</f>
        <v>352.99900000000002</v>
      </c>
      <c r="R94" s="29"/>
    </row>
    <row r="95" spans="1:18" x14ac:dyDescent="0.3">
      <c r="A95" s="182">
        <v>44500</v>
      </c>
      <c r="B95" s="4">
        <f t="shared" si="12"/>
        <v>3708.3333333333335</v>
      </c>
      <c r="C95" s="4">
        <f>MAX('TANF-VIEW'!L98,'TANF-VIEW'!T98)</f>
        <v>0</v>
      </c>
      <c r="D95" s="4">
        <f>'Total income package'!$D$80</f>
        <v>0</v>
      </c>
      <c r="E95" s="4">
        <f>'Total income package'!$H$61+'Total income package'!$F$66</f>
        <v>250</v>
      </c>
      <c r="F95" s="4">
        <f t="shared" si="13"/>
        <v>3958.3333333333335</v>
      </c>
      <c r="G95" s="181" t="str">
        <f t="shared" si="14"/>
        <v>Yes</v>
      </c>
      <c r="H95" s="3">
        <f t="shared" si="15"/>
        <v>80</v>
      </c>
      <c r="I95" s="3">
        <f t="shared" si="16"/>
        <v>33.33</v>
      </c>
      <c r="J95" s="3">
        <f t="shared" si="9"/>
        <v>3845.0033333333336</v>
      </c>
      <c r="K95" s="3">
        <f t="shared" si="10"/>
        <v>1153.501</v>
      </c>
      <c r="L95" s="3">
        <f t="shared" si="11"/>
        <v>395.83333333333337</v>
      </c>
      <c r="M95" s="3">
        <v>50</v>
      </c>
      <c r="N95" s="3">
        <f t="shared" si="17"/>
        <v>1153.501</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95" s="337">
        <f>IF(AND(G95="Yes",'Total income package'!$A$14=TRUE,P95-N95&gt;0),P95-N95,0)</f>
        <v>340.49900000000002</v>
      </c>
      <c r="R95" s="29"/>
    </row>
    <row r="96" spans="1:18" x14ac:dyDescent="0.3">
      <c r="A96" s="182">
        <v>45000</v>
      </c>
      <c r="B96" s="4">
        <f t="shared" si="12"/>
        <v>3750</v>
      </c>
      <c r="C96" s="4">
        <f>MAX('TANF-VIEW'!L99,'TANF-VIEW'!T99)</f>
        <v>0</v>
      </c>
      <c r="D96" s="4">
        <f>'Total income package'!$D$80</f>
        <v>0</v>
      </c>
      <c r="E96" s="4">
        <f>'Total income package'!$H$61+'Total income package'!$F$66</f>
        <v>250</v>
      </c>
      <c r="F96" s="4">
        <f t="shared" si="13"/>
        <v>4000</v>
      </c>
      <c r="G96" s="181" t="str">
        <f t="shared" si="14"/>
        <v>Yes</v>
      </c>
      <c r="H96" s="3">
        <f t="shared" si="15"/>
        <v>80</v>
      </c>
      <c r="I96" s="3">
        <f t="shared" si="16"/>
        <v>33.33</v>
      </c>
      <c r="J96" s="3">
        <f t="shared" si="9"/>
        <v>3886.67</v>
      </c>
      <c r="K96" s="3">
        <f t="shared" si="10"/>
        <v>1166.001</v>
      </c>
      <c r="L96" s="3">
        <f t="shared" si="11"/>
        <v>400</v>
      </c>
      <c r="M96" s="3">
        <v>50</v>
      </c>
      <c r="N96" s="3">
        <f t="shared" si="17"/>
        <v>1166.001</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96" s="337">
        <f>IF(AND(G96="Yes",'Total income package'!$A$14=TRUE,P96-N96&gt;0),P96-N96,0)</f>
        <v>327.99900000000002</v>
      </c>
      <c r="R96" s="29"/>
    </row>
    <row r="97" spans="1:18" x14ac:dyDescent="0.3">
      <c r="A97" s="182">
        <v>45500</v>
      </c>
      <c r="B97" s="4">
        <f t="shared" si="12"/>
        <v>3791.6666666666665</v>
      </c>
      <c r="C97" s="4">
        <f>MAX('TANF-VIEW'!L100,'TANF-VIEW'!T100)</f>
        <v>0</v>
      </c>
      <c r="D97" s="4">
        <f>'Total income package'!$D$80</f>
        <v>0</v>
      </c>
      <c r="E97" s="4">
        <f>'Total income package'!$H$61+'Total income package'!$F$66</f>
        <v>250</v>
      </c>
      <c r="F97" s="4">
        <f t="shared" si="13"/>
        <v>4041.6666666666665</v>
      </c>
      <c r="G97" s="181" t="str">
        <f t="shared" si="14"/>
        <v>Yes</v>
      </c>
      <c r="H97" s="3">
        <f t="shared" si="15"/>
        <v>80</v>
      </c>
      <c r="I97" s="3">
        <f t="shared" si="16"/>
        <v>33.33</v>
      </c>
      <c r="J97" s="3">
        <f t="shared" si="9"/>
        <v>3928.3366666666666</v>
      </c>
      <c r="K97" s="3">
        <f t="shared" si="10"/>
        <v>1178.501</v>
      </c>
      <c r="L97" s="3">
        <f t="shared" si="11"/>
        <v>404.16666666666669</v>
      </c>
      <c r="M97" s="3">
        <v>50</v>
      </c>
      <c r="N97" s="3">
        <f t="shared" si="17"/>
        <v>1178.501</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97" s="337">
        <f>IF(AND(G97="Yes",'Total income package'!$A$14=TRUE,P97-N97&gt;0),P97-N97,0)</f>
        <v>315.49900000000002</v>
      </c>
      <c r="R97" s="29"/>
    </row>
    <row r="98" spans="1:18" x14ac:dyDescent="0.3">
      <c r="A98" s="182">
        <v>46000</v>
      </c>
      <c r="B98" s="4">
        <f t="shared" si="12"/>
        <v>3833.3333333333335</v>
      </c>
      <c r="C98" s="4">
        <f>MAX('TANF-VIEW'!L101,'TANF-VIEW'!T101)</f>
        <v>0</v>
      </c>
      <c r="D98" s="4">
        <f>'Total income package'!$D$80</f>
        <v>0</v>
      </c>
      <c r="E98" s="4">
        <f>'Total income package'!$H$61+'Total income package'!$F$66</f>
        <v>250</v>
      </c>
      <c r="F98" s="4">
        <f t="shared" si="13"/>
        <v>4083.3333333333335</v>
      </c>
      <c r="G98" s="181" t="str">
        <f t="shared" si="14"/>
        <v>Yes</v>
      </c>
      <c r="H98" s="3">
        <f t="shared" si="15"/>
        <v>80</v>
      </c>
      <c r="I98" s="3">
        <f t="shared" si="16"/>
        <v>33.33</v>
      </c>
      <c r="J98" s="3">
        <f t="shared" si="9"/>
        <v>3970.0033333333336</v>
      </c>
      <c r="K98" s="3">
        <f t="shared" si="10"/>
        <v>1191.001</v>
      </c>
      <c r="L98" s="3">
        <f t="shared" si="11"/>
        <v>408.33333333333337</v>
      </c>
      <c r="M98" s="3">
        <v>50</v>
      </c>
      <c r="N98" s="3">
        <f t="shared" si="17"/>
        <v>1191.001</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98" s="337">
        <f>IF(AND(G98="Yes",'Total income package'!$A$14=TRUE,P98-N98&gt;0),P98-N98,0)</f>
        <v>302.99900000000002</v>
      </c>
      <c r="R98" s="29"/>
    </row>
    <row r="99" spans="1:18" x14ac:dyDescent="0.3">
      <c r="A99" s="182">
        <v>46500</v>
      </c>
      <c r="B99" s="4">
        <f t="shared" si="12"/>
        <v>3875</v>
      </c>
      <c r="C99" s="4">
        <f>MAX('TANF-VIEW'!L102,'TANF-VIEW'!T102)</f>
        <v>0</v>
      </c>
      <c r="D99" s="4">
        <f>'Total income package'!$D$80</f>
        <v>0</v>
      </c>
      <c r="E99" s="4">
        <f>'Total income package'!$H$61+'Total income package'!$F$66</f>
        <v>250</v>
      </c>
      <c r="F99" s="4">
        <f t="shared" si="13"/>
        <v>4125</v>
      </c>
      <c r="G99" s="181" t="str">
        <f t="shared" si="14"/>
        <v>Yes</v>
      </c>
      <c r="H99" s="3">
        <f t="shared" si="15"/>
        <v>80</v>
      </c>
      <c r="I99" s="3">
        <f t="shared" si="16"/>
        <v>33.33</v>
      </c>
      <c r="J99" s="3">
        <f t="shared" si="9"/>
        <v>4011.67</v>
      </c>
      <c r="K99" s="3">
        <f t="shared" si="10"/>
        <v>1203.501</v>
      </c>
      <c r="L99" s="3">
        <f t="shared" si="11"/>
        <v>412.5</v>
      </c>
      <c r="M99" s="3">
        <v>50</v>
      </c>
      <c r="N99" s="3">
        <f t="shared" si="17"/>
        <v>1203.501</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99" s="337">
        <f>IF(AND(G99="Yes",'Total income package'!$A$14=TRUE,P99-N99&gt;0),P99-N99,0)</f>
        <v>290.49900000000002</v>
      </c>
      <c r="R99" s="29"/>
    </row>
    <row r="100" spans="1:18" x14ac:dyDescent="0.3">
      <c r="A100" s="182">
        <v>47000</v>
      </c>
      <c r="B100" s="4">
        <f t="shared" si="12"/>
        <v>3916.6666666666665</v>
      </c>
      <c r="C100" s="4">
        <f>MAX('TANF-VIEW'!L103,'TANF-VIEW'!T103)</f>
        <v>0</v>
      </c>
      <c r="D100" s="4">
        <f>'Total income package'!$D$80</f>
        <v>0</v>
      </c>
      <c r="E100" s="4">
        <f>'Total income package'!$H$61+'Total income package'!$F$66</f>
        <v>250</v>
      </c>
      <c r="F100" s="4">
        <f t="shared" si="13"/>
        <v>4166.6666666666661</v>
      </c>
      <c r="G100" s="181" t="str">
        <f t="shared" si="14"/>
        <v>Yes</v>
      </c>
      <c r="H100" s="3">
        <f t="shared" si="15"/>
        <v>80</v>
      </c>
      <c r="I100" s="3">
        <f t="shared" si="16"/>
        <v>33.33</v>
      </c>
      <c r="J100" s="3">
        <f t="shared" si="9"/>
        <v>4053.3366666666661</v>
      </c>
      <c r="K100" s="3">
        <f t="shared" si="10"/>
        <v>1216.0009999999997</v>
      </c>
      <c r="L100" s="3">
        <f t="shared" si="11"/>
        <v>416.66666666666663</v>
      </c>
      <c r="M100" s="3">
        <v>50</v>
      </c>
      <c r="N100" s="3">
        <f t="shared" si="17"/>
        <v>1216.0009999999997</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00" s="337">
        <f>IF(AND(G100="Yes",'Total income package'!$A$14=TRUE,P100-N100&gt;0),P100-N100,0)</f>
        <v>277.99900000000025</v>
      </c>
      <c r="R100" s="29"/>
    </row>
    <row r="101" spans="1:18" x14ac:dyDescent="0.3">
      <c r="A101" s="182">
        <v>47500</v>
      </c>
      <c r="B101" s="4">
        <f t="shared" si="12"/>
        <v>3958.3333333333335</v>
      </c>
      <c r="C101" s="4">
        <f>MAX('TANF-VIEW'!L104,'TANF-VIEW'!T104)</f>
        <v>0</v>
      </c>
      <c r="D101" s="4">
        <f>'Total income package'!$D$80</f>
        <v>0</v>
      </c>
      <c r="E101" s="4">
        <f>'Total income package'!$H$61+'Total income package'!$F$66</f>
        <v>250</v>
      </c>
      <c r="F101" s="4">
        <f t="shared" si="13"/>
        <v>4208.3333333333339</v>
      </c>
      <c r="G101" s="181" t="str">
        <f t="shared" si="14"/>
        <v>Yes</v>
      </c>
      <c r="H101" s="3">
        <f t="shared" si="15"/>
        <v>80</v>
      </c>
      <c r="I101" s="3">
        <f t="shared" si="16"/>
        <v>33.33</v>
      </c>
      <c r="J101" s="3">
        <f t="shared" si="9"/>
        <v>4095.003333333334</v>
      </c>
      <c r="K101" s="3">
        <f t="shared" si="10"/>
        <v>1228.5010000000002</v>
      </c>
      <c r="L101" s="3">
        <f t="shared" si="11"/>
        <v>420.83333333333343</v>
      </c>
      <c r="M101" s="3">
        <v>50</v>
      </c>
      <c r="N101" s="3">
        <f t="shared" si="17"/>
        <v>1228.5010000000002</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01" s="337">
        <f>IF(AND(G101="Yes",'Total income package'!$A$14=TRUE,P101-N101&gt;0),P101-N101,0)</f>
        <v>265.4989999999998</v>
      </c>
      <c r="R101" s="29"/>
    </row>
    <row r="102" spans="1:18" x14ac:dyDescent="0.3">
      <c r="A102" s="182">
        <v>48000</v>
      </c>
      <c r="B102" s="4">
        <f t="shared" si="12"/>
        <v>4000</v>
      </c>
      <c r="C102" s="4">
        <f>MAX('TANF-VIEW'!L105,'TANF-VIEW'!T105)</f>
        <v>0</v>
      </c>
      <c r="D102" s="4">
        <f>'Total income package'!$D$80</f>
        <v>0</v>
      </c>
      <c r="E102" s="4">
        <f>'Total income package'!$H$61+'Total income package'!$F$66</f>
        <v>250</v>
      </c>
      <c r="F102" s="4">
        <f t="shared" si="13"/>
        <v>4250</v>
      </c>
      <c r="G102" s="181" t="str">
        <f t="shared" si="14"/>
        <v>Yes</v>
      </c>
      <c r="H102" s="3">
        <f t="shared" si="15"/>
        <v>80</v>
      </c>
      <c r="I102" s="3">
        <f t="shared" si="16"/>
        <v>33.33</v>
      </c>
      <c r="J102" s="3">
        <f t="shared" si="9"/>
        <v>4136.67</v>
      </c>
      <c r="K102" s="3">
        <f t="shared" si="10"/>
        <v>1241.001</v>
      </c>
      <c r="L102" s="3">
        <f t="shared" si="11"/>
        <v>425</v>
      </c>
      <c r="M102" s="3">
        <v>50</v>
      </c>
      <c r="N102" s="3">
        <f t="shared" si="17"/>
        <v>1241.001</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02" s="337">
        <f>IF(AND(G102="Yes",'Total income package'!$A$14=TRUE,P102-N102&gt;0),P102-N102,0)</f>
        <v>252.99900000000002</v>
      </c>
      <c r="R102" s="29"/>
    </row>
    <row r="103" spans="1:18" x14ac:dyDescent="0.3">
      <c r="A103" s="182">
        <v>48500</v>
      </c>
      <c r="B103" s="4">
        <f t="shared" si="12"/>
        <v>4041.6666666666665</v>
      </c>
      <c r="C103" s="4">
        <f>MAX('TANF-VIEW'!L106,'TANF-VIEW'!T106)</f>
        <v>0</v>
      </c>
      <c r="D103" s="4">
        <f>'Total income package'!$D$80</f>
        <v>0</v>
      </c>
      <c r="E103" s="4">
        <f>'Total income package'!$H$61+'Total income package'!$F$66</f>
        <v>250</v>
      </c>
      <c r="F103" s="4">
        <f t="shared" si="13"/>
        <v>4291.6666666666661</v>
      </c>
      <c r="G103" s="181" t="str">
        <f t="shared" si="14"/>
        <v>Yes</v>
      </c>
      <c r="H103" s="3">
        <f t="shared" si="15"/>
        <v>80</v>
      </c>
      <c r="I103" s="3">
        <f t="shared" si="16"/>
        <v>33.33</v>
      </c>
      <c r="J103" s="3">
        <f t="shared" si="9"/>
        <v>4178.3366666666661</v>
      </c>
      <c r="K103" s="3">
        <f t="shared" si="10"/>
        <v>1253.5009999999997</v>
      </c>
      <c r="L103" s="3">
        <f t="shared" si="11"/>
        <v>429.16666666666663</v>
      </c>
      <c r="M103" s="3">
        <v>50</v>
      </c>
      <c r="N103" s="3">
        <f t="shared" si="17"/>
        <v>1253.5009999999997</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03" s="337">
        <f>IF(AND(G103="Yes",'Total income package'!$A$14=TRUE,P103-N103&gt;0),P103-N103,0)</f>
        <v>240.49900000000025</v>
      </c>
      <c r="R103" s="29"/>
    </row>
    <row r="104" spans="1:18" x14ac:dyDescent="0.3">
      <c r="A104" s="182">
        <v>49000</v>
      </c>
      <c r="B104" s="4">
        <f t="shared" si="12"/>
        <v>4083.3333333333335</v>
      </c>
      <c r="C104" s="4">
        <f>MAX('TANF-VIEW'!L107,'TANF-VIEW'!T107)</f>
        <v>0</v>
      </c>
      <c r="D104" s="4">
        <f>'Total income package'!$D$80</f>
        <v>0</v>
      </c>
      <c r="E104" s="4">
        <f>'Total income package'!$H$61+'Total income package'!$F$66</f>
        <v>250</v>
      </c>
      <c r="F104" s="4">
        <f t="shared" si="13"/>
        <v>4333.3333333333339</v>
      </c>
      <c r="G104" s="181" t="str">
        <f t="shared" si="14"/>
        <v>Yes</v>
      </c>
      <c r="H104" s="3">
        <f t="shared" si="15"/>
        <v>80</v>
      </c>
      <c r="I104" s="3">
        <f t="shared" si="16"/>
        <v>33.33</v>
      </c>
      <c r="J104" s="3">
        <f t="shared" si="9"/>
        <v>4220.003333333334</v>
      </c>
      <c r="K104" s="3">
        <f t="shared" si="10"/>
        <v>1266.0010000000002</v>
      </c>
      <c r="L104" s="3">
        <f t="shared" si="11"/>
        <v>433.33333333333343</v>
      </c>
      <c r="M104" s="3">
        <v>50</v>
      </c>
      <c r="N104" s="3">
        <f t="shared" si="17"/>
        <v>1266.0010000000002</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04" s="337">
        <f>IF(AND(G104="Yes",'Total income package'!$A$14=TRUE,P104-N104&gt;0),P104-N104,0)</f>
        <v>227.9989999999998</v>
      </c>
      <c r="R104" s="29"/>
    </row>
    <row r="105" spans="1:18" x14ac:dyDescent="0.3">
      <c r="A105" s="182">
        <v>49500</v>
      </c>
      <c r="B105" s="4">
        <f t="shared" si="12"/>
        <v>4125</v>
      </c>
      <c r="C105" s="4">
        <f>MAX('TANF-VIEW'!L108,'TANF-VIEW'!T108)</f>
        <v>0</v>
      </c>
      <c r="D105" s="4">
        <f>'Total income package'!$D$80</f>
        <v>0</v>
      </c>
      <c r="E105" s="4">
        <f>'Total income package'!$H$61+'Total income package'!$F$66</f>
        <v>250</v>
      </c>
      <c r="F105" s="4">
        <f t="shared" si="13"/>
        <v>4375</v>
      </c>
      <c r="G105" s="181" t="str">
        <f t="shared" si="14"/>
        <v>Yes</v>
      </c>
      <c r="H105" s="3">
        <f t="shared" si="15"/>
        <v>80</v>
      </c>
      <c r="I105" s="3">
        <f t="shared" si="16"/>
        <v>33.33</v>
      </c>
      <c r="J105" s="3">
        <f t="shared" si="9"/>
        <v>4261.67</v>
      </c>
      <c r="K105" s="3">
        <f t="shared" si="10"/>
        <v>1278.501</v>
      </c>
      <c r="L105" s="3">
        <f t="shared" si="11"/>
        <v>437.5</v>
      </c>
      <c r="M105" s="3">
        <v>50</v>
      </c>
      <c r="N105" s="3">
        <f t="shared" si="17"/>
        <v>1278.501</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05" s="337">
        <f>IF(AND(G105="Yes",'Total income package'!$A$14=TRUE,P105-N105&gt;0),P105-N105,0)</f>
        <v>215.49900000000002</v>
      </c>
      <c r="R105" s="29"/>
    </row>
    <row r="106" spans="1:18" x14ac:dyDescent="0.3">
      <c r="A106" s="182">
        <v>50000</v>
      </c>
      <c r="B106" s="4">
        <f t="shared" si="12"/>
        <v>4166.666666666667</v>
      </c>
      <c r="C106" s="4">
        <f>MAX('TANF-VIEW'!L109,'TANF-VIEW'!T109)</f>
        <v>0</v>
      </c>
      <c r="D106" s="4">
        <f>'Total income package'!$D$80</f>
        <v>0</v>
      </c>
      <c r="E106" s="4">
        <f>'Total income package'!$H$61+'Total income package'!$F$66</f>
        <v>250</v>
      </c>
      <c r="F106" s="4">
        <f t="shared" si="13"/>
        <v>4416.666666666667</v>
      </c>
      <c r="G106" s="181" t="str">
        <f t="shared" si="14"/>
        <v>Yes</v>
      </c>
      <c r="H106" s="3">
        <f t="shared" si="15"/>
        <v>80</v>
      </c>
      <c r="I106" s="3">
        <f t="shared" si="16"/>
        <v>33.33</v>
      </c>
      <c r="J106" s="3">
        <f t="shared" si="9"/>
        <v>4303.336666666667</v>
      </c>
      <c r="K106" s="3">
        <f t="shared" si="10"/>
        <v>1291.001</v>
      </c>
      <c r="L106" s="3">
        <f t="shared" si="11"/>
        <v>441.66666666666674</v>
      </c>
      <c r="M106" s="3">
        <v>50</v>
      </c>
      <c r="N106" s="3">
        <f t="shared" si="17"/>
        <v>1291.001</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06" s="337">
        <f>IF(AND(G106="Yes",'Total income package'!$A$14=TRUE,P106-N106&gt;0),P106-N106,0)</f>
        <v>202.99900000000002</v>
      </c>
      <c r="R106" s="29"/>
    </row>
    <row r="107" spans="1:18" x14ac:dyDescent="0.3">
      <c r="A107" s="182">
        <v>50500</v>
      </c>
      <c r="B107" s="4">
        <f t="shared" si="12"/>
        <v>4208.333333333333</v>
      </c>
      <c r="C107" s="4">
        <f>MAX('TANF-VIEW'!L110,'TANF-VIEW'!T110)</f>
        <v>0</v>
      </c>
      <c r="D107" s="4">
        <f>'Total income package'!$D$80</f>
        <v>0</v>
      </c>
      <c r="E107" s="4">
        <f>'Total income package'!$H$61+'Total income package'!$F$66</f>
        <v>250</v>
      </c>
      <c r="F107" s="4">
        <f t="shared" si="13"/>
        <v>4458.333333333333</v>
      </c>
      <c r="G107" s="181" t="str">
        <f t="shared" si="14"/>
        <v>Yes</v>
      </c>
      <c r="H107" s="3">
        <f t="shared" si="15"/>
        <v>80</v>
      </c>
      <c r="I107" s="3">
        <f t="shared" si="16"/>
        <v>33.33</v>
      </c>
      <c r="J107" s="3">
        <f t="shared" si="9"/>
        <v>4345.0033333333331</v>
      </c>
      <c r="K107" s="3">
        <f t="shared" si="10"/>
        <v>1303.501</v>
      </c>
      <c r="L107" s="3">
        <f t="shared" si="11"/>
        <v>445.83333333333331</v>
      </c>
      <c r="M107" s="3">
        <v>50</v>
      </c>
      <c r="N107" s="3">
        <f t="shared" ref="N107:N170" si="18">MAX(K107:M107)</f>
        <v>1303.501</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07" s="337">
        <f>IF(AND(G107="Yes",'Total income package'!$A$14=TRUE,P107-N107&gt;0),P107-N107,0)</f>
        <v>190.49900000000002</v>
      </c>
    </row>
    <row r="108" spans="1:18" x14ac:dyDescent="0.3">
      <c r="A108" s="182">
        <v>51000</v>
      </c>
      <c r="B108" s="4">
        <f t="shared" si="12"/>
        <v>4250</v>
      </c>
      <c r="C108" s="4">
        <f>MAX('TANF-VIEW'!L111,'TANF-VIEW'!T111)</f>
        <v>0</v>
      </c>
      <c r="D108" s="4">
        <f>'Total income package'!$D$80</f>
        <v>0</v>
      </c>
      <c r="E108" s="4">
        <f>'Total income package'!$H$61+'Total income package'!$F$66</f>
        <v>250</v>
      </c>
      <c r="F108" s="4">
        <f t="shared" si="13"/>
        <v>4500</v>
      </c>
      <c r="G108" s="181" t="str">
        <f t="shared" si="14"/>
        <v>Yes</v>
      </c>
      <c r="H108" s="3">
        <f t="shared" si="15"/>
        <v>80</v>
      </c>
      <c r="I108" s="3">
        <f t="shared" si="16"/>
        <v>33.33</v>
      </c>
      <c r="J108" s="3">
        <f t="shared" si="9"/>
        <v>4386.67</v>
      </c>
      <c r="K108" s="3">
        <f t="shared" si="10"/>
        <v>1316.001</v>
      </c>
      <c r="L108" s="3">
        <f t="shared" si="11"/>
        <v>450</v>
      </c>
      <c r="M108" s="3">
        <v>50</v>
      </c>
      <c r="N108" s="3">
        <f t="shared" si="18"/>
        <v>1316.001</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08" s="337">
        <f>IF(AND(G108="Yes",'Total income package'!$A$14=TRUE,P108-N108&gt;0),P108-N108,0)</f>
        <v>177.99900000000002</v>
      </c>
    </row>
    <row r="109" spans="1:18" x14ac:dyDescent="0.3">
      <c r="A109" s="182">
        <v>51500</v>
      </c>
      <c r="B109" s="4">
        <f t="shared" si="12"/>
        <v>4291.666666666667</v>
      </c>
      <c r="C109" s="4">
        <f>MAX('TANF-VIEW'!L112,'TANF-VIEW'!T112)</f>
        <v>0</v>
      </c>
      <c r="D109" s="4">
        <f>'Total income package'!$D$80</f>
        <v>0</v>
      </c>
      <c r="E109" s="4">
        <f>'Total income package'!$H$61+'Total income package'!$F$66</f>
        <v>250</v>
      </c>
      <c r="F109" s="4">
        <f t="shared" si="13"/>
        <v>4541.666666666667</v>
      </c>
      <c r="G109" s="181" t="str">
        <f t="shared" si="14"/>
        <v>Yes</v>
      </c>
      <c r="H109" s="3">
        <f t="shared" si="15"/>
        <v>80</v>
      </c>
      <c r="I109" s="3">
        <f t="shared" si="16"/>
        <v>33.33</v>
      </c>
      <c r="J109" s="3">
        <f t="shared" si="9"/>
        <v>4428.336666666667</v>
      </c>
      <c r="K109" s="3">
        <f t="shared" si="10"/>
        <v>1328.501</v>
      </c>
      <c r="L109" s="3">
        <f t="shared" si="11"/>
        <v>454.16666666666674</v>
      </c>
      <c r="M109" s="3">
        <v>50</v>
      </c>
      <c r="N109" s="3">
        <f t="shared" si="18"/>
        <v>1328.501</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09" s="337">
        <f>IF(AND(G109="Yes",'Total income package'!$A$14=TRUE,P109-N109&gt;0),P109-N109,0)</f>
        <v>165.49900000000002</v>
      </c>
    </row>
    <row r="110" spans="1:18" x14ac:dyDescent="0.3">
      <c r="A110" s="182">
        <v>52000</v>
      </c>
      <c r="B110" s="4">
        <f t="shared" si="12"/>
        <v>4333.333333333333</v>
      </c>
      <c r="C110" s="4">
        <f>MAX('TANF-VIEW'!L113,'TANF-VIEW'!T113)</f>
        <v>0</v>
      </c>
      <c r="D110" s="4">
        <f>'Total income package'!$D$80</f>
        <v>0</v>
      </c>
      <c r="E110" s="4">
        <f>'Total income package'!$H$61+'Total income package'!$F$66</f>
        <v>250</v>
      </c>
      <c r="F110" s="4">
        <f t="shared" si="13"/>
        <v>4583.333333333333</v>
      </c>
      <c r="G110" s="181" t="str">
        <f t="shared" si="14"/>
        <v>Yes</v>
      </c>
      <c r="H110" s="3">
        <f t="shared" si="15"/>
        <v>80</v>
      </c>
      <c r="I110" s="3">
        <f t="shared" si="16"/>
        <v>33.33</v>
      </c>
      <c r="J110" s="3">
        <f t="shared" si="9"/>
        <v>4470.0033333333331</v>
      </c>
      <c r="K110" s="3">
        <f t="shared" si="10"/>
        <v>1341.001</v>
      </c>
      <c r="L110" s="3">
        <f t="shared" si="11"/>
        <v>458.33333333333331</v>
      </c>
      <c r="M110" s="3">
        <v>50</v>
      </c>
      <c r="N110" s="3">
        <f t="shared" si="18"/>
        <v>1341.001</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10" s="337">
        <f>IF(AND(G110="Yes",'Total income package'!$A$14=TRUE,P110-N110&gt;0),P110-N110,0)</f>
        <v>152.99900000000002</v>
      </c>
    </row>
    <row r="111" spans="1:18" x14ac:dyDescent="0.3">
      <c r="A111" s="182">
        <v>52500</v>
      </c>
      <c r="B111" s="4">
        <f t="shared" si="12"/>
        <v>4375</v>
      </c>
      <c r="C111" s="4">
        <f>MAX('TANF-VIEW'!L114,'TANF-VIEW'!T114)</f>
        <v>0</v>
      </c>
      <c r="D111" s="4">
        <f>'Total income package'!$D$80</f>
        <v>0</v>
      </c>
      <c r="E111" s="4">
        <f>'Total income package'!$H$61+'Total income package'!$F$66</f>
        <v>250</v>
      </c>
      <c r="F111" s="4">
        <f t="shared" si="13"/>
        <v>4625</v>
      </c>
      <c r="G111" s="181" t="str">
        <f t="shared" si="14"/>
        <v>Yes</v>
      </c>
      <c r="H111" s="3">
        <f t="shared" si="15"/>
        <v>80</v>
      </c>
      <c r="I111" s="3">
        <f t="shared" si="16"/>
        <v>33.33</v>
      </c>
      <c r="J111" s="3">
        <f t="shared" si="9"/>
        <v>4511.67</v>
      </c>
      <c r="K111" s="3">
        <f t="shared" si="10"/>
        <v>1353.501</v>
      </c>
      <c r="L111" s="3">
        <f t="shared" si="11"/>
        <v>462.5</v>
      </c>
      <c r="M111" s="3">
        <v>50</v>
      </c>
      <c r="N111" s="3">
        <f t="shared" si="18"/>
        <v>1353.501</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11" s="337">
        <f>IF(AND(G111="Yes",'Total income package'!$A$14=TRUE,P111-N111&gt;0),P111-N111,0)</f>
        <v>140.49900000000002</v>
      </c>
    </row>
    <row r="112" spans="1:18" x14ac:dyDescent="0.3">
      <c r="A112" s="182">
        <v>53000</v>
      </c>
      <c r="B112" s="4">
        <f t="shared" si="12"/>
        <v>4416.666666666667</v>
      </c>
      <c r="C112" s="4">
        <f>MAX('TANF-VIEW'!L115,'TANF-VIEW'!T115)</f>
        <v>0</v>
      </c>
      <c r="D112" s="4">
        <f>'Total income package'!$D$80</f>
        <v>0</v>
      </c>
      <c r="E112" s="4">
        <f>'Total income package'!$H$61+'Total income package'!$F$66</f>
        <v>250</v>
      </c>
      <c r="F112" s="4">
        <f t="shared" si="13"/>
        <v>4666.666666666667</v>
      </c>
      <c r="G112" s="181" t="str">
        <f t="shared" si="14"/>
        <v>Yes</v>
      </c>
      <c r="H112" s="3">
        <f t="shared" si="15"/>
        <v>80</v>
      </c>
      <c r="I112" s="3">
        <f t="shared" si="16"/>
        <v>33.33</v>
      </c>
      <c r="J112" s="3">
        <f t="shared" si="9"/>
        <v>4553.336666666667</v>
      </c>
      <c r="K112" s="3">
        <f t="shared" si="10"/>
        <v>1366.001</v>
      </c>
      <c r="L112" s="3">
        <f t="shared" si="11"/>
        <v>466.66666666666674</v>
      </c>
      <c r="M112" s="3">
        <v>50</v>
      </c>
      <c r="N112" s="3">
        <f t="shared" si="18"/>
        <v>1366.001</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12" s="337">
        <f>IF(AND(G112="Yes",'Total income package'!$A$14=TRUE,P112-N112&gt;0),P112-N112,0)</f>
        <v>127.99900000000002</v>
      </c>
    </row>
    <row r="113" spans="1:17" x14ac:dyDescent="0.3">
      <c r="A113" s="182">
        <v>53500</v>
      </c>
      <c r="B113" s="4">
        <f t="shared" si="12"/>
        <v>4458.333333333333</v>
      </c>
      <c r="C113" s="4">
        <f>MAX('TANF-VIEW'!L116,'TANF-VIEW'!T116)</f>
        <v>0</v>
      </c>
      <c r="D113" s="4">
        <f>'Total income package'!$D$80</f>
        <v>0</v>
      </c>
      <c r="E113" s="4">
        <f>'Total income package'!$H$61+'Total income package'!$F$66</f>
        <v>250</v>
      </c>
      <c r="F113" s="4">
        <f t="shared" si="13"/>
        <v>4708.333333333333</v>
      </c>
      <c r="G113" s="181" t="str">
        <f t="shared" si="14"/>
        <v>Yes</v>
      </c>
      <c r="H113" s="3">
        <f t="shared" si="15"/>
        <v>80</v>
      </c>
      <c r="I113" s="3">
        <f t="shared" si="16"/>
        <v>33.33</v>
      </c>
      <c r="J113" s="3">
        <f t="shared" si="9"/>
        <v>4595.0033333333331</v>
      </c>
      <c r="K113" s="3">
        <f t="shared" si="10"/>
        <v>1378.501</v>
      </c>
      <c r="L113" s="3">
        <f t="shared" si="11"/>
        <v>470.83333333333331</v>
      </c>
      <c r="M113" s="3">
        <v>50</v>
      </c>
      <c r="N113" s="3">
        <f t="shared" si="18"/>
        <v>1378.501</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13" s="337">
        <f>IF(AND(G113="Yes",'Total income package'!$A$14=TRUE,P113-N113&gt;0),P113-N113,0)</f>
        <v>115.49900000000002</v>
      </c>
    </row>
    <row r="114" spans="1:17" x14ac:dyDescent="0.3">
      <c r="A114" s="182">
        <v>54000</v>
      </c>
      <c r="B114" s="4">
        <f t="shared" si="12"/>
        <v>4500</v>
      </c>
      <c r="C114" s="4">
        <f>MAX('TANF-VIEW'!L117,'TANF-VIEW'!T117)</f>
        <v>0</v>
      </c>
      <c r="D114" s="4">
        <f>'Total income package'!$D$80</f>
        <v>0</v>
      </c>
      <c r="E114" s="4">
        <f>'Total income package'!$H$61+'Total income package'!$F$66</f>
        <v>250</v>
      </c>
      <c r="F114" s="4">
        <f t="shared" si="13"/>
        <v>4750</v>
      </c>
      <c r="G114" s="181" t="str">
        <f t="shared" si="14"/>
        <v>Yes</v>
      </c>
      <c r="H114" s="3">
        <f t="shared" si="15"/>
        <v>80</v>
      </c>
      <c r="I114" s="3">
        <f t="shared" si="16"/>
        <v>33.33</v>
      </c>
      <c r="J114" s="3">
        <f t="shared" si="9"/>
        <v>4636.67</v>
      </c>
      <c r="K114" s="3">
        <f t="shared" si="10"/>
        <v>1391.001</v>
      </c>
      <c r="L114" s="3">
        <f t="shared" si="11"/>
        <v>475</v>
      </c>
      <c r="M114" s="3">
        <v>50</v>
      </c>
      <c r="N114" s="3">
        <f t="shared" si="18"/>
        <v>1391.001</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14" s="337">
        <f>IF(AND(G114="Yes",'Total income package'!$A$14=TRUE,P114-N114&gt;0),P114-N114,0)</f>
        <v>102.99900000000002</v>
      </c>
    </row>
    <row r="115" spans="1:17" x14ac:dyDescent="0.3">
      <c r="A115" s="182">
        <v>54500</v>
      </c>
      <c r="B115" s="4">
        <f t="shared" si="12"/>
        <v>4541.666666666667</v>
      </c>
      <c r="C115" s="4">
        <f>MAX('TANF-VIEW'!L118,'TANF-VIEW'!T118)</f>
        <v>0</v>
      </c>
      <c r="D115" s="4">
        <f>'Total income package'!$D$80</f>
        <v>0</v>
      </c>
      <c r="E115" s="4">
        <f>'Total income package'!$H$61+'Total income package'!$F$66</f>
        <v>250</v>
      </c>
      <c r="F115" s="4">
        <f t="shared" si="13"/>
        <v>4791.666666666667</v>
      </c>
      <c r="G115" s="181" t="str">
        <f t="shared" si="14"/>
        <v>Yes</v>
      </c>
      <c r="H115" s="3">
        <f t="shared" si="15"/>
        <v>80</v>
      </c>
      <c r="I115" s="3">
        <f t="shared" si="16"/>
        <v>33.33</v>
      </c>
      <c r="J115" s="3">
        <f t="shared" si="9"/>
        <v>4678.336666666667</v>
      </c>
      <c r="K115" s="3">
        <f t="shared" si="10"/>
        <v>1403.501</v>
      </c>
      <c r="L115" s="3">
        <f t="shared" si="11"/>
        <v>479.16666666666674</v>
      </c>
      <c r="M115" s="3">
        <v>50</v>
      </c>
      <c r="N115" s="3">
        <f t="shared" si="18"/>
        <v>1403.501</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15" s="337">
        <f>IF(AND(G115="Yes",'Total income package'!$A$14=TRUE,P115-N115&gt;0),P115-N115,0)</f>
        <v>90.499000000000024</v>
      </c>
    </row>
    <row r="116" spans="1:17" x14ac:dyDescent="0.3">
      <c r="A116" s="182">
        <v>55000</v>
      </c>
      <c r="B116" s="4">
        <f t="shared" si="12"/>
        <v>4583.333333333333</v>
      </c>
      <c r="C116" s="4">
        <f>MAX('TANF-VIEW'!L119,'TANF-VIEW'!T119)</f>
        <v>0</v>
      </c>
      <c r="D116" s="4">
        <f>'Total income package'!$D$80</f>
        <v>0</v>
      </c>
      <c r="E116" s="4">
        <f>'Total income package'!$H$61+'Total income package'!$F$66</f>
        <v>250</v>
      </c>
      <c r="F116" s="4">
        <f t="shared" si="13"/>
        <v>4833.333333333333</v>
      </c>
      <c r="G116" s="181" t="str">
        <f t="shared" si="14"/>
        <v>Yes</v>
      </c>
      <c r="H116" s="3">
        <f t="shared" si="15"/>
        <v>80</v>
      </c>
      <c r="I116" s="3">
        <f t="shared" si="16"/>
        <v>33.33</v>
      </c>
      <c r="J116" s="3">
        <f t="shared" si="9"/>
        <v>4720.0033333333331</v>
      </c>
      <c r="K116" s="3">
        <f t="shared" si="10"/>
        <v>1416.001</v>
      </c>
      <c r="L116" s="3">
        <f t="shared" si="11"/>
        <v>483.33333333333331</v>
      </c>
      <c r="M116" s="3">
        <v>50</v>
      </c>
      <c r="N116" s="3">
        <f t="shared" si="18"/>
        <v>1416.001</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16" s="337">
        <f>IF(AND(G116="Yes",'Total income package'!$A$14=TRUE,P116-N116&gt;0),P116-N116,0)</f>
        <v>77.999000000000024</v>
      </c>
    </row>
    <row r="117" spans="1:17" x14ac:dyDescent="0.3">
      <c r="A117" s="182">
        <v>55500</v>
      </c>
      <c r="B117" s="4">
        <f t="shared" si="12"/>
        <v>4625</v>
      </c>
      <c r="C117" s="4">
        <f>MAX('TANF-VIEW'!L120,'TANF-VIEW'!T120)</f>
        <v>0</v>
      </c>
      <c r="D117" s="4">
        <f>'Total income package'!$D$80</f>
        <v>0</v>
      </c>
      <c r="E117" s="4">
        <f>'Total income package'!$H$61+'Total income package'!$F$66</f>
        <v>250</v>
      </c>
      <c r="F117" s="4">
        <f t="shared" si="13"/>
        <v>4875</v>
      </c>
      <c r="G117" s="181" t="str">
        <f t="shared" si="14"/>
        <v>Yes</v>
      </c>
      <c r="H117" s="3">
        <f t="shared" si="15"/>
        <v>80</v>
      </c>
      <c r="I117" s="3">
        <f t="shared" si="16"/>
        <v>33.33</v>
      </c>
      <c r="J117" s="3">
        <f t="shared" si="9"/>
        <v>4761.67</v>
      </c>
      <c r="K117" s="3">
        <f t="shared" si="10"/>
        <v>1428.501</v>
      </c>
      <c r="L117" s="3">
        <f t="shared" si="11"/>
        <v>487.5</v>
      </c>
      <c r="M117" s="3">
        <v>50</v>
      </c>
      <c r="N117" s="3">
        <f t="shared" si="18"/>
        <v>1428.501</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17" s="337">
        <f>IF(AND(G117="Yes",'Total income package'!$A$14=TRUE,P117-N117&gt;0),P117-N117,0)</f>
        <v>65.499000000000024</v>
      </c>
    </row>
    <row r="118" spans="1:17" x14ac:dyDescent="0.3">
      <c r="A118" s="182">
        <v>56000</v>
      </c>
      <c r="B118" s="4">
        <f t="shared" si="12"/>
        <v>4666.666666666667</v>
      </c>
      <c r="C118" s="4">
        <f>MAX('TANF-VIEW'!L121,'TANF-VIEW'!T121)</f>
        <v>0</v>
      </c>
      <c r="D118" s="4">
        <f>'Total income package'!$D$80</f>
        <v>0</v>
      </c>
      <c r="E118" s="4">
        <f>'Total income package'!$H$61+'Total income package'!$F$66</f>
        <v>250</v>
      </c>
      <c r="F118" s="4">
        <f t="shared" si="13"/>
        <v>4916.666666666667</v>
      </c>
      <c r="G118" s="181" t="str">
        <f t="shared" si="14"/>
        <v>Yes</v>
      </c>
      <c r="H118" s="3">
        <f t="shared" si="15"/>
        <v>80</v>
      </c>
      <c r="I118" s="3">
        <f t="shared" si="16"/>
        <v>33.33</v>
      </c>
      <c r="J118" s="3">
        <f t="shared" si="9"/>
        <v>4803.336666666667</v>
      </c>
      <c r="K118" s="3">
        <f t="shared" si="10"/>
        <v>1441.001</v>
      </c>
      <c r="L118" s="3">
        <f t="shared" si="11"/>
        <v>491.66666666666674</v>
      </c>
      <c r="M118" s="3">
        <v>50</v>
      </c>
      <c r="N118" s="3">
        <f t="shared" si="18"/>
        <v>1441.001</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18" s="337">
        <f>IF(AND(G118="Yes",'Total income package'!$A$14=TRUE,P118-N118&gt;0),P118-N118,0)</f>
        <v>52.999000000000024</v>
      </c>
    </row>
    <row r="119" spans="1:17" x14ac:dyDescent="0.3">
      <c r="A119" s="182">
        <v>56500</v>
      </c>
      <c r="B119" s="4">
        <f t="shared" si="12"/>
        <v>4708.333333333333</v>
      </c>
      <c r="C119" s="4">
        <f>MAX('TANF-VIEW'!L122,'TANF-VIEW'!T122)</f>
        <v>0</v>
      </c>
      <c r="D119" s="4">
        <f>'Total income package'!$D$80</f>
        <v>0</v>
      </c>
      <c r="E119" s="4">
        <f>'Total income package'!$H$61+'Total income package'!$F$66</f>
        <v>250</v>
      </c>
      <c r="F119" s="4">
        <f t="shared" si="13"/>
        <v>4958.333333333333</v>
      </c>
      <c r="G119" s="181" t="str">
        <f t="shared" si="14"/>
        <v>Yes</v>
      </c>
      <c r="H119" s="3">
        <f t="shared" si="15"/>
        <v>80</v>
      </c>
      <c r="I119" s="3">
        <f t="shared" si="16"/>
        <v>33.33</v>
      </c>
      <c r="J119" s="3">
        <f t="shared" si="9"/>
        <v>4845.0033333333331</v>
      </c>
      <c r="K119" s="3">
        <f t="shared" si="10"/>
        <v>1453.501</v>
      </c>
      <c r="L119" s="3">
        <f t="shared" si="11"/>
        <v>495.83333333333331</v>
      </c>
      <c r="M119" s="3">
        <v>50</v>
      </c>
      <c r="N119" s="3">
        <f t="shared" si="18"/>
        <v>1453.501</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19" s="337">
        <f>IF(AND(G119="Yes",'Total income package'!$A$14=TRUE,P119-N119&gt;0),P119-N119,0)</f>
        <v>40.499000000000024</v>
      </c>
    </row>
    <row r="120" spans="1:17" x14ac:dyDescent="0.3">
      <c r="A120" s="182">
        <v>57000</v>
      </c>
      <c r="B120" s="4">
        <f t="shared" si="12"/>
        <v>4750</v>
      </c>
      <c r="C120" s="4">
        <f>MAX('TANF-VIEW'!L123,'TANF-VIEW'!T123)</f>
        <v>0</v>
      </c>
      <c r="D120" s="4">
        <f>'Total income package'!$D$80</f>
        <v>0</v>
      </c>
      <c r="E120" s="4">
        <f>'Total income package'!$H$61+'Total income package'!$F$66</f>
        <v>250</v>
      </c>
      <c r="F120" s="4">
        <f t="shared" si="13"/>
        <v>5000</v>
      </c>
      <c r="G120" s="181" t="str">
        <f t="shared" si="14"/>
        <v>Yes</v>
      </c>
      <c r="H120" s="3">
        <f t="shared" si="15"/>
        <v>80</v>
      </c>
      <c r="I120" s="3">
        <f t="shared" si="16"/>
        <v>33.33</v>
      </c>
      <c r="J120" s="3">
        <f t="shared" si="9"/>
        <v>4886.67</v>
      </c>
      <c r="K120" s="3">
        <f t="shared" si="10"/>
        <v>1466.001</v>
      </c>
      <c r="L120" s="3">
        <f t="shared" si="11"/>
        <v>500</v>
      </c>
      <c r="M120" s="3">
        <v>50</v>
      </c>
      <c r="N120" s="3">
        <f t="shared" si="18"/>
        <v>1466.001</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20" s="337">
        <f>IF(AND(G120="Yes",'Total income package'!$A$14=TRUE,P120-N120&gt;0),P120-N120,0)</f>
        <v>27.999000000000024</v>
      </c>
    </row>
    <row r="121" spans="1:17" x14ac:dyDescent="0.3">
      <c r="A121" s="182">
        <v>57500</v>
      </c>
      <c r="B121" s="4">
        <f t="shared" si="12"/>
        <v>4791.666666666667</v>
      </c>
      <c r="C121" s="4">
        <f>MAX('TANF-VIEW'!L124,'TANF-VIEW'!T124)</f>
        <v>0</v>
      </c>
      <c r="D121" s="4">
        <f>'Total income package'!$D$80</f>
        <v>0</v>
      </c>
      <c r="E121" s="4">
        <f>'Total income package'!$H$61+'Total income package'!$F$66</f>
        <v>250</v>
      </c>
      <c r="F121" s="4">
        <f t="shared" si="13"/>
        <v>5041.666666666667</v>
      </c>
      <c r="G121" s="181" t="str">
        <f t="shared" si="14"/>
        <v>Yes</v>
      </c>
      <c r="H121" s="3">
        <f t="shared" si="15"/>
        <v>80</v>
      </c>
      <c r="I121" s="3">
        <f t="shared" si="16"/>
        <v>33.33</v>
      </c>
      <c r="J121" s="3">
        <f t="shared" si="9"/>
        <v>4928.336666666667</v>
      </c>
      <c r="K121" s="3">
        <f t="shared" si="10"/>
        <v>1478.501</v>
      </c>
      <c r="L121" s="3">
        <f t="shared" si="11"/>
        <v>504.16666666666674</v>
      </c>
      <c r="M121" s="3">
        <v>50</v>
      </c>
      <c r="N121" s="3">
        <f t="shared" si="18"/>
        <v>1478.501</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21" s="337">
        <f>IF(AND(G121="Yes",'Total income package'!$A$14=TRUE,P121-N121&gt;0),P121-N121,0)</f>
        <v>15.499000000000024</v>
      </c>
    </row>
    <row r="122" spans="1:17" x14ac:dyDescent="0.3">
      <c r="A122" s="182">
        <v>58000</v>
      </c>
      <c r="B122" s="4">
        <f t="shared" si="12"/>
        <v>4833.333333333333</v>
      </c>
      <c r="C122" s="4">
        <f>MAX('TANF-VIEW'!L125,'TANF-VIEW'!T125)</f>
        <v>0</v>
      </c>
      <c r="D122" s="4">
        <f>'Total income package'!$D$80</f>
        <v>0</v>
      </c>
      <c r="E122" s="4">
        <f>'Total income package'!$H$61+'Total income package'!$F$66</f>
        <v>250</v>
      </c>
      <c r="F122" s="4">
        <f t="shared" si="13"/>
        <v>5083.333333333333</v>
      </c>
      <c r="G122" s="181" t="str">
        <f t="shared" si="14"/>
        <v>Yes</v>
      </c>
      <c r="H122" s="3">
        <f t="shared" si="15"/>
        <v>80</v>
      </c>
      <c r="I122" s="3">
        <f t="shared" si="16"/>
        <v>33.33</v>
      </c>
      <c r="J122" s="3">
        <f t="shared" si="9"/>
        <v>4970.0033333333331</v>
      </c>
      <c r="K122" s="3">
        <f t="shared" si="10"/>
        <v>1491.001</v>
      </c>
      <c r="L122" s="3">
        <f t="shared" si="11"/>
        <v>508.33333333333331</v>
      </c>
      <c r="M122" s="3">
        <v>50</v>
      </c>
      <c r="N122" s="3">
        <f t="shared" si="18"/>
        <v>1491.001</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22" s="337">
        <f>IF(AND(G122="Yes",'Total income package'!$A$14=TRUE,P122-N122&gt;0),P122-N122,0)</f>
        <v>2.9990000000000236</v>
      </c>
    </row>
    <row r="123" spans="1:17" x14ac:dyDescent="0.3">
      <c r="A123" s="182">
        <v>58500</v>
      </c>
      <c r="B123" s="4">
        <f t="shared" si="12"/>
        <v>4875</v>
      </c>
      <c r="C123" s="4">
        <f>MAX('TANF-VIEW'!L126,'TANF-VIEW'!T126)</f>
        <v>0</v>
      </c>
      <c r="D123" s="4">
        <f>'Total income package'!$D$80</f>
        <v>0</v>
      </c>
      <c r="E123" s="4">
        <f>'Total income package'!$H$61+'Total income package'!$F$66</f>
        <v>250</v>
      </c>
      <c r="F123" s="4">
        <f t="shared" si="13"/>
        <v>5125</v>
      </c>
      <c r="G123" s="181" t="str">
        <f t="shared" si="14"/>
        <v>Yes</v>
      </c>
      <c r="H123" s="3">
        <f t="shared" si="15"/>
        <v>80</v>
      </c>
      <c r="I123" s="3">
        <f t="shared" si="16"/>
        <v>33.33</v>
      </c>
      <c r="J123" s="3">
        <f t="shared" si="9"/>
        <v>5011.67</v>
      </c>
      <c r="K123" s="3">
        <f t="shared" si="10"/>
        <v>1503.501</v>
      </c>
      <c r="L123" s="3">
        <f t="shared" si="11"/>
        <v>512.5</v>
      </c>
      <c r="M123" s="3">
        <v>50</v>
      </c>
      <c r="N123" s="3">
        <f t="shared" si="18"/>
        <v>1503.501</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23" s="337">
        <f>IF(AND(G123="Yes",'Total income package'!$A$14=TRUE,P123-N123&gt;0),P123-N123,0)</f>
        <v>0</v>
      </c>
    </row>
    <row r="124" spans="1:17" x14ac:dyDescent="0.3">
      <c r="A124" s="182">
        <v>59000</v>
      </c>
      <c r="B124" s="4">
        <f t="shared" si="12"/>
        <v>4916.666666666667</v>
      </c>
      <c r="C124" s="4">
        <f>MAX('TANF-VIEW'!L127,'TANF-VIEW'!T127)</f>
        <v>0</v>
      </c>
      <c r="D124" s="4">
        <f>'Total income package'!$D$80</f>
        <v>0</v>
      </c>
      <c r="E124" s="4">
        <f>'Total income package'!$H$61+'Total income package'!$F$66</f>
        <v>250</v>
      </c>
      <c r="F124" s="4">
        <f t="shared" si="13"/>
        <v>5166.666666666667</v>
      </c>
      <c r="G124" s="181" t="str">
        <f t="shared" si="14"/>
        <v>Yes</v>
      </c>
      <c r="H124" s="3">
        <f t="shared" si="15"/>
        <v>80</v>
      </c>
      <c r="I124" s="3">
        <f t="shared" si="16"/>
        <v>33.33</v>
      </c>
      <c r="J124" s="3">
        <f t="shared" si="9"/>
        <v>5053.336666666667</v>
      </c>
      <c r="K124" s="3">
        <f t="shared" si="10"/>
        <v>1516.001</v>
      </c>
      <c r="L124" s="3">
        <f t="shared" si="11"/>
        <v>516.66666666666674</v>
      </c>
      <c r="M124" s="3">
        <v>50</v>
      </c>
      <c r="N124" s="3">
        <f t="shared" si="18"/>
        <v>1516.001</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24" s="337">
        <f>IF(AND(G124="Yes",'Total income package'!$A$14=TRUE,P124-N124&gt;0),P124-N124,0)</f>
        <v>0</v>
      </c>
    </row>
    <row r="125" spans="1:17" x14ac:dyDescent="0.3">
      <c r="A125" s="182">
        <v>59500</v>
      </c>
      <c r="B125" s="4">
        <f t="shared" si="12"/>
        <v>4958.333333333333</v>
      </c>
      <c r="C125" s="4">
        <f>MAX('TANF-VIEW'!L128,'TANF-VIEW'!T128)</f>
        <v>0</v>
      </c>
      <c r="D125" s="4">
        <f>'Total income package'!$D$80</f>
        <v>0</v>
      </c>
      <c r="E125" s="4">
        <f>'Total income package'!$H$61+'Total income package'!$F$66</f>
        <v>250</v>
      </c>
      <c r="F125" s="4">
        <f t="shared" si="13"/>
        <v>5208.333333333333</v>
      </c>
      <c r="G125" s="181" t="str">
        <f t="shared" si="14"/>
        <v>Yes</v>
      </c>
      <c r="H125" s="3">
        <f t="shared" si="15"/>
        <v>80</v>
      </c>
      <c r="I125" s="3">
        <f t="shared" si="16"/>
        <v>33.33</v>
      </c>
      <c r="J125" s="3">
        <f t="shared" si="9"/>
        <v>5095.0033333333331</v>
      </c>
      <c r="K125" s="3">
        <f t="shared" si="10"/>
        <v>1528.501</v>
      </c>
      <c r="L125" s="3">
        <f t="shared" si="11"/>
        <v>520.83333333333337</v>
      </c>
      <c r="M125" s="3">
        <v>50</v>
      </c>
      <c r="N125" s="3">
        <f t="shared" si="18"/>
        <v>1528.501</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25" s="337">
        <f>IF(AND(G125="Yes",'Total income package'!$A$14=TRUE,P125-N125&gt;0),P125-N125,0)</f>
        <v>0</v>
      </c>
    </row>
    <row r="126" spans="1:17" x14ac:dyDescent="0.3">
      <c r="A126" s="182">
        <v>60000</v>
      </c>
      <c r="B126" s="4">
        <f t="shared" si="12"/>
        <v>5000</v>
      </c>
      <c r="C126" s="4">
        <f>MAX('TANF-VIEW'!L129,'TANF-VIEW'!T129)</f>
        <v>0</v>
      </c>
      <c r="D126" s="4">
        <f>'Total income package'!$D$80</f>
        <v>0</v>
      </c>
      <c r="E126" s="4">
        <f>'Total income package'!$H$61+'Total income package'!$F$66</f>
        <v>250</v>
      </c>
      <c r="F126" s="4">
        <f t="shared" si="13"/>
        <v>5250</v>
      </c>
      <c r="G126" s="181" t="str">
        <f t="shared" si="14"/>
        <v>Yes</v>
      </c>
      <c r="H126" s="3">
        <f t="shared" si="15"/>
        <v>80</v>
      </c>
      <c r="I126" s="3">
        <f t="shared" si="16"/>
        <v>33.33</v>
      </c>
      <c r="J126" s="3">
        <f t="shared" si="9"/>
        <v>5136.67</v>
      </c>
      <c r="K126" s="3">
        <f t="shared" si="10"/>
        <v>1541.001</v>
      </c>
      <c r="L126" s="3">
        <f t="shared" si="11"/>
        <v>525</v>
      </c>
      <c r="M126" s="3">
        <v>50</v>
      </c>
      <c r="N126" s="3">
        <f t="shared" si="18"/>
        <v>1541.001</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26" s="337">
        <f>IF(AND(G126="Yes",'Total income package'!$A$14=TRUE,P126-N126&gt;0),P126-N126,0)</f>
        <v>0</v>
      </c>
    </row>
    <row r="127" spans="1:17" x14ac:dyDescent="0.3">
      <c r="A127" s="182">
        <v>60500</v>
      </c>
      <c r="B127" s="4">
        <f t="shared" si="12"/>
        <v>5041.666666666667</v>
      </c>
      <c r="C127" s="4">
        <f>MAX('TANF-VIEW'!L130,'TANF-VIEW'!T130)</f>
        <v>0</v>
      </c>
      <c r="D127" s="4">
        <f>'Total income package'!$D$80</f>
        <v>0</v>
      </c>
      <c r="E127" s="4">
        <f>'Total income package'!$H$61+'Total income package'!$F$66</f>
        <v>250</v>
      </c>
      <c r="F127" s="4">
        <f t="shared" si="13"/>
        <v>5291.666666666667</v>
      </c>
      <c r="G127" s="181" t="str">
        <f t="shared" si="14"/>
        <v>Yes</v>
      </c>
      <c r="H127" s="3">
        <f t="shared" si="15"/>
        <v>80</v>
      </c>
      <c r="I127" s="3">
        <f t="shared" si="16"/>
        <v>33.33</v>
      </c>
      <c r="J127" s="3">
        <f t="shared" si="9"/>
        <v>5178.336666666667</v>
      </c>
      <c r="K127" s="3">
        <f t="shared" si="10"/>
        <v>1553.501</v>
      </c>
      <c r="L127" s="3">
        <f t="shared" si="11"/>
        <v>529.16666666666674</v>
      </c>
      <c r="M127" s="3">
        <v>50</v>
      </c>
      <c r="N127" s="3">
        <f t="shared" si="18"/>
        <v>1553.501</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27" s="337">
        <f>IF(AND(G127="Yes",'Total income package'!$A$14=TRUE,P127-N127&gt;0),P127-N127,0)</f>
        <v>0</v>
      </c>
    </row>
    <row r="128" spans="1:17" x14ac:dyDescent="0.3">
      <c r="A128" s="182">
        <v>61000</v>
      </c>
      <c r="B128" s="4">
        <f t="shared" si="12"/>
        <v>5083.333333333333</v>
      </c>
      <c r="C128" s="4">
        <f>MAX('TANF-VIEW'!L131,'TANF-VIEW'!T131)</f>
        <v>0</v>
      </c>
      <c r="D128" s="4">
        <f>'Total income package'!$D$80</f>
        <v>0</v>
      </c>
      <c r="E128" s="4">
        <f>'Total income package'!$H$61+'Total income package'!$F$66</f>
        <v>250</v>
      </c>
      <c r="F128" s="4">
        <f t="shared" si="13"/>
        <v>5333.333333333333</v>
      </c>
      <c r="G128" s="181" t="str">
        <f t="shared" si="14"/>
        <v>Yes</v>
      </c>
      <c r="H128" s="3">
        <f t="shared" si="15"/>
        <v>80</v>
      </c>
      <c r="I128" s="3">
        <f t="shared" si="16"/>
        <v>33.33</v>
      </c>
      <c r="J128" s="3">
        <f t="shared" si="9"/>
        <v>5220.0033333333331</v>
      </c>
      <c r="K128" s="3">
        <f t="shared" si="10"/>
        <v>1566.001</v>
      </c>
      <c r="L128" s="3">
        <f t="shared" si="11"/>
        <v>533.33333333333337</v>
      </c>
      <c r="M128" s="3">
        <v>50</v>
      </c>
      <c r="N128" s="3">
        <f t="shared" si="18"/>
        <v>1566.001</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28" s="337">
        <f>IF(AND(G128="Yes",'Total income package'!$A$14=TRUE,P128-N128&gt;0),P128-N128,0)</f>
        <v>0</v>
      </c>
    </row>
    <row r="129" spans="1:17" x14ac:dyDescent="0.3">
      <c r="A129" s="182">
        <v>61500</v>
      </c>
      <c r="B129" s="4">
        <f t="shared" si="12"/>
        <v>5125</v>
      </c>
      <c r="C129" s="4">
        <f>MAX('TANF-VIEW'!L132,'TANF-VIEW'!T132)</f>
        <v>0</v>
      </c>
      <c r="D129" s="4">
        <f>'Total income package'!$D$80</f>
        <v>0</v>
      </c>
      <c r="E129" s="4">
        <f>'Total income package'!$H$61+'Total income package'!$F$66</f>
        <v>250</v>
      </c>
      <c r="F129" s="4">
        <f t="shared" si="13"/>
        <v>5375</v>
      </c>
      <c r="G129" s="181" t="str">
        <f t="shared" si="14"/>
        <v>Yes</v>
      </c>
      <c r="H129" s="3">
        <f t="shared" si="15"/>
        <v>80</v>
      </c>
      <c r="I129" s="3">
        <f t="shared" si="16"/>
        <v>33.33</v>
      </c>
      <c r="J129" s="3">
        <f t="shared" si="9"/>
        <v>5261.67</v>
      </c>
      <c r="K129" s="3">
        <f t="shared" si="10"/>
        <v>1578.501</v>
      </c>
      <c r="L129" s="3">
        <f t="shared" si="11"/>
        <v>537.5</v>
      </c>
      <c r="M129" s="3">
        <v>50</v>
      </c>
      <c r="N129" s="3">
        <f t="shared" si="18"/>
        <v>1578.501</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29" s="337">
        <f>IF(AND(G129="Yes",'Total income package'!$A$14=TRUE,P129-N129&gt;0),P129-N129,0)</f>
        <v>0</v>
      </c>
    </row>
    <row r="130" spans="1:17" x14ac:dyDescent="0.3">
      <c r="A130" s="182">
        <v>62000</v>
      </c>
      <c r="B130" s="4">
        <f t="shared" si="12"/>
        <v>5166.666666666667</v>
      </c>
      <c r="C130" s="4">
        <f>MAX('TANF-VIEW'!L133,'TANF-VIEW'!T133)</f>
        <v>0</v>
      </c>
      <c r="D130" s="4">
        <f>'Total income package'!$D$80</f>
        <v>0</v>
      </c>
      <c r="E130" s="4">
        <f>'Total income package'!$H$61+'Total income package'!$F$66</f>
        <v>250</v>
      </c>
      <c r="F130" s="4">
        <f t="shared" si="13"/>
        <v>5416.666666666667</v>
      </c>
      <c r="G130" s="181" t="str">
        <f t="shared" si="14"/>
        <v>Yes</v>
      </c>
      <c r="H130" s="3">
        <f t="shared" si="15"/>
        <v>80</v>
      </c>
      <c r="I130" s="3">
        <f t="shared" si="16"/>
        <v>33.33</v>
      </c>
      <c r="J130" s="3">
        <f t="shared" si="9"/>
        <v>5303.336666666667</v>
      </c>
      <c r="K130" s="3">
        <f t="shared" si="10"/>
        <v>1591.001</v>
      </c>
      <c r="L130" s="3">
        <f t="shared" si="11"/>
        <v>541.66666666666674</v>
      </c>
      <c r="M130" s="3">
        <v>50</v>
      </c>
      <c r="N130" s="3">
        <f t="shared" si="18"/>
        <v>1591.001</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30" s="337">
        <f>IF(AND(G130="Yes",'Total income package'!$A$14=TRUE,P130-N130&gt;0),P130-N130,0)</f>
        <v>0</v>
      </c>
    </row>
    <row r="131" spans="1:17" x14ac:dyDescent="0.3">
      <c r="A131" s="182">
        <v>62500</v>
      </c>
      <c r="B131" s="4">
        <f t="shared" si="12"/>
        <v>5208.333333333333</v>
      </c>
      <c r="C131" s="4">
        <f>MAX('TANF-VIEW'!L134,'TANF-VIEW'!T134)</f>
        <v>0</v>
      </c>
      <c r="D131" s="4">
        <f>'Total income package'!$D$80</f>
        <v>0</v>
      </c>
      <c r="E131" s="4">
        <f>'Total income package'!$H$61+'Total income package'!$F$66</f>
        <v>250</v>
      </c>
      <c r="F131" s="4">
        <f t="shared" si="13"/>
        <v>5458.333333333333</v>
      </c>
      <c r="G131" s="181" t="str">
        <f t="shared" si="14"/>
        <v>Yes</v>
      </c>
      <c r="H131" s="3">
        <f t="shared" si="15"/>
        <v>80</v>
      </c>
      <c r="I131" s="3">
        <f t="shared" si="16"/>
        <v>33.33</v>
      </c>
      <c r="J131" s="3">
        <f t="shared" si="9"/>
        <v>5345.0033333333331</v>
      </c>
      <c r="K131" s="3">
        <f t="shared" si="10"/>
        <v>1603.501</v>
      </c>
      <c r="L131" s="3">
        <f t="shared" si="11"/>
        <v>545.83333333333337</v>
      </c>
      <c r="M131" s="3">
        <v>50</v>
      </c>
      <c r="N131" s="3">
        <f t="shared" si="18"/>
        <v>1603.501</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31" s="337">
        <f>IF(AND(G131="Yes",'Total income package'!$A$14=TRUE,P131-N131&gt;0),P131-N131,0)</f>
        <v>0</v>
      </c>
    </row>
    <row r="132" spans="1:17" x14ac:dyDescent="0.3">
      <c r="A132" s="182">
        <v>63000</v>
      </c>
      <c r="B132" s="4">
        <f t="shared" si="12"/>
        <v>5250</v>
      </c>
      <c r="C132" s="4">
        <f>MAX('TANF-VIEW'!L135,'TANF-VIEW'!T135)</f>
        <v>0</v>
      </c>
      <c r="D132" s="4">
        <f>'Total income package'!$D$80</f>
        <v>0</v>
      </c>
      <c r="E132" s="4">
        <f>'Total income package'!$H$61+'Total income package'!$F$66</f>
        <v>250</v>
      </c>
      <c r="F132" s="4">
        <f t="shared" si="13"/>
        <v>5500</v>
      </c>
      <c r="G132" s="181" t="str">
        <f t="shared" si="14"/>
        <v>Yes</v>
      </c>
      <c r="H132" s="3">
        <f t="shared" si="15"/>
        <v>80</v>
      </c>
      <c r="I132" s="3">
        <f t="shared" si="16"/>
        <v>33.33</v>
      </c>
      <c r="J132" s="3">
        <f t="shared" si="9"/>
        <v>5386.67</v>
      </c>
      <c r="K132" s="3">
        <f t="shared" si="10"/>
        <v>1616.001</v>
      </c>
      <c r="L132" s="3">
        <f t="shared" si="11"/>
        <v>550</v>
      </c>
      <c r="M132" s="3">
        <v>50</v>
      </c>
      <c r="N132" s="3">
        <f t="shared" si="18"/>
        <v>1616.001</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32" s="337">
        <f>IF(AND(G132="Yes",'Total income package'!$A$14=TRUE,P132-N132&gt;0),P132-N132,0)</f>
        <v>0</v>
      </c>
    </row>
    <row r="133" spans="1:17" x14ac:dyDescent="0.3">
      <c r="A133" s="182">
        <v>63500</v>
      </c>
      <c r="B133" s="4">
        <f t="shared" si="12"/>
        <v>5291.666666666667</v>
      </c>
      <c r="C133" s="4">
        <f>MAX('TANF-VIEW'!L136,'TANF-VIEW'!T136)</f>
        <v>0</v>
      </c>
      <c r="D133" s="4">
        <f>'Total income package'!$D$80</f>
        <v>0</v>
      </c>
      <c r="E133" s="4">
        <f>'Total income package'!$H$61+'Total income package'!$F$66</f>
        <v>250</v>
      </c>
      <c r="F133" s="4">
        <f t="shared" si="13"/>
        <v>5541.666666666667</v>
      </c>
      <c r="G133" s="181" t="str">
        <f t="shared" si="14"/>
        <v>Yes</v>
      </c>
      <c r="H133" s="3">
        <f t="shared" si="15"/>
        <v>80</v>
      </c>
      <c r="I133" s="3">
        <f t="shared" si="16"/>
        <v>33.33</v>
      </c>
      <c r="J133" s="3">
        <f t="shared" si="9"/>
        <v>5428.336666666667</v>
      </c>
      <c r="K133" s="3">
        <f t="shared" si="10"/>
        <v>1628.501</v>
      </c>
      <c r="L133" s="3">
        <f t="shared" si="11"/>
        <v>554.16666666666674</v>
      </c>
      <c r="M133" s="3">
        <v>50</v>
      </c>
      <c r="N133" s="3">
        <f t="shared" si="18"/>
        <v>1628.501</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33" s="337">
        <f>IF(AND(G133="Yes",'Total income package'!$A$14=TRUE,P133-N133&gt;0),P133-N133,0)</f>
        <v>0</v>
      </c>
    </row>
    <row r="134" spans="1:17" x14ac:dyDescent="0.3">
      <c r="A134" s="182">
        <v>64000</v>
      </c>
      <c r="B134" s="4">
        <f t="shared" si="12"/>
        <v>5333.333333333333</v>
      </c>
      <c r="C134" s="4">
        <f>MAX('TANF-VIEW'!L137,'TANF-VIEW'!T137)</f>
        <v>0</v>
      </c>
      <c r="D134" s="4">
        <f>'Total income package'!$D$80</f>
        <v>0</v>
      </c>
      <c r="E134" s="4">
        <f>'Total income package'!$H$61+'Total income package'!$F$66</f>
        <v>250</v>
      </c>
      <c r="F134" s="4">
        <f t="shared" si="13"/>
        <v>5583.333333333333</v>
      </c>
      <c r="G134" s="181" t="str">
        <f t="shared" si="14"/>
        <v>Yes</v>
      </c>
      <c r="H134" s="3">
        <f t="shared" si="15"/>
        <v>80</v>
      </c>
      <c r="I134" s="3">
        <f t="shared" si="16"/>
        <v>33.33</v>
      </c>
      <c r="J134" s="3">
        <f t="shared" ref="J134:J197" si="19">IF(F134-H134-I134&lt;0,0,F134-H134-I134)</f>
        <v>5470.0033333333331</v>
      </c>
      <c r="K134" s="3">
        <f t="shared" ref="K134:K197" si="20">J134*0.3</f>
        <v>1641.001</v>
      </c>
      <c r="L134" s="3">
        <f t="shared" ref="L134:L197" si="21">F134*0.1</f>
        <v>558.33333333333337</v>
      </c>
      <c r="M134" s="3">
        <v>50</v>
      </c>
      <c r="N134" s="3">
        <f t="shared" si="18"/>
        <v>1641.001</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34" s="337">
        <f>IF(AND(G134="Yes",'Total income package'!$A$14=TRUE,P134-N134&gt;0),P134-N134,0)</f>
        <v>0</v>
      </c>
    </row>
    <row r="135" spans="1:17" x14ac:dyDescent="0.3">
      <c r="A135" s="182">
        <v>64500</v>
      </c>
      <c r="B135" s="4">
        <f t="shared" ref="B135:B198" si="22">A135/12</f>
        <v>5375</v>
      </c>
      <c r="C135" s="4">
        <f>MAX('TANF-VIEW'!L138,'TANF-VIEW'!T138)</f>
        <v>0</v>
      </c>
      <c r="D135" s="4">
        <f>'Total income package'!$D$80</f>
        <v>0</v>
      </c>
      <c r="E135" s="4">
        <f>'Total income package'!$H$61+'Total income package'!$F$66</f>
        <v>250</v>
      </c>
      <c r="F135" s="4">
        <f t="shared" ref="F135:F198" si="23">B135+C135+D135+E135</f>
        <v>5625</v>
      </c>
      <c r="G135" s="181" t="str">
        <f t="shared" ref="G135:G198" si="24">IF(F135&lt;$L$2,"Yes","No")</f>
        <v>Yes</v>
      </c>
      <c r="H135" s="3">
        <f t="shared" ref="H135:H198" si="25">40*($D$2+$I$2)</f>
        <v>80</v>
      </c>
      <c r="I135" s="3">
        <f t="shared" ref="I135:I198" si="26">IF($H$2+$I$2&gt;0,33.33,0)</f>
        <v>33.33</v>
      </c>
      <c r="J135" s="3">
        <f t="shared" si="19"/>
        <v>5511.67</v>
      </c>
      <c r="K135" s="3">
        <f t="shared" si="20"/>
        <v>1653.501</v>
      </c>
      <c r="L135" s="3">
        <f t="shared" si="21"/>
        <v>562.5</v>
      </c>
      <c r="M135" s="3">
        <v>50</v>
      </c>
      <c r="N135" s="3">
        <f t="shared" si="18"/>
        <v>1653.501</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35" s="337">
        <f>IF(AND(G135="Yes",'Total income package'!$A$14=TRUE,P135-N135&gt;0),P135-N135,0)</f>
        <v>0</v>
      </c>
    </row>
    <row r="136" spans="1:17" x14ac:dyDescent="0.3">
      <c r="A136" s="182">
        <v>65000</v>
      </c>
      <c r="B136" s="4">
        <f t="shared" si="22"/>
        <v>5416.666666666667</v>
      </c>
      <c r="C136" s="4">
        <f>MAX('TANF-VIEW'!L139,'TANF-VIEW'!T139)</f>
        <v>0</v>
      </c>
      <c r="D136" s="4">
        <f>'Total income package'!$D$80</f>
        <v>0</v>
      </c>
      <c r="E136" s="4">
        <f>'Total income package'!$H$61+'Total income package'!$F$66</f>
        <v>250</v>
      </c>
      <c r="F136" s="4">
        <f t="shared" si="23"/>
        <v>5666.666666666667</v>
      </c>
      <c r="G136" s="181" t="str">
        <f t="shared" si="24"/>
        <v>Yes</v>
      </c>
      <c r="H136" s="3">
        <f t="shared" si="25"/>
        <v>80</v>
      </c>
      <c r="I136" s="3">
        <f t="shared" si="26"/>
        <v>33.33</v>
      </c>
      <c r="J136" s="3">
        <f t="shared" si="19"/>
        <v>5553.336666666667</v>
      </c>
      <c r="K136" s="3">
        <f t="shared" si="20"/>
        <v>1666.001</v>
      </c>
      <c r="L136" s="3">
        <f t="shared" si="21"/>
        <v>566.66666666666674</v>
      </c>
      <c r="M136" s="3">
        <v>50</v>
      </c>
      <c r="N136" s="3">
        <f t="shared" si="18"/>
        <v>1666.001</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36" s="337">
        <f>IF(AND(G136="Yes",'Total income package'!$A$14=TRUE,P136-N136&gt;0),P136-N136,0)</f>
        <v>0</v>
      </c>
    </row>
    <row r="137" spans="1:17" x14ac:dyDescent="0.3">
      <c r="A137" s="182">
        <v>65500</v>
      </c>
      <c r="B137" s="4">
        <f t="shared" si="22"/>
        <v>5458.333333333333</v>
      </c>
      <c r="C137" s="4">
        <f>MAX('TANF-VIEW'!L140,'TANF-VIEW'!T140)</f>
        <v>0</v>
      </c>
      <c r="D137" s="4">
        <f>'Total income package'!$D$80</f>
        <v>0</v>
      </c>
      <c r="E137" s="4">
        <f>'Total income package'!$H$61+'Total income package'!$F$66</f>
        <v>250</v>
      </c>
      <c r="F137" s="4">
        <f t="shared" si="23"/>
        <v>5708.333333333333</v>
      </c>
      <c r="G137" s="181" t="str">
        <f t="shared" si="24"/>
        <v>Yes</v>
      </c>
      <c r="H137" s="3">
        <f t="shared" si="25"/>
        <v>80</v>
      </c>
      <c r="I137" s="3">
        <f t="shared" si="26"/>
        <v>33.33</v>
      </c>
      <c r="J137" s="3">
        <f t="shared" si="19"/>
        <v>5595.0033333333331</v>
      </c>
      <c r="K137" s="3">
        <f t="shared" si="20"/>
        <v>1678.501</v>
      </c>
      <c r="L137" s="3">
        <f t="shared" si="21"/>
        <v>570.83333333333337</v>
      </c>
      <c r="M137" s="3">
        <v>50</v>
      </c>
      <c r="N137" s="3">
        <f t="shared" si="18"/>
        <v>1678.501</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37" s="337">
        <f>IF(AND(G137="Yes",'Total income package'!$A$14=TRUE,P137-N137&gt;0),P137-N137,0)</f>
        <v>0</v>
      </c>
    </row>
    <row r="138" spans="1:17" x14ac:dyDescent="0.3">
      <c r="A138" s="182">
        <v>66000</v>
      </c>
      <c r="B138" s="4">
        <f t="shared" si="22"/>
        <v>5500</v>
      </c>
      <c r="C138" s="4">
        <f>MAX('TANF-VIEW'!L141,'TANF-VIEW'!T141)</f>
        <v>0</v>
      </c>
      <c r="D138" s="4">
        <f>'Total income package'!$D$80</f>
        <v>0</v>
      </c>
      <c r="E138" s="4">
        <f>'Total income package'!$H$61+'Total income package'!$F$66</f>
        <v>250</v>
      </c>
      <c r="F138" s="4">
        <f t="shared" si="23"/>
        <v>5750</v>
      </c>
      <c r="G138" s="181" t="str">
        <f t="shared" si="24"/>
        <v>Yes</v>
      </c>
      <c r="H138" s="3">
        <f t="shared" si="25"/>
        <v>80</v>
      </c>
      <c r="I138" s="3">
        <f t="shared" si="26"/>
        <v>33.33</v>
      </c>
      <c r="J138" s="3">
        <f t="shared" si="19"/>
        <v>5636.67</v>
      </c>
      <c r="K138" s="3">
        <f t="shared" si="20"/>
        <v>1691.001</v>
      </c>
      <c r="L138" s="3">
        <f t="shared" si="21"/>
        <v>575</v>
      </c>
      <c r="M138" s="3">
        <v>50</v>
      </c>
      <c r="N138" s="3">
        <f t="shared" si="18"/>
        <v>1691.001</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38" s="337">
        <f>IF(AND(G138="Yes",'Total income package'!$A$14=TRUE,P138-N138&gt;0),P138-N138,0)</f>
        <v>0</v>
      </c>
    </row>
    <row r="139" spans="1:17" x14ac:dyDescent="0.3">
      <c r="A139" s="182">
        <v>66500</v>
      </c>
      <c r="B139" s="4">
        <f t="shared" si="22"/>
        <v>5541.666666666667</v>
      </c>
      <c r="C139" s="4">
        <f>MAX('TANF-VIEW'!L142,'TANF-VIEW'!T142)</f>
        <v>0</v>
      </c>
      <c r="D139" s="4">
        <f>'Total income package'!$D$80</f>
        <v>0</v>
      </c>
      <c r="E139" s="4">
        <f>'Total income package'!$H$61+'Total income package'!$F$66</f>
        <v>250</v>
      </c>
      <c r="F139" s="4">
        <f t="shared" si="23"/>
        <v>5791.666666666667</v>
      </c>
      <c r="G139" s="181" t="str">
        <f t="shared" si="24"/>
        <v>Yes</v>
      </c>
      <c r="H139" s="3">
        <f t="shared" si="25"/>
        <v>80</v>
      </c>
      <c r="I139" s="3">
        <f t="shared" si="26"/>
        <v>33.33</v>
      </c>
      <c r="J139" s="3">
        <f t="shared" si="19"/>
        <v>5678.336666666667</v>
      </c>
      <c r="K139" s="3">
        <f t="shared" si="20"/>
        <v>1703.501</v>
      </c>
      <c r="L139" s="3">
        <f t="shared" si="21"/>
        <v>579.16666666666674</v>
      </c>
      <c r="M139" s="3">
        <v>50</v>
      </c>
      <c r="N139" s="3">
        <f t="shared" si="18"/>
        <v>1703.501</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39" s="337">
        <f>IF(AND(G139="Yes",'Total income package'!$A$14=TRUE,P139-N139&gt;0),P139-N139,0)</f>
        <v>0</v>
      </c>
    </row>
    <row r="140" spans="1:17" x14ac:dyDescent="0.3">
      <c r="A140" s="182">
        <v>67000</v>
      </c>
      <c r="B140" s="4">
        <f t="shared" si="22"/>
        <v>5583.333333333333</v>
      </c>
      <c r="C140" s="4">
        <f>MAX('TANF-VIEW'!L143,'TANF-VIEW'!T143)</f>
        <v>0</v>
      </c>
      <c r="D140" s="4">
        <f>'Total income package'!$D$80</f>
        <v>0</v>
      </c>
      <c r="E140" s="4">
        <f>'Total income package'!$H$61+'Total income package'!$F$66</f>
        <v>250</v>
      </c>
      <c r="F140" s="4">
        <f t="shared" si="23"/>
        <v>5833.333333333333</v>
      </c>
      <c r="G140" s="181" t="str">
        <f t="shared" si="24"/>
        <v>Yes</v>
      </c>
      <c r="H140" s="3">
        <f t="shared" si="25"/>
        <v>80</v>
      </c>
      <c r="I140" s="3">
        <f t="shared" si="26"/>
        <v>33.33</v>
      </c>
      <c r="J140" s="3">
        <f t="shared" si="19"/>
        <v>5720.0033333333331</v>
      </c>
      <c r="K140" s="3">
        <f t="shared" si="20"/>
        <v>1716.001</v>
      </c>
      <c r="L140" s="3">
        <f t="shared" si="21"/>
        <v>583.33333333333337</v>
      </c>
      <c r="M140" s="3">
        <v>50</v>
      </c>
      <c r="N140" s="3">
        <f t="shared" si="18"/>
        <v>1716.001</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40" s="337">
        <f>IF(AND(G140="Yes",'Total income package'!$A$14=TRUE,P140-N140&gt;0),P140-N140,0)</f>
        <v>0</v>
      </c>
    </row>
    <row r="141" spans="1:17" x14ac:dyDescent="0.3">
      <c r="A141" s="182">
        <v>67500</v>
      </c>
      <c r="B141" s="4">
        <f t="shared" si="22"/>
        <v>5625</v>
      </c>
      <c r="C141" s="4">
        <f>MAX('TANF-VIEW'!L144,'TANF-VIEW'!T144)</f>
        <v>0</v>
      </c>
      <c r="D141" s="4">
        <f>'Total income package'!$D$80</f>
        <v>0</v>
      </c>
      <c r="E141" s="4">
        <f>'Total income package'!$H$61+'Total income package'!$F$66</f>
        <v>250</v>
      </c>
      <c r="F141" s="4">
        <f t="shared" si="23"/>
        <v>5875</v>
      </c>
      <c r="G141" s="181" t="str">
        <f t="shared" si="24"/>
        <v>Yes</v>
      </c>
      <c r="H141" s="3">
        <f t="shared" si="25"/>
        <v>80</v>
      </c>
      <c r="I141" s="3">
        <f t="shared" si="26"/>
        <v>33.33</v>
      </c>
      <c r="J141" s="3">
        <f t="shared" si="19"/>
        <v>5761.67</v>
      </c>
      <c r="K141" s="3">
        <f t="shared" si="20"/>
        <v>1728.501</v>
      </c>
      <c r="L141" s="3">
        <f t="shared" si="21"/>
        <v>587.5</v>
      </c>
      <c r="M141" s="3">
        <v>50</v>
      </c>
      <c r="N141" s="3">
        <f t="shared" si="18"/>
        <v>1728.501</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41" s="337">
        <f>IF(AND(G141="Yes",'Total income package'!$A$14=TRUE,P141-N141&gt;0),P141-N141,0)</f>
        <v>0</v>
      </c>
    </row>
    <row r="142" spans="1:17" x14ac:dyDescent="0.3">
      <c r="A142" s="182">
        <v>68000</v>
      </c>
      <c r="B142" s="4">
        <f t="shared" si="22"/>
        <v>5666.666666666667</v>
      </c>
      <c r="C142" s="4">
        <f>MAX('TANF-VIEW'!L145,'TANF-VIEW'!T145)</f>
        <v>0</v>
      </c>
      <c r="D142" s="4">
        <f>'Total income package'!$D$80</f>
        <v>0</v>
      </c>
      <c r="E142" s="4">
        <f>'Total income package'!$H$61+'Total income package'!$F$66</f>
        <v>250</v>
      </c>
      <c r="F142" s="4">
        <f t="shared" si="23"/>
        <v>5916.666666666667</v>
      </c>
      <c r="G142" s="181" t="str">
        <f t="shared" si="24"/>
        <v>Yes</v>
      </c>
      <c r="H142" s="3">
        <f t="shared" si="25"/>
        <v>80</v>
      </c>
      <c r="I142" s="3">
        <f t="shared" si="26"/>
        <v>33.33</v>
      </c>
      <c r="J142" s="3">
        <f t="shared" si="19"/>
        <v>5803.336666666667</v>
      </c>
      <c r="K142" s="3">
        <f t="shared" si="20"/>
        <v>1741.001</v>
      </c>
      <c r="L142" s="3">
        <f t="shared" si="21"/>
        <v>591.66666666666674</v>
      </c>
      <c r="M142" s="3">
        <v>50</v>
      </c>
      <c r="N142" s="3">
        <f t="shared" si="18"/>
        <v>1741.001</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42" s="337">
        <f>IF(AND(G142="Yes",'Total income package'!$A$14=TRUE,P142-N142&gt;0),P142-N142,0)</f>
        <v>0</v>
      </c>
    </row>
    <row r="143" spans="1:17" x14ac:dyDescent="0.3">
      <c r="A143" s="182">
        <v>68500</v>
      </c>
      <c r="B143" s="4">
        <f t="shared" si="22"/>
        <v>5708.333333333333</v>
      </c>
      <c r="C143" s="4">
        <f>MAX('TANF-VIEW'!L146,'TANF-VIEW'!T146)</f>
        <v>0</v>
      </c>
      <c r="D143" s="4">
        <f>'Total income package'!$D$80</f>
        <v>0</v>
      </c>
      <c r="E143" s="4">
        <f>'Total income package'!$H$61+'Total income package'!$F$66</f>
        <v>250</v>
      </c>
      <c r="F143" s="4">
        <f t="shared" si="23"/>
        <v>5958.333333333333</v>
      </c>
      <c r="G143" s="181" t="str">
        <f t="shared" si="24"/>
        <v>Yes</v>
      </c>
      <c r="H143" s="3">
        <f t="shared" si="25"/>
        <v>80</v>
      </c>
      <c r="I143" s="3">
        <f t="shared" si="26"/>
        <v>33.33</v>
      </c>
      <c r="J143" s="3">
        <f t="shared" si="19"/>
        <v>5845.0033333333331</v>
      </c>
      <c r="K143" s="3">
        <f t="shared" si="20"/>
        <v>1753.501</v>
      </c>
      <c r="L143" s="3">
        <f t="shared" si="21"/>
        <v>595.83333333333337</v>
      </c>
      <c r="M143" s="3">
        <v>50</v>
      </c>
      <c r="N143" s="3">
        <f t="shared" si="18"/>
        <v>1753.501</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43" s="337">
        <f>IF(AND(G143="Yes",'Total income package'!$A$14=TRUE,P143-N143&gt;0),P143-N143,0)</f>
        <v>0</v>
      </c>
    </row>
    <row r="144" spans="1:17" x14ac:dyDescent="0.3">
      <c r="A144" s="182">
        <v>69000</v>
      </c>
      <c r="B144" s="4">
        <f t="shared" si="22"/>
        <v>5750</v>
      </c>
      <c r="C144" s="4">
        <f>MAX('TANF-VIEW'!L147,'TANF-VIEW'!T147)</f>
        <v>0</v>
      </c>
      <c r="D144" s="4">
        <f>'Total income package'!$D$80</f>
        <v>0</v>
      </c>
      <c r="E144" s="4">
        <f>'Total income package'!$H$61+'Total income package'!$F$66</f>
        <v>250</v>
      </c>
      <c r="F144" s="4">
        <f t="shared" si="23"/>
        <v>6000</v>
      </c>
      <c r="G144" s="181" t="str">
        <f t="shared" si="24"/>
        <v>Yes</v>
      </c>
      <c r="H144" s="3">
        <f t="shared" si="25"/>
        <v>80</v>
      </c>
      <c r="I144" s="3">
        <f t="shared" si="26"/>
        <v>33.33</v>
      </c>
      <c r="J144" s="3">
        <f t="shared" si="19"/>
        <v>5886.67</v>
      </c>
      <c r="K144" s="3">
        <f t="shared" si="20"/>
        <v>1766.001</v>
      </c>
      <c r="L144" s="3">
        <f t="shared" si="21"/>
        <v>600</v>
      </c>
      <c r="M144" s="3">
        <v>50</v>
      </c>
      <c r="N144" s="3">
        <f t="shared" si="18"/>
        <v>1766.001</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44" s="337">
        <f>IF(AND(G144="Yes",'Total income package'!$A$14=TRUE,P144-N144&gt;0),P144-N144,0)</f>
        <v>0</v>
      </c>
    </row>
    <row r="145" spans="1:17" x14ac:dyDescent="0.3">
      <c r="A145" s="182">
        <v>69500</v>
      </c>
      <c r="B145" s="4">
        <f t="shared" si="22"/>
        <v>5791.666666666667</v>
      </c>
      <c r="C145" s="4">
        <f>MAX('TANF-VIEW'!L148,'TANF-VIEW'!T148)</f>
        <v>0</v>
      </c>
      <c r="D145" s="4">
        <f>'Total income package'!$D$80</f>
        <v>0</v>
      </c>
      <c r="E145" s="4">
        <f>'Total income package'!$H$61+'Total income package'!$F$66</f>
        <v>250</v>
      </c>
      <c r="F145" s="4">
        <f t="shared" si="23"/>
        <v>6041.666666666667</v>
      </c>
      <c r="G145" s="181" t="str">
        <f t="shared" si="24"/>
        <v>Yes</v>
      </c>
      <c r="H145" s="3">
        <f t="shared" si="25"/>
        <v>80</v>
      </c>
      <c r="I145" s="3">
        <f t="shared" si="26"/>
        <v>33.33</v>
      </c>
      <c r="J145" s="3">
        <f t="shared" si="19"/>
        <v>5928.336666666667</v>
      </c>
      <c r="K145" s="3">
        <f t="shared" si="20"/>
        <v>1778.501</v>
      </c>
      <c r="L145" s="3">
        <f t="shared" si="21"/>
        <v>604.16666666666674</v>
      </c>
      <c r="M145" s="3">
        <v>50</v>
      </c>
      <c r="N145" s="3">
        <f t="shared" si="18"/>
        <v>1778.501</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45" s="337">
        <f>IF(AND(G145="Yes",'Total income package'!$A$14=TRUE,P145-N145&gt;0),P145-N145,0)</f>
        <v>0</v>
      </c>
    </row>
    <row r="146" spans="1:17" x14ac:dyDescent="0.3">
      <c r="A146" s="182">
        <v>70000</v>
      </c>
      <c r="B146" s="4">
        <f t="shared" si="22"/>
        <v>5833.333333333333</v>
      </c>
      <c r="C146" s="4">
        <f>MAX('TANF-VIEW'!L149,'TANF-VIEW'!T149)</f>
        <v>0</v>
      </c>
      <c r="D146" s="4">
        <f>'Total income package'!$D$80</f>
        <v>0</v>
      </c>
      <c r="E146" s="4">
        <f>'Total income package'!$H$61+'Total income package'!$F$66</f>
        <v>250</v>
      </c>
      <c r="F146" s="4">
        <f t="shared" si="23"/>
        <v>6083.333333333333</v>
      </c>
      <c r="G146" s="181" t="str">
        <f t="shared" si="24"/>
        <v>No</v>
      </c>
      <c r="H146" s="3">
        <f t="shared" si="25"/>
        <v>80</v>
      </c>
      <c r="I146" s="3">
        <f t="shared" si="26"/>
        <v>33.33</v>
      </c>
      <c r="J146" s="3">
        <f t="shared" si="19"/>
        <v>5970.0033333333331</v>
      </c>
      <c r="K146" s="3">
        <f t="shared" si="20"/>
        <v>1791.001</v>
      </c>
      <c r="L146" s="3">
        <f t="shared" si="21"/>
        <v>608.33333333333337</v>
      </c>
      <c r="M146" s="3">
        <v>50</v>
      </c>
      <c r="N146" s="3">
        <f t="shared" si="18"/>
        <v>1791.001</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46" s="337">
        <f>IF(AND(G146="Yes",'Total income package'!$A$14=TRUE,P146-N146&gt;0),P146-N146,0)</f>
        <v>0</v>
      </c>
    </row>
    <row r="147" spans="1:17" x14ac:dyDescent="0.3">
      <c r="A147" s="182">
        <v>70500</v>
      </c>
      <c r="B147" s="4">
        <f t="shared" si="22"/>
        <v>5875</v>
      </c>
      <c r="C147" s="4">
        <f>MAX('TANF-VIEW'!L150,'TANF-VIEW'!T150)</f>
        <v>0</v>
      </c>
      <c r="D147" s="4">
        <f>'Total income package'!$D$80</f>
        <v>0</v>
      </c>
      <c r="E147" s="4">
        <f>'Total income package'!$H$61+'Total income package'!$F$66</f>
        <v>250</v>
      </c>
      <c r="F147" s="4">
        <f t="shared" si="23"/>
        <v>6125</v>
      </c>
      <c r="G147" s="181" t="str">
        <f t="shared" si="24"/>
        <v>No</v>
      </c>
      <c r="H147" s="3">
        <f t="shared" si="25"/>
        <v>80</v>
      </c>
      <c r="I147" s="3">
        <f t="shared" si="26"/>
        <v>33.33</v>
      </c>
      <c r="J147" s="3">
        <f t="shared" si="19"/>
        <v>6011.67</v>
      </c>
      <c r="K147" s="3">
        <f t="shared" si="20"/>
        <v>1803.501</v>
      </c>
      <c r="L147" s="3">
        <f t="shared" si="21"/>
        <v>612.5</v>
      </c>
      <c r="M147" s="3">
        <v>50</v>
      </c>
      <c r="N147" s="3">
        <f t="shared" si="18"/>
        <v>1803.501</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47" s="337">
        <f>IF(AND(G147="Yes",'Total income package'!$A$14=TRUE,P147-N147&gt;0),P147-N147,0)</f>
        <v>0</v>
      </c>
    </row>
    <row r="148" spans="1:17" x14ac:dyDescent="0.3">
      <c r="A148" s="182">
        <v>71000</v>
      </c>
      <c r="B148" s="4">
        <f t="shared" si="22"/>
        <v>5916.666666666667</v>
      </c>
      <c r="C148" s="4">
        <f>MAX('TANF-VIEW'!L151,'TANF-VIEW'!T151)</f>
        <v>0</v>
      </c>
      <c r="D148" s="4">
        <f>'Total income package'!$D$80</f>
        <v>0</v>
      </c>
      <c r="E148" s="4">
        <f>'Total income package'!$H$61+'Total income package'!$F$66</f>
        <v>250</v>
      </c>
      <c r="F148" s="4">
        <f t="shared" si="23"/>
        <v>6166.666666666667</v>
      </c>
      <c r="G148" s="181" t="str">
        <f t="shared" si="24"/>
        <v>No</v>
      </c>
      <c r="H148" s="3">
        <f t="shared" si="25"/>
        <v>80</v>
      </c>
      <c r="I148" s="3">
        <f t="shared" si="26"/>
        <v>33.33</v>
      </c>
      <c r="J148" s="3">
        <f t="shared" si="19"/>
        <v>6053.336666666667</v>
      </c>
      <c r="K148" s="3">
        <f t="shared" si="20"/>
        <v>1816.001</v>
      </c>
      <c r="L148" s="3">
        <f t="shared" si="21"/>
        <v>616.66666666666674</v>
      </c>
      <c r="M148" s="3">
        <v>50</v>
      </c>
      <c r="N148" s="3">
        <f t="shared" si="18"/>
        <v>1816.001</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48" s="337">
        <f>IF(AND(G148="Yes",'Total income package'!$A$14=TRUE,P148-N148&gt;0),P148-N148,0)</f>
        <v>0</v>
      </c>
    </row>
    <row r="149" spans="1:17" x14ac:dyDescent="0.3">
      <c r="A149" s="182">
        <v>71500</v>
      </c>
      <c r="B149" s="4">
        <f t="shared" si="22"/>
        <v>5958.333333333333</v>
      </c>
      <c r="C149" s="4">
        <f>MAX('TANF-VIEW'!L152,'TANF-VIEW'!T152)</f>
        <v>0</v>
      </c>
      <c r="D149" s="4">
        <f>'Total income package'!$D$80</f>
        <v>0</v>
      </c>
      <c r="E149" s="4">
        <f>'Total income package'!$H$61+'Total income package'!$F$66</f>
        <v>250</v>
      </c>
      <c r="F149" s="4">
        <f t="shared" si="23"/>
        <v>6208.333333333333</v>
      </c>
      <c r="G149" s="181" t="str">
        <f t="shared" si="24"/>
        <v>No</v>
      </c>
      <c r="H149" s="3">
        <f t="shared" si="25"/>
        <v>80</v>
      </c>
      <c r="I149" s="3">
        <f t="shared" si="26"/>
        <v>33.33</v>
      </c>
      <c r="J149" s="3">
        <f t="shared" si="19"/>
        <v>6095.0033333333331</v>
      </c>
      <c r="K149" s="3">
        <f t="shared" si="20"/>
        <v>1828.501</v>
      </c>
      <c r="L149" s="3">
        <f t="shared" si="21"/>
        <v>620.83333333333337</v>
      </c>
      <c r="M149" s="3">
        <v>50</v>
      </c>
      <c r="N149" s="3">
        <f t="shared" si="18"/>
        <v>1828.501</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49" s="337">
        <f>IF(AND(G149="Yes",'Total income package'!$A$14=TRUE,P149-N149&gt;0),P149-N149,0)</f>
        <v>0</v>
      </c>
    </row>
    <row r="150" spans="1:17" x14ac:dyDescent="0.3">
      <c r="A150" s="182">
        <v>72000</v>
      </c>
      <c r="B150" s="4">
        <f t="shared" si="22"/>
        <v>6000</v>
      </c>
      <c r="C150" s="4">
        <f>MAX('TANF-VIEW'!L153,'TANF-VIEW'!T153)</f>
        <v>0</v>
      </c>
      <c r="D150" s="4">
        <f>'Total income package'!$D$80</f>
        <v>0</v>
      </c>
      <c r="E150" s="4">
        <f>'Total income package'!$H$61+'Total income package'!$F$66</f>
        <v>250</v>
      </c>
      <c r="F150" s="4">
        <f t="shared" si="23"/>
        <v>6250</v>
      </c>
      <c r="G150" s="181" t="str">
        <f t="shared" si="24"/>
        <v>No</v>
      </c>
      <c r="H150" s="3">
        <f t="shared" si="25"/>
        <v>80</v>
      </c>
      <c r="I150" s="3">
        <f t="shared" si="26"/>
        <v>33.33</v>
      </c>
      <c r="J150" s="3">
        <f t="shared" si="19"/>
        <v>6136.67</v>
      </c>
      <c r="K150" s="3">
        <f t="shared" si="20"/>
        <v>1841.001</v>
      </c>
      <c r="L150" s="3">
        <f t="shared" si="21"/>
        <v>625</v>
      </c>
      <c r="M150" s="3">
        <v>50</v>
      </c>
      <c r="N150" s="3">
        <f t="shared" si="18"/>
        <v>1841.001</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50" s="337">
        <f>IF(AND(G150="Yes",'Total income package'!$A$14=TRUE,P150-N150&gt;0),P150-N150,0)</f>
        <v>0</v>
      </c>
    </row>
    <row r="151" spans="1:17" x14ac:dyDescent="0.3">
      <c r="A151" s="182">
        <v>72500</v>
      </c>
      <c r="B151" s="4">
        <f t="shared" si="22"/>
        <v>6041.666666666667</v>
      </c>
      <c r="C151" s="4">
        <f>MAX('TANF-VIEW'!L154,'TANF-VIEW'!T154)</f>
        <v>0</v>
      </c>
      <c r="D151" s="4">
        <f>'Total income package'!$D$80</f>
        <v>0</v>
      </c>
      <c r="E151" s="4">
        <f>'Total income package'!$H$61+'Total income package'!$F$66</f>
        <v>250</v>
      </c>
      <c r="F151" s="4">
        <f t="shared" si="23"/>
        <v>6291.666666666667</v>
      </c>
      <c r="G151" s="181" t="str">
        <f t="shared" si="24"/>
        <v>No</v>
      </c>
      <c r="H151" s="3">
        <f t="shared" si="25"/>
        <v>80</v>
      </c>
      <c r="I151" s="3">
        <f t="shared" si="26"/>
        <v>33.33</v>
      </c>
      <c r="J151" s="3">
        <f t="shared" si="19"/>
        <v>6178.336666666667</v>
      </c>
      <c r="K151" s="3">
        <f t="shared" si="20"/>
        <v>1853.501</v>
      </c>
      <c r="L151" s="3">
        <f t="shared" si="21"/>
        <v>629.16666666666674</v>
      </c>
      <c r="M151" s="3">
        <v>50</v>
      </c>
      <c r="N151" s="3">
        <f t="shared" si="18"/>
        <v>1853.501</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51" s="337">
        <f>IF(AND(G151="Yes",'Total income package'!$A$14=TRUE,P151-N151&gt;0),P151-N151,0)</f>
        <v>0</v>
      </c>
    </row>
    <row r="152" spans="1:17" x14ac:dyDescent="0.3">
      <c r="A152" s="182">
        <v>73000</v>
      </c>
      <c r="B152" s="4">
        <f t="shared" si="22"/>
        <v>6083.333333333333</v>
      </c>
      <c r="C152" s="4">
        <f>MAX('TANF-VIEW'!L155,'TANF-VIEW'!T155)</f>
        <v>0</v>
      </c>
      <c r="D152" s="4">
        <f>'Total income package'!$D$80</f>
        <v>0</v>
      </c>
      <c r="E152" s="4">
        <f>'Total income package'!$H$61+'Total income package'!$F$66</f>
        <v>250</v>
      </c>
      <c r="F152" s="4">
        <f t="shared" si="23"/>
        <v>6333.333333333333</v>
      </c>
      <c r="G152" s="181" t="str">
        <f t="shared" si="24"/>
        <v>No</v>
      </c>
      <c r="H152" s="3">
        <f t="shared" si="25"/>
        <v>80</v>
      </c>
      <c r="I152" s="3">
        <f t="shared" si="26"/>
        <v>33.33</v>
      </c>
      <c r="J152" s="3">
        <f t="shared" si="19"/>
        <v>6220.0033333333331</v>
      </c>
      <c r="K152" s="3">
        <f t="shared" si="20"/>
        <v>1866.0009999999997</v>
      </c>
      <c r="L152" s="3">
        <f t="shared" si="21"/>
        <v>633.33333333333337</v>
      </c>
      <c r="M152" s="3">
        <v>50</v>
      </c>
      <c r="N152" s="3">
        <f t="shared" si="18"/>
        <v>1866.0009999999997</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52" s="337">
        <f>IF(AND(G152="Yes",'Total income package'!$A$14=TRUE,P152-N152&gt;0),P152-N152,0)</f>
        <v>0</v>
      </c>
    </row>
    <row r="153" spans="1:17" x14ac:dyDescent="0.3">
      <c r="A153" s="182">
        <v>73500</v>
      </c>
      <c r="B153" s="4">
        <f t="shared" si="22"/>
        <v>6125</v>
      </c>
      <c r="C153" s="4">
        <f>MAX('TANF-VIEW'!L156,'TANF-VIEW'!T156)</f>
        <v>0</v>
      </c>
      <c r="D153" s="4">
        <f>'Total income package'!$D$80</f>
        <v>0</v>
      </c>
      <c r="E153" s="4">
        <f>'Total income package'!$H$61+'Total income package'!$F$66</f>
        <v>250</v>
      </c>
      <c r="F153" s="4">
        <f t="shared" si="23"/>
        <v>6375</v>
      </c>
      <c r="G153" s="181" t="str">
        <f t="shared" si="24"/>
        <v>No</v>
      </c>
      <c r="H153" s="3">
        <f t="shared" si="25"/>
        <v>80</v>
      </c>
      <c r="I153" s="3">
        <f t="shared" si="26"/>
        <v>33.33</v>
      </c>
      <c r="J153" s="3">
        <f t="shared" si="19"/>
        <v>6261.67</v>
      </c>
      <c r="K153" s="3">
        <f t="shared" si="20"/>
        <v>1878.501</v>
      </c>
      <c r="L153" s="3">
        <f t="shared" si="21"/>
        <v>637.5</v>
      </c>
      <c r="M153" s="3">
        <v>50</v>
      </c>
      <c r="N153" s="3">
        <f t="shared" si="18"/>
        <v>1878.501</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53" s="337">
        <f>IF(AND(G153="Yes",'Total income package'!$A$14=TRUE,P153-N153&gt;0),P153-N153,0)</f>
        <v>0</v>
      </c>
    </row>
    <row r="154" spans="1:17" x14ac:dyDescent="0.3">
      <c r="A154" s="182">
        <v>74000</v>
      </c>
      <c r="B154" s="4">
        <f t="shared" si="22"/>
        <v>6166.666666666667</v>
      </c>
      <c r="C154" s="4">
        <f>MAX('TANF-VIEW'!L157,'TANF-VIEW'!T157)</f>
        <v>0</v>
      </c>
      <c r="D154" s="4">
        <f>'Total income package'!$D$80</f>
        <v>0</v>
      </c>
      <c r="E154" s="4">
        <f>'Total income package'!$H$61+'Total income package'!$F$66</f>
        <v>250</v>
      </c>
      <c r="F154" s="4">
        <f t="shared" si="23"/>
        <v>6416.666666666667</v>
      </c>
      <c r="G154" s="181" t="str">
        <f t="shared" si="24"/>
        <v>No</v>
      </c>
      <c r="H154" s="3">
        <f t="shared" si="25"/>
        <v>80</v>
      </c>
      <c r="I154" s="3">
        <f t="shared" si="26"/>
        <v>33.33</v>
      </c>
      <c r="J154" s="3">
        <f t="shared" si="19"/>
        <v>6303.336666666667</v>
      </c>
      <c r="K154" s="3">
        <f t="shared" si="20"/>
        <v>1891.001</v>
      </c>
      <c r="L154" s="3">
        <f t="shared" si="21"/>
        <v>641.66666666666674</v>
      </c>
      <c r="M154" s="3">
        <v>50</v>
      </c>
      <c r="N154" s="3">
        <f t="shared" si="18"/>
        <v>1891.001</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54" s="337">
        <f>IF(AND(G154="Yes",'Total income package'!$A$14=TRUE,P154-N154&gt;0),P154-N154,0)</f>
        <v>0</v>
      </c>
    </row>
    <row r="155" spans="1:17" x14ac:dyDescent="0.3">
      <c r="A155" s="182">
        <v>74500</v>
      </c>
      <c r="B155" s="4">
        <f t="shared" si="22"/>
        <v>6208.333333333333</v>
      </c>
      <c r="C155" s="4">
        <f>MAX('TANF-VIEW'!L158,'TANF-VIEW'!T158)</f>
        <v>0</v>
      </c>
      <c r="D155" s="4">
        <f>'Total income package'!$D$80</f>
        <v>0</v>
      </c>
      <c r="E155" s="4">
        <f>'Total income package'!$H$61+'Total income package'!$F$66</f>
        <v>250</v>
      </c>
      <c r="F155" s="4">
        <f t="shared" si="23"/>
        <v>6458.333333333333</v>
      </c>
      <c r="G155" s="181" t="str">
        <f t="shared" si="24"/>
        <v>No</v>
      </c>
      <c r="H155" s="3">
        <f t="shared" si="25"/>
        <v>80</v>
      </c>
      <c r="I155" s="3">
        <f t="shared" si="26"/>
        <v>33.33</v>
      </c>
      <c r="J155" s="3">
        <f t="shared" si="19"/>
        <v>6345.0033333333331</v>
      </c>
      <c r="K155" s="3">
        <f t="shared" si="20"/>
        <v>1903.5009999999997</v>
      </c>
      <c r="L155" s="3">
        <f t="shared" si="21"/>
        <v>645.83333333333337</v>
      </c>
      <c r="M155" s="3">
        <v>50</v>
      </c>
      <c r="N155" s="3">
        <f t="shared" si="18"/>
        <v>1903.5009999999997</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55" s="337">
        <f>IF(AND(G155="Yes",'Total income package'!$A$14=TRUE,P155-N155&gt;0),P155-N155,0)</f>
        <v>0</v>
      </c>
    </row>
    <row r="156" spans="1:17" x14ac:dyDescent="0.3">
      <c r="A156" s="182">
        <v>75000</v>
      </c>
      <c r="B156" s="4">
        <f t="shared" si="22"/>
        <v>6250</v>
      </c>
      <c r="C156" s="4">
        <f>MAX('TANF-VIEW'!L159,'TANF-VIEW'!T159)</f>
        <v>0</v>
      </c>
      <c r="D156" s="4">
        <f>'Total income package'!$D$80</f>
        <v>0</v>
      </c>
      <c r="E156" s="4">
        <f>'Total income package'!$H$61+'Total income package'!$F$66</f>
        <v>250</v>
      </c>
      <c r="F156" s="4">
        <f t="shared" si="23"/>
        <v>6500</v>
      </c>
      <c r="G156" s="181" t="str">
        <f t="shared" si="24"/>
        <v>No</v>
      </c>
      <c r="H156" s="3">
        <f t="shared" si="25"/>
        <v>80</v>
      </c>
      <c r="I156" s="3">
        <f t="shared" si="26"/>
        <v>33.33</v>
      </c>
      <c r="J156" s="3">
        <f t="shared" si="19"/>
        <v>6386.67</v>
      </c>
      <c r="K156" s="3">
        <f t="shared" si="20"/>
        <v>1916.001</v>
      </c>
      <c r="L156" s="3">
        <f t="shared" si="21"/>
        <v>650</v>
      </c>
      <c r="M156" s="3">
        <v>50</v>
      </c>
      <c r="N156" s="3">
        <f t="shared" si="18"/>
        <v>1916.001</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56" s="337">
        <f>IF(AND(G156="Yes",'Total income package'!$A$14=TRUE,P156-N156&gt;0),P156-N156,0)</f>
        <v>0</v>
      </c>
    </row>
    <row r="157" spans="1:17" x14ac:dyDescent="0.3">
      <c r="A157" s="182">
        <v>75500</v>
      </c>
      <c r="B157" s="4">
        <f t="shared" si="22"/>
        <v>6291.666666666667</v>
      </c>
      <c r="C157" s="4">
        <f>MAX('TANF-VIEW'!L160,'TANF-VIEW'!T160)</f>
        <v>0</v>
      </c>
      <c r="D157" s="4">
        <f>'Total income package'!$D$80</f>
        <v>0</v>
      </c>
      <c r="E157" s="4">
        <f>'Total income package'!$H$61+'Total income package'!$F$66</f>
        <v>250</v>
      </c>
      <c r="F157" s="4">
        <f t="shared" si="23"/>
        <v>6541.666666666667</v>
      </c>
      <c r="G157" s="181" t="str">
        <f t="shared" si="24"/>
        <v>No</v>
      </c>
      <c r="H157" s="3">
        <f t="shared" si="25"/>
        <v>80</v>
      </c>
      <c r="I157" s="3">
        <f t="shared" si="26"/>
        <v>33.33</v>
      </c>
      <c r="J157" s="3">
        <f t="shared" si="19"/>
        <v>6428.336666666667</v>
      </c>
      <c r="K157" s="3">
        <f t="shared" si="20"/>
        <v>1928.501</v>
      </c>
      <c r="L157" s="3">
        <f t="shared" si="21"/>
        <v>654.16666666666674</v>
      </c>
      <c r="M157" s="3">
        <v>50</v>
      </c>
      <c r="N157" s="3">
        <f t="shared" si="18"/>
        <v>1928.501</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57" s="337">
        <f>IF(AND(G157="Yes",'Total income package'!$A$14=TRUE,P157-N157&gt;0),P157-N157,0)</f>
        <v>0</v>
      </c>
    </row>
    <row r="158" spans="1:17" x14ac:dyDescent="0.3">
      <c r="A158" s="182">
        <v>76000</v>
      </c>
      <c r="B158" s="4">
        <f t="shared" si="22"/>
        <v>6333.333333333333</v>
      </c>
      <c r="C158" s="4">
        <f>MAX('TANF-VIEW'!L161,'TANF-VIEW'!T161)</f>
        <v>0</v>
      </c>
      <c r="D158" s="4">
        <f>'Total income package'!$D$80</f>
        <v>0</v>
      </c>
      <c r="E158" s="4">
        <f>'Total income package'!$H$61+'Total income package'!$F$66</f>
        <v>250</v>
      </c>
      <c r="F158" s="4">
        <f t="shared" si="23"/>
        <v>6583.333333333333</v>
      </c>
      <c r="G158" s="181" t="str">
        <f t="shared" si="24"/>
        <v>No</v>
      </c>
      <c r="H158" s="3">
        <f t="shared" si="25"/>
        <v>80</v>
      </c>
      <c r="I158" s="3">
        <f t="shared" si="26"/>
        <v>33.33</v>
      </c>
      <c r="J158" s="3">
        <f t="shared" si="19"/>
        <v>6470.0033333333331</v>
      </c>
      <c r="K158" s="3">
        <f t="shared" si="20"/>
        <v>1941.0009999999997</v>
      </c>
      <c r="L158" s="3">
        <f t="shared" si="21"/>
        <v>658.33333333333337</v>
      </c>
      <c r="M158" s="3">
        <v>50</v>
      </c>
      <c r="N158" s="3">
        <f t="shared" si="18"/>
        <v>1941.0009999999997</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58" s="337">
        <f>IF(AND(G158="Yes",'Total income package'!$A$14=TRUE,P158-N158&gt;0),P158-N158,0)</f>
        <v>0</v>
      </c>
    </row>
    <row r="159" spans="1:17" x14ac:dyDescent="0.3">
      <c r="A159" s="182">
        <v>76500</v>
      </c>
      <c r="B159" s="4">
        <f t="shared" si="22"/>
        <v>6375</v>
      </c>
      <c r="C159" s="4">
        <f>MAX('TANF-VIEW'!L162,'TANF-VIEW'!T162)</f>
        <v>0</v>
      </c>
      <c r="D159" s="4">
        <f>'Total income package'!$D$80</f>
        <v>0</v>
      </c>
      <c r="E159" s="4">
        <f>'Total income package'!$H$61+'Total income package'!$F$66</f>
        <v>250</v>
      </c>
      <c r="F159" s="4">
        <f t="shared" si="23"/>
        <v>6625</v>
      </c>
      <c r="G159" s="181" t="str">
        <f t="shared" si="24"/>
        <v>No</v>
      </c>
      <c r="H159" s="3">
        <f t="shared" si="25"/>
        <v>80</v>
      </c>
      <c r="I159" s="3">
        <f t="shared" si="26"/>
        <v>33.33</v>
      </c>
      <c r="J159" s="3">
        <f t="shared" si="19"/>
        <v>6511.67</v>
      </c>
      <c r="K159" s="3">
        <f t="shared" si="20"/>
        <v>1953.501</v>
      </c>
      <c r="L159" s="3">
        <f t="shared" si="21"/>
        <v>662.5</v>
      </c>
      <c r="M159" s="3">
        <v>50</v>
      </c>
      <c r="N159" s="3">
        <f t="shared" si="18"/>
        <v>1953.501</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59" s="337">
        <f>IF(AND(G159="Yes",'Total income package'!$A$14=TRUE,P159-N159&gt;0),P159-N159,0)</f>
        <v>0</v>
      </c>
    </row>
    <row r="160" spans="1:17" x14ac:dyDescent="0.3">
      <c r="A160" s="182">
        <v>77000</v>
      </c>
      <c r="B160" s="4">
        <f t="shared" si="22"/>
        <v>6416.666666666667</v>
      </c>
      <c r="C160" s="4">
        <f>MAX('TANF-VIEW'!L163,'TANF-VIEW'!T163)</f>
        <v>0</v>
      </c>
      <c r="D160" s="4">
        <f>'Total income package'!$D$80</f>
        <v>0</v>
      </c>
      <c r="E160" s="4">
        <f>'Total income package'!$H$61+'Total income package'!$F$66</f>
        <v>250</v>
      </c>
      <c r="F160" s="4">
        <f t="shared" si="23"/>
        <v>6666.666666666667</v>
      </c>
      <c r="G160" s="181" t="str">
        <f t="shared" si="24"/>
        <v>No</v>
      </c>
      <c r="H160" s="3">
        <f t="shared" si="25"/>
        <v>80</v>
      </c>
      <c r="I160" s="3">
        <f t="shared" si="26"/>
        <v>33.33</v>
      </c>
      <c r="J160" s="3">
        <f t="shared" si="19"/>
        <v>6553.336666666667</v>
      </c>
      <c r="K160" s="3">
        <f t="shared" si="20"/>
        <v>1966.001</v>
      </c>
      <c r="L160" s="3">
        <f t="shared" si="21"/>
        <v>666.66666666666674</v>
      </c>
      <c r="M160" s="3">
        <v>50</v>
      </c>
      <c r="N160" s="3">
        <f t="shared" si="18"/>
        <v>1966.001</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60" s="337">
        <f>IF(AND(G160="Yes",'Total income package'!$A$14=TRUE,P160-N160&gt;0),P160-N160,0)</f>
        <v>0</v>
      </c>
    </row>
    <row r="161" spans="1:17" x14ac:dyDescent="0.3">
      <c r="A161" s="182">
        <v>77500</v>
      </c>
      <c r="B161" s="4">
        <f t="shared" si="22"/>
        <v>6458.333333333333</v>
      </c>
      <c r="C161" s="4">
        <f>MAX('TANF-VIEW'!L164,'TANF-VIEW'!T164)</f>
        <v>0</v>
      </c>
      <c r="D161" s="4">
        <f>'Total income package'!$D$80</f>
        <v>0</v>
      </c>
      <c r="E161" s="4">
        <f>'Total income package'!$H$61+'Total income package'!$F$66</f>
        <v>250</v>
      </c>
      <c r="F161" s="4">
        <f t="shared" si="23"/>
        <v>6708.333333333333</v>
      </c>
      <c r="G161" s="181" t="str">
        <f t="shared" si="24"/>
        <v>No</v>
      </c>
      <c r="H161" s="3">
        <f t="shared" si="25"/>
        <v>80</v>
      </c>
      <c r="I161" s="3">
        <f t="shared" si="26"/>
        <v>33.33</v>
      </c>
      <c r="J161" s="3">
        <f t="shared" si="19"/>
        <v>6595.0033333333331</v>
      </c>
      <c r="K161" s="3">
        <f t="shared" si="20"/>
        <v>1978.5009999999997</v>
      </c>
      <c r="L161" s="3">
        <f t="shared" si="21"/>
        <v>670.83333333333337</v>
      </c>
      <c r="M161" s="3">
        <v>50</v>
      </c>
      <c r="N161" s="3">
        <f t="shared" si="18"/>
        <v>1978.5009999999997</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61" s="337">
        <f>IF(AND(G161="Yes",'Total income package'!$A$14=TRUE,P161-N161&gt;0),P161-N161,0)</f>
        <v>0</v>
      </c>
    </row>
    <row r="162" spans="1:17" x14ac:dyDescent="0.3">
      <c r="A162" s="182">
        <v>78000</v>
      </c>
      <c r="B162" s="4">
        <f t="shared" si="22"/>
        <v>6500</v>
      </c>
      <c r="C162" s="4">
        <f>MAX('TANF-VIEW'!L165,'TANF-VIEW'!T165)</f>
        <v>0</v>
      </c>
      <c r="D162" s="4">
        <f>'Total income package'!$D$80</f>
        <v>0</v>
      </c>
      <c r="E162" s="4">
        <f>'Total income package'!$H$61+'Total income package'!$F$66</f>
        <v>250</v>
      </c>
      <c r="F162" s="4">
        <f t="shared" si="23"/>
        <v>6750</v>
      </c>
      <c r="G162" s="181" t="str">
        <f t="shared" si="24"/>
        <v>No</v>
      </c>
      <c r="H162" s="3">
        <f t="shared" si="25"/>
        <v>80</v>
      </c>
      <c r="I162" s="3">
        <f t="shared" si="26"/>
        <v>33.33</v>
      </c>
      <c r="J162" s="3">
        <f t="shared" si="19"/>
        <v>6636.67</v>
      </c>
      <c r="K162" s="3">
        <f t="shared" si="20"/>
        <v>1991.001</v>
      </c>
      <c r="L162" s="3">
        <f t="shared" si="21"/>
        <v>675</v>
      </c>
      <c r="M162" s="3">
        <v>50</v>
      </c>
      <c r="N162" s="3">
        <f t="shared" si="18"/>
        <v>1991.001</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62" s="337">
        <f>IF(AND(G162="Yes",'Total income package'!$A$14=TRUE,P162-N162&gt;0),P162-N162,0)</f>
        <v>0</v>
      </c>
    </row>
    <row r="163" spans="1:17" x14ac:dyDescent="0.3">
      <c r="A163" s="182">
        <v>78500</v>
      </c>
      <c r="B163" s="4">
        <f t="shared" si="22"/>
        <v>6541.666666666667</v>
      </c>
      <c r="C163" s="4">
        <f>MAX('TANF-VIEW'!L166,'TANF-VIEW'!T166)</f>
        <v>0</v>
      </c>
      <c r="D163" s="4">
        <f>'Total income package'!$D$80</f>
        <v>0</v>
      </c>
      <c r="E163" s="4">
        <f>'Total income package'!$H$61+'Total income package'!$F$66</f>
        <v>250</v>
      </c>
      <c r="F163" s="4">
        <f t="shared" si="23"/>
        <v>6791.666666666667</v>
      </c>
      <c r="G163" s="181" t="str">
        <f t="shared" si="24"/>
        <v>No</v>
      </c>
      <c r="H163" s="3">
        <f t="shared" si="25"/>
        <v>80</v>
      </c>
      <c r="I163" s="3">
        <f t="shared" si="26"/>
        <v>33.33</v>
      </c>
      <c r="J163" s="3">
        <f t="shared" si="19"/>
        <v>6678.336666666667</v>
      </c>
      <c r="K163" s="3">
        <f t="shared" si="20"/>
        <v>2003.501</v>
      </c>
      <c r="L163" s="3">
        <f t="shared" si="21"/>
        <v>679.16666666666674</v>
      </c>
      <c r="M163" s="3">
        <v>50</v>
      </c>
      <c r="N163" s="3">
        <f t="shared" si="18"/>
        <v>2003.501</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63" s="337">
        <f>IF(AND(G163="Yes",'Total income package'!$A$14=TRUE,P163-N163&gt;0),P163-N163,0)</f>
        <v>0</v>
      </c>
    </row>
    <row r="164" spans="1:17" x14ac:dyDescent="0.3">
      <c r="A164" s="182">
        <v>79000</v>
      </c>
      <c r="B164" s="4">
        <f t="shared" si="22"/>
        <v>6583.333333333333</v>
      </c>
      <c r="C164" s="4">
        <f>MAX('TANF-VIEW'!L167,'TANF-VIEW'!T167)</f>
        <v>0</v>
      </c>
      <c r="D164" s="4">
        <f>'Total income package'!$D$80</f>
        <v>0</v>
      </c>
      <c r="E164" s="4">
        <f>'Total income package'!$H$61+'Total income package'!$F$66</f>
        <v>250</v>
      </c>
      <c r="F164" s="4">
        <f t="shared" si="23"/>
        <v>6833.333333333333</v>
      </c>
      <c r="G164" s="181" t="str">
        <f t="shared" si="24"/>
        <v>No</v>
      </c>
      <c r="H164" s="3">
        <f t="shared" si="25"/>
        <v>80</v>
      </c>
      <c r="I164" s="3">
        <f t="shared" si="26"/>
        <v>33.33</v>
      </c>
      <c r="J164" s="3">
        <f t="shared" si="19"/>
        <v>6720.0033333333331</v>
      </c>
      <c r="K164" s="3">
        <f t="shared" si="20"/>
        <v>2016.0009999999997</v>
      </c>
      <c r="L164" s="3">
        <f t="shared" si="21"/>
        <v>683.33333333333337</v>
      </c>
      <c r="M164" s="3">
        <v>50</v>
      </c>
      <c r="N164" s="3">
        <f t="shared" si="18"/>
        <v>2016.0009999999997</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64" s="337">
        <f>IF(AND(G164="Yes",'Total income package'!$A$14=TRUE,P164-N164&gt;0),P164-N164,0)</f>
        <v>0</v>
      </c>
    </row>
    <row r="165" spans="1:17" x14ac:dyDescent="0.3">
      <c r="A165" s="182">
        <v>79500</v>
      </c>
      <c r="B165" s="4">
        <f t="shared" si="22"/>
        <v>6625</v>
      </c>
      <c r="C165" s="4">
        <f>MAX('TANF-VIEW'!L168,'TANF-VIEW'!T168)</f>
        <v>0</v>
      </c>
      <c r="D165" s="4">
        <f>'Total income package'!$D$80</f>
        <v>0</v>
      </c>
      <c r="E165" s="4">
        <f>'Total income package'!$H$61+'Total income package'!$F$66</f>
        <v>250</v>
      </c>
      <c r="F165" s="4">
        <f t="shared" si="23"/>
        <v>6875</v>
      </c>
      <c r="G165" s="181" t="str">
        <f t="shared" si="24"/>
        <v>No</v>
      </c>
      <c r="H165" s="3">
        <f t="shared" si="25"/>
        <v>80</v>
      </c>
      <c r="I165" s="3">
        <f t="shared" si="26"/>
        <v>33.33</v>
      </c>
      <c r="J165" s="3">
        <f t="shared" si="19"/>
        <v>6761.67</v>
      </c>
      <c r="K165" s="3">
        <f t="shared" si="20"/>
        <v>2028.501</v>
      </c>
      <c r="L165" s="3">
        <f t="shared" si="21"/>
        <v>687.5</v>
      </c>
      <c r="M165" s="3">
        <v>50</v>
      </c>
      <c r="N165" s="3">
        <f t="shared" si="18"/>
        <v>2028.501</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65" s="337">
        <f>IF(AND(G165="Yes",'Total income package'!$A$14=TRUE,P165-N165&gt;0),P165-N165,0)</f>
        <v>0</v>
      </c>
    </row>
    <row r="166" spans="1:17" x14ac:dyDescent="0.3">
      <c r="A166" s="182">
        <v>80000</v>
      </c>
      <c r="B166" s="4">
        <f t="shared" si="22"/>
        <v>6666.666666666667</v>
      </c>
      <c r="C166" s="4">
        <f>MAX('TANF-VIEW'!L169,'TANF-VIEW'!T169)</f>
        <v>0</v>
      </c>
      <c r="D166" s="4">
        <f>'Total income package'!$D$80</f>
        <v>0</v>
      </c>
      <c r="E166" s="4">
        <f>'Total income package'!$H$61+'Total income package'!$F$66</f>
        <v>250</v>
      </c>
      <c r="F166" s="4">
        <f t="shared" si="23"/>
        <v>6916.666666666667</v>
      </c>
      <c r="G166" s="181" t="str">
        <f t="shared" si="24"/>
        <v>No</v>
      </c>
      <c r="H166" s="3">
        <f t="shared" si="25"/>
        <v>80</v>
      </c>
      <c r="I166" s="3">
        <f t="shared" si="26"/>
        <v>33.33</v>
      </c>
      <c r="J166" s="3">
        <f t="shared" si="19"/>
        <v>6803.336666666667</v>
      </c>
      <c r="K166" s="3">
        <f t="shared" si="20"/>
        <v>2041.001</v>
      </c>
      <c r="L166" s="3">
        <f t="shared" si="21"/>
        <v>691.66666666666674</v>
      </c>
      <c r="M166" s="3">
        <v>50</v>
      </c>
      <c r="N166" s="3">
        <f t="shared" si="18"/>
        <v>2041.001</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66" s="337">
        <f>IF(AND(G166="Yes",'Total income package'!$A$14=TRUE,P166-N166&gt;0),P166-N166,0)</f>
        <v>0</v>
      </c>
    </row>
    <row r="167" spans="1:17" x14ac:dyDescent="0.3">
      <c r="A167" s="182">
        <v>80500</v>
      </c>
      <c r="B167" s="4">
        <f t="shared" si="22"/>
        <v>6708.333333333333</v>
      </c>
      <c r="C167" s="4">
        <f>MAX('TANF-VIEW'!L170,'TANF-VIEW'!T170)</f>
        <v>0</v>
      </c>
      <c r="D167" s="4">
        <f>'Total income package'!$D$80</f>
        <v>0</v>
      </c>
      <c r="E167" s="4">
        <f>'Total income package'!$H$61+'Total income package'!$F$66</f>
        <v>250</v>
      </c>
      <c r="F167" s="4">
        <f t="shared" si="23"/>
        <v>6958.333333333333</v>
      </c>
      <c r="G167" s="181" t="str">
        <f t="shared" si="24"/>
        <v>No</v>
      </c>
      <c r="H167" s="3">
        <f t="shared" si="25"/>
        <v>80</v>
      </c>
      <c r="I167" s="3">
        <f t="shared" si="26"/>
        <v>33.33</v>
      </c>
      <c r="J167" s="3">
        <f t="shared" si="19"/>
        <v>6845.0033333333331</v>
      </c>
      <c r="K167" s="3">
        <f t="shared" si="20"/>
        <v>2053.5009999999997</v>
      </c>
      <c r="L167" s="3">
        <f t="shared" si="21"/>
        <v>695.83333333333337</v>
      </c>
      <c r="M167" s="3">
        <v>50</v>
      </c>
      <c r="N167" s="3">
        <f t="shared" si="18"/>
        <v>2053.5009999999997</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67" s="337">
        <f>IF(AND(G167="Yes",'Total income package'!$A$14=TRUE,P167-N167&gt;0),P167-N167,0)</f>
        <v>0</v>
      </c>
    </row>
    <row r="168" spans="1:17" x14ac:dyDescent="0.3">
      <c r="A168" s="182">
        <v>81000</v>
      </c>
      <c r="B168" s="4">
        <f t="shared" si="22"/>
        <v>6750</v>
      </c>
      <c r="C168" s="4">
        <f>MAX('TANF-VIEW'!L171,'TANF-VIEW'!T171)</f>
        <v>0</v>
      </c>
      <c r="D168" s="4">
        <f>'Total income package'!$D$80</f>
        <v>0</v>
      </c>
      <c r="E168" s="4">
        <f>'Total income package'!$H$61+'Total income package'!$F$66</f>
        <v>250</v>
      </c>
      <c r="F168" s="4">
        <f t="shared" si="23"/>
        <v>7000</v>
      </c>
      <c r="G168" s="181" t="str">
        <f t="shared" si="24"/>
        <v>No</v>
      </c>
      <c r="H168" s="3">
        <f t="shared" si="25"/>
        <v>80</v>
      </c>
      <c r="I168" s="3">
        <f t="shared" si="26"/>
        <v>33.33</v>
      </c>
      <c r="J168" s="3">
        <f t="shared" si="19"/>
        <v>6886.67</v>
      </c>
      <c r="K168" s="3">
        <f t="shared" si="20"/>
        <v>2066.0009999999997</v>
      </c>
      <c r="L168" s="3">
        <f t="shared" si="21"/>
        <v>700</v>
      </c>
      <c r="M168" s="3">
        <v>50</v>
      </c>
      <c r="N168" s="3">
        <f t="shared" si="18"/>
        <v>2066.0009999999997</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68" s="337">
        <f>IF(AND(G168="Yes",'Total income package'!$A$14=TRUE,P168-N168&gt;0),P168-N168,0)</f>
        <v>0</v>
      </c>
    </row>
    <row r="169" spans="1:17" x14ac:dyDescent="0.3">
      <c r="A169" s="182">
        <v>81500</v>
      </c>
      <c r="B169" s="4">
        <f t="shared" si="22"/>
        <v>6791.666666666667</v>
      </c>
      <c r="C169" s="4">
        <f>MAX('TANF-VIEW'!L172,'TANF-VIEW'!T172)</f>
        <v>0</v>
      </c>
      <c r="D169" s="4">
        <f>'Total income package'!$D$80</f>
        <v>0</v>
      </c>
      <c r="E169" s="4">
        <f>'Total income package'!$H$61+'Total income package'!$F$66</f>
        <v>250</v>
      </c>
      <c r="F169" s="4">
        <f t="shared" si="23"/>
        <v>7041.666666666667</v>
      </c>
      <c r="G169" s="181" t="str">
        <f t="shared" si="24"/>
        <v>No</v>
      </c>
      <c r="H169" s="3">
        <f t="shared" si="25"/>
        <v>80</v>
      </c>
      <c r="I169" s="3">
        <f t="shared" si="26"/>
        <v>33.33</v>
      </c>
      <c r="J169" s="3">
        <f t="shared" si="19"/>
        <v>6928.336666666667</v>
      </c>
      <c r="K169" s="3">
        <f t="shared" si="20"/>
        <v>2078.5010000000002</v>
      </c>
      <c r="L169" s="3">
        <f t="shared" si="21"/>
        <v>704.16666666666674</v>
      </c>
      <c r="M169" s="3">
        <v>50</v>
      </c>
      <c r="N169" s="3">
        <f t="shared" si="18"/>
        <v>2078.5010000000002</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69" s="337">
        <f>IF(AND(G169="Yes",'Total income package'!$A$14=TRUE,P169-N169&gt;0),P169-N169,0)</f>
        <v>0</v>
      </c>
    </row>
    <row r="170" spans="1:17" x14ac:dyDescent="0.3">
      <c r="A170" s="182">
        <v>82000</v>
      </c>
      <c r="B170" s="4">
        <f t="shared" si="22"/>
        <v>6833.333333333333</v>
      </c>
      <c r="C170" s="4">
        <f>MAX('TANF-VIEW'!L173,'TANF-VIEW'!T173)</f>
        <v>0</v>
      </c>
      <c r="D170" s="4">
        <f>'Total income package'!$D$80</f>
        <v>0</v>
      </c>
      <c r="E170" s="4">
        <f>'Total income package'!$H$61+'Total income package'!$F$66</f>
        <v>250</v>
      </c>
      <c r="F170" s="4">
        <f t="shared" si="23"/>
        <v>7083.333333333333</v>
      </c>
      <c r="G170" s="181" t="str">
        <f t="shared" si="24"/>
        <v>No</v>
      </c>
      <c r="H170" s="3">
        <f t="shared" si="25"/>
        <v>80</v>
      </c>
      <c r="I170" s="3">
        <f t="shared" si="26"/>
        <v>33.33</v>
      </c>
      <c r="J170" s="3">
        <f t="shared" si="19"/>
        <v>6970.0033333333331</v>
      </c>
      <c r="K170" s="3">
        <f t="shared" si="20"/>
        <v>2091.0009999999997</v>
      </c>
      <c r="L170" s="3">
        <f t="shared" si="21"/>
        <v>708.33333333333337</v>
      </c>
      <c r="M170" s="3">
        <v>50</v>
      </c>
      <c r="N170" s="3">
        <f t="shared" si="18"/>
        <v>2091.0009999999997</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70" s="337">
        <f>IF(AND(G170="Yes",'Total income package'!$A$14=TRUE,P170-N170&gt;0),P170-N170,0)</f>
        <v>0</v>
      </c>
    </row>
    <row r="171" spans="1:17" x14ac:dyDescent="0.3">
      <c r="A171" s="182">
        <v>82500</v>
      </c>
      <c r="B171" s="4">
        <f t="shared" si="22"/>
        <v>6875</v>
      </c>
      <c r="C171" s="4">
        <f>MAX('TANF-VIEW'!L174,'TANF-VIEW'!T174)</f>
        <v>0</v>
      </c>
      <c r="D171" s="4">
        <f>'Total income package'!$D$80</f>
        <v>0</v>
      </c>
      <c r="E171" s="4">
        <f>'Total income package'!$H$61+'Total income package'!$F$66</f>
        <v>250</v>
      </c>
      <c r="F171" s="4">
        <f t="shared" si="23"/>
        <v>7125</v>
      </c>
      <c r="G171" s="181" t="str">
        <f t="shared" si="24"/>
        <v>No</v>
      </c>
      <c r="H171" s="3">
        <f t="shared" si="25"/>
        <v>80</v>
      </c>
      <c r="I171" s="3">
        <f t="shared" si="26"/>
        <v>33.33</v>
      </c>
      <c r="J171" s="3">
        <f t="shared" si="19"/>
        <v>7011.67</v>
      </c>
      <c r="K171" s="3">
        <f t="shared" si="20"/>
        <v>2103.5009999999997</v>
      </c>
      <c r="L171" s="3">
        <f t="shared" si="21"/>
        <v>712.5</v>
      </c>
      <c r="M171" s="3">
        <v>50</v>
      </c>
      <c r="N171" s="3">
        <f t="shared" ref="N171:N206" si="27">MAX(K171:M171)</f>
        <v>2103.5009999999997</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71" s="337">
        <f>IF(AND(G171="Yes",'Total income package'!$A$14=TRUE,P171-N171&gt;0),P171-N171,0)</f>
        <v>0</v>
      </c>
    </row>
    <row r="172" spans="1:17" x14ac:dyDescent="0.3">
      <c r="A172" s="182">
        <v>83000</v>
      </c>
      <c r="B172" s="4">
        <f t="shared" si="22"/>
        <v>6916.666666666667</v>
      </c>
      <c r="C172" s="4">
        <f>MAX('TANF-VIEW'!L175,'TANF-VIEW'!T175)</f>
        <v>0</v>
      </c>
      <c r="D172" s="4">
        <f>'Total income package'!$D$80</f>
        <v>0</v>
      </c>
      <c r="E172" s="4">
        <f>'Total income package'!$H$61+'Total income package'!$F$66</f>
        <v>250</v>
      </c>
      <c r="F172" s="4">
        <f t="shared" si="23"/>
        <v>7166.666666666667</v>
      </c>
      <c r="G172" s="181" t="str">
        <f t="shared" si="24"/>
        <v>No</v>
      </c>
      <c r="H172" s="3">
        <f t="shared" si="25"/>
        <v>80</v>
      </c>
      <c r="I172" s="3">
        <f t="shared" si="26"/>
        <v>33.33</v>
      </c>
      <c r="J172" s="3">
        <f t="shared" si="19"/>
        <v>7053.336666666667</v>
      </c>
      <c r="K172" s="3">
        <f t="shared" si="20"/>
        <v>2116.0010000000002</v>
      </c>
      <c r="L172" s="3">
        <f t="shared" si="21"/>
        <v>716.66666666666674</v>
      </c>
      <c r="M172" s="3">
        <v>50</v>
      </c>
      <c r="N172" s="3">
        <f t="shared" si="27"/>
        <v>2116.0010000000002</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72" s="337">
        <f>IF(AND(G172="Yes",'Total income package'!$A$14=TRUE,P172-N172&gt;0),P172-N172,0)</f>
        <v>0</v>
      </c>
    </row>
    <row r="173" spans="1:17" x14ac:dyDescent="0.3">
      <c r="A173" s="182">
        <v>83500</v>
      </c>
      <c r="B173" s="4">
        <f t="shared" si="22"/>
        <v>6958.333333333333</v>
      </c>
      <c r="C173" s="4">
        <f>MAX('TANF-VIEW'!L176,'TANF-VIEW'!T176)</f>
        <v>0</v>
      </c>
      <c r="D173" s="4">
        <f>'Total income package'!$D$80</f>
        <v>0</v>
      </c>
      <c r="E173" s="4">
        <f>'Total income package'!$H$61+'Total income package'!$F$66</f>
        <v>250</v>
      </c>
      <c r="F173" s="4">
        <f t="shared" si="23"/>
        <v>7208.333333333333</v>
      </c>
      <c r="G173" s="181" t="str">
        <f t="shared" si="24"/>
        <v>No</v>
      </c>
      <c r="H173" s="3">
        <f t="shared" si="25"/>
        <v>80</v>
      </c>
      <c r="I173" s="3">
        <f t="shared" si="26"/>
        <v>33.33</v>
      </c>
      <c r="J173" s="3">
        <f t="shared" si="19"/>
        <v>7095.0033333333331</v>
      </c>
      <c r="K173" s="3">
        <f t="shared" si="20"/>
        <v>2128.5009999999997</v>
      </c>
      <c r="L173" s="3">
        <f t="shared" si="21"/>
        <v>720.83333333333337</v>
      </c>
      <c r="M173" s="3">
        <v>50</v>
      </c>
      <c r="N173" s="3">
        <f t="shared" si="27"/>
        <v>2128.5009999999997</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73" s="337">
        <f>IF(AND(G173="Yes",'Total income package'!$A$14=TRUE,P173-N173&gt;0),P173-N173,0)</f>
        <v>0</v>
      </c>
    </row>
    <row r="174" spans="1:17" x14ac:dyDescent="0.3">
      <c r="A174" s="182">
        <v>84000</v>
      </c>
      <c r="B174" s="4">
        <f t="shared" si="22"/>
        <v>7000</v>
      </c>
      <c r="C174" s="4">
        <f>MAX('TANF-VIEW'!L177,'TANF-VIEW'!T177)</f>
        <v>0</v>
      </c>
      <c r="D174" s="4">
        <f>'Total income package'!$D$80</f>
        <v>0</v>
      </c>
      <c r="E174" s="4">
        <f>'Total income package'!$H$61+'Total income package'!$F$66</f>
        <v>250</v>
      </c>
      <c r="F174" s="4">
        <f t="shared" si="23"/>
        <v>7250</v>
      </c>
      <c r="G174" s="181" t="str">
        <f t="shared" si="24"/>
        <v>No</v>
      </c>
      <c r="H174" s="3">
        <f t="shared" si="25"/>
        <v>80</v>
      </c>
      <c r="I174" s="3">
        <f t="shared" si="26"/>
        <v>33.33</v>
      </c>
      <c r="J174" s="3">
        <f t="shared" si="19"/>
        <v>7136.67</v>
      </c>
      <c r="K174" s="3">
        <f t="shared" si="20"/>
        <v>2141.0009999999997</v>
      </c>
      <c r="L174" s="3">
        <f t="shared" si="21"/>
        <v>725</v>
      </c>
      <c r="M174" s="3">
        <v>50</v>
      </c>
      <c r="N174" s="3">
        <f t="shared" si="27"/>
        <v>2141.0009999999997</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74" s="337">
        <f>IF(AND(G174="Yes",'Total income package'!$A$14=TRUE,P174-N174&gt;0),P174-N174,0)</f>
        <v>0</v>
      </c>
    </row>
    <row r="175" spans="1:17" x14ac:dyDescent="0.3">
      <c r="A175" s="182">
        <v>84500</v>
      </c>
      <c r="B175" s="4">
        <f t="shared" si="22"/>
        <v>7041.666666666667</v>
      </c>
      <c r="C175" s="4">
        <f>MAX('TANF-VIEW'!L178,'TANF-VIEW'!T178)</f>
        <v>0</v>
      </c>
      <c r="D175" s="4">
        <f>'Total income package'!$D$80</f>
        <v>0</v>
      </c>
      <c r="E175" s="4">
        <f>'Total income package'!$H$61+'Total income package'!$F$66</f>
        <v>250</v>
      </c>
      <c r="F175" s="4">
        <f t="shared" si="23"/>
        <v>7291.666666666667</v>
      </c>
      <c r="G175" s="181" t="str">
        <f t="shared" si="24"/>
        <v>No</v>
      </c>
      <c r="H175" s="3">
        <f t="shared" si="25"/>
        <v>80</v>
      </c>
      <c r="I175" s="3">
        <f t="shared" si="26"/>
        <v>33.33</v>
      </c>
      <c r="J175" s="3">
        <f t="shared" si="19"/>
        <v>7178.336666666667</v>
      </c>
      <c r="K175" s="3">
        <f t="shared" si="20"/>
        <v>2153.5010000000002</v>
      </c>
      <c r="L175" s="3">
        <f t="shared" si="21"/>
        <v>729.16666666666674</v>
      </c>
      <c r="M175" s="3">
        <v>50</v>
      </c>
      <c r="N175" s="3">
        <f t="shared" si="27"/>
        <v>2153.5010000000002</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75" s="337">
        <f>IF(AND(G175="Yes",'Total income package'!$A$14=TRUE,P175-N175&gt;0),P175-N175,0)</f>
        <v>0</v>
      </c>
    </row>
    <row r="176" spans="1:17" x14ac:dyDescent="0.3">
      <c r="A176" s="182">
        <v>85000</v>
      </c>
      <c r="B176" s="4">
        <f t="shared" si="22"/>
        <v>7083.333333333333</v>
      </c>
      <c r="C176" s="4">
        <f>MAX('TANF-VIEW'!L179,'TANF-VIEW'!T179)</f>
        <v>0</v>
      </c>
      <c r="D176" s="4">
        <f>'Total income package'!$D$80</f>
        <v>0</v>
      </c>
      <c r="E176" s="4">
        <f>'Total income package'!$H$61+'Total income package'!$F$66</f>
        <v>250</v>
      </c>
      <c r="F176" s="4">
        <f t="shared" si="23"/>
        <v>7333.333333333333</v>
      </c>
      <c r="G176" s="181" t="str">
        <f t="shared" si="24"/>
        <v>No</v>
      </c>
      <c r="H176" s="3">
        <f t="shared" si="25"/>
        <v>80</v>
      </c>
      <c r="I176" s="3">
        <f t="shared" si="26"/>
        <v>33.33</v>
      </c>
      <c r="J176" s="3">
        <f t="shared" si="19"/>
        <v>7220.0033333333331</v>
      </c>
      <c r="K176" s="3">
        <f t="shared" si="20"/>
        <v>2166.0009999999997</v>
      </c>
      <c r="L176" s="3">
        <f t="shared" si="21"/>
        <v>733.33333333333337</v>
      </c>
      <c r="M176" s="3">
        <v>50</v>
      </c>
      <c r="N176" s="3">
        <f t="shared" si="27"/>
        <v>2166.0009999999997</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76" s="337">
        <f>IF(AND(G176="Yes",'Total income package'!$A$14=TRUE,P176-N176&gt;0),P176-N176,0)</f>
        <v>0</v>
      </c>
    </row>
    <row r="177" spans="1:17" x14ac:dyDescent="0.3">
      <c r="A177" s="182">
        <v>85500</v>
      </c>
      <c r="B177" s="4">
        <f t="shared" si="22"/>
        <v>7125</v>
      </c>
      <c r="C177" s="4">
        <f>MAX('TANF-VIEW'!L180,'TANF-VIEW'!T180)</f>
        <v>0</v>
      </c>
      <c r="D177" s="4">
        <f>'Total income package'!$D$80</f>
        <v>0</v>
      </c>
      <c r="E177" s="4">
        <f>'Total income package'!$H$61+'Total income package'!$F$66</f>
        <v>250</v>
      </c>
      <c r="F177" s="4">
        <f t="shared" si="23"/>
        <v>7375</v>
      </c>
      <c r="G177" s="181" t="str">
        <f t="shared" si="24"/>
        <v>No</v>
      </c>
      <c r="H177" s="3">
        <f t="shared" si="25"/>
        <v>80</v>
      </c>
      <c r="I177" s="3">
        <f t="shared" si="26"/>
        <v>33.33</v>
      </c>
      <c r="J177" s="3">
        <f t="shared" si="19"/>
        <v>7261.67</v>
      </c>
      <c r="K177" s="3">
        <f t="shared" si="20"/>
        <v>2178.5009999999997</v>
      </c>
      <c r="L177" s="3">
        <f t="shared" si="21"/>
        <v>737.5</v>
      </c>
      <c r="M177" s="3">
        <v>50</v>
      </c>
      <c r="N177" s="3">
        <f t="shared" si="27"/>
        <v>2178.5009999999997</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77" s="337">
        <f>IF(AND(G177="Yes",'Total income package'!$A$14=TRUE,P177-N177&gt;0),P177-N177,0)</f>
        <v>0</v>
      </c>
    </row>
    <row r="178" spans="1:17" x14ac:dyDescent="0.3">
      <c r="A178" s="182">
        <v>86000</v>
      </c>
      <c r="B178" s="4">
        <f t="shared" si="22"/>
        <v>7166.666666666667</v>
      </c>
      <c r="C178" s="4">
        <f>MAX('TANF-VIEW'!L181,'TANF-VIEW'!T181)</f>
        <v>0</v>
      </c>
      <c r="D178" s="4">
        <f>'Total income package'!$D$80</f>
        <v>0</v>
      </c>
      <c r="E178" s="4">
        <f>'Total income package'!$H$61+'Total income package'!$F$66</f>
        <v>250</v>
      </c>
      <c r="F178" s="4">
        <f t="shared" si="23"/>
        <v>7416.666666666667</v>
      </c>
      <c r="G178" s="181" t="str">
        <f t="shared" si="24"/>
        <v>No</v>
      </c>
      <c r="H178" s="3">
        <f t="shared" si="25"/>
        <v>80</v>
      </c>
      <c r="I178" s="3">
        <f t="shared" si="26"/>
        <v>33.33</v>
      </c>
      <c r="J178" s="3">
        <f t="shared" si="19"/>
        <v>7303.336666666667</v>
      </c>
      <c r="K178" s="3">
        <f t="shared" si="20"/>
        <v>2191.0010000000002</v>
      </c>
      <c r="L178" s="3">
        <f t="shared" si="21"/>
        <v>741.66666666666674</v>
      </c>
      <c r="M178" s="3">
        <v>50</v>
      </c>
      <c r="N178" s="3">
        <f t="shared" si="27"/>
        <v>2191.0010000000002</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78" s="337">
        <f>IF(AND(G178="Yes",'Total income package'!$A$14=TRUE,P178-N178&gt;0),P178-N178,0)</f>
        <v>0</v>
      </c>
    </row>
    <row r="179" spans="1:17" x14ac:dyDescent="0.3">
      <c r="A179" s="182">
        <v>86500</v>
      </c>
      <c r="B179" s="4">
        <f t="shared" si="22"/>
        <v>7208.333333333333</v>
      </c>
      <c r="C179" s="4">
        <f>MAX('TANF-VIEW'!L182,'TANF-VIEW'!T182)</f>
        <v>0</v>
      </c>
      <c r="D179" s="4">
        <f>'Total income package'!$D$80</f>
        <v>0</v>
      </c>
      <c r="E179" s="4">
        <f>'Total income package'!$H$61+'Total income package'!$F$66</f>
        <v>250</v>
      </c>
      <c r="F179" s="4">
        <f t="shared" si="23"/>
        <v>7458.333333333333</v>
      </c>
      <c r="G179" s="181" t="str">
        <f t="shared" si="24"/>
        <v>No</v>
      </c>
      <c r="H179" s="3">
        <f t="shared" si="25"/>
        <v>80</v>
      </c>
      <c r="I179" s="3">
        <f t="shared" si="26"/>
        <v>33.33</v>
      </c>
      <c r="J179" s="3">
        <f t="shared" si="19"/>
        <v>7345.0033333333331</v>
      </c>
      <c r="K179" s="3">
        <f t="shared" si="20"/>
        <v>2203.5009999999997</v>
      </c>
      <c r="L179" s="3">
        <f t="shared" si="21"/>
        <v>745.83333333333337</v>
      </c>
      <c r="M179" s="3">
        <v>50</v>
      </c>
      <c r="N179" s="3">
        <f t="shared" si="27"/>
        <v>2203.5009999999997</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79" s="337">
        <f>IF(AND(G179="Yes",'Total income package'!$A$14=TRUE,P179-N179&gt;0),P179-N179,0)</f>
        <v>0</v>
      </c>
    </row>
    <row r="180" spans="1:17" x14ac:dyDescent="0.3">
      <c r="A180" s="182">
        <v>87000</v>
      </c>
      <c r="B180" s="4">
        <f t="shared" si="22"/>
        <v>7250</v>
      </c>
      <c r="C180" s="4">
        <f>MAX('TANF-VIEW'!L183,'TANF-VIEW'!T183)</f>
        <v>0</v>
      </c>
      <c r="D180" s="4">
        <f>'Total income package'!$D$80</f>
        <v>0</v>
      </c>
      <c r="E180" s="4">
        <f>'Total income package'!$H$61+'Total income package'!$F$66</f>
        <v>250</v>
      </c>
      <c r="F180" s="4">
        <f t="shared" si="23"/>
        <v>7500</v>
      </c>
      <c r="G180" s="181" t="str">
        <f t="shared" si="24"/>
        <v>No</v>
      </c>
      <c r="H180" s="3">
        <f t="shared" si="25"/>
        <v>80</v>
      </c>
      <c r="I180" s="3">
        <f t="shared" si="26"/>
        <v>33.33</v>
      </c>
      <c r="J180" s="3">
        <f t="shared" si="19"/>
        <v>7386.67</v>
      </c>
      <c r="K180" s="3">
        <f t="shared" si="20"/>
        <v>2216.0009999999997</v>
      </c>
      <c r="L180" s="3">
        <f t="shared" si="21"/>
        <v>750</v>
      </c>
      <c r="M180" s="3">
        <v>50</v>
      </c>
      <c r="N180" s="3">
        <f t="shared" si="27"/>
        <v>2216.0009999999997</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80" s="337">
        <f>IF(AND(G180="Yes",'Total income package'!$A$14=TRUE,P180-N180&gt;0),P180-N180,0)</f>
        <v>0</v>
      </c>
    </row>
    <row r="181" spans="1:17" x14ac:dyDescent="0.3">
      <c r="A181" s="182">
        <v>87500</v>
      </c>
      <c r="B181" s="4">
        <f t="shared" si="22"/>
        <v>7291.666666666667</v>
      </c>
      <c r="C181" s="4">
        <f>MAX('TANF-VIEW'!L184,'TANF-VIEW'!T184)</f>
        <v>0</v>
      </c>
      <c r="D181" s="4">
        <f>'Total income package'!$D$80</f>
        <v>0</v>
      </c>
      <c r="E181" s="4">
        <f>'Total income package'!$H$61+'Total income package'!$F$66</f>
        <v>250</v>
      </c>
      <c r="F181" s="4">
        <f t="shared" si="23"/>
        <v>7541.666666666667</v>
      </c>
      <c r="G181" s="181" t="str">
        <f t="shared" si="24"/>
        <v>No</v>
      </c>
      <c r="H181" s="3">
        <f t="shared" si="25"/>
        <v>80</v>
      </c>
      <c r="I181" s="3">
        <f t="shared" si="26"/>
        <v>33.33</v>
      </c>
      <c r="J181" s="3">
        <f t="shared" si="19"/>
        <v>7428.336666666667</v>
      </c>
      <c r="K181" s="3">
        <f t="shared" si="20"/>
        <v>2228.5010000000002</v>
      </c>
      <c r="L181" s="3">
        <f t="shared" si="21"/>
        <v>754.16666666666674</v>
      </c>
      <c r="M181" s="3">
        <v>50</v>
      </c>
      <c r="N181" s="3">
        <f t="shared" si="27"/>
        <v>2228.5010000000002</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81" s="337">
        <f>IF(AND(G181="Yes",'Total income package'!$A$14=TRUE,P181-N181&gt;0),P181-N181,0)</f>
        <v>0</v>
      </c>
    </row>
    <row r="182" spans="1:17" x14ac:dyDescent="0.3">
      <c r="A182" s="182">
        <v>88000</v>
      </c>
      <c r="B182" s="4">
        <f t="shared" si="22"/>
        <v>7333.333333333333</v>
      </c>
      <c r="C182" s="4">
        <f>MAX('TANF-VIEW'!L185,'TANF-VIEW'!T185)</f>
        <v>0</v>
      </c>
      <c r="D182" s="4">
        <f>'Total income package'!$D$80</f>
        <v>0</v>
      </c>
      <c r="E182" s="4">
        <f>'Total income package'!$H$61+'Total income package'!$F$66</f>
        <v>250</v>
      </c>
      <c r="F182" s="4">
        <f t="shared" si="23"/>
        <v>7583.333333333333</v>
      </c>
      <c r="G182" s="181" t="str">
        <f t="shared" si="24"/>
        <v>No</v>
      </c>
      <c r="H182" s="3">
        <f t="shared" si="25"/>
        <v>80</v>
      </c>
      <c r="I182" s="3">
        <f t="shared" si="26"/>
        <v>33.33</v>
      </c>
      <c r="J182" s="3">
        <f t="shared" si="19"/>
        <v>7470.0033333333331</v>
      </c>
      <c r="K182" s="3">
        <f t="shared" si="20"/>
        <v>2241.0009999999997</v>
      </c>
      <c r="L182" s="3">
        <f t="shared" si="21"/>
        <v>758.33333333333337</v>
      </c>
      <c r="M182" s="3">
        <v>50</v>
      </c>
      <c r="N182" s="3">
        <f t="shared" si="27"/>
        <v>2241.0009999999997</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82" s="337">
        <f>IF(AND(G182="Yes",'Total income package'!$A$14=TRUE,P182-N182&gt;0),P182-N182,0)</f>
        <v>0</v>
      </c>
    </row>
    <row r="183" spans="1:17" x14ac:dyDescent="0.3">
      <c r="A183" s="182">
        <v>88500</v>
      </c>
      <c r="B183" s="4">
        <f t="shared" si="22"/>
        <v>7375</v>
      </c>
      <c r="C183" s="4">
        <f>MAX('TANF-VIEW'!L186,'TANF-VIEW'!T186)</f>
        <v>0</v>
      </c>
      <c r="D183" s="4">
        <f>'Total income package'!$D$80</f>
        <v>0</v>
      </c>
      <c r="E183" s="4">
        <f>'Total income package'!$H$61+'Total income package'!$F$66</f>
        <v>250</v>
      </c>
      <c r="F183" s="4">
        <f t="shared" si="23"/>
        <v>7625</v>
      </c>
      <c r="G183" s="181" t="str">
        <f t="shared" si="24"/>
        <v>No</v>
      </c>
      <c r="H183" s="3">
        <f t="shared" si="25"/>
        <v>80</v>
      </c>
      <c r="I183" s="3">
        <f t="shared" si="26"/>
        <v>33.33</v>
      </c>
      <c r="J183" s="3">
        <f t="shared" si="19"/>
        <v>7511.67</v>
      </c>
      <c r="K183" s="3">
        <f t="shared" si="20"/>
        <v>2253.5009999999997</v>
      </c>
      <c r="L183" s="3">
        <f t="shared" si="21"/>
        <v>762.5</v>
      </c>
      <c r="M183" s="3">
        <v>50</v>
      </c>
      <c r="N183" s="3">
        <f t="shared" si="27"/>
        <v>2253.5009999999997</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83" s="337">
        <f>IF(AND(G183="Yes",'Total income package'!$A$14=TRUE,P183-N183&gt;0),P183-N183,0)</f>
        <v>0</v>
      </c>
    </row>
    <row r="184" spans="1:17" x14ac:dyDescent="0.3">
      <c r="A184" s="182">
        <v>89000</v>
      </c>
      <c r="B184" s="4">
        <f t="shared" si="22"/>
        <v>7416.666666666667</v>
      </c>
      <c r="C184" s="4">
        <f>MAX('TANF-VIEW'!L187,'TANF-VIEW'!T187)</f>
        <v>0</v>
      </c>
      <c r="D184" s="4">
        <f>'Total income package'!$D$80</f>
        <v>0</v>
      </c>
      <c r="E184" s="4">
        <f>'Total income package'!$H$61+'Total income package'!$F$66</f>
        <v>250</v>
      </c>
      <c r="F184" s="4">
        <f t="shared" si="23"/>
        <v>7666.666666666667</v>
      </c>
      <c r="G184" s="181" t="str">
        <f t="shared" si="24"/>
        <v>No</v>
      </c>
      <c r="H184" s="3">
        <f t="shared" si="25"/>
        <v>80</v>
      </c>
      <c r="I184" s="3">
        <f t="shared" si="26"/>
        <v>33.33</v>
      </c>
      <c r="J184" s="3">
        <f t="shared" si="19"/>
        <v>7553.336666666667</v>
      </c>
      <c r="K184" s="3">
        <f t="shared" si="20"/>
        <v>2266.0010000000002</v>
      </c>
      <c r="L184" s="3">
        <f t="shared" si="21"/>
        <v>766.66666666666674</v>
      </c>
      <c r="M184" s="3">
        <v>50</v>
      </c>
      <c r="N184" s="3">
        <f t="shared" si="27"/>
        <v>2266.0010000000002</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84" s="337">
        <f>IF(AND(G184="Yes",'Total income package'!$A$14=TRUE,P184-N184&gt;0),P184-N184,0)</f>
        <v>0</v>
      </c>
    </row>
    <row r="185" spans="1:17" x14ac:dyDescent="0.3">
      <c r="A185" s="182">
        <v>89500</v>
      </c>
      <c r="B185" s="4">
        <f t="shared" si="22"/>
        <v>7458.333333333333</v>
      </c>
      <c r="C185" s="4">
        <f>MAX('TANF-VIEW'!L188,'TANF-VIEW'!T188)</f>
        <v>0</v>
      </c>
      <c r="D185" s="4">
        <f>'Total income package'!$D$80</f>
        <v>0</v>
      </c>
      <c r="E185" s="4">
        <f>'Total income package'!$H$61+'Total income package'!$F$66</f>
        <v>250</v>
      </c>
      <c r="F185" s="4">
        <f t="shared" si="23"/>
        <v>7708.333333333333</v>
      </c>
      <c r="G185" s="181" t="str">
        <f t="shared" si="24"/>
        <v>No</v>
      </c>
      <c r="H185" s="3">
        <f t="shared" si="25"/>
        <v>80</v>
      </c>
      <c r="I185" s="3">
        <f t="shared" si="26"/>
        <v>33.33</v>
      </c>
      <c r="J185" s="3">
        <f t="shared" si="19"/>
        <v>7595.0033333333331</v>
      </c>
      <c r="K185" s="3">
        <f t="shared" si="20"/>
        <v>2278.5009999999997</v>
      </c>
      <c r="L185" s="3">
        <f t="shared" si="21"/>
        <v>770.83333333333337</v>
      </c>
      <c r="M185" s="3">
        <v>50</v>
      </c>
      <c r="N185" s="3">
        <f t="shared" si="27"/>
        <v>2278.5009999999997</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85" s="337">
        <f>IF(AND(G185="Yes",'Total income package'!$A$14=TRUE,P185-N185&gt;0),P185-N185,0)</f>
        <v>0</v>
      </c>
    </row>
    <row r="186" spans="1:17" x14ac:dyDescent="0.3">
      <c r="A186" s="182">
        <v>90000</v>
      </c>
      <c r="B186" s="4">
        <f t="shared" si="22"/>
        <v>7500</v>
      </c>
      <c r="C186" s="4">
        <f>MAX('TANF-VIEW'!L189,'TANF-VIEW'!T189)</f>
        <v>0</v>
      </c>
      <c r="D186" s="4">
        <f>'Total income package'!$D$80</f>
        <v>0</v>
      </c>
      <c r="E186" s="4">
        <f>'Total income package'!$H$61+'Total income package'!$F$66</f>
        <v>250</v>
      </c>
      <c r="F186" s="4">
        <f t="shared" si="23"/>
        <v>7750</v>
      </c>
      <c r="G186" s="181" t="str">
        <f t="shared" si="24"/>
        <v>No</v>
      </c>
      <c r="H186" s="3">
        <f t="shared" si="25"/>
        <v>80</v>
      </c>
      <c r="I186" s="3">
        <f t="shared" si="26"/>
        <v>33.33</v>
      </c>
      <c r="J186" s="3">
        <f t="shared" si="19"/>
        <v>7636.67</v>
      </c>
      <c r="K186" s="3">
        <f t="shared" si="20"/>
        <v>2291.0009999999997</v>
      </c>
      <c r="L186" s="3">
        <f t="shared" si="21"/>
        <v>775</v>
      </c>
      <c r="M186" s="3">
        <v>50</v>
      </c>
      <c r="N186" s="3">
        <f t="shared" si="27"/>
        <v>2291.0009999999997</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86" s="337">
        <f>IF(AND(G186="Yes",'Total income package'!$A$14=TRUE,P186-N186&gt;0),P186-N186,0)</f>
        <v>0</v>
      </c>
    </row>
    <row r="187" spans="1:17" x14ac:dyDescent="0.3">
      <c r="A187" s="182">
        <v>90500</v>
      </c>
      <c r="B187" s="4">
        <f t="shared" si="22"/>
        <v>7541.666666666667</v>
      </c>
      <c r="C187" s="4">
        <f>MAX('TANF-VIEW'!L190,'TANF-VIEW'!T190)</f>
        <v>0</v>
      </c>
      <c r="D187" s="4">
        <f>'Total income package'!$D$80</f>
        <v>0</v>
      </c>
      <c r="E187" s="4">
        <f>'Total income package'!$H$61+'Total income package'!$F$66</f>
        <v>250</v>
      </c>
      <c r="F187" s="4">
        <f t="shared" si="23"/>
        <v>7791.666666666667</v>
      </c>
      <c r="G187" s="181" t="str">
        <f t="shared" si="24"/>
        <v>No</v>
      </c>
      <c r="H187" s="3">
        <f t="shared" si="25"/>
        <v>80</v>
      </c>
      <c r="I187" s="3">
        <f t="shared" si="26"/>
        <v>33.33</v>
      </c>
      <c r="J187" s="3">
        <f t="shared" si="19"/>
        <v>7678.336666666667</v>
      </c>
      <c r="K187" s="3">
        <f t="shared" si="20"/>
        <v>2303.5010000000002</v>
      </c>
      <c r="L187" s="3">
        <f t="shared" si="21"/>
        <v>779.16666666666674</v>
      </c>
      <c r="M187" s="3">
        <v>50</v>
      </c>
      <c r="N187" s="3">
        <f t="shared" si="27"/>
        <v>2303.5010000000002</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87" s="337">
        <f>IF(AND(G187="Yes",'Total income package'!$A$14=TRUE,P187-N187&gt;0),P187-N187,0)</f>
        <v>0</v>
      </c>
    </row>
    <row r="188" spans="1:17" x14ac:dyDescent="0.3">
      <c r="A188" s="182">
        <v>91000</v>
      </c>
      <c r="B188" s="4">
        <f t="shared" si="22"/>
        <v>7583.333333333333</v>
      </c>
      <c r="C188" s="4">
        <f>MAX('TANF-VIEW'!L191,'TANF-VIEW'!T191)</f>
        <v>0</v>
      </c>
      <c r="D188" s="4">
        <f>'Total income package'!$D$80</f>
        <v>0</v>
      </c>
      <c r="E188" s="4">
        <f>'Total income package'!$H$61+'Total income package'!$F$66</f>
        <v>250</v>
      </c>
      <c r="F188" s="4">
        <f t="shared" si="23"/>
        <v>7833.333333333333</v>
      </c>
      <c r="G188" s="181" t="str">
        <f t="shared" si="24"/>
        <v>No</v>
      </c>
      <c r="H188" s="3">
        <f t="shared" si="25"/>
        <v>80</v>
      </c>
      <c r="I188" s="3">
        <f t="shared" si="26"/>
        <v>33.33</v>
      </c>
      <c r="J188" s="3">
        <f t="shared" si="19"/>
        <v>7720.0033333333331</v>
      </c>
      <c r="K188" s="3">
        <f t="shared" si="20"/>
        <v>2316.0009999999997</v>
      </c>
      <c r="L188" s="3">
        <f t="shared" si="21"/>
        <v>783.33333333333337</v>
      </c>
      <c r="M188" s="3">
        <v>50</v>
      </c>
      <c r="N188" s="3">
        <f t="shared" si="27"/>
        <v>2316.0009999999997</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88" s="337">
        <f>IF(AND(G188="Yes",'Total income package'!$A$14=TRUE,P188-N188&gt;0),P188-N188,0)</f>
        <v>0</v>
      </c>
    </row>
    <row r="189" spans="1:17" x14ac:dyDescent="0.3">
      <c r="A189" s="182">
        <v>91500</v>
      </c>
      <c r="B189" s="4">
        <f t="shared" si="22"/>
        <v>7625</v>
      </c>
      <c r="C189" s="4">
        <f>MAX('TANF-VIEW'!L192,'TANF-VIEW'!T192)</f>
        <v>0</v>
      </c>
      <c r="D189" s="4">
        <f>'Total income package'!$D$80</f>
        <v>0</v>
      </c>
      <c r="E189" s="4">
        <f>'Total income package'!$H$61+'Total income package'!$F$66</f>
        <v>250</v>
      </c>
      <c r="F189" s="4">
        <f t="shared" si="23"/>
        <v>7875</v>
      </c>
      <c r="G189" s="181" t="str">
        <f t="shared" si="24"/>
        <v>No</v>
      </c>
      <c r="H189" s="3">
        <f t="shared" si="25"/>
        <v>80</v>
      </c>
      <c r="I189" s="3">
        <f t="shared" si="26"/>
        <v>33.33</v>
      </c>
      <c r="J189" s="3">
        <f t="shared" si="19"/>
        <v>7761.67</v>
      </c>
      <c r="K189" s="3">
        <f t="shared" si="20"/>
        <v>2328.5009999999997</v>
      </c>
      <c r="L189" s="3">
        <f t="shared" si="21"/>
        <v>787.5</v>
      </c>
      <c r="M189" s="3">
        <v>50</v>
      </c>
      <c r="N189" s="3">
        <f t="shared" si="27"/>
        <v>2328.5009999999997</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89" s="337">
        <f>IF(AND(G189="Yes",'Total income package'!$A$14=TRUE,P189-N189&gt;0),P189-N189,0)</f>
        <v>0</v>
      </c>
    </row>
    <row r="190" spans="1:17" x14ac:dyDescent="0.3">
      <c r="A190" s="182">
        <v>92000</v>
      </c>
      <c r="B190" s="4">
        <f t="shared" si="22"/>
        <v>7666.666666666667</v>
      </c>
      <c r="C190" s="4">
        <f>MAX('TANF-VIEW'!L193,'TANF-VIEW'!T193)</f>
        <v>0</v>
      </c>
      <c r="D190" s="4">
        <f>'Total income package'!$D$80</f>
        <v>0</v>
      </c>
      <c r="E190" s="4">
        <f>'Total income package'!$H$61+'Total income package'!$F$66</f>
        <v>250</v>
      </c>
      <c r="F190" s="4">
        <f t="shared" si="23"/>
        <v>7916.666666666667</v>
      </c>
      <c r="G190" s="181" t="str">
        <f t="shared" si="24"/>
        <v>No</v>
      </c>
      <c r="H190" s="3">
        <f t="shared" si="25"/>
        <v>80</v>
      </c>
      <c r="I190" s="3">
        <f t="shared" si="26"/>
        <v>33.33</v>
      </c>
      <c r="J190" s="3">
        <f t="shared" si="19"/>
        <v>7803.336666666667</v>
      </c>
      <c r="K190" s="3">
        <f t="shared" si="20"/>
        <v>2341.0010000000002</v>
      </c>
      <c r="L190" s="3">
        <f t="shared" si="21"/>
        <v>791.66666666666674</v>
      </c>
      <c r="M190" s="3">
        <v>50</v>
      </c>
      <c r="N190" s="3">
        <f t="shared" si="27"/>
        <v>2341.0010000000002</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90" s="337">
        <f>IF(AND(G190="Yes",'Total income package'!$A$14=TRUE,P190-N190&gt;0),P190-N190,0)</f>
        <v>0</v>
      </c>
    </row>
    <row r="191" spans="1:17" x14ac:dyDescent="0.3">
      <c r="A191" s="182">
        <v>92500</v>
      </c>
      <c r="B191" s="4">
        <f t="shared" si="22"/>
        <v>7708.333333333333</v>
      </c>
      <c r="C191" s="4">
        <f>MAX('TANF-VIEW'!L194,'TANF-VIEW'!T194)</f>
        <v>0</v>
      </c>
      <c r="D191" s="4">
        <f>'Total income package'!$D$80</f>
        <v>0</v>
      </c>
      <c r="E191" s="4">
        <f>'Total income package'!$H$61+'Total income package'!$F$66</f>
        <v>250</v>
      </c>
      <c r="F191" s="4">
        <f t="shared" si="23"/>
        <v>7958.333333333333</v>
      </c>
      <c r="G191" s="181" t="str">
        <f t="shared" si="24"/>
        <v>No</v>
      </c>
      <c r="H191" s="3">
        <f t="shared" si="25"/>
        <v>80</v>
      </c>
      <c r="I191" s="3">
        <f t="shared" si="26"/>
        <v>33.33</v>
      </c>
      <c r="J191" s="3">
        <f t="shared" si="19"/>
        <v>7845.0033333333331</v>
      </c>
      <c r="K191" s="3">
        <f t="shared" si="20"/>
        <v>2353.5009999999997</v>
      </c>
      <c r="L191" s="3">
        <f t="shared" si="21"/>
        <v>795.83333333333337</v>
      </c>
      <c r="M191" s="3">
        <v>50</v>
      </c>
      <c r="N191" s="3">
        <f t="shared" si="27"/>
        <v>2353.5009999999997</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91" s="337">
        <f>IF(AND(G191="Yes",'Total income package'!$A$14=TRUE,P191-N191&gt;0),P191-N191,0)</f>
        <v>0</v>
      </c>
    </row>
    <row r="192" spans="1:17" x14ac:dyDescent="0.3">
      <c r="A192" s="182">
        <v>93000</v>
      </c>
      <c r="B192" s="4">
        <f t="shared" si="22"/>
        <v>7750</v>
      </c>
      <c r="C192" s="4">
        <f>MAX('TANF-VIEW'!L195,'TANF-VIEW'!T195)</f>
        <v>0</v>
      </c>
      <c r="D192" s="4">
        <f>'Total income package'!$D$80</f>
        <v>0</v>
      </c>
      <c r="E192" s="4">
        <f>'Total income package'!$H$61+'Total income package'!$F$66</f>
        <v>250</v>
      </c>
      <c r="F192" s="4">
        <f t="shared" si="23"/>
        <v>8000</v>
      </c>
      <c r="G192" s="181" t="str">
        <f t="shared" si="24"/>
        <v>No</v>
      </c>
      <c r="H192" s="3">
        <f t="shared" si="25"/>
        <v>80</v>
      </c>
      <c r="I192" s="3">
        <f t="shared" si="26"/>
        <v>33.33</v>
      </c>
      <c r="J192" s="3">
        <f t="shared" si="19"/>
        <v>7886.67</v>
      </c>
      <c r="K192" s="3">
        <f t="shared" si="20"/>
        <v>2366.0009999999997</v>
      </c>
      <c r="L192" s="3">
        <f t="shared" si="21"/>
        <v>800</v>
      </c>
      <c r="M192" s="3">
        <v>50</v>
      </c>
      <c r="N192" s="3">
        <f t="shared" si="27"/>
        <v>2366.0009999999997</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92" s="337">
        <f>IF(AND(G192="Yes",'Total income package'!$A$14=TRUE,P192-N192&gt;0),P192-N192,0)</f>
        <v>0</v>
      </c>
    </row>
    <row r="193" spans="1:17" x14ac:dyDescent="0.3">
      <c r="A193" s="182">
        <v>93500</v>
      </c>
      <c r="B193" s="4">
        <f t="shared" si="22"/>
        <v>7791.666666666667</v>
      </c>
      <c r="C193" s="4">
        <f>MAX('TANF-VIEW'!L196,'TANF-VIEW'!T196)</f>
        <v>0</v>
      </c>
      <c r="D193" s="4">
        <f>'Total income package'!$D$80</f>
        <v>0</v>
      </c>
      <c r="E193" s="4">
        <f>'Total income package'!$H$61+'Total income package'!$F$66</f>
        <v>250</v>
      </c>
      <c r="F193" s="4">
        <f t="shared" si="23"/>
        <v>8041.666666666667</v>
      </c>
      <c r="G193" s="181" t="str">
        <f t="shared" si="24"/>
        <v>No</v>
      </c>
      <c r="H193" s="3">
        <f t="shared" si="25"/>
        <v>80</v>
      </c>
      <c r="I193" s="3">
        <f t="shared" si="26"/>
        <v>33.33</v>
      </c>
      <c r="J193" s="3">
        <f t="shared" si="19"/>
        <v>7928.336666666667</v>
      </c>
      <c r="K193" s="3">
        <f t="shared" si="20"/>
        <v>2378.5010000000002</v>
      </c>
      <c r="L193" s="3">
        <f t="shared" si="21"/>
        <v>804.16666666666674</v>
      </c>
      <c r="M193" s="3">
        <v>50</v>
      </c>
      <c r="N193" s="3">
        <f t="shared" si="27"/>
        <v>2378.5010000000002</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93" s="337">
        <f>IF(AND(G193="Yes",'Total income package'!$A$14=TRUE,P193-N193&gt;0),P193-N193,0)</f>
        <v>0</v>
      </c>
    </row>
    <row r="194" spans="1:17" x14ac:dyDescent="0.3">
      <c r="A194" s="182">
        <v>94000</v>
      </c>
      <c r="B194" s="4">
        <f t="shared" si="22"/>
        <v>7833.333333333333</v>
      </c>
      <c r="C194" s="4">
        <f>MAX('TANF-VIEW'!L197,'TANF-VIEW'!T197)</f>
        <v>0</v>
      </c>
      <c r="D194" s="4">
        <f>'Total income package'!$D$80</f>
        <v>0</v>
      </c>
      <c r="E194" s="4">
        <f>'Total income package'!$H$61+'Total income package'!$F$66</f>
        <v>250</v>
      </c>
      <c r="F194" s="4">
        <f t="shared" si="23"/>
        <v>8083.333333333333</v>
      </c>
      <c r="G194" s="181" t="str">
        <f t="shared" si="24"/>
        <v>No</v>
      </c>
      <c r="H194" s="3">
        <f t="shared" si="25"/>
        <v>80</v>
      </c>
      <c r="I194" s="3">
        <f t="shared" si="26"/>
        <v>33.33</v>
      </c>
      <c r="J194" s="3">
        <f t="shared" si="19"/>
        <v>7970.0033333333331</v>
      </c>
      <c r="K194" s="3">
        <f t="shared" si="20"/>
        <v>2391.0009999999997</v>
      </c>
      <c r="L194" s="3">
        <f t="shared" si="21"/>
        <v>808.33333333333337</v>
      </c>
      <c r="M194" s="3">
        <v>50</v>
      </c>
      <c r="N194" s="3">
        <f t="shared" si="27"/>
        <v>2391.0009999999997</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94" s="337">
        <f>IF(AND(G194="Yes",'Total income package'!$A$14=TRUE,P194-N194&gt;0),P194-N194,0)</f>
        <v>0</v>
      </c>
    </row>
    <row r="195" spans="1:17" x14ac:dyDescent="0.3">
      <c r="A195" s="182">
        <v>94500</v>
      </c>
      <c r="B195" s="4">
        <f t="shared" si="22"/>
        <v>7875</v>
      </c>
      <c r="C195" s="4">
        <f>MAX('TANF-VIEW'!L198,'TANF-VIEW'!T198)</f>
        <v>0</v>
      </c>
      <c r="D195" s="4">
        <f>'Total income package'!$D$80</f>
        <v>0</v>
      </c>
      <c r="E195" s="4">
        <f>'Total income package'!$H$61+'Total income package'!$F$66</f>
        <v>250</v>
      </c>
      <c r="F195" s="4">
        <f t="shared" si="23"/>
        <v>8125</v>
      </c>
      <c r="G195" s="181" t="str">
        <f t="shared" si="24"/>
        <v>No</v>
      </c>
      <c r="H195" s="3">
        <f t="shared" si="25"/>
        <v>80</v>
      </c>
      <c r="I195" s="3">
        <f t="shared" si="26"/>
        <v>33.33</v>
      </c>
      <c r="J195" s="3">
        <f t="shared" si="19"/>
        <v>8011.67</v>
      </c>
      <c r="K195" s="3">
        <f t="shared" si="20"/>
        <v>2403.5009999999997</v>
      </c>
      <c r="L195" s="3">
        <f t="shared" si="21"/>
        <v>812.5</v>
      </c>
      <c r="M195" s="3">
        <v>50</v>
      </c>
      <c r="N195" s="3">
        <f t="shared" si="27"/>
        <v>2403.5009999999997</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95" s="337">
        <f>IF(AND(G195="Yes",'Total income package'!$A$14=TRUE,P195-N195&gt;0),P195-N195,0)</f>
        <v>0</v>
      </c>
    </row>
    <row r="196" spans="1:17" x14ac:dyDescent="0.3">
      <c r="A196" s="182">
        <v>95000</v>
      </c>
      <c r="B196" s="4">
        <f t="shared" si="22"/>
        <v>7916.666666666667</v>
      </c>
      <c r="C196" s="4">
        <f>MAX('TANF-VIEW'!L199,'TANF-VIEW'!T199)</f>
        <v>0</v>
      </c>
      <c r="D196" s="4">
        <f>'Total income package'!$D$80</f>
        <v>0</v>
      </c>
      <c r="E196" s="4">
        <f>'Total income package'!$H$61+'Total income package'!$F$66</f>
        <v>250</v>
      </c>
      <c r="F196" s="4">
        <f t="shared" si="23"/>
        <v>8166.666666666667</v>
      </c>
      <c r="G196" s="181" t="str">
        <f t="shared" si="24"/>
        <v>No</v>
      </c>
      <c r="H196" s="3">
        <f t="shared" si="25"/>
        <v>80</v>
      </c>
      <c r="I196" s="3">
        <f t="shared" si="26"/>
        <v>33.33</v>
      </c>
      <c r="J196" s="3">
        <f t="shared" si="19"/>
        <v>8053.336666666667</v>
      </c>
      <c r="K196" s="3">
        <f t="shared" si="20"/>
        <v>2416.0010000000002</v>
      </c>
      <c r="L196" s="3">
        <f t="shared" si="21"/>
        <v>816.66666666666674</v>
      </c>
      <c r="M196" s="3">
        <v>50</v>
      </c>
      <c r="N196" s="3">
        <f t="shared" si="27"/>
        <v>2416.0010000000002</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96" s="337">
        <f>IF(AND(G196="Yes",'Total income package'!$A$14=TRUE,P196-N196&gt;0),P196-N196,0)</f>
        <v>0</v>
      </c>
    </row>
    <row r="197" spans="1:17" x14ac:dyDescent="0.3">
      <c r="A197" s="182">
        <v>95500</v>
      </c>
      <c r="B197" s="4">
        <f t="shared" si="22"/>
        <v>7958.333333333333</v>
      </c>
      <c r="C197" s="4">
        <f>MAX('TANF-VIEW'!L200,'TANF-VIEW'!T200)</f>
        <v>0</v>
      </c>
      <c r="D197" s="4">
        <f>'Total income package'!$D$80</f>
        <v>0</v>
      </c>
      <c r="E197" s="4">
        <f>'Total income package'!$H$61+'Total income package'!$F$66</f>
        <v>250</v>
      </c>
      <c r="F197" s="4">
        <f t="shared" si="23"/>
        <v>8208.3333333333321</v>
      </c>
      <c r="G197" s="181" t="str">
        <f t="shared" si="24"/>
        <v>No</v>
      </c>
      <c r="H197" s="3">
        <f t="shared" si="25"/>
        <v>80</v>
      </c>
      <c r="I197" s="3">
        <f t="shared" si="26"/>
        <v>33.33</v>
      </c>
      <c r="J197" s="3">
        <f t="shared" si="19"/>
        <v>8095.0033333333322</v>
      </c>
      <c r="K197" s="3">
        <f t="shared" si="20"/>
        <v>2428.5009999999997</v>
      </c>
      <c r="L197" s="3">
        <f t="shared" si="21"/>
        <v>820.83333333333326</v>
      </c>
      <c r="M197" s="3">
        <v>50</v>
      </c>
      <c r="N197" s="3">
        <f t="shared" si="27"/>
        <v>2428.5009999999997</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97" s="337">
        <f>IF(AND(G197="Yes",'Total income package'!$A$14=TRUE,P197-N197&gt;0),P197-N197,0)</f>
        <v>0</v>
      </c>
    </row>
    <row r="198" spans="1:17" x14ac:dyDescent="0.3">
      <c r="A198" s="182">
        <v>96000</v>
      </c>
      <c r="B198" s="4">
        <f t="shared" si="22"/>
        <v>8000</v>
      </c>
      <c r="C198" s="4">
        <f>MAX('TANF-VIEW'!L201,'TANF-VIEW'!T201)</f>
        <v>0</v>
      </c>
      <c r="D198" s="4">
        <f>'Total income package'!$D$80</f>
        <v>0</v>
      </c>
      <c r="E198" s="4">
        <f>'Total income package'!$H$61+'Total income package'!$F$66</f>
        <v>250</v>
      </c>
      <c r="F198" s="4">
        <f t="shared" si="23"/>
        <v>8250</v>
      </c>
      <c r="G198" s="181" t="str">
        <f t="shared" si="24"/>
        <v>No</v>
      </c>
      <c r="H198" s="3">
        <f t="shared" si="25"/>
        <v>80</v>
      </c>
      <c r="I198" s="3">
        <f t="shared" si="26"/>
        <v>33.33</v>
      </c>
      <c r="J198" s="3">
        <f t="shared" ref="J198:J206" si="28">IF(F198-H198-I198&lt;0,0,F198-H198-I198)</f>
        <v>8136.67</v>
      </c>
      <c r="K198" s="3">
        <f t="shared" ref="K198:K206" si="29">J198*0.3</f>
        <v>2441.0009999999997</v>
      </c>
      <c r="L198" s="3">
        <f t="shared" ref="L198:L206" si="30">F198*0.1</f>
        <v>825</v>
      </c>
      <c r="M198" s="3">
        <v>50</v>
      </c>
      <c r="N198" s="3">
        <f t="shared" si="27"/>
        <v>2441.0009999999997</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98" s="337">
        <f>IF(AND(G198="Yes",'Total income package'!$A$14=TRUE,P198-N198&gt;0),P198-N198,0)</f>
        <v>0</v>
      </c>
    </row>
    <row r="199" spans="1:17" x14ac:dyDescent="0.3">
      <c r="A199" s="182">
        <v>96500</v>
      </c>
      <c r="B199" s="4">
        <f t="shared" ref="B199:B206" si="31">A199/12</f>
        <v>8041.666666666667</v>
      </c>
      <c r="C199" s="4">
        <f>MAX('TANF-VIEW'!L202,'TANF-VIEW'!T202)</f>
        <v>0</v>
      </c>
      <c r="D199" s="4">
        <f>'Total income package'!$D$80</f>
        <v>0</v>
      </c>
      <c r="E199" s="4">
        <f>'Total income package'!$H$61+'Total income package'!$F$66</f>
        <v>250</v>
      </c>
      <c r="F199" s="4">
        <f t="shared" ref="F199:F206" si="32">B199+C199+D199+E199</f>
        <v>8291.6666666666679</v>
      </c>
      <c r="G199" s="181" t="str">
        <f t="shared" ref="G199:G206" si="33">IF(F199&lt;$L$2,"Yes","No")</f>
        <v>No</v>
      </c>
      <c r="H199" s="3">
        <f t="shared" ref="H199:H206" si="34">40*($D$2+$I$2)</f>
        <v>80</v>
      </c>
      <c r="I199" s="3">
        <f t="shared" ref="I199:I211" si="35">IF($H$2+$I$2&gt;0,33.33,0)</f>
        <v>33.33</v>
      </c>
      <c r="J199" s="3">
        <f t="shared" si="28"/>
        <v>8178.336666666668</v>
      </c>
      <c r="K199" s="3">
        <f t="shared" si="29"/>
        <v>2453.5010000000002</v>
      </c>
      <c r="L199" s="3">
        <f t="shared" si="30"/>
        <v>829.16666666666686</v>
      </c>
      <c r="M199" s="3">
        <v>50</v>
      </c>
      <c r="N199" s="3">
        <f t="shared" si="27"/>
        <v>2453.5010000000002</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199" s="337">
        <f>IF(AND(G199="Yes",'Total income package'!$A$14=TRUE,P199-N199&gt;0),P199-N199,0)</f>
        <v>0</v>
      </c>
    </row>
    <row r="200" spans="1:17" x14ac:dyDescent="0.3">
      <c r="A200" s="182">
        <v>97000</v>
      </c>
      <c r="B200" s="4">
        <f t="shared" si="31"/>
        <v>8083.333333333333</v>
      </c>
      <c r="C200" s="4">
        <f>MAX('TANF-VIEW'!L203,'TANF-VIEW'!T203)</f>
        <v>0</v>
      </c>
      <c r="D200" s="4">
        <f>'Total income package'!$D$80</f>
        <v>0</v>
      </c>
      <c r="E200" s="4">
        <f>'Total income package'!$H$61+'Total income package'!$F$66</f>
        <v>250</v>
      </c>
      <c r="F200" s="4">
        <f t="shared" si="32"/>
        <v>8333.3333333333321</v>
      </c>
      <c r="G200" s="181" t="str">
        <f t="shared" si="33"/>
        <v>No</v>
      </c>
      <c r="H200" s="3">
        <f t="shared" si="34"/>
        <v>80</v>
      </c>
      <c r="I200" s="3">
        <f t="shared" si="35"/>
        <v>33.33</v>
      </c>
      <c r="J200" s="3">
        <f t="shared" si="28"/>
        <v>8220.0033333333322</v>
      </c>
      <c r="K200" s="3">
        <f t="shared" si="29"/>
        <v>2466.0009999999997</v>
      </c>
      <c r="L200" s="3">
        <f t="shared" si="30"/>
        <v>833.33333333333326</v>
      </c>
      <c r="M200" s="3">
        <v>50</v>
      </c>
      <c r="N200" s="3">
        <f t="shared" si="27"/>
        <v>2466.0009999999997</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200" s="337">
        <f>IF(AND(G200="Yes",'Total income package'!$A$14=TRUE,P200-N200&gt;0),P200-N200,0)</f>
        <v>0</v>
      </c>
    </row>
    <row r="201" spans="1:17" x14ac:dyDescent="0.3">
      <c r="A201" s="182">
        <v>97500</v>
      </c>
      <c r="B201" s="4">
        <f t="shared" si="31"/>
        <v>8125</v>
      </c>
      <c r="C201" s="4">
        <f>MAX('TANF-VIEW'!L204,'TANF-VIEW'!T204)</f>
        <v>0</v>
      </c>
      <c r="D201" s="4">
        <f>'Total income package'!$D$80</f>
        <v>0</v>
      </c>
      <c r="E201" s="4">
        <f>'Total income package'!$H$61+'Total income package'!$F$66</f>
        <v>250</v>
      </c>
      <c r="F201" s="4">
        <f t="shared" si="32"/>
        <v>8375</v>
      </c>
      <c r="G201" s="181" t="str">
        <f t="shared" si="33"/>
        <v>No</v>
      </c>
      <c r="H201" s="3">
        <f t="shared" si="34"/>
        <v>80</v>
      </c>
      <c r="I201" s="3">
        <f t="shared" si="35"/>
        <v>33.33</v>
      </c>
      <c r="J201" s="3">
        <f t="shared" si="28"/>
        <v>8261.67</v>
      </c>
      <c r="K201" s="3">
        <f t="shared" si="29"/>
        <v>2478.5009999999997</v>
      </c>
      <c r="L201" s="3">
        <f t="shared" si="30"/>
        <v>837.5</v>
      </c>
      <c r="M201" s="3">
        <v>50</v>
      </c>
      <c r="N201" s="3">
        <f t="shared" si="27"/>
        <v>2478.5009999999997</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201" s="337">
        <f>IF(AND(G201="Yes",'Total income package'!$A$14=TRUE,P201-N201&gt;0),P201-N201,0)</f>
        <v>0</v>
      </c>
    </row>
    <row r="202" spans="1:17" x14ac:dyDescent="0.3">
      <c r="A202" s="182">
        <v>98000</v>
      </c>
      <c r="B202" s="4">
        <f t="shared" si="31"/>
        <v>8166.666666666667</v>
      </c>
      <c r="C202" s="4">
        <f>MAX('TANF-VIEW'!L205,'TANF-VIEW'!T205)</f>
        <v>0</v>
      </c>
      <c r="D202" s="4">
        <f>'Total income package'!$D$80</f>
        <v>0</v>
      </c>
      <c r="E202" s="4">
        <f>'Total income package'!$H$61+'Total income package'!$F$66</f>
        <v>250</v>
      </c>
      <c r="F202" s="4">
        <f t="shared" si="32"/>
        <v>8416.6666666666679</v>
      </c>
      <c r="G202" s="181" t="str">
        <f t="shared" si="33"/>
        <v>No</v>
      </c>
      <c r="H202" s="3">
        <f t="shared" si="34"/>
        <v>80</v>
      </c>
      <c r="I202" s="3">
        <f t="shared" si="35"/>
        <v>33.33</v>
      </c>
      <c r="J202" s="3">
        <f t="shared" si="28"/>
        <v>8303.336666666668</v>
      </c>
      <c r="K202" s="3">
        <f t="shared" si="29"/>
        <v>2491.0010000000002</v>
      </c>
      <c r="L202" s="3">
        <f t="shared" si="30"/>
        <v>841.66666666666686</v>
      </c>
      <c r="M202" s="3">
        <v>50</v>
      </c>
      <c r="N202" s="3">
        <f t="shared" si="27"/>
        <v>2491.0010000000002</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202" s="337">
        <f>IF(AND(G202="Yes",'Total income package'!$A$14=TRUE,P202-N202&gt;0),P202-N202,0)</f>
        <v>0</v>
      </c>
    </row>
    <row r="203" spans="1:17" x14ac:dyDescent="0.3">
      <c r="A203" s="182">
        <v>98500</v>
      </c>
      <c r="B203" s="4">
        <f t="shared" si="31"/>
        <v>8208.3333333333339</v>
      </c>
      <c r="C203" s="4">
        <f>MAX('TANF-VIEW'!L206,'TANF-VIEW'!T206)</f>
        <v>0</v>
      </c>
      <c r="D203" s="4">
        <f>'Total income package'!$D$80</f>
        <v>0</v>
      </c>
      <c r="E203" s="4">
        <f>'Total income package'!$H$61+'Total income package'!$F$66</f>
        <v>250</v>
      </c>
      <c r="F203" s="4">
        <f t="shared" si="32"/>
        <v>8458.3333333333339</v>
      </c>
      <c r="G203" s="181" t="str">
        <f t="shared" si="33"/>
        <v>No</v>
      </c>
      <c r="H203" s="3">
        <f t="shared" si="34"/>
        <v>80</v>
      </c>
      <c r="I203" s="3">
        <f t="shared" si="35"/>
        <v>33.33</v>
      </c>
      <c r="J203" s="3">
        <f t="shared" si="28"/>
        <v>8345.003333333334</v>
      </c>
      <c r="K203" s="3">
        <f t="shared" si="29"/>
        <v>2503.5010000000002</v>
      </c>
      <c r="L203" s="3">
        <f t="shared" si="30"/>
        <v>845.83333333333348</v>
      </c>
      <c r="M203" s="3">
        <v>50</v>
      </c>
      <c r="N203" s="3">
        <f t="shared" si="27"/>
        <v>2503.5010000000002</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203" s="337">
        <f>IF(AND(G203="Yes",'Total income package'!$A$14=TRUE,P203-N203&gt;0),P203-N203,0)</f>
        <v>0</v>
      </c>
    </row>
    <row r="204" spans="1:17" x14ac:dyDescent="0.3">
      <c r="A204" s="182">
        <v>99000</v>
      </c>
      <c r="B204" s="4">
        <f t="shared" si="31"/>
        <v>8250</v>
      </c>
      <c r="C204" s="4">
        <f>MAX('TANF-VIEW'!L207,'TANF-VIEW'!T207)</f>
        <v>0</v>
      </c>
      <c r="D204" s="4">
        <f>'Total income package'!$D$80</f>
        <v>0</v>
      </c>
      <c r="E204" s="4">
        <f>'Total income package'!$H$61+'Total income package'!$F$66</f>
        <v>250</v>
      </c>
      <c r="F204" s="4">
        <f t="shared" si="32"/>
        <v>8500</v>
      </c>
      <c r="G204" s="181" t="str">
        <f t="shared" si="33"/>
        <v>No</v>
      </c>
      <c r="H204" s="3">
        <f t="shared" si="34"/>
        <v>80</v>
      </c>
      <c r="I204" s="3">
        <f t="shared" si="35"/>
        <v>33.33</v>
      </c>
      <c r="J204" s="3">
        <f t="shared" si="28"/>
        <v>8386.67</v>
      </c>
      <c r="K204" s="3">
        <f t="shared" si="29"/>
        <v>2516.0009999999997</v>
      </c>
      <c r="L204" s="3">
        <f t="shared" si="30"/>
        <v>850</v>
      </c>
      <c r="M204" s="3">
        <v>50</v>
      </c>
      <c r="N204" s="3">
        <f t="shared" si="27"/>
        <v>2516.0009999999997</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204" s="337">
        <f>IF(AND(G204="Yes",'Total income package'!$A$14=TRUE,P204-N204&gt;0),P204-N204,0)</f>
        <v>0</v>
      </c>
    </row>
    <row r="205" spans="1:17" x14ac:dyDescent="0.3">
      <c r="A205" s="182">
        <v>99500</v>
      </c>
      <c r="B205" s="4">
        <f t="shared" si="31"/>
        <v>8291.6666666666661</v>
      </c>
      <c r="C205" s="4">
        <f>MAX('TANF-VIEW'!L208,'TANF-VIEW'!T208)</f>
        <v>0</v>
      </c>
      <c r="D205" s="4">
        <f>'Total income package'!$D$80</f>
        <v>0</v>
      </c>
      <c r="E205" s="4">
        <f>'Total income package'!$H$61+'Total income package'!$F$66</f>
        <v>250</v>
      </c>
      <c r="F205" s="4">
        <f t="shared" si="32"/>
        <v>8541.6666666666661</v>
      </c>
      <c r="G205" s="181" t="str">
        <f t="shared" si="33"/>
        <v>No</v>
      </c>
      <c r="H205" s="3">
        <f t="shared" si="34"/>
        <v>80</v>
      </c>
      <c r="I205" s="3">
        <f t="shared" si="35"/>
        <v>33.33</v>
      </c>
      <c r="J205" s="3">
        <f t="shared" si="28"/>
        <v>8428.3366666666661</v>
      </c>
      <c r="K205" s="3">
        <f t="shared" si="29"/>
        <v>2528.5009999999997</v>
      </c>
      <c r="L205" s="3">
        <f t="shared" si="30"/>
        <v>854.16666666666663</v>
      </c>
      <c r="M205" s="3">
        <v>50</v>
      </c>
      <c r="N205" s="3">
        <f t="shared" si="27"/>
        <v>2528.5009999999997</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205" s="337">
        <f>IF(AND(G205="Yes",'Total income package'!$A$14=TRUE,P205-N205&gt;0),P205-N205,0)</f>
        <v>0</v>
      </c>
    </row>
    <row r="206" spans="1:17" x14ac:dyDescent="0.3">
      <c r="A206" s="182">
        <v>100000</v>
      </c>
      <c r="B206" s="4">
        <f t="shared" si="31"/>
        <v>8333.3333333333339</v>
      </c>
      <c r="C206" s="4">
        <f>MAX('TANF-VIEW'!L209,'TANF-VIEW'!T209)</f>
        <v>0</v>
      </c>
      <c r="D206" s="4">
        <f>'Total income package'!$D$80</f>
        <v>0</v>
      </c>
      <c r="E206" s="4">
        <f>'Total income package'!$H$61+'Total income package'!$F$66</f>
        <v>250</v>
      </c>
      <c r="F206" s="4">
        <f t="shared" si="32"/>
        <v>8583.3333333333339</v>
      </c>
      <c r="G206" s="181" t="str">
        <f t="shared" si="33"/>
        <v>No</v>
      </c>
      <c r="H206" s="3">
        <f t="shared" si="34"/>
        <v>80</v>
      </c>
      <c r="I206" s="3">
        <f t="shared" si="35"/>
        <v>33.33</v>
      </c>
      <c r="J206" s="3">
        <f t="shared" si="28"/>
        <v>8470.003333333334</v>
      </c>
      <c r="K206" s="3">
        <f t="shared" si="29"/>
        <v>2541.0010000000002</v>
      </c>
      <c r="L206" s="3">
        <f t="shared" si="30"/>
        <v>858.33333333333348</v>
      </c>
      <c r="M206" s="3">
        <v>50</v>
      </c>
      <c r="N206" s="3">
        <f t="shared" si="27"/>
        <v>2541.0010000000002</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206" s="337">
        <f>IF(AND(G206="Yes",'Total income package'!$A$14=TRUE,P206-N206&gt;0),P206-N206,0)</f>
        <v>0</v>
      </c>
    </row>
    <row r="207" spans="1:17" x14ac:dyDescent="0.3">
      <c r="C207" s="4"/>
      <c r="D207" s="180"/>
      <c r="E207" s="4"/>
      <c r="F207" s="4"/>
      <c r="G207" s="181"/>
      <c r="H207" s="3"/>
      <c r="I207" s="3"/>
      <c r="J207" s="3"/>
    </row>
    <row r="208" spans="1:17" x14ac:dyDescent="0.3">
      <c r="A208" s="116" t="s">
        <v>302</v>
      </c>
      <c r="C208" s="4"/>
      <c r="D208" s="4"/>
      <c r="E208" s="4"/>
      <c r="F208" s="4"/>
      <c r="G208" s="181"/>
      <c r="H208" s="3"/>
      <c r="I208" s="3"/>
      <c r="J208" s="3"/>
    </row>
    <row r="209" spans="1:17" x14ac:dyDescent="0.3">
      <c r="B209" s="7">
        <f>'Total income package'!B90</f>
        <v>1423</v>
      </c>
      <c r="C209" s="4">
        <f>MAX('TANF-VIEW'!L212,'TANF-VIEW'!T212)</f>
        <v>0</v>
      </c>
      <c r="D209" s="4">
        <f>'Total income package'!$D$80</f>
        <v>0</v>
      </c>
      <c r="E209" s="4">
        <f>'Total income package'!$H$61+'Total income package'!$F$66</f>
        <v>250</v>
      </c>
      <c r="F209" s="4">
        <f t="shared" ref="F209:F211" si="36">B209+C209+D209+E209</f>
        <v>1673</v>
      </c>
      <c r="G209" s="181" t="str">
        <f t="shared" ref="G209:G211" si="37">IF(F209&lt;$L$2,"Yes","No")</f>
        <v>Yes</v>
      </c>
      <c r="H209" s="3">
        <f t="shared" ref="H209:H211" si="38">40*($D$2+$I$2)</f>
        <v>80</v>
      </c>
      <c r="I209" s="3">
        <f t="shared" si="35"/>
        <v>33.33</v>
      </c>
      <c r="J209" s="3">
        <f>IF(F209-H209-I209&lt;0,0,F209-H209-I209)</f>
        <v>1559.67</v>
      </c>
      <c r="K209" s="3">
        <f>J209*0.3</f>
        <v>467.90100000000001</v>
      </c>
      <c r="L209" s="3">
        <f>F209*0.1</f>
        <v>167.3</v>
      </c>
      <c r="M209" s="3">
        <v>50</v>
      </c>
      <c r="N209" s="3">
        <f>MAX(K209:M209)</f>
        <v>467.90100000000001</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209" s="337">
        <f>IF(AND(G209="Yes",'Total income package'!$A$14=TRUE,P209-N209&gt;0),P209-N209,0)</f>
        <v>1026.0989999999999</v>
      </c>
    </row>
    <row r="210" spans="1:17" x14ac:dyDescent="0.3">
      <c r="A210" s="116" t="s">
        <v>303</v>
      </c>
      <c r="C210" s="4" t="s">
        <v>365</v>
      </c>
      <c r="D210" s="4"/>
      <c r="E210" s="4"/>
      <c r="F210" s="4"/>
      <c r="G210" s="181"/>
      <c r="H210" s="3"/>
      <c r="I210" s="3"/>
      <c r="J210" s="3"/>
    </row>
    <row r="211" spans="1:17" x14ac:dyDescent="0.3">
      <c r="B211" s="7">
        <f>'Total income package'!B91</f>
        <v>3000</v>
      </c>
      <c r="C211" s="4">
        <f>MAX('TANF-VIEW'!L214,'TANF-VIEW'!T214)</f>
        <v>0</v>
      </c>
      <c r="D211" s="4">
        <f>'Total income package'!$D$80</f>
        <v>0</v>
      </c>
      <c r="E211" s="4">
        <f>'Total income package'!$H$61+'Total income package'!$F$66</f>
        <v>250</v>
      </c>
      <c r="F211" s="4">
        <f t="shared" si="36"/>
        <v>3250</v>
      </c>
      <c r="G211" s="181" t="str">
        <f t="shared" si="37"/>
        <v>Yes</v>
      </c>
      <c r="H211" s="3">
        <f t="shared" si="38"/>
        <v>80</v>
      </c>
      <c r="I211" s="3">
        <f t="shared" si="35"/>
        <v>33.33</v>
      </c>
      <c r="J211" s="3">
        <f>IF(F211-H211-I211&lt;0,0,F211-H211-I211)</f>
        <v>3136.67</v>
      </c>
      <c r="K211" s="3">
        <f>J211*0.3</f>
        <v>941.00099999999998</v>
      </c>
      <c r="L211" s="3">
        <f>F211*0.1</f>
        <v>325</v>
      </c>
      <c r="M211" s="3">
        <v>50</v>
      </c>
      <c r="N211" s="3">
        <f>MAX(K211:M211)</f>
        <v>941.00099999999998</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1342</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1494</v>
      </c>
      <c r="Q211" s="337">
        <f>IF(AND(G211="Yes",'Total income package'!$A$14=TRUE,P211-N211&gt;0),P211-N211,0)</f>
        <v>552.99900000000002</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4.4" x14ac:dyDescent="0.3"/>
  <cols>
    <col min="1" max="1" width="19.109375" style="107" customWidth="1"/>
    <col min="2" max="2" width="14.88671875" customWidth="1"/>
    <col min="3" max="3" width="19.109375" customWidth="1"/>
    <col min="4" max="4" width="16.5546875" customWidth="1"/>
    <col min="5" max="5" width="20.109375" customWidth="1"/>
    <col min="6" max="6" width="20.33203125" customWidth="1"/>
    <col min="7" max="7" width="18.109375" customWidth="1"/>
    <col min="8" max="8" width="17.6640625" customWidth="1"/>
    <col min="9" max="9" width="16.44140625" customWidth="1"/>
    <col min="10" max="10" width="19.5546875" customWidth="1"/>
    <col min="11" max="11" width="15.6640625" style="7" customWidth="1"/>
    <col min="12" max="12" width="15.5546875" customWidth="1"/>
    <col min="13" max="13" width="13.5546875" customWidth="1"/>
    <col min="14" max="14" width="14.109375" customWidth="1"/>
    <col min="15" max="15" width="10.88671875" bestFit="1" customWidth="1"/>
  </cols>
  <sheetData>
    <row r="1" spans="1:18" s="24" customFormat="1" ht="57.6" x14ac:dyDescent="0.3">
      <c r="A1" s="313" t="s">
        <v>271</v>
      </c>
      <c r="B1" s="102" t="s">
        <v>272</v>
      </c>
      <c r="C1" s="80" t="s">
        <v>304</v>
      </c>
      <c r="D1" s="80" t="s">
        <v>366</v>
      </c>
      <c r="E1" s="80" t="s">
        <v>367</v>
      </c>
      <c r="F1" s="198" t="s">
        <v>305</v>
      </c>
      <c r="G1" s="80" t="s">
        <v>368</v>
      </c>
      <c r="H1" s="109" t="s">
        <v>369</v>
      </c>
      <c r="I1" s="109" t="s">
        <v>370</v>
      </c>
      <c r="J1" s="109" t="s">
        <v>371</v>
      </c>
      <c r="K1" s="109" t="s">
        <v>372</v>
      </c>
      <c r="L1" s="109" t="s">
        <v>373</v>
      </c>
      <c r="M1" s="80" t="s">
        <v>719</v>
      </c>
      <c r="P1" s="313" t="s">
        <v>374</v>
      </c>
      <c r="Q1" s="134"/>
      <c r="R1" t="s">
        <v>375</v>
      </c>
    </row>
    <row r="2" spans="1:18" x14ac:dyDescent="0.3">
      <c r="A2" s="127" t="str">
        <f>'Total income package'!B3</f>
        <v xml:space="preserve">Buckingham </v>
      </c>
      <c r="B2" s="77">
        <f>'Total income package'!B32</f>
        <v>5</v>
      </c>
      <c r="C2" s="77">
        <f>'Total income package'!B30</f>
        <v>3</v>
      </c>
      <c r="D2" s="77">
        <f>COUNTIF('Total income package'!B37:B44,"&gt;64")</f>
        <v>1</v>
      </c>
      <c r="E2" s="77">
        <f>'Total income package'!F61</f>
        <v>1</v>
      </c>
      <c r="F2" s="77">
        <f>'Total income package'!B31</f>
        <v>2</v>
      </c>
      <c r="G2" s="77">
        <f>'Total income package'!D66</f>
        <v>1</v>
      </c>
      <c r="H2" s="127">
        <f>VLOOKUP(Medicaid!B2,'Program specific data'!A5:J13,7,FALSE)</f>
        <v>162</v>
      </c>
      <c r="I2" s="155">
        <f>IF(A3=1,VLOOKUP(B2,'Program specific data'!A124:D131,2),IF(A3=2,VLOOKUP(B2,'Program specific data'!A124:D131,3),VLOOKUP(B2,'Program specific data'!A124:D131,4)))</f>
        <v>896</v>
      </c>
      <c r="J2" s="155">
        <f>VLOOKUP(B2,'Program specific data'!A5:N13,6,FALSE)</f>
        <v>4288</v>
      </c>
      <c r="K2" s="151">
        <f>VLOOKUP(B2,'Program specific data'!A5:M13,11,FALSE)</f>
        <v>4610</v>
      </c>
      <c r="L2" s="155">
        <f>VLOOKUP(B2,'Program specific data'!A5:N13,13,FALSE)</f>
        <v>6275</v>
      </c>
      <c r="M2" s="78">
        <f>C2*'Program specific data'!C148</f>
        <v>1551.75</v>
      </c>
      <c r="P2" s="127">
        <f>F2*'Program specific data'!C152</f>
        <v>637</v>
      </c>
      <c r="Q2" s="1"/>
      <c r="R2" t="s">
        <v>376</v>
      </c>
    </row>
    <row r="3" spans="1:18" ht="43.2" x14ac:dyDescent="0.3">
      <c r="A3" s="148">
        <f>VLOOKUP('Total income package'!B3,'Location specific data'!A3:AL135,38,FALSE)</f>
        <v>1</v>
      </c>
      <c r="D3" s="80" t="s">
        <v>377</v>
      </c>
      <c r="E3" s="80" t="s">
        <v>378</v>
      </c>
      <c r="J3" s="148"/>
      <c r="K3"/>
      <c r="N3" s="7"/>
      <c r="Q3" s="1"/>
    </row>
    <row r="4" spans="1:18" x14ac:dyDescent="0.3">
      <c r="D4" s="77">
        <f>C2-D2</f>
        <v>2</v>
      </c>
      <c r="E4" s="77">
        <f>C2-E2</f>
        <v>2</v>
      </c>
      <c r="K4"/>
      <c r="N4" s="7"/>
      <c r="Q4" s="1"/>
    </row>
    <row r="5" spans="1:18" ht="43.2" x14ac:dyDescent="0.3">
      <c r="D5" s="80" t="s">
        <v>724</v>
      </c>
      <c r="K5"/>
      <c r="L5" s="7"/>
      <c r="O5" s="1"/>
    </row>
    <row r="6" spans="1:18" x14ac:dyDescent="0.3">
      <c r="N6" s="1"/>
    </row>
    <row r="7" spans="1:18" x14ac:dyDescent="0.3">
      <c r="N7" s="1"/>
    </row>
    <row r="8" spans="1:18" s="201" customFormat="1" ht="75" customHeight="1" x14ac:dyDescent="0.3">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3">
      <c r="A9" s="105">
        <v>0</v>
      </c>
      <c r="B9" s="4">
        <f t="shared" ref="B9:B74" si="0">A9/12</f>
        <v>0</v>
      </c>
      <c r="C9" s="4">
        <f>'Total income package'!$D$80</f>
        <v>0</v>
      </c>
      <c r="D9" s="4">
        <f>B9+C9</f>
        <v>0</v>
      </c>
      <c r="E9" s="4">
        <f>IF(D9-$H$2&lt;0,0,D9-$H$2)</f>
        <v>0</v>
      </c>
      <c r="F9" t="str">
        <f>IF(E9&lt;$I$2,"Yes","No")</f>
        <v>Yes</v>
      </c>
      <c r="G9" t="str">
        <f>IF(E9&lt;$J$2,"Yes","No")</f>
        <v>Yes</v>
      </c>
      <c r="I9" t="str">
        <f>IF($E$2&gt;0,"Yes","No")</f>
        <v>Yes</v>
      </c>
      <c r="J9" t="str">
        <f t="shared" ref="J9:J72" si="1">IF(E9&lt;$K$2,"Yes","No")</f>
        <v>Yes</v>
      </c>
      <c r="K9" t="str">
        <f t="shared" ref="K9:K72" si="2">IF(E9&lt;$L$2,"Yes","No")</f>
        <v>Yes</v>
      </c>
      <c r="L9" s="203">
        <f>IF(AND('Total income package'!$A$16=TRUE,E9&lt;$J$2),$M$2,0)</f>
        <v>1551.75</v>
      </c>
      <c r="M9" s="179">
        <f>IF(AND('Total income package'!$A$16=TRUE,E9&lt;$L$2),$P$2,0)</f>
        <v>637</v>
      </c>
      <c r="N9" s="204">
        <f>L9+M9</f>
        <v>2188.75</v>
      </c>
    </row>
    <row r="10" spans="1:18" ht="15" customHeight="1" x14ac:dyDescent="0.3">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Yes</v>
      </c>
      <c r="J10" t="str">
        <f t="shared" si="1"/>
        <v>Yes</v>
      </c>
      <c r="K10" t="str">
        <f t="shared" si="2"/>
        <v>Yes</v>
      </c>
      <c r="L10" s="203">
        <f>IF(AND('Total income package'!$A$16=TRUE,E10&lt;$J$2),$M$2,0)</f>
        <v>1551.75</v>
      </c>
      <c r="M10" s="179">
        <f>IF(AND('Total income package'!$A$16=TRUE,E10&lt;$L$2),$P$2,0)</f>
        <v>637</v>
      </c>
      <c r="N10" s="204">
        <f t="shared" ref="N10:N73" si="8">L10+M10</f>
        <v>2188.75</v>
      </c>
    </row>
    <row r="11" spans="1:18" ht="15" customHeight="1" x14ac:dyDescent="0.3">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Yes</v>
      </c>
      <c r="J11" t="str">
        <f t="shared" si="1"/>
        <v>Yes</v>
      </c>
      <c r="K11" t="str">
        <f t="shared" si="2"/>
        <v>Yes</v>
      </c>
      <c r="L11" s="203">
        <f>IF(AND('Total income package'!$A$16=TRUE,E11&lt;$J$2),$M$2,0)</f>
        <v>1551.75</v>
      </c>
      <c r="M11" s="179">
        <f>IF(AND('Total income package'!$A$16=TRUE,E11&lt;$L$2),$P$2,0)</f>
        <v>637</v>
      </c>
      <c r="N11" s="204">
        <f t="shared" si="8"/>
        <v>2188.75</v>
      </c>
    </row>
    <row r="12" spans="1:18" x14ac:dyDescent="0.3">
      <c r="A12" s="105">
        <v>1500</v>
      </c>
      <c r="B12" s="4">
        <f t="shared" si="0"/>
        <v>125</v>
      </c>
      <c r="C12" s="4">
        <f>'Total income package'!$D$80</f>
        <v>0</v>
      </c>
      <c r="D12" s="4">
        <f t="shared" si="3"/>
        <v>125</v>
      </c>
      <c r="E12" s="4">
        <f>IF(D12-$H$2&lt;0,0,D12-$H$2)</f>
        <v>0</v>
      </c>
      <c r="F12" t="str">
        <f t="shared" si="5"/>
        <v>Yes</v>
      </c>
      <c r="G12" t="str">
        <f t="shared" si="6"/>
        <v>Yes</v>
      </c>
      <c r="I12" t="str">
        <f t="shared" si="7"/>
        <v>Yes</v>
      </c>
      <c r="J12" t="str">
        <f t="shared" si="1"/>
        <v>Yes</v>
      </c>
      <c r="K12" t="str">
        <f t="shared" si="2"/>
        <v>Yes</v>
      </c>
      <c r="L12" s="203">
        <f>IF(AND('Total income package'!$A$16=TRUE,E12&lt;$J$2),$M$2,0)</f>
        <v>1551.75</v>
      </c>
      <c r="M12" s="179">
        <f>IF(AND('Total income package'!$A$16=TRUE,E12&lt;$L$2),$P$2,0)</f>
        <v>637</v>
      </c>
      <c r="N12" s="204">
        <f t="shared" si="8"/>
        <v>2188.75</v>
      </c>
    </row>
    <row r="13" spans="1:18" x14ac:dyDescent="0.3">
      <c r="A13" s="105">
        <v>2000</v>
      </c>
      <c r="B13" s="4">
        <f t="shared" si="0"/>
        <v>166.66666666666666</v>
      </c>
      <c r="C13" s="4">
        <f>'Total income package'!$D$80</f>
        <v>0</v>
      </c>
      <c r="D13" s="4">
        <f t="shared" si="3"/>
        <v>166.66666666666666</v>
      </c>
      <c r="E13" s="4">
        <f t="shared" si="4"/>
        <v>4.6666666666666572</v>
      </c>
      <c r="F13" t="str">
        <f t="shared" si="5"/>
        <v>Yes</v>
      </c>
      <c r="G13" t="str">
        <f t="shared" si="6"/>
        <v>Yes</v>
      </c>
      <c r="I13" t="str">
        <f t="shared" si="7"/>
        <v>Yes</v>
      </c>
      <c r="J13" t="str">
        <f t="shared" si="1"/>
        <v>Yes</v>
      </c>
      <c r="K13" t="str">
        <f t="shared" si="2"/>
        <v>Yes</v>
      </c>
      <c r="L13" s="203">
        <f>IF(AND('Total income package'!$A$16=TRUE,E13&lt;$J$2),$M$2,0)</f>
        <v>1551.75</v>
      </c>
      <c r="M13" s="179">
        <f>IF(AND('Total income package'!$A$16=TRUE,E13&lt;$L$2),$P$2,0)</f>
        <v>637</v>
      </c>
      <c r="N13" s="204">
        <f t="shared" si="8"/>
        <v>2188.75</v>
      </c>
    </row>
    <row r="14" spans="1:18" x14ac:dyDescent="0.3">
      <c r="A14" s="105">
        <v>2500</v>
      </c>
      <c r="B14" s="4">
        <f t="shared" si="0"/>
        <v>208.33333333333334</v>
      </c>
      <c r="C14" s="4">
        <f>'Total income package'!$D$80</f>
        <v>0</v>
      </c>
      <c r="D14" s="4">
        <f t="shared" si="3"/>
        <v>208.33333333333334</v>
      </c>
      <c r="E14" s="4">
        <f t="shared" si="4"/>
        <v>46.333333333333343</v>
      </c>
      <c r="F14" t="str">
        <f t="shared" si="5"/>
        <v>Yes</v>
      </c>
      <c r="G14" t="str">
        <f t="shared" si="6"/>
        <v>Yes</v>
      </c>
      <c r="I14" t="str">
        <f t="shared" si="7"/>
        <v>Yes</v>
      </c>
      <c r="J14" t="str">
        <f t="shared" si="1"/>
        <v>Yes</v>
      </c>
      <c r="K14" t="str">
        <f t="shared" si="2"/>
        <v>Yes</v>
      </c>
      <c r="L14" s="203">
        <f>IF(AND('Total income package'!$A$16=TRUE,E14&lt;$J$2),$M$2,0)</f>
        <v>1551.75</v>
      </c>
      <c r="M14" s="179">
        <f>IF(AND('Total income package'!$A$16=TRUE,E14&lt;$L$2),$P$2,0)</f>
        <v>637</v>
      </c>
      <c r="N14" s="204">
        <f t="shared" si="8"/>
        <v>2188.75</v>
      </c>
    </row>
    <row r="15" spans="1:18" x14ac:dyDescent="0.3">
      <c r="A15" s="105">
        <v>3000</v>
      </c>
      <c r="B15" s="4">
        <f t="shared" si="0"/>
        <v>250</v>
      </c>
      <c r="C15" s="4">
        <f>'Total income package'!$D$80</f>
        <v>0</v>
      </c>
      <c r="D15" s="4">
        <f t="shared" si="3"/>
        <v>250</v>
      </c>
      <c r="E15" s="4">
        <f t="shared" si="4"/>
        <v>88</v>
      </c>
      <c r="F15" t="str">
        <f t="shared" si="5"/>
        <v>Yes</v>
      </c>
      <c r="G15" t="str">
        <f t="shared" si="6"/>
        <v>Yes</v>
      </c>
      <c r="I15" t="str">
        <f t="shared" si="7"/>
        <v>Yes</v>
      </c>
      <c r="J15" t="str">
        <f t="shared" si="1"/>
        <v>Yes</v>
      </c>
      <c r="K15" t="str">
        <f t="shared" si="2"/>
        <v>Yes</v>
      </c>
      <c r="L15" s="203">
        <f>IF(AND('Total income package'!$A$16=TRUE,E15&lt;$J$2),$M$2,0)</f>
        <v>1551.75</v>
      </c>
      <c r="M15" s="179">
        <f>IF(AND('Total income package'!$A$16=TRUE,E15&lt;$L$2),$P$2,0)</f>
        <v>637</v>
      </c>
      <c r="N15" s="204">
        <f t="shared" si="8"/>
        <v>2188.75</v>
      </c>
    </row>
    <row r="16" spans="1:18" x14ac:dyDescent="0.3">
      <c r="A16" s="105">
        <v>3500</v>
      </c>
      <c r="B16" s="4">
        <f t="shared" si="0"/>
        <v>291.66666666666669</v>
      </c>
      <c r="C16" s="4">
        <f>'Total income package'!$D$80</f>
        <v>0</v>
      </c>
      <c r="D16" s="4">
        <f t="shared" si="3"/>
        <v>291.66666666666669</v>
      </c>
      <c r="E16" s="4">
        <f t="shared" si="4"/>
        <v>129.66666666666669</v>
      </c>
      <c r="F16" t="str">
        <f t="shared" si="5"/>
        <v>Yes</v>
      </c>
      <c r="G16" t="str">
        <f t="shared" si="6"/>
        <v>Yes</v>
      </c>
      <c r="I16" t="str">
        <f t="shared" si="7"/>
        <v>Yes</v>
      </c>
      <c r="J16" t="str">
        <f t="shared" si="1"/>
        <v>Yes</v>
      </c>
      <c r="K16" t="str">
        <f t="shared" si="2"/>
        <v>Yes</v>
      </c>
      <c r="L16" s="203">
        <f>IF(AND('Total income package'!$A$16=TRUE,E16&lt;$J$2),$M$2,0)</f>
        <v>1551.75</v>
      </c>
      <c r="M16" s="179">
        <f>IF(AND('Total income package'!$A$16=TRUE,E16&lt;$L$2),$P$2,0)</f>
        <v>637</v>
      </c>
      <c r="N16" s="204">
        <f t="shared" si="8"/>
        <v>2188.75</v>
      </c>
    </row>
    <row r="17" spans="1:14" x14ac:dyDescent="0.3">
      <c r="A17" s="105">
        <v>4000</v>
      </c>
      <c r="B17" s="4">
        <f t="shared" si="0"/>
        <v>333.33333333333331</v>
      </c>
      <c r="C17" s="4">
        <f>'Total income package'!$D$80</f>
        <v>0</v>
      </c>
      <c r="D17" s="4">
        <f t="shared" si="3"/>
        <v>333.33333333333331</v>
      </c>
      <c r="E17" s="4">
        <f t="shared" si="4"/>
        <v>171.33333333333331</v>
      </c>
      <c r="F17" t="str">
        <f t="shared" si="5"/>
        <v>Yes</v>
      </c>
      <c r="G17" t="str">
        <f t="shared" si="6"/>
        <v>Yes</v>
      </c>
      <c r="I17" t="str">
        <f t="shared" si="7"/>
        <v>Yes</v>
      </c>
      <c r="J17" t="str">
        <f t="shared" si="1"/>
        <v>Yes</v>
      </c>
      <c r="K17" t="str">
        <f t="shared" si="2"/>
        <v>Yes</v>
      </c>
      <c r="L17" s="203">
        <f>IF(AND('Total income package'!$A$16=TRUE,E17&lt;$J$2),$M$2,0)</f>
        <v>1551.75</v>
      </c>
      <c r="M17" s="179">
        <f>IF(AND('Total income package'!$A$16=TRUE,E17&lt;$L$2),$P$2,0)</f>
        <v>637</v>
      </c>
      <c r="N17" s="204">
        <f t="shared" si="8"/>
        <v>2188.75</v>
      </c>
    </row>
    <row r="18" spans="1:14" x14ac:dyDescent="0.3">
      <c r="A18" s="105">
        <v>4500</v>
      </c>
      <c r="B18" s="4">
        <f t="shared" si="0"/>
        <v>375</v>
      </c>
      <c r="C18" s="4">
        <f>'Total income package'!$D$80</f>
        <v>0</v>
      </c>
      <c r="D18" s="4">
        <f t="shared" si="3"/>
        <v>375</v>
      </c>
      <c r="E18" s="4">
        <f t="shared" si="4"/>
        <v>213</v>
      </c>
      <c r="F18" t="str">
        <f t="shared" si="5"/>
        <v>Yes</v>
      </c>
      <c r="G18" t="str">
        <f t="shared" si="6"/>
        <v>Yes</v>
      </c>
      <c r="I18" t="str">
        <f t="shared" si="7"/>
        <v>Yes</v>
      </c>
      <c r="J18" t="str">
        <f t="shared" si="1"/>
        <v>Yes</v>
      </c>
      <c r="K18" t="str">
        <f t="shared" si="2"/>
        <v>Yes</v>
      </c>
      <c r="L18" s="203">
        <f>IF(AND('Total income package'!$A$16=TRUE,E18&lt;$J$2),$M$2,0)</f>
        <v>1551.75</v>
      </c>
      <c r="M18" s="179">
        <f>IF(AND('Total income package'!$A$16=TRUE,E18&lt;$L$2),$P$2,0)</f>
        <v>637</v>
      </c>
      <c r="N18" s="204">
        <f t="shared" si="8"/>
        <v>2188.75</v>
      </c>
    </row>
    <row r="19" spans="1:14" x14ac:dyDescent="0.3">
      <c r="A19" s="105">
        <v>5000</v>
      </c>
      <c r="B19" s="4">
        <f t="shared" si="0"/>
        <v>416.66666666666669</v>
      </c>
      <c r="C19" s="4">
        <f>'Total income package'!$D$80</f>
        <v>0</v>
      </c>
      <c r="D19" s="4">
        <f t="shared" si="3"/>
        <v>416.66666666666669</v>
      </c>
      <c r="E19" s="4">
        <f t="shared" si="4"/>
        <v>254.66666666666669</v>
      </c>
      <c r="F19" t="str">
        <f t="shared" si="5"/>
        <v>Yes</v>
      </c>
      <c r="G19" t="str">
        <f t="shared" si="6"/>
        <v>Yes</v>
      </c>
      <c r="I19" t="str">
        <f t="shared" si="7"/>
        <v>Yes</v>
      </c>
      <c r="J19" t="str">
        <f t="shared" si="1"/>
        <v>Yes</v>
      </c>
      <c r="K19" t="str">
        <f t="shared" si="2"/>
        <v>Yes</v>
      </c>
      <c r="L19" s="203">
        <f>IF(AND('Total income package'!$A$16=TRUE,E19&lt;$J$2),$M$2,0)</f>
        <v>1551.75</v>
      </c>
      <c r="M19" s="179">
        <f>IF(AND('Total income package'!$A$16=TRUE,E19&lt;$L$2),$P$2,0)</f>
        <v>637</v>
      </c>
      <c r="N19" s="204">
        <f t="shared" si="8"/>
        <v>2188.75</v>
      </c>
    </row>
    <row r="20" spans="1:14" x14ac:dyDescent="0.3">
      <c r="A20" s="105">
        <v>5500</v>
      </c>
      <c r="B20" s="4">
        <f t="shared" si="0"/>
        <v>458.33333333333331</v>
      </c>
      <c r="C20" s="4">
        <f>'Total income package'!$D$80</f>
        <v>0</v>
      </c>
      <c r="D20" s="4">
        <f t="shared" si="3"/>
        <v>458.33333333333331</v>
      </c>
      <c r="E20" s="4">
        <f t="shared" si="4"/>
        <v>296.33333333333331</v>
      </c>
      <c r="F20" t="str">
        <f t="shared" si="5"/>
        <v>Yes</v>
      </c>
      <c r="G20" t="str">
        <f t="shared" si="6"/>
        <v>Yes</v>
      </c>
      <c r="I20" t="str">
        <f t="shared" si="7"/>
        <v>Yes</v>
      </c>
      <c r="J20" t="str">
        <f t="shared" si="1"/>
        <v>Yes</v>
      </c>
      <c r="K20" t="str">
        <f t="shared" si="2"/>
        <v>Yes</v>
      </c>
      <c r="L20" s="203">
        <f>IF(AND('Total income package'!$A$16=TRUE,E20&lt;$J$2),$M$2,0)</f>
        <v>1551.75</v>
      </c>
      <c r="M20" s="179">
        <f>IF(AND('Total income package'!$A$16=TRUE,E20&lt;$L$2),$P$2,0)</f>
        <v>637</v>
      </c>
      <c r="N20" s="204">
        <f t="shared" si="8"/>
        <v>2188.75</v>
      </c>
    </row>
    <row r="21" spans="1:14" x14ac:dyDescent="0.3">
      <c r="A21" s="105">
        <v>6000</v>
      </c>
      <c r="B21" s="4">
        <f t="shared" si="0"/>
        <v>500</v>
      </c>
      <c r="C21" s="4">
        <f>'Total income package'!$D$80</f>
        <v>0</v>
      </c>
      <c r="D21" s="4">
        <f t="shared" si="3"/>
        <v>500</v>
      </c>
      <c r="E21" s="4">
        <f t="shared" si="4"/>
        <v>338</v>
      </c>
      <c r="F21" t="str">
        <f t="shared" si="5"/>
        <v>Yes</v>
      </c>
      <c r="G21" t="str">
        <f t="shared" si="6"/>
        <v>Yes</v>
      </c>
      <c r="I21" t="str">
        <f t="shared" si="7"/>
        <v>Yes</v>
      </c>
      <c r="J21" t="str">
        <f t="shared" si="1"/>
        <v>Yes</v>
      </c>
      <c r="K21" t="str">
        <f t="shared" si="2"/>
        <v>Yes</v>
      </c>
      <c r="L21" s="203">
        <f>IF(AND('Total income package'!$A$16=TRUE,E21&lt;$J$2),$M$2,0)</f>
        <v>1551.75</v>
      </c>
      <c r="M21" s="179">
        <f>IF(AND('Total income package'!$A$16=TRUE,E21&lt;$L$2),$P$2,0)</f>
        <v>637</v>
      </c>
      <c r="N21" s="204">
        <f t="shared" si="8"/>
        <v>2188.75</v>
      </c>
    </row>
    <row r="22" spans="1:14" x14ac:dyDescent="0.3">
      <c r="A22" s="105">
        <v>6500</v>
      </c>
      <c r="B22" s="4">
        <f t="shared" si="0"/>
        <v>541.66666666666663</v>
      </c>
      <c r="C22" s="4">
        <f>'Total income package'!$D$80</f>
        <v>0</v>
      </c>
      <c r="D22" s="4">
        <f t="shared" si="3"/>
        <v>541.66666666666663</v>
      </c>
      <c r="E22" s="4">
        <f t="shared" si="4"/>
        <v>379.66666666666663</v>
      </c>
      <c r="F22" t="str">
        <f t="shared" si="5"/>
        <v>Yes</v>
      </c>
      <c r="G22" t="str">
        <f t="shared" si="6"/>
        <v>Yes</v>
      </c>
      <c r="I22" t="str">
        <f t="shared" si="7"/>
        <v>Yes</v>
      </c>
      <c r="J22" t="str">
        <f t="shared" si="1"/>
        <v>Yes</v>
      </c>
      <c r="K22" t="str">
        <f t="shared" si="2"/>
        <v>Yes</v>
      </c>
      <c r="L22" s="203">
        <f>IF(AND('Total income package'!$A$16=TRUE,E22&lt;$J$2),$M$2,0)</f>
        <v>1551.75</v>
      </c>
      <c r="M22" s="179">
        <f>IF(AND('Total income package'!$A$16=TRUE,E22&lt;$L$2),$P$2,0)</f>
        <v>637</v>
      </c>
      <c r="N22" s="204">
        <f t="shared" si="8"/>
        <v>2188.75</v>
      </c>
    </row>
    <row r="23" spans="1:14" x14ac:dyDescent="0.3">
      <c r="A23" s="105">
        <v>7000</v>
      </c>
      <c r="B23" s="4">
        <f t="shared" si="0"/>
        <v>583.33333333333337</v>
      </c>
      <c r="C23" s="4">
        <f>'Total income package'!$D$80</f>
        <v>0</v>
      </c>
      <c r="D23" s="4">
        <f t="shared" si="3"/>
        <v>583.33333333333337</v>
      </c>
      <c r="E23" s="4">
        <f t="shared" si="4"/>
        <v>421.33333333333337</v>
      </c>
      <c r="F23" t="str">
        <f t="shared" si="5"/>
        <v>Yes</v>
      </c>
      <c r="G23" t="str">
        <f t="shared" si="6"/>
        <v>Yes</v>
      </c>
      <c r="I23" t="str">
        <f t="shared" si="7"/>
        <v>Yes</v>
      </c>
      <c r="J23" t="str">
        <f t="shared" si="1"/>
        <v>Yes</v>
      </c>
      <c r="K23" t="str">
        <f t="shared" si="2"/>
        <v>Yes</v>
      </c>
      <c r="L23" s="203">
        <f>IF(AND('Total income package'!$A$16=TRUE,E23&lt;$J$2),$M$2,0)</f>
        <v>1551.75</v>
      </c>
      <c r="M23" s="179">
        <f>IF(AND('Total income package'!$A$16=TRUE,E23&lt;$L$2),$P$2,0)</f>
        <v>637</v>
      </c>
      <c r="N23" s="204">
        <f t="shared" si="8"/>
        <v>2188.75</v>
      </c>
    </row>
    <row r="24" spans="1:14" x14ac:dyDescent="0.3">
      <c r="A24" s="105">
        <v>7500</v>
      </c>
      <c r="B24" s="4">
        <f t="shared" si="0"/>
        <v>625</v>
      </c>
      <c r="C24" s="4">
        <f>'Total income package'!$D$80</f>
        <v>0</v>
      </c>
      <c r="D24" s="4">
        <f t="shared" si="3"/>
        <v>625</v>
      </c>
      <c r="E24" s="4">
        <f t="shared" si="4"/>
        <v>463</v>
      </c>
      <c r="F24" t="str">
        <f t="shared" si="5"/>
        <v>Yes</v>
      </c>
      <c r="G24" t="str">
        <f t="shared" si="6"/>
        <v>Yes</v>
      </c>
      <c r="I24" t="str">
        <f t="shared" si="7"/>
        <v>Yes</v>
      </c>
      <c r="J24" t="str">
        <f t="shared" si="1"/>
        <v>Yes</v>
      </c>
      <c r="K24" t="str">
        <f t="shared" si="2"/>
        <v>Yes</v>
      </c>
      <c r="L24" s="203">
        <f>IF(AND('Total income package'!$A$16=TRUE,E24&lt;$J$2),$M$2,0)</f>
        <v>1551.75</v>
      </c>
      <c r="M24" s="179">
        <f>IF(AND('Total income package'!$A$16=TRUE,E24&lt;$L$2),$P$2,0)</f>
        <v>637</v>
      </c>
      <c r="N24" s="204">
        <f t="shared" si="8"/>
        <v>2188.75</v>
      </c>
    </row>
    <row r="25" spans="1:14" x14ac:dyDescent="0.3">
      <c r="A25" s="105">
        <v>8000</v>
      </c>
      <c r="B25" s="4">
        <f t="shared" si="0"/>
        <v>666.66666666666663</v>
      </c>
      <c r="C25" s="4">
        <f>'Total income package'!$D$80</f>
        <v>0</v>
      </c>
      <c r="D25" s="4">
        <f t="shared" si="3"/>
        <v>666.66666666666663</v>
      </c>
      <c r="E25" s="4">
        <f t="shared" si="4"/>
        <v>504.66666666666663</v>
      </c>
      <c r="F25" t="str">
        <f t="shared" si="5"/>
        <v>Yes</v>
      </c>
      <c r="G25" t="str">
        <f t="shared" si="6"/>
        <v>Yes</v>
      </c>
      <c r="I25" t="str">
        <f t="shared" si="7"/>
        <v>Yes</v>
      </c>
      <c r="J25" t="str">
        <f t="shared" si="1"/>
        <v>Yes</v>
      </c>
      <c r="K25" t="str">
        <f t="shared" si="2"/>
        <v>Yes</v>
      </c>
      <c r="L25" s="203">
        <f>IF(AND('Total income package'!$A$16=TRUE,E25&lt;$J$2),$M$2,0)</f>
        <v>1551.75</v>
      </c>
      <c r="M25" s="179">
        <f>IF(AND('Total income package'!$A$16=TRUE,E25&lt;$L$2),$P$2,0)</f>
        <v>637</v>
      </c>
      <c r="N25" s="204">
        <f t="shared" si="8"/>
        <v>2188.75</v>
      </c>
    </row>
    <row r="26" spans="1:14" x14ac:dyDescent="0.3">
      <c r="A26" s="105">
        <v>8500</v>
      </c>
      <c r="B26" s="4">
        <f t="shared" si="0"/>
        <v>708.33333333333337</v>
      </c>
      <c r="C26" s="4">
        <f>'Total income package'!$D$80</f>
        <v>0</v>
      </c>
      <c r="D26" s="4">
        <f t="shared" si="3"/>
        <v>708.33333333333337</v>
      </c>
      <c r="E26" s="4">
        <f t="shared" si="4"/>
        <v>546.33333333333337</v>
      </c>
      <c r="F26" t="str">
        <f t="shared" si="5"/>
        <v>Yes</v>
      </c>
      <c r="G26" t="str">
        <f t="shared" si="6"/>
        <v>Yes</v>
      </c>
      <c r="I26" t="str">
        <f t="shared" si="7"/>
        <v>Yes</v>
      </c>
      <c r="J26" t="str">
        <f t="shared" si="1"/>
        <v>Yes</v>
      </c>
      <c r="K26" t="str">
        <f t="shared" si="2"/>
        <v>Yes</v>
      </c>
      <c r="L26" s="203">
        <f>IF(AND('Total income package'!$A$16=TRUE,E26&lt;$J$2),$M$2,0)</f>
        <v>1551.75</v>
      </c>
      <c r="M26" s="179">
        <f>IF(AND('Total income package'!$A$16=TRUE,E26&lt;$L$2),$P$2,0)</f>
        <v>637</v>
      </c>
      <c r="N26" s="204">
        <f t="shared" si="8"/>
        <v>2188.75</v>
      </c>
    </row>
    <row r="27" spans="1:14" x14ac:dyDescent="0.3">
      <c r="A27" s="105">
        <v>9000</v>
      </c>
      <c r="B27" s="4">
        <f t="shared" si="0"/>
        <v>750</v>
      </c>
      <c r="C27" s="4">
        <f>'Total income package'!$D$80</f>
        <v>0</v>
      </c>
      <c r="D27" s="4">
        <f t="shared" si="3"/>
        <v>750</v>
      </c>
      <c r="E27" s="4">
        <f t="shared" si="4"/>
        <v>588</v>
      </c>
      <c r="F27" t="str">
        <f t="shared" si="5"/>
        <v>Yes</v>
      </c>
      <c r="G27" t="str">
        <f t="shared" si="6"/>
        <v>Yes</v>
      </c>
      <c r="I27" t="str">
        <f t="shared" si="7"/>
        <v>Yes</v>
      </c>
      <c r="J27" t="str">
        <f t="shared" si="1"/>
        <v>Yes</v>
      </c>
      <c r="K27" t="str">
        <f t="shared" si="2"/>
        <v>Yes</v>
      </c>
      <c r="L27" s="203">
        <f>IF(AND('Total income package'!$A$16=TRUE,E27&lt;$J$2),$M$2,0)</f>
        <v>1551.75</v>
      </c>
      <c r="M27" s="179">
        <f>IF(AND('Total income package'!$A$16=TRUE,E27&lt;$L$2),$P$2,0)</f>
        <v>637</v>
      </c>
      <c r="N27" s="204">
        <f t="shared" si="8"/>
        <v>2188.75</v>
      </c>
    </row>
    <row r="28" spans="1:14" x14ac:dyDescent="0.3">
      <c r="A28" s="105">
        <v>9500</v>
      </c>
      <c r="B28" s="4">
        <f t="shared" si="0"/>
        <v>791.66666666666663</v>
      </c>
      <c r="C28" s="4">
        <f>'Total income package'!$D$80</f>
        <v>0</v>
      </c>
      <c r="D28" s="4">
        <f t="shared" si="3"/>
        <v>791.66666666666663</v>
      </c>
      <c r="E28" s="4">
        <f t="shared" si="4"/>
        <v>629.66666666666663</v>
      </c>
      <c r="F28" t="str">
        <f t="shared" si="5"/>
        <v>Yes</v>
      </c>
      <c r="G28" t="str">
        <f t="shared" si="6"/>
        <v>Yes</v>
      </c>
      <c r="I28" t="str">
        <f t="shared" si="7"/>
        <v>Yes</v>
      </c>
      <c r="J28" t="str">
        <f t="shared" si="1"/>
        <v>Yes</v>
      </c>
      <c r="K28" t="str">
        <f t="shared" si="2"/>
        <v>Yes</v>
      </c>
      <c r="L28" s="203">
        <f>IF(AND('Total income package'!$A$16=TRUE,E28&lt;$J$2),$M$2,0)</f>
        <v>1551.75</v>
      </c>
      <c r="M28" s="179">
        <f>IF(AND('Total income package'!$A$16=TRUE,E28&lt;$L$2),$P$2,0)</f>
        <v>637</v>
      </c>
      <c r="N28" s="204">
        <f t="shared" si="8"/>
        <v>2188.75</v>
      </c>
    </row>
    <row r="29" spans="1:14" x14ac:dyDescent="0.3">
      <c r="A29" s="105">
        <v>10000</v>
      </c>
      <c r="B29" s="4">
        <f t="shared" si="0"/>
        <v>833.33333333333337</v>
      </c>
      <c r="C29" s="4">
        <f>'Total income package'!$D$80</f>
        <v>0</v>
      </c>
      <c r="D29" s="4">
        <f t="shared" si="3"/>
        <v>833.33333333333337</v>
      </c>
      <c r="E29" s="4">
        <f t="shared" si="4"/>
        <v>671.33333333333337</v>
      </c>
      <c r="F29" t="str">
        <f t="shared" si="5"/>
        <v>Yes</v>
      </c>
      <c r="G29" t="str">
        <f t="shared" si="6"/>
        <v>Yes</v>
      </c>
      <c r="I29" t="str">
        <f t="shared" si="7"/>
        <v>Yes</v>
      </c>
      <c r="J29" t="str">
        <f t="shared" si="1"/>
        <v>Yes</v>
      </c>
      <c r="K29" t="str">
        <f t="shared" si="2"/>
        <v>Yes</v>
      </c>
      <c r="L29" s="203">
        <f>IF(AND('Total income package'!$A$16=TRUE,E29&lt;$J$2),$M$2,0)</f>
        <v>1551.75</v>
      </c>
      <c r="M29" s="179">
        <f>IF(AND('Total income package'!$A$16=TRUE,E29&lt;$L$2),$P$2,0)</f>
        <v>637</v>
      </c>
      <c r="N29" s="204">
        <f t="shared" si="8"/>
        <v>2188.75</v>
      </c>
    </row>
    <row r="30" spans="1:14" x14ac:dyDescent="0.3">
      <c r="A30" s="105">
        <v>10500</v>
      </c>
      <c r="B30" s="4">
        <f t="shared" si="0"/>
        <v>875</v>
      </c>
      <c r="C30" s="4">
        <f>'Total income package'!$D$80</f>
        <v>0</v>
      </c>
      <c r="D30" s="4">
        <f t="shared" si="3"/>
        <v>875</v>
      </c>
      <c r="E30" s="4">
        <f t="shared" si="4"/>
        <v>713</v>
      </c>
      <c r="F30" t="str">
        <f t="shared" si="5"/>
        <v>Yes</v>
      </c>
      <c r="G30" t="str">
        <f t="shared" si="6"/>
        <v>Yes</v>
      </c>
      <c r="I30" t="str">
        <f t="shared" si="7"/>
        <v>Yes</v>
      </c>
      <c r="J30" t="str">
        <f t="shared" si="1"/>
        <v>Yes</v>
      </c>
      <c r="K30" t="str">
        <f t="shared" si="2"/>
        <v>Yes</v>
      </c>
      <c r="L30" s="203">
        <f>IF(AND('Total income package'!$A$16=TRUE,E30&lt;$J$2),$M$2,0)</f>
        <v>1551.75</v>
      </c>
      <c r="M30" s="179">
        <f>IF(AND('Total income package'!$A$16=TRUE,E30&lt;$L$2),$P$2,0)</f>
        <v>637</v>
      </c>
      <c r="N30" s="204">
        <f t="shared" si="8"/>
        <v>2188.75</v>
      </c>
    </row>
    <row r="31" spans="1:14" x14ac:dyDescent="0.3">
      <c r="A31" s="105">
        <v>11000</v>
      </c>
      <c r="B31" s="4">
        <f t="shared" si="0"/>
        <v>916.66666666666663</v>
      </c>
      <c r="C31" s="4">
        <f>'Total income package'!$D$80</f>
        <v>0</v>
      </c>
      <c r="D31" s="4">
        <f t="shared" si="3"/>
        <v>916.66666666666663</v>
      </c>
      <c r="E31" s="4">
        <f t="shared" si="4"/>
        <v>754.66666666666663</v>
      </c>
      <c r="F31" t="str">
        <f t="shared" si="5"/>
        <v>Yes</v>
      </c>
      <c r="G31" t="str">
        <f t="shared" si="6"/>
        <v>Yes</v>
      </c>
      <c r="I31" t="str">
        <f t="shared" si="7"/>
        <v>Yes</v>
      </c>
      <c r="J31" t="str">
        <f t="shared" si="1"/>
        <v>Yes</v>
      </c>
      <c r="K31" t="str">
        <f t="shared" si="2"/>
        <v>Yes</v>
      </c>
      <c r="L31" s="203">
        <f>IF(AND('Total income package'!$A$16=TRUE,E31&lt;$J$2),$M$2,0)</f>
        <v>1551.75</v>
      </c>
      <c r="M31" s="179">
        <f>IF(AND('Total income package'!$A$16=TRUE,E31&lt;$L$2),$P$2,0)</f>
        <v>637</v>
      </c>
      <c r="N31" s="204">
        <f t="shared" si="8"/>
        <v>2188.75</v>
      </c>
    </row>
    <row r="32" spans="1:14" x14ac:dyDescent="0.3">
      <c r="A32" s="105">
        <v>11500</v>
      </c>
      <c r="B32" s="4">
        <f t="shared" si="0"/>
        <v>958.33333333333337</v>
      </c>
      <c r="C32" s="4">
        <f>'Total income package'!$D$80</f>
        <v>0</v>
      </c>
      <c r="D32" s="4">
        <f t="shared" si="3"/>
        <v>958.33333333333337</v>
      </c>
      <c r="E32" s="4">
        <f t="shared" si="4"/>
        <v>796.33333333333337</v>
      </c>
      <c r="F32" t="str">
        <f t="shared" si="5"/>
        <v>Yes</v>
      </c>
      <c r="G32" t="str">
        <f t="shared" si="6"/>
        <v>Yes</v>
      </c>
      <c r="I32" t="str">
        <f t="shared" si="7"/>
        <v>Yes</v>
      </c>
      <c r="J32" t="str">
        <f t="shared" si="1"/>
        <v>Yes</v>
      </c>
      <c r="K32" t="str">
        <f t="shared" si="2"/>
        <v>Yes</v>
      </c>
      <c r="L32" s="203">
        <f>IF(AND('Total income package'!$A$16=TRUE,E32&lt;$J$2),$M$2,0)</f>
        <v>1551.75</v>
      </c>
      <c r="M32" s="179">
        <f>IF(AND('Total income package'!$A$16=TRUE,E32&lt;$L$2),$P$2,0)</f>
        <v>637</v>
      </c>
      <c r="N32" s="204">
        <f t="shared" si="8"/>
        <v>2188.75</v>
      </c>
    </row>
    <row r="33" spans="1:17" x14ac:dyDescent="0.3">
      <c r="A33" s="105">
        <v>12000</v>
      </c>
      <c r="B33" s="4">
        <f t="shared" si="0"/>
        <v>1000</v>
      </c>
      <c r="C33" s="4">
        <f>'Total income package'!$D$80</f>
        <v>0</v>
      </c>
      <c r="D33" s="4">
        <f t="shared" si="3"/>
        <v>1000</v>
      </c>
      <c r="E33" s="4">
        <f t="shared" si="4"/>
        <v>838</v>
      </c>
      <c r="F33" t="str">
        <f t="shared" si="5"/>
        <v>Yes</v>
      </c>
      <c r="G33" t="str">
        <f t="shared" si="6"/>
        <v>Yes</v>
      </c>
      <c r="I33" t="str">
        <f t="shared" si="7"/>
        <v>Yes</v>
      </c>
      <c r="J33" t="str">
        <f t="shared" si="1"/>
        <v>Yes</v>
      </c>
      <c r="K33" t="str">
        <f t="shared" si="2"/>
        <v>Yes</v>
      </c>
      <c r="L33" s="203">
        <f>IF(AND('Total income package'!$A$16=TRUE,E33&lt;$J$2),$M$2,0)</f>
        <v>1551.75</v>
      </c>
      <c r="M33" s="179">
        <f>IF(AND('Total income package'!$A$16=TRUE,E33&lt;$L$2),$P$2,0)</f>
        <v>637</v>
      </c>
      <c r="N33" s="204">
        <f t="shared" si="8"/>
        <v>2188.75</v>
      </c>
    </row>
    <row r="34" spans="1:17" x14ac:dyDescent="0.3">
      <c r="A34" s="105">
        <v>12500</v>
      </c>
      <c r="B34" s="4">
        <f t="shared" si="0"/>
        <v>1041.6666666666667</v>
      </c>
      <c r="C34" s="4">
        <f>'Total income package'!$D$80</f>
        <v>0</v>
      </c>
      <c r="D34" s="4">
        <f t="shared" si="3"/>
        <v>1041.6666666666667</v>
      </c>
      <c r="E34" s="4">
        <f t="shared" si="4"/>
        <v>879.66666666666674</v>
      </c>
      <c r="F34" t="str">
        <f t="shared" si="5"/>
        <v>Yes</v>
      </c>
      <c r="G34" t="str">
        <f t="shared" si="6"/>
        <v>Yes</v>
      </c>
      <c r="I34" t="str">
        <f t="shared" si="7"/>
        <v>Yes</v>
      </c>
      <c r="J34" t="str">
        <f t="shared" si="1"/>
        <v>Yes</v>
      </c>
      <c r="K34" t="str">
        <f t="shared" si="2"/>
        <v>Yes</v>
      </c>
      <c r="L34" s="203">
        <f>IF(AND('Total income package'!$A$16=TRUE,E34&lt;$J$2),$M$2,0)</f>
        <v>1551.75</v>
      </c>
      <c r="M34" s="179">
        <f>IF(AND('Total income package'!$A$16=TRUE,E34&lt;$L$2),$P$2,0)</f>
        <v>637</v>
      </c>
      <c r="N34" s="204">
        <f t="shared" si="8"/>
        <v>2188.75</v>
      </c>
    </row>
    <row r="35" spans="1:17" x14ac:dyDescent="0.3">
      <c r="A35" s="105">
        <v>13000</v>
      </c>
      <c r="B35" s="4">
        <f t="shared" si="0"/>
        <v>1083.3333333333333</v>
      </c>
      <c r="C35" s="4">
        <f>'Total income package'!$D$80</f>
        <v>0</v>
      </c>
      <c r="D35" s="4">
        <f t="shared" si="3"/>
        <v>1083.3333333333333</v>
      </c>
      <c r="E35" s="4">
        <f t="shared" si="4"/>
        <v>921.33333333333326</v>
      </c>
      <c r="F35" t="str">
        <f t="shared" si="5"/>
        <v>No</v>
      </c>
      <c r="G35" t="str">
        <f t="shared" si="6"/>
        <v>Yes</v>
      </c>
      <c r="I35" t="str">
        <f t="shared" si="7"/>
        <v>Yes</v>
      </c>
      <c r="J35" t="str">
        <f t="shared" si="1"/>
        <v>Yes</v>
      </c>
      <c r="K35" t="str">
        <f t="shared" si="2"/>
        <v>Yes</v>
      </c>
      <c r="L35" s="203">
        <f>IF(AND('Total income package'!$A$16=TRUE,E35&lt;$J$2),$M$2,0)</f>
        <v>1551.75</v>
      </c>
      <c r="M35" s="179">
        <f>IF(AND('Total income package'!$A$16=TRUE,E35&lt;$L$2),$P$2,0)</f>
        <v>637</v>
      </c>
      <c r="N35" s="204">
        <f t="shared" si="8"/>
        <v>2188.75</v>
      </c>
    </row>
    <row r="36" spans="1:17" x14ac:dyDescent="0.3">
      <c r="A36" s="105">
        <v>13500</v>
      </c>
      <c r="B36" s="4">
        <f t="shared" si="0"/>
        <v>1125</v>
      </c>
      <c r="C36" s="4">
        <f>'Total income package'!$D$80</f>
        <v>0</v>
      </c>
      <c r="D36" s="4">
        <f t="shared" si="3"/>
        <v>1125</v>
      </c>
      <c r="E36" s="4">
        <f t="shared" si="4"/>
        <v>963</v>
      </c>
      <c r="F36" t="str">
        <f t="shared" si="5"/>
        <v>No</v>
      </c>
      <c r="G36" t="str">
        <f t="shared" si="6"/>
        <v>Yes</v>
      </c>
      <c r="I36" t="str">
        <f t="shared" si="7"/>
        <v>Yes</v>
      </c>
      <c r="J36" t="str">
        <f t="shared" si="1"/>
        <v>Yes</v>
      </c>
      <c r="K36" t="str">
        <f t="shared" si="2"/>
        <v>Yes</v>
      </c>
      <c r="L36" s="203">
        <f>IF(AND('Total income package'!$A$16=TRUE,E36&lt;$J$2),$M$2,0)</f>
        <v>1551.75</v>
      </c>
      <c r="M36" s="179">
        <f>IF(AND('Total income package'!$A$16=TRUE,E36&lt;$L$2),$P$2,0)</f>
        <v>637</v>
      </c>
      <c r="N36" s="204">
        <f t="shared" si="8"/>
        <v>2188.75</v>
      </c>
    </row>
    <row r="37" spans="1:17" x14ac:dyDescent="0.3">
      <c r="A37" s="105">
        <v>14000</v>
      </c>
      <c r="B37" s="4">
        <f t="shared" si="0"/>
        <v>1166.6666666666667</v>
      </c>
      <c r="C37" s="4">
        <f>'Total income package'!$D$80</f>
        <v>0</v>
      </c>
      <c r="D37" s="4">
        <f t="shared" si="3"/>
        <v>1166.6666666666667</v>
      </c>
      <c r="E37" s="4">
        <f t="shared" si="4"/>
        <v>1004.6666666666667</v>
      </c>
      <c r="F37" t="str">
        <f t="shared" si="5"/>
        <v>No</v>
      </c>
      <c r="G37" t="str">
        <f t="shared" si="6"/>
        <v>Yes</v>
      </c>
      <c r="I37" t="str">
        <f t="shared" si="7"/>
        <v>Yes</v>
      </c>
      <c r="J37" t="str">
        <f t="shared" si="1"/>
        <v>Yes</v>
      </c>
      <c r="K37" t="str">
        <f t="shared" si="2"/>
        <v>Yes</v>
      </c>
      <c r="L37" s="203">
        <f>IF(AND('Total income package'!$A$16=TRUE,E37&lt;$J$2),$M$2,0)</f>
        <v>1551.75</v>
      </c>
      <c r="M37" s="179">
        <f>IF(AND('Total income package'!$A$16=TRUE,E37&lt;$L$2),$P$2,0)</f>
        <v>637</v>
      </c>
      <c r="N37" s="204">
        <f t="shared" si="8"/>
        <v>2188.75</v>
      </c>
    </row>
    <row r="38" spans="1:17" x14ac:dyDescent="0.3">
      <c r="A38" s="105">
        <v>14500</v>
      </c>
      <c r="B38" s="4">
        <f t="shared" si="0"/>
        <v>1208.3333333333333</v>
      </c>
      <c r="C38" s="4">
        <f>'Total income package'!$D$80</f>
        <v>0</v>
      </c>
      <c r="D38" s="4">
        <f t="shared" si="3"/>
        <v>1208.3333333333333</v>
      </c>
      <c r="E38" s="4">
        <f t="shared" si="4"/>
        <v>1046.3333333333333</v>
      </c>
      <c r="F38" t="str">
        <f t="shared" si="5"/>
        <v>No</v>
      </c>
      <c r="G38" t="str">
        <f t="shared" si="6"/>
        <v>Yes</v>
      </c>
      <c r="I38" t="str">
        <f t="shared" si="7"/>
        <v>Yes</v>
      </c>
      <c r="J38" t="str">
        <f t="shared" si="1"/>
        <v>Yes</v>
      </c>
      <c r="K38" t="str">
        <f t="shared" si="2"/>
        <v>Yes</v>
      </c>
      <c r="L38" s="203">
        <f>IF(AND('Total income package'!$A$16=TRUE,E38&lt;$J$2),$M$2,0)</f>
        <v>1551.75</v>
      </c>
      <c r="M38" s="179">
        <f>IF(AND('Total income package'!$A$16=TRUE,E38&lt;$L$2),$P$2,0)</f>
        <v>637</v>
      </c>
      <c r="N38" s="204">
        <f t="shared" si="8"/>
        <v>2188.75</v>
      </c>
    </row>
    <row r="39" spans="1:17" x14ac:dyDescent="0.3">
      <c r="A39" s="105">
        <v>15000</v>
      </c>
      <c r="B39" s="4">
        <f t="shared" si="0"/>
        <v>1250</v>
      </c>
      <c r="C39" s="4">
        <f>'Total income package'!$D$80</f>
        <v>0</v>
      </c>
      <c r="D39" s="4">
        <f t="shared" si="3"/>
        <v>1250</v>
      </c>
      <c r="E39" s="4">
        <f t="shared" si="4"/>
        <v>1088</v>
      </c>
      <c r="F39" t="str">
        <f t="shared" si="5"/>
        <v>No</v>
      </c>
      <c r="G39" t="str">
        <f t="shared" si="6"/>
        <v>Yes</v>
      </c>
      <c r="I39" t="str">
        <f t="shared" si="7"/>
        <v>Yes</v>
      </c>
      <c r="J39" t="str">
        <f t="shared" si="1"/>
        <v>Yes</v>
      </c>
      <c r="K39" t="str">
        <f t="shared" si="2"/>
        <v>Yes</v>
      </c>
      <c r="L39" s="203">
        <f>IF(AND('Total income package'!$A$16=TRUE,E39&lt;$J$2),$M$2,0)</f>
        <v>1551.75</v>
      </c>
      <c r="M39" s="179">
        <f>IF(AND('Total income package'!$A$16=TRUE,E39&lt;$L$2),$P$2,0)</f>
        <v>637</v>
      </c>
      <c r="N39" s="204">
        <f t="shared" si="8"/>
        <v>2188.75</v>
      </c>
    </row>
    <row r="40" spans="1:17" x14ac:dyDescent="0.3">
      <c r="A40" s="105">
        <v>15500</v>
      </c>
      <c r="B40" s="4">
        <f t="shared" si="0"/>
        <v>1291.6666666666667</v>
      </c>
      <c r="C40" s="4">
        <f>'Total income package'!$D$80</f>
        <v>0</v>
      </c>
      <c r="D40" s="4">
        <f t="shared" si="3"/>
        <v>1291.6666666666667</v>
      </c>
      <c r="E40" s="4">
        <f t="shared" si="4"/>
        <v>1129.6666666666667</v>
      </c>
      <c r="F40" t="str">
        <f t="shared" si="5"/>
        <v>No</v>
      </c>
      <c r="G40" t="str">
        <f t="shared" si="6"/>
        <v>Yes</v>
      </c>
      <c r="I40" t="str">
        <f t="shared" si="7"/>
        <v>Yes</v>
      </c>
      <c r="J40" t="str">
        <f t="shared" si="1"/>
        <v>Yes</v>
      </c>
      <c r="K40" t="str">
        <f t="shared" si="2"/>
        <v>Yes</v>
      </c>
      <c r="L40" s="203">
        <f>IF(AND('Total income package'!$A$16=TRUE,E40&lt;$J$2),$M$2,0)</f>
        <v>1551.75</v>
      </c>
      <c r="M40" s="179">
        <f>IF(AND('Total income package'!$A$16=TRUE,E40&lt;$L$2),$P$2,0)</f>
        <v>637</v>
      </c>
      <c r="N40" s="204">
        <f t="shared" si="8"/>
        <v>2188.75</v>
      </c>
    </row>
    <row r="41" spans="1:17" x14ac:dyDescent="0.3">
      <c r="A41" s="105">
        <v>16000</v>
      </c>
      <c r="B41" s="4">
        <f t="shared" si="0"/>
        <v>1333.3333333333333</v>
      </c>
      <c r="C41" s="4">
        <f>'Total income package'!$D$80</f>
        <v>0</v>
      </c>
      <c r="D41" s="4">
        <f t="shared" si="3"/>
        <v>1333.3333333333333</v>
      </c>
      <c r="E41" s="4">
        <f t="shared" si="4"/>
        <v>1171.3333333333333</v>
      </c>
      <c r="F41" t="str">
        <f t="shared" si="5"/>
        <v>No</v>
      </c>
      <c r="G41" t="str">
        <f t="shared" si="6"/>
        <v>Yes</v>
      </c>
      <c r="I41" t="str">
        <f t="shared" si="7"/>
        <v>Yes</v>
      </c>
      <c r="J41" t="str">
        <f t="shared" si="1"/>
        <v>Yes</v>
      </c>
      <c r="K41" t="str">
        <f t="shared" si="2"/>
        <v>Yes</v>
      </c>
      <c r="L41" s="203">
        <f>IF(AND('Total income package'!$A$16=TRUE,E41&lt;$J$2),$M$2,0)</f>
        <v>1551.75</v>
      </c>
      <c r="M41" s="179">
        <f>IF(AND('Total income package'!$A$16=TRUE,E41&lt;$L$2),$P$2,0)</f>
        <v>637</v>
      </c>
      <c r="N41" s="204">
        <f t="shared" si="8"/>
        <v>2188.75</v>
      </c>
    </row>
    <row r="42" spans="1:17" x14ac:dyDescent="0.3">
      <c r="A42" s="105">
        <v>16500</v>
      </c>
      <c r="B42" s="4">
        <f t="shared" si="0"/>
        <v>1375</v>
      </c>
      <c r="C42" s="4">
        <f>'Total income package'!$D$80</f>
        <v>0</v>
      </c>
      <c r="D42" s="4">
        <f t="shared" si="3"/>
        <v>1375</v>
      </c>
      <c r="E42" s="4">
        <f t="shared" si="4"/>
        <v>1213</v>
      </c>
      <c r="F42" t="str">
        <f t="shared" si="5"/>
        <v>No</v>
      </c>
      <c r="G42" t="str">
        <f t="shared" si="6"/>
        <v>Yes</v>
      </c>
      <c r="I42" t="str">
        <f t="shared" si="7"/>
        <v>Yes</v>
      </c>
      <c r="J42" t="str">
        <f t="shared" si="1"/>
        <v>Yes</v>
      </c>
      <c r="K42" t="str">
        <f t="shared" si="2"/>
        <v>Yes</v>
      </c>
      <c r="L42" s="203">
        <f>IF(AND('Total income package'!$A$16=TRUE,E42&lt;$J$2),$M$2,0)</f>
        <v>1551.75</v>
      </c>
      <c r="M42" s="179">
        <f>IF(AND('Total income package'!$A$16=TRUE,E42&lt;$L$2),$P$2,0)</f>
        <v>637</v>
      </c>
      <c r="N42" s="204">
        <f t="shared" si="8"/>
        <v>2188.75</v>
      </c>
    </row>
    <row r="43" spans="1:17" x14ac:dyDescent="0.3">
      <c r="A43" s="105">
        <v>17000</v>
      </c>
      <c r="B43" s="4">
        <f t="shared" si="0"/>
        <v>1416.6666666666667</v>
      </c>
      <c r="C43" s="4">
        <f>'Total income package'!$D$80</f>
        <v>0</v>
      </c>
      <c r="D43" s="4">
        <f t="shared" si="3"/>
        <v>1416.6666666666667</v>
      </c>
      <c r="E43" s="4">
        <f t="shared" si="4"/>
        <v>1254.6666666666667</v>
      </c>
      <c r="F43" t="str">
        <f t="shared" si="5"/>
        <v>No</v>
      </c>
      <c r="G43" t="str">
        <f t="shared" si="6"/>
        <v>Yes</v>
      </c>
      <c r="I43" t="str">
        <f t="shared" si="7"/>
        <v>Yes</v>
      </c>
      <c r="J43" t="str">
        <f t="shared" si="1"/>
        <v>Yes</v>
      </c>
      <c r="K43" t="str">
        <f t="shared" si="2"/>
        <v>Yes</v>
      </c>
      <c r="L43" s="203">
        <f>IF(AND('Total income package'!$A$16=TRUE,E43&lt;$J$2),$M$2,0)</f>
        <v>1551.75</v>
      </c>
      <c r="M43" s="179">
        <f>IF(AND('Total income package'!$A$16=TRUE,E43&lt;$L$2),$P$2,0)</f>
        <v>637</v>
      </c>
      <c r="N43" s="204">
        <f t="shared" si="8"/>
        <v>2188.75</v>
      </c>
    </row>
    <row r="44" spans="1:17" x14ac:dyDescent="0.3">
      <c r="A44" s="105">
        <v>17500</v>
      </c>
      <c r="B44" s="4">
        <f t="shared" si="0"/>
        <v>1458.3333333333333</v>
      </c>
      <c r="C44" s="4">
        <f>'Total income package'!$D$80</f>
        <v>0</v>
      </c>
      <c r="D44" s="4">
        <f t="shared" si="3"/>
        <v>1458.3333333333333</v>
      </c>
      <c r="E44" s="4">
        <f t="shared" si="4"/>
        <v>1296.3333333333333</v>
      </c>
      <c r="F44" t="str">
        <f t="shared" si="5"/>
        <v>No</v>
      </c>
      <c r="G44" t="str">
        <f t="shared" si="6"/>
        <v>Yes</v>
      </c>
      <c r="I44" t="str">
        <f t="shared" si="7"/>
        <v>Yes</v>
      </c>
      <c r="J44" t="str">
        <f t="shared" si="1"/>
        <v>Yes</v>
      </c>
      <c r="K44" t="str">
        <f t="shared" si="2"/>
        <v>Yes</v>
      </c>
      <c r="L44" s="203">
        <f>IF(AND('Total income package'!$A$16=TRUE,E44&lt;$J$2),$M$2,0)</f>
        <v>1551.75</v>
      </c>
      <c r="M44" s="179">
        <f>IF(AND('Total income package'!$A$16=TRUE,E44&lt;$L$2),$P$2,0)</f>
        <v>637</v>
      </c>
      <c r="N44" s="204">
        <f t="shared" si="8"/>
        <v>2188.75</v>
      </c>
    </row>
    <row r="45" spans="1:17" x14ac:dyDescent="0.3">
      <c r="A45" s="105">
        <v>18000</v>
      </c>
      <c r="B45" s="4">
        <f t="shared" si="0"/>
        <v>1500</v>
      </c>
      <c r="C45" s="4">
        <f>'Total income package'!$D$80</f>
        <v>0</v>
      </c>
      <c r="D45" s="4">
        <f t="shared" si="3"/>
        <v>1500</v>
      </c>
      <c r="E45" s="4">
        <f t="shared" si="4"/>
        <v>1338</v>
      </c>
      <c r="F45" t="str">
        <f t="shared" si="5"/>
        <v>No</v>
      </c>
      <c r="G45" t="str">
        <f t="shared" si="6"/>
        <v>Yes</v>
      </c>
      <c r="I45" t="str">
        <f t="shared" si="7"/>
        <v>Yes</v>
      </c>
      <c r="J45" t="str">
        <f t="shared" si="1"/>
        <v>Yes</v>
      </c>
      <c r="K45" t="str">
        <f t="shared" si="2"/>
        <v>Yes</v>
      </c>
      <c r="L45" s="203">
        <f>IF(AND('Total income package'!$A$16=TRUE,E45&lt;$J$2),$M$2,0)</f>
        <v>1551.75</v>
      </c>
      <c r="M45" s="179">
        <f>IF(AND('Total income package'!$A$16=TRUE,E45&lt;$L$2),$P$2,0)</f>
        <v>637</v>
      </c>
      <c r="N45" s="204">
        <f t="shared" si="8"/>
        <v>2188.75</v>
      </c>
      <c r="Q45" s="4"/>
    </row>
    <row r="46" spans="1:17" x14ac:dyDescent="0.3">
      <c r="A46" s="105">
        <v>18500</v>
      </c>
      <c r="B46" s="4">
        <f t="shared" si="0"/>
        <v>1541.6666666666667</v>
      </c>
      <c r="C46" s="4">
        <f>'Total income package'!$D$80</f>
        <v>0</v>
      </c>
      <c r="D46" s="4">
        <f t="shared" si="3"/>
        <v>1541.6666666666667</v>
      </c>
      <c r="E46" s="4">
        <f t="shared" si="4"/>
        <v>1379.6666666666667</v>
      </c>
      <c r="F46" t="str">
        <f t="shared" si="5"/>
        <v>No</v>
      </c>
      <c r="G46" t="str">
        <f t="shared" si="6"/>
        <v>Yes</v>
      </c>
      <c r="I46" t="str">
        <f t="shared" si="7"/>
        <v>Yes</v>
      </c>
      <c r="J46" t="str">
        <f t="shared" si="1"/>
        <v>Yes</v>
      </c>
      <c r="K46" t="str">
        <f t="shared" si="2"/>
        <v>Yes</v>
      </c>
      <c r="L46" s="203">
        <f>IF(AND('Total income package'!$A$16=TRUE,E46&lt;$J$2),$M$2,0)</f>
        <v>1551.75</v>
      </c>
      <c r="M46" s="179">
        <f>IF(AND('Total income package'!$A$16=TRUE,E46&lt;$L$2),$P$2,0)</f>
        <v>637</v>
      </c>
      <c r="N46" s="204">
        <f t="shared" si="8"/>
        <v>2188.75</v>
      </c>
      <c r="Q46" s="4"/>
    </row>
    <row r="47" spans="1:17" x14ac:dyDescent="0.3">
      <c r="A47" s="105">
        <v>19000</v>
      </c>
      <c r="B47" s="4">
        <f t="shared" si="0"/>
        <v>1583.3333333333333</v>
      </c>
      <c r="C47" s="4">
        <f>'Total income package'!$D$80</f>
        <v>0</v>
      </c>
      <c r="D47" s="4">
        <f t="shared" si="3"/>
        <v>1583.3333333333333</v>
      </c>
      <c r="E47" s="4">
        <f t="shared" si="4"/>
        <v>1421.3333333333333</v>
      </c>
      <c r="F47" t="str">
        <f t="shared" si="5"/>
        <v>No</v>
      </c>
      <c r="G47" t="str">
        <f t="shared" si="6"/>
        <v>Yes</v>
      </c>
      <c r="I47" t="str">
        <f t="shared" si="7"/>
        <v>Yes</v>
      </c>
      <c r="J47" t="str">
        <f t="shared" si="1"/>
        <v>Yes</v>
      </c>
      <c r="K47" t="str">
        <f t="shared" si="2"/>
        <v>Yes</v>
      </c>
      <c r="L47" s="203">
        <f>IF(AND('Total income package'!$A$16=TRUE,E47&lt;$J$2),$M$2,0)</f>
        <v>1551.75</v>
      </c>
      <c r="M47" s="179">
        <f>IF(AND('Total income package'!$A$16=TRUE,E47&lt;$L$2),$P$2,0)</f>
        <v>637</v>
      </c>
      <c r="N47" s="204">
        <f t="shared" si="8"/>
        <v>2188.75</v>
      </c>
      <c r="Q47" s="4"/>
    </row>
    <row r="48" spans="1:17" x14ac:dyDescent="0.3">
      <c r="A48" s="105">
        <v>19500</v>
      </c>
      <c r="B48" s="4">
        <f t="shared" si="0"/>
        <v>1625</v>
      </c>
      <c r="C48" s="4">
        <f>'Total income package'!$D$80</f>
        <v>0</v>
      </c>
      <c r="D48" s="4">
        <f t="shared" si="3"/>
        <v>1625</v>
      </c>
      <c r="E48" s="4">
        <f t="shared" si="4"/>
        <v>1463</v>
      </c>
      <c r="F48" t="str">
        <f t="shared" si="5"/>
        <v>No</v>
      </c>
      <c r="G48" t="str">
        <f t="shared" si="6"/>
        <v>Yes</v>
      </c>
      <c r="I48" t="str">
        <f t="shared" si="7"/>
        <v>Yes</v>
      </c>
      <c r="J48" t="str">
        <f t="shared" si="1"/>
        <v>Yes</v>
      </c>
      <c r="K48" t="str">
        <f t="shared" si="2"/>
        <v>Yes</v>
      </c>
      <c r="L48" s="203">
        <f>IF(AND('Total income package'!$A$16=TRUE,E48&lt;$J$2),$M$2,0)</f>
        <v>1551.75</v>
      </c>
      <c r="M48" s="179">
        <f>IF(AND('Total income package'!$A$16=TRUE,E48&lt;$L$2),$P$2,0)</f>
        <v>637</v>
      </c>
      <c r="N48" s="204">
        <f t="shared" si="8"/>
        <v>2188.75</v>
      </c>
    </row>
    <row r="49" spans="1:14" x14ac:dyDescent="0.3">
      <c r="A49" s="105">
        <v>20000</v>
      </c>
      <c r="B49" s="4">
        <f t="shared" si="0"/>
        <v>1666.6666666666667</v>
      </c>
      <c r="C49" s="4">
        <f>'Total income package'!$D$80</f>
        <v>0</v>
      </c>
      <c r="D49" s="4">
        <f t="shared" si="3"/>
        <v>1666.6666666666667</v>
      </c>
      <c r="E49" s="4">
        <f t="shared" si="4"/>
        <v>1504.6666666666667</v>
      </c>
      <c r="F49" t="str">
        <f t="shared" si="5"/>
        <v>No</v>
      </c>
      <c r="G49" t="str">
        <f t="shared" si="6"/>
        <v>Yes</v>
      </c>
      <c r="I49" t="str">
        <f t="shared" si="7"/>
        <v>Yes</v>
      </c>
      <c r="J49" t="str">
        <f t="shared" si="1"/>
        <v>Yes</v>
      </c>
      <c r="K49" t="str">
        <f t="shared" si="2"/>
        <v>Yes</v>
      </c>
      <c r="L49" s="203">
        <f>IF(AND('Total income package'!$A$16=TRUE,E49&lt;$J$2),$M$2,0)</f>
        <v>1551.75</v>
      </c>
      <c r="M49" s="179">
        <f>IF(AND('Total income package'!$A$16=TRUE,E49&lt;$L$2),$P$2,0)</f>
        <v>637</v>
      </c>
      <c r="N49" s="204">
        <f t="shared" si="8"/>
        <v>2188.75</v>
      </c>
    </row>
    <row r="50" spans="1:14" x14ac:dyDescent="0.3">
      <c r="A50" s="105">
        <v>20500</v>
      </c>
      <c r="B50" s="4">
        <f t="shared" si="0"/>
        <v>1708.3333333333333</v>
      </c>
      <c r="C50" s="4">
        <f>'Total income package'!$D$80</f>
        <v>0</v>
      </c>
      <c r="D50" s="4">
        <f t="shared" si="3"/>
        <v>1708.3333333333333</v>
      </c>
      <c r="E50" s="4">
        <f t="shared" si="4"/>
        <v>1546.3333333333333</v>
      </c>
      <c r="F50" t="str">
        <f t="shared" si="5"/>
        <v>No</v>
      </c>
      <c r="G50" t="str">
        <f t="shared" si="6"/>
        <v>Yes</v>
      </c>
      <c r="I50" t="str">
        <f t="shared" si="7"/>
        <v>Yes</v>
      </c>
      <c r="J50" t="str">
        <f t="shared" si="1"/>
        <v>Yes</v>
      </c>
      <c r="K50" t="str">
        <f t="shared" si="2"/>
        <v>Yes</v>
      </c>
      <c r="L50" s="203">
        <f>IF(AND('Total income package'!$A$16=TRUE,E50&lt;$J$2),$M$2,0)</f>
        <v>1551.75</v>
      </c>
      <c r="M50" s="179">
        <f>IF(AND('Total income package'!$A$16=TRUE,E50&lt;$L$2),$P$2,0)</f>
        <v>637</v>
      </c>
      <c r="N50" s="204">
        <f t="shared" si="8"/>
        <v>2188.75</v>
      </c>
    </row>
    <row r="51" spans="1:14" x14ac:dyDescent="0.3">
      <c r="A51" s="105">
        <v>21000</v>
      </c>
      <c r="B51" s="4">
        <f t="shared" si="0"/>
        <v>1750</v>
      </c>
      <c r="C51" s="4">
        <f>'Total income package'!$D$80</f>
        <v>0</v>
      </c>
      <c r="D51" s="4">
        <f t="shared" si="3"/>
        <v>1750</v>
      </c>
      <c r="E51" s="4">
        <f t="shared" si="4"/>
        <v>1588</v>
      </c>
      <c r="F51" t="str">
        <f t="shared" si="5"/>
        <v>No</v>
      </c>
      <c r="G51" t="str">
        <f t="shared" si="6"/>
        <v>Yes</v>
      </c>
      <c r="I51" t="str">
        <f t="shared" si="7"/>
        <v>Yes</v>
      </c>
      <c r="J51" t="str">
        <f t="shared" si="1"/>
        <v>Yes</v>
      </c>
      <c r="K51" t="str">
        <f t="shared" si="2"/>
        <v>Yes</v>
      </c>
      <c r="L51" s="203">
        <f>IF(AND('Total income package'!$A$16=TRUE,E51&lt;$J$2),$M$2,0)</f>
        <v>1551.75</v>
      </c>
      <c r="M51" s="179">
        <f>IF(AND('Total income package'!$A$16=TRUE,E51&lt;$L$2),$P$2,0)</f>
        <v>637</v>
      </c>
      <c r="N51" s="204">
        <f t="shared" si="8"/>
        <v>2188.75</v>
      </c>
    </row>
    <row r="52" spans="1:14" x14ac:dyDescent="0.3">
      <c r="A52" s="105">
        <v>21500</v>
      </c>
      <c r="B52" s="4">
        <f t="shared" si="0"/>
        <v>1791.6666666666667</v>
      </c>
      <c r="C52" s="4">
        <f>'Total income package'!$D$80</f>
        <v>0</v>
      </c>
      <c r="D52" s="4">
        <f t="shared" si="3"/>
        <v>1791.6666666666667</v>
      </c>
      <c r="E52" s="4">
        <f t="shared" si="4"/>
        <v>1629.6666666666667</v>
      </c>
      <c r="F52" t="str">
        <f t="shared" si="5"/>
        <v>No</v>
      </c>
      <c r="G52" t="str">
        <f t="shared" si="6"/>
        <v>Yes</v>
      </c>
      <c r="I52" t="str">
        <f t="shared" si="7"/>
        <v>Yes</v>
      </c>
      <c r="J52" t="str">
        <f t="shared" si="1"/>
        <v>Yes</v>
      </c>
      <c r="K52" t="str">
        <f t="shared" si="2"/>
        <v>Yes</v>
      </c>
      <c r="L52" s="203">
        <f>IF(AND('Total income package'!$A$16=TRUE,E52&lt;$J$2),$M$2,0)</f>
        <v>1551.75</v>
      </c>
      <c r="M52" s="179">
        <f>IF(AND('Total income package'!$A$16=TRUE,E52&lt;$L$2),$P$2,0)</f>
        <v>637</v>
      </c>
      <c r="N52" s="204">
        <f t="shared" si="8"/>
        <v>2188.75</v>
      </c>
    </row>
    <row r="53" spans="1:14" x14ac:dyDescent="0.3">
      <c r="A53" s="105">
        <v>22000</v>
      </c>
      <c r="B53" s="4">
        <f t="shared" si="0"/>
        <v>1833.3333333333333</v>
      </c>
      <c r="C53" s="4">
        <f>'Total income package'!$D$80</f>
        <v>0</v>
      </c>
      <c r="D53" s="4">
        <f t="shared" si="3"/>
        <v>1833.3333333333333</v>
      </c>
      <c r="E53" s="4">
        <f t="shared" si="4"/>
        <v>1671.3333333333333</v>
      </c>
      <c r="F53" t="str">
        <f t="shared" si="5"/>
        <v>No</v>
      </c>
      <c r="G53" t="str">
        <f t="shared" si="6"/>
        <v>Yes</v>
      </c>
      <c r="I53" t="str">
        <f t="shared" si="7"/>
        <v>Yes</v>
      </c>
      <c r="J53" t="str">
        <f t="shared" si="1"/>
        <v>Yes</v>
      </c>
      <c r="K53" t="str">
        <f t="shared" si="2"/>
        <v>Yes</v>
      </c>
      <c r="L53" s="203">
        <f>IF(AND('Total income package'!$A$16=TRUE,E53&lt;$J$2),$M$2,0)</f>
        <v>1551.75</v>
      </c>
      <c r="M53" s="179">
        <f>IF(AND('Total income package'!$A$16=TRUE,E53&lt;$L$2),$P$2,0)</f>
        <v>637</v>
      </c>
      <c r="N53" s="204">
        <f t="shared" si="8"/>
        <v>2188.75</v>
      </c>
    </row>
    <row r="54" spans="1:14" x14ac:dyDescent="0.3">
      <c r="A54" s="105">
        <v>22500</v>
      </c>
      <c r="B54" s="4">
        <f t="shared" si="0"/>
        <v>1875</v>
      </c>
      <c r="C54" s="4">
        <f>'Total income package'!$D$80</f>
        <v>0</v>
      </c>
      <c r="D54" s="4">
        <f t="shared" si="3"/>
        <v>1875</v>
      </c>
      <c r="E54" s="4">
        <f t="shared" si="4"/>
        <v>1713</v>
      </c>
      <c r="F54" t="str">
        <f t="shared" si="5"/>
        <v>No</v>
      </c>
      <c r="G54" t="str">
        <f t="shared" si="6"/>
        <v>Yes</v>
      </c>
      <c r="I54" t="str">
        <f t="shared" si="7"/>
        <v>Yes</v>
      </c>
      <c r="J54" t="str">
        <f t="shared" si="1"/>
        <v>Yes</v>
      </c>
      <c r="K54" t="str">
        <f t="shared" si="2"/>
        <v>Yes</v>
      </c>
      <c r="L54" s="203">
        <f>IF(AND('Total income package'!$A$16=TRUE,E54&lt;$J$2),$M$2,0)</f>
        <v>1551.75</v>
      </c>
      <c r="M54" s="179">
        <f>IF(AND('Total income package'!$A$16=TRUE,E54&lt;$L$2),$P$2,0)</f>
        <v>637</v>
      </c>
      <c r="N54" s="204">
        <f t="shared" si="8"/>
        <v>2188.75</v>
      </c>
    </row>
    <row r="55" spans="1:14" x14ac:dyDescent="0.3">
      <c r="A55" s="105">
        <v>23000</v>
      </c>
      <c r="B55" s="4">
        <f t="shared" si="0"/>
        <v>1916.6666666666667</v>
      </c>
      <c r="C55" s="4">
        <f>'Total income package'!$D$80</f>
        <v>0</v>
      </c>
      <c r="D55" s="4">
        <f t="shared" si="3"/>
        <v>1916.6666666666667</v>
      </c>
      <c r="E55" s="4">
        <f t="shared" si="4"/>
        <v>1754.6666666666667</v>
      </c>
      <c r="F55" t="str">
        <f t="shared" si="5"/>
        <v>No</v>
      </c>
      <c r="G55" t="str">
        <f t="shared" si="6"/>
        <v>Yes</v>
      </c>
      <c r="I55" t="str">
        <f t="shared" si="7"/>
        <v>Yes</v>
      </c>
      <c r="J55" t="str">
        <f t="shared" si="1"/>
        <v>Yes</v>
      </c>
      <c r="K55" t="str">
        <f t="shared" si="2"/>
        <v>Yes</v>
      </c>
      <c r="L55" s="203">
        <f>IF(AND('Total income package'!$A$16=TRUE,E55&lt;$J$2),$M$2,0)</f>
        <v>1551.75</v>
      </c>
      <c r="M55" s="179">
        <f>IF(AND('Total income package'!$A$16=TRUE,E55&lt;$L$2),$P$2,0)</f>
        <v>637</v>
      </c>
      <c r="N55" s="204">
        <f t="shared" si="8"/>
        <v>2188.75</v>
      </c>
    </row>
    <row r="56" spans="1:14" x14ac:dyDescent="0.3">
      <c r="A56" s="105">
        <v>23500</v>
      </c>
      <c r="B56" s="4">
        <f t="shared" si="0"/>
        <v>1958.3333333333333</v>
      </c>
      <c r="C56" s="4">
        <f>'Total income package'!$D$80</f>
        <v>0</v>
      </c>
      <c r="D56" s="4">
        <f t="shared" si="3"/>
        <v>1958.3333333333333</v>
      </c>
      <c r="E56" s="4">
        <f t="shared" si="4"/>
        <v>1796.3333333333333</v>
      </c>
      <c r="F56" t="str">
        <f t="shared" si="5"/>
        <v>No</v>
      </c>
      <c r="G56" t="str">
        <f t="shared" si="6"/>
        <v>Yes</v>
      </c>
      <c r="I56" t="str">
        <f t="shared" si="7"/>
        <v>Yes</v>
      </c>
      <c r="J56" t="str">
        <f t="shared" si="1"/>
        <v>Yes</v>
      </c>
      <c r="K56" t="str">
        <f t="shared" si="2"/>
        <v>Yes</v>
      </c>
      <c r="L56" s="203">
        <f>IF(AND('Total income package'!$A$16=TRUE,E56&lt;$J$2),$M$2,0)</f>
        <v>1551.75</v>
      </c>
      <c r="M56" s="179">
        <f>IF(AND('Total income package'!$A$16=TRUE,E56&lt;$L$2),$P$2,0)</f>
        <v>637</v>
      </c>
      <c r="N56" s="204">
        <f t="shared" si="8"/>
        <v>2188.75</v>
      </c>
    </row>
    <row r="57" spans="1:14" x14ac:dyDescent="0.3">
      <c r="A57" s="105">
        <v>24000</v>
      </c>
      <c r="B57" s="4">
        <f t="shared" si="0"/>
        <v>2000</v>
      </c>
      <c r="C57" s="4">
        <f>'Total income package'!$D$80</f>
        <v>0</v>
      </c>
      <c r="D57" s="4">
        <f t="shared" si="3"/>
        <v>2000</v>
      </c>
      <c r="E57" s="4">
        <f t="shared" si="4"/>
        <v>1838</v>
      </c>
      <c r="F57" t="str">
        <f t="shared" si="5"/>
        <v>No</v>
      </c>
      <c r="G57" t="str">
        <f t="shared" si="6"/>
        <v>Yes</v>
      </c>
      <c r="I57" t="str">
        <f t="shared" si="7"/>
        <v>Yes</v>
      </c>
      <c r="J57" t="str">
        <f t="shared" si="1"/>
        <v>Yes</v>
      </c>
      <c r="K57" t="str">
        <f t="shared" si="2"/>
        <v>Yes</v>
      </c>
      <c r="L57" s="203">
        <f>IF(AND('Total income package'!$A$16=TRUE,E57&lt;$J$2),$M$2,0)</f>
        <v>1551.75</v>
      </c>
      <c r="M57" s="179">
        <f>IF(AND('Total income package'!$A$16=TRUE,E57&lt;$L$2),$P$2,0)</f>
        <v>637</v>
      </c>
      <c r="N57" s="204">
        <f t="shared" si="8"/>
        <v>2188.75</v>
      </c>
    </row>
    <row r="58" spans="1:14" x14ac:dyDescent="0.3">
      <c r="A58" s="105">
        <v>24500</v>
      </c>
      <c r="B58" s="4">
        <f t="shared" si="0"/>
        <v>2041.6666666666667</v>
      </c>
      <c r="C58" s="4">
        <f>'Total income package'!$D$80</f>
        <v>0</v>
      </c>
      <c r="D58" s="4">
        <f t="shared" si="3"/>
        <v>2041.6666666666667</v>
      </c>
      <c r="E58" s="4">
        <f t="shared" si="4"/>
        <v>1879.6666666666667</v>
      </c>
      <c r="F58" t="str">
        <f t="shared" si="5"/>
        <v>No</v>
      </c>
      <c r="G58" t="str">
        <f t="shared" si="6"/>
        <v>Yes</v>
      </c>
      <c r="I58" t="str">
        <f t="shared" si="7"/>
        <v>Yes</v>
      </c>
      <c r="J58" t="str">
        <f t="shared" si="1"/>
        <v>Yes</v>
      </c>
      <c r="K58" t="str">
        <f t="shared" si="2"/>
        <v>Yes</v>
      </c>
      <c r="L58" s="203">
        <f>IF(AND('Total income package'!$A$16=TRUE,E58&lt;$J$2),$M$2,0)</f>
        <v>1551.75</v>
      </c>
      <c r="M58" s="179">
        <f>IF(AND('Total income package'!$A$16=TRUE,E58&lt;$L$2),$P$2,0)</f>
        <v>637</v>
      </c>
      <c r="N58" s="204">
        <f t="shared" si="8"/>
        <v>2188.75</v>
      </c>
    </row>
    <row r="59" spans="1:14" x14ac:dyDescent="0.3">
      <c r="A59" s="105">
        <v>25000</v>
      </c>
      <c r="B59" s="4">
        <f t="shared" si="0"/>
        <v>2083.3333333333335</v>
      </c>
      <c r="C59" s="4">
        <f>'Total income package'!$D$80</f>
        <v>0</v>
      </c>
      <c r="D59" s="4">
        <f t="shared" si="3"/>
        <v>2083.3333333333335</v>
      </c>
      <c r="E59" s="4">
        <f t="shared" si="4"/>
        <v>1921.3333333333335</v>
      </c>
      <c r="F59" t="str">
        <f t="shared" si="5"/>
        <v>No</v>
      </c>
      <c r="G59" t="str">
        <f t="shared" si="6"/>
        <v>Yes</v>
      </c>
      <c r="I59" t="str">
        <f t="shared" si="7"/>
        <v>Yes</v>
      </c>
      <c r="J59" t="str">
        <f t="shared" si="1"/>
        <v>Yes</v>
      </c>
      <c r="K59" t="str">
        <f t="shared" si="2"/>
        <v>Yes</v>
      </c>
      <c r="L59" s="203">
        <f>IF(AND('Total income package'!$A$16=TRUE,E59&lt;$J$2),$M$2,0)</f>
        <v>1551.75</v>
      </c>
      <c r="M59" s="179">
        <f>IF(AND('Total income package'!$A$16=TRUE,E59&lt;$L$2),$P$2,0)</f>
        <v>637</v>
      </c>
      <c r="N59" s="204">
        <f t="shared" si="8"/>
        <v>2188.75</v>
      </c>
    </row>
    <row r="60" spans="1:14" x14ac:dyDescent="0.3">
      <c r="A60" s="105">
        <v>25500</v>
      </c>
      <c r="B60" s="4">
        <f t="shared" si="0"/>
        <v>2125</v>
      </c>
      <c r="C60" s="4">
        <f>'Total income package'!$D$80</f>
        <v>0</v>
      </c>
      <c r="D60" s="4">
        <f t="shared" si="3"/>
        <v>2125</v>
      </c>
      <c r="E60" s="4">
        <f t="shared" si="4"/>
        <v>1963</v>
      </c>
      <c r="F60" t="str">
        <f t="shared" si="5"/>
        <v>No</v>
      </c>
      <c r="G60" t="str">
        <f t="shared" si="6"/>
        <v>Yes</v>
      </c>
      <c r="I60" t="str">
        <f t="shared" si="7"/>
        <v>Yes</v>
      </c>
      <c r="J60" t="str">
        <f t="shared" si="1"/>
        <v>Yes</v>
      </c>
      <c r="K60" t="str">
        <f t="shared" si="2"/>
        <v>Yes</v>
      </c>
      <c r="L60" s="203">
        <f>IF(AND('Total income package'!$A$16=TRUE,E60&lt;$J$2),$M$2,0)</f>
        <v>1551.75</v>
      </c>
      <c r="M60" s="179">
        <f>IF(AND('Total income package'!$A$16=TRUE,E60&lt;$L$2),$P$2,0)</f>
        <v>637</v>
      </c>
      <c r="N60" s="204">
        <f t="shared" si="8"/>
        <v>2188.75</v>
      </c>
    </row>
    <row r="61" spans="1:14" x14ac:dyDescent="0.3">
      <c r="A61" s="105">
        <v>26000</v>
      </c>
      <c r="B61" s="4">
        <f t="shared" si="0"/>
        <v>2166.6666666666665</v>
      </c>
      <c r="C61" s="4">
        <f>'Total income package'!$D$80</f>
        <v>0</v>
      </c>
      <c r="D61" s="4">
        <f t="shared" si="3"/>
        <v>2166.6666666666665</v>
      </c>
      <c r="E61" s="4">
        <f t="shared" si="4"/>
        <v>2004.6666666666665</v>
      </c>
      <c r="F61" t="str">
        <f t="shared" si="5"/>
        <v>No</v>
      </c>
      <c r="G61" t="str">
        <f t="shared" si="6"/>
        <v>Yes</v>
      </c>
      <c r="I61" t="str">
        <f t="shared" si="7"/>
        <v>Yes</v>
      </c>
      <c r="J61" t="str">
        <f t="shared" si="1"/>
        <v>Yes</v>
      </c>
      <c r="K61" t="str">
        <f t="shared" si="2"/>
        <v>Yes</v>
      </c>
      <c r="L61" s="203">
        <f>IF(AND('Total income package'!$A$16=TRUE,E61&lt;$J$2),$M$2,0)</f>
        <v>1551.75</v>
      </c>
      <c r="M61" s="179">
        <f>IF(AND('Total income package'!$A$16=TRUE,E61&lt;$L$2),$P$2,0)</f>
        <v>637</v>
      </c>
      <c r="N61" s="204">
        <f t="shared" si="8"/>
        <v>2188.75</v>
      </c>
    </row>
    <row r="62" spans="1:14" x14ac:dyDescent="0.3">
      <c r="A62" s="105">
        <v>26500</v>
      </c>
      <c r="B62" s="4">
        <f t="shared" si="0"/>
        <v>2208.3333333333335</v>
      </c>
      <c r="C62" s="4">
        <f>'Total income package'!$D$80</f>
        <v>0</v>
      </c>
      <c r="D62" s="4">
        <f t="shared" si="3"/>
        <v>2208.3333333333335</v>
      </c>
      <c r="E62" s="4">
        <f t="shared" si="4"/>
        <v>2046.3333333333335</v>
      </c>
      <c r="F62" t="str">
        <f t="shared" si="5"/>
        <v>No</v>
      </c>
      <c r="G62" t="str">
        <f t="shared" si="6"/>
        <v>Yes</v>
      </c>
      <c r="I62" t="str">
        <f t="shared" si="7"/>
        <v>Yes</v>
      </c>
      <c r="J62" t="str">
        <f t="shared" si="1"/>
        <v>Yes</v>
      </c>
      <c r="K62" t="str">
        <f t="shared" si="2"/>
        <v>Yes</v>
      </c>
      <c r="L62" s="203">
        <f>IF(AND('Total income package'!$A$16=TRUE,E62&lt;$J$2),$M$2,0)</f>
        <v>1551.75</v>
      </c>
      <c r="M62" s="179">
        <f>IF(AND('Total income package'!$A$16=TRUE,E62&lt;$L$2),$P$2,0)</f>
        <v>637</v>
      </c>
      <c r="N62" s="204">
        <f t="shared" si="8"/>
        <v>2188.75</v>
      </c>
    </row>
    <row r="63" spans="1:14" x14ac:dyDescent="0.3">
      <c r="A63" s="105">
        <v>27000</v>
      </c>
      <c r="B63" s="4">
        <f t="shared" si="0"/>
        <v>2250</v>
      </c>
      <c r="C63" s="4">
        <f>'Total income package'!$D$80</f>
        <v>0</v>
      </c>
      <c r="D63" s="4">
        <f t="shared" si="3"/>
        <v>2250</v>
      </c>
      <c r="E63" s="4">
        <f t="shared" si="4"/>
        <v>2088</v>
      </c>
      <c r="F63" t="str">
        <f t="shared" si="5"/>
        <v>No</v>
      </c>
      <c r="G63" t="str">
        <f t="shared" si="6"/>
        <v>Yes</v>
      </c>
      <c r="I63" t="str">
        <f t="shared" si="7"/>
        <v>Yes</v>
      </c>
      <c r="J63" t="str">
        <f t="shared" si="1"/>
        <v>Yes</v>
      </c>
      <c r="K63" t="str">
        <f t="shared" si="2"/>
        <v>Yes</v>
      </c>
      <c r="L63" s="203">
        <f>IF(AND('Total income package'!$A$16=TRUE,E63&lt;$J$2),$M$2,0)</f>
        <v>1551.75</v>
      </c>
      <c r="M63" s="179">
        <f>IF(AND('Total income package'!$A$16=TRUE,E63&lt;$L$2),$P$2,0)</f>
        <v>637</v>
      </c>
      <c r="N63" s="204">
        <f t="shared" si="8"/>
        <v>2188.75</v>
      </c>
    </row>
    <row r="64" spans="1:14" x14ac:dyDescent="0.3">
      <c r="A64" s="105">
        <v>27500</v>
      </c>
      <c r="B64" s="4">
        <f t="shared" si="0"/>
        <v>2291.6666666666665</v>
      </c>
      <c r="C64" s="4">
        <f>'Total income package'!$D$80</f>
        <v>0</v>
      </c>
      <c r="D64" s="4">
        <f t="shared" si="3"/>
        <v>2291.6666666666665</v>
      </c>
      <c r="E64" s="4">
        <f t="shared" si="4"/>
        <v>2129.6666666666665</v>
      </c>
      <c r="F64" t="str">
        <f t="shared" si="5"/>
        <v>No</v>
      </c>
      <c r="G64" t="str">
        <f t="shared" si="6"/>
        <v>Yes</v>
      </c>
      <c r="I64" t="str">
        <f t="shared" si="7"/>
        <v>Yes</v>
      </c>
      <c r="J64" t="str">
        <f t="shared" si="1"/>
        <v>Yes</v>
      </c>
      <c r="K64" t="str">
        <f t="shared" si="2"/>
        <v>Yes</v>
      </c>
      <c r="L64" s="203">
        <f>IF(AND('Total income package'!$A$16=TRUE,E64&lt;$J$2),$M$2,0)</f>
        <v>1551.75</v>
      </c>
      <c r="M64" s="179">
        <f>IF(AND('Total income package'!$A$16=TRUE,E64&lt;$L$2),$P$2,0)</f>
        <v>637</v>
      </c>
      <c r="N64" s="204">
        <f t="shared" si="8"/>
        <v>2188.75</v>
      </c>
    </row>
    <row r="65" spans="1:14" x14ac:dyDescent="0.3">
      <c r="A65" s="105">
        <v>28000</v>
      </c>
      <c r="B65" s="4">
        <f t="shared" si="0"/>
        <v>2333.3333333333335</v>
      </c>
      <c r="C65" s="4">
        <f>'Total income package'!$D$80</f>
        <v>0</v>
      </c>
      <c r="D65" s="4">
        <f t="shared" si="3"/>
        <v>2333.3333333333335</v>
      </c>
      <c r="E65" s="4">
        <f t="shared" si="4"/>
        <v>2171.3333333333335</v>
      </c>
      <c r="F65" t="str">
        <f t="shared" si="5"/>
        <v>No</v>
      </c>
      <c r="G65" t="str">
        <f t="shared" si="6"/>
        <v>Yes</v>
      </c>
      <c r="I65" t="str">
        <f t="shared" si="7"/>
        <v>Yes</v>
      </c>
      <c r="J65" t="str">
        <f t="shared" si="1"/>
        <v>Yes</v>
      </c>
      <c r="K65" t="str">
        <f t="shared" si="2"/>
        <v>Yes</v>
      </c>
      <c r="L65" s="203">
        <f>IF(AND('Total income package'!$A$16=TRUE,E65&lt;$J$2),$M$2,0)</f>
        <v>1551.75</v>
      </c>
      <c r="M65" s="179">
        <f>IF(AND('Total income package'!$A$16=TRUE,E65&lt;$L$2),$P$2,0)</f>
        <v>637</v>
      </c>
      <c r="N65" s="204">
        <f t="shared" si="8"/>
        <v>2188.75</v>
      </c>
    </row>
    <row r="66" spans="1:14" x14ac:dyDescent="0.3">
      <c r="A66" s="105">
        <v>28500</v>
      </c>
      <c r="B66" s="4">
        <f t="shared" si="0"/>
        <v>2375</v>
      </c>
      <c r="C66" s="4">
        <f>'Total income package'!$D$80</f>
        <v>0</v>
      </c>
      <c r="D66" s="4">
        <f t="shared" si="3"/>
        <v>2375</v>
      </c>
      <c r="E66" s="4">
        <f t="shared" si="4"/>
        <v>2213</v>
      </c>
      <c r="F66" t="str">
        <f t="shared" si="5"/>
        <v>No</v>
      </c>
      <c r="G66" t="str">
        <f t="shared" si="6"/>
        <v>Yes</v>
      </c>
      <c r="I66" t="str">
        <f t="shared" si="7"/>
        <v>Yes</v>
      </c>
      <c r="J66" t="str">
        <f t="shared" si="1"/>
        <v>Yes</v>
      </c>
      <c r="K66" t="str">
        <f t="shared" si="2"/>
        <v>Yes</v>
      </c>
      <c r="L66" s="203">
        <f>IF(AND('Total income package'!$A$16=TRUE,E66&lt;$J$2),$M$2,0)</f>
        <v>1551.75</v>
      </c>
      <c r="M66" s="179">
        <f>IF(AND('Total income package'!$A$16=TRUE,E66&lt;$L$2),$P$2,0)</f>
        <v>637</v>
      </c>
      <c r="N66" s="204">
        <f t="shared" si="8"/>
        <v>2188.75</v>
      </c>
    </row>
    <row r="67" spans="1:14" x14ac:dyDescent="0.3">
      <c r="A67" s="105">
        <v>29000</v>
      </c>
      <c r="B67" s="4">
        <f t="shared" si="0"/>
        <v>2416.6666666666665</v>
      </c>
      <c r="C67" s="4">
        <f>'Total income package'!$D$80</f>
        <v>0</v>
      </c>
      <c r="D67" s="4">
        <f t="shared" si="3"/>
        <v>2416.6666666666665</v>
      </c>
      <c r="E67" s="4">
        <f t="shared" si="4"/>
        <v>2254.6666666666665</v>
      </c>
      <c r="F67" t="str">
        <f t="shared" si="5"/>
        <v>No</v>
      </c>
      <c r="G67" t="str">
        <f t="shared" si="6"/>
        <v>Yes</v>
      </c>
      <c r="I67" t="str">
        <f t="shared" si="7"/>
        <v>Yes</v>
      </c>
      <c r="J67" t="str">
        <f t="shared" si="1"/>
        <v>Yes</v>
      </c>
      <c r="K67" t="str">
        <f t="shared" si="2"/>
        <v>Yes</v>
      </c>
      <c r="L67" s="203">
        <f>IF(AND('Total income package'!$A$16=TRUE,E67&lt;$J$2),$M$2,0)</f>
        <v>1551.75</v>
      </c>
      <c r="M67" s="179">
        <f>IF(AND('Total income package'!$A$16=TRUE,E67&lt;$L$2),$P$2,0)</f>
        <v>637</v>
      </c>
      <c r="N67" s="204">
        <f t="shared" si="8"/>
        <v>2188.75</v>
      </c>
    </row>
    <row r="68" spans="1:14" x14ac:dyDescent="0.3">
      <c r="A68" s="105">
        <v>29500</v>
      </c>
      <c r="B68" s="4">
        <f t="shared" si="0"/>
        <v>2458.3333333333335</v>
      </c>
      <c r="C68" s="4">
        <f>'Total income package'!$D$80</f>
        <v>0</v>
      </c>
      <c r="D68" s="4">
        <f t="shared" si="3"/>
        <v>2458.3333333333335</v>
      </c>
      <c r="E68" s="4">
        <f t="shared" si="4"/>
        <v>2296.3333333333335</v>
      </c>
      <c r="F68" t="str">
        <f t="shared" si="5"/>
        <v>No</v>
      </c>
      <c r="G68" t="str">
        <f t="shared" si="6"/>
        <v>Yes</v>
      </c>
      <c r="I68" t="str">
        <f t="shared" si="7"/>
        <v>Yes</v>
      </c>
      <c r="J68" t="str">
        <f t="shared" si="1"/>
        <v>Yes</v>
      </c>
      <c r="K68" t="str">
        <f t="shared" si="2"/>
        <v>Yes</v>
      </c>
      <c r="L68" s="203">
        <f>IF(AND('Total income package'!$A$16=TRUE,E68&lt;$J$2),$M$2,0)</f>
        <v>1551.75</v>
      </c>
      <c r="M68" s="179">
        <f>IF(AND('Total income package'!$A$16=TRUE,E68&lt;$L$2),$P$2,0)</f>
        <v>637</v>
      </c>
      <c r="N68" s="204">
        <f t="shared" si="8"/>
        <v>2188.75</v>
      </c>
    </row>
    <row r="69" spans="1:14" x14ac:dyDescent="0.3">
      <c r="A69" s="105">
        <v>30000</v>
      </c>
      <c r="B69" s="4">
        <f t="shared" si="0"/>
        <v>2500</v>
      </c>
      <c r="C69" s="4">
        <f>'Total income package'!$D$80</f>
        <v>0</v>
      </c>
      <c r="D69" s="4">
        <f t="shared" si="3"/>
        <v>2500</v>
      </c>
      <c r="E69" s="4">
        <f t="shared" si="4"/>
        <v>2338</v>
      </c>
      <c r="F69" t="str">
        <f t="shared" si="5"/>
        <v>No</v>
      </c>
      <c r="G69" t="str">
        <f t="shared" si="6"/>
        <v>Yes</v>
      </c>
      <c r="I69" t="str">
        <f t="shared" si="7"/>
        <v>Yes</v>
      </c>
      <c r="J69" t="str">
        <f t="shared" si="1"/>
        <v>Yes</v>
      </c>
      <c r="K69" t="str">
        <f t="shared" si="2"/>
        <v>Yes</v>
      </c>
      <c r="L69" s="203">
        <f>IF(AND('Total income package'!$A$16=TRUE,E69&lt;$J$2),$M$2,0)</f>
        <v>1551.75</v>
      </c>
      <c r="M69" s="179">
        <f>IF(AND('Total income package'!$A$16=TRUE,E69&lt;$L$2),$P$2,0)</f>
        <v>637</v>
      </c>
      <c r="N69" s="204">
        <f t="shared" si="8"/>
        <v>2188.75</v>
      </c>
    </row>
    <row r="70" spans="1:14" x14ac:dyDescent="0.3">
      <c r="A70" s="105">
        <v>30500</v>
      </c>
      <c r="B70" s="4">
        <f t="shared" si="0"/>
        <v>2541.6666666666665</v>
      </c>
      <c r="C70" s="4">
        <f>'Total income package'!$D$80</f>
        <v>0</v>
      </c>
      <c r="D70" s="4">
        <f t="shared" si="3"/>
        <v>2541.6666666666665</v>
      </c>
      <c r="E70" s="4">
        <f t="shared" si="4"/>
        <v>2379.6666666666665</v>
      </c>
      <c r="F70" t="str">
        <f t="shared" si="5"/>
        <v>No</v>
      </c>
      <c r="G70" t="str">
        <f t="shared" si="6"/>
        <v>Yes</v>
      </c>
      <c r="I70" t="str">
        <f t="shared" si="7"/>
        <v>Yes</v>
      </c>
      <c r="J70" t="str">
        <f t="shared" si="1"/>
        <v>Yes</v>
      </c>
      <c r="K70" t="str">
        <f t="shared" si="2"/>
        <v>Yes</v>
      </c>
      <c r="L70" s="203">
        <f>IF(AND('Total income package'!$A$16=TRUE,E70&lt;$J$2),$M$2,0)</f>
        <v>1551.75</v>
      </c>
      <c r="M70" s="179">
        <f>IF(AND('Total income package'!$A$16=TRUE,E70&lt;$L$2),$P$2,0)</f>
        <v>637</v>
      </c>
      <c r="N70" s="204">
        <f t="shared" si="8"/>
        <v>2188.75</v>
      </c>
    </row>
    <row r="71" spans="1:14" x14ac:dyDescent="0.3">
      <c r="A71" s="105">
        <v>31000</v>
      </c>
      <c r="B71" s="4">
        <f t="shared" si="0"/>
        <v>2583.3333333333335</v>
      </c>
      <c r="C71" s="4">
        <f>'Total income package'!$D$80</f>
        <v>0</v>
      </c>
      <c r="D71" s="4">
        <f t="shared" si="3"/>
        <v>2583.3333333333335</v>
      </c>
      <c r="E71" s="4">
        <f t="shared" si="4"/>
        <v>2421.3333333333335</v>
      </c>
      <c r="F71" t="str">
        <f t="shared" si="5"/>
        <v>No</v>
      </c>
      <c r="G71" t="str">
        <f t="shared" si="6"/>
        <v>Yes</v>
      </c>
      <c r="I71" t="str">
        <f t="shared" si="7"/>
        <v>Yes</v>
      </c>
      <c r="J71" t="str">
        <f t="shared" si="1"/>
        <v>Yes</v>
      </c>
      <c r="K71" t="str">
        <f t="shared" si="2"/>
        <v>Yes</v>
      </c>
      <c r="L71" s="203">
        <f>IF(AND('Total income package'!$A$16=TRUE,E71&lt;$J$2),$M$2,0)</f>
        <v>1551.75</v>
      </c>
      <c r="M71" s="179">
        <f>IF(AND('Total income package'!$A$16=TRUE,E71&lt;$L$2),$P$2,0)</f>
        <v>637</v>
      </c>
      <c r="N71" s="204">
        <f t="shared" si="8"/>
        <v>2188.75</v>
      </c>
    </row>
    <row r="72" spans="1:14" x14ac:dyDescent="0.3">
      <c r="A72" s="105">
        <v>31500</v>
      </c>
      <c r="B72" s="4">
        <f t="shared" si="0"/>
        <v>2625</v>
      </c>
      <c r="C72" s="4">
        <f>'Total income package'!$D$80</f>
        <v>0</v>
      </c>
      <c r="D72" s="4">
        <f t="shared" si="3"/>
        <v>2625</v>
      </c>
      <c r="E72" s="4">
        <f t="shared" si="4"/>
        <v>2463</v>
      </c>
      <c r="F72" t="str">
        <f t="shared" si="5"/>
        <v>No</v>
      </c>
      <c r="G72" t="str">
        <f t="shared" si="6"/>
        <v>Yes</v>
      </c>
      <c r="I72" t="str">
        <f t="shared" si="7"/>
        <v>Yes</v>
      </c>
      <c r="J72" t="str">
        <f t="shared" si="1"/>
        <v>Yes</v>
      </c>
      <c r="K72" t="str">
        <f t="shared" si="2"/>
        <v>Yes</v>
      </c>
      <c r="L72" s="203">
        <f>IF(AND('Total income package'!$A$16=TRUE,E72&lt;$J$2),$M$2,0)</f>
        <v>1551.75</v>
      </c>
      <c r="M72" s="179">
        <f>IF(AND('Total income package'!$A$16=TRUE,E72&lt;$L$2),$P$2,0)</f>
        <v>637</v>
      </c>
      <c r="N72" s="204">
        <f t="shared" si="8"/>
        <v>2188.75</v>
      </c>
    </row>
    <row r="73" spans="1:14" x14ac:dyDescent="0.3">
      <c r="A73" s="105">
        <v>32000</v>
      </c>
      <c r="B73" s="4">
        <f t="shared" si="0"/>
        <v>2666.6666666666665</v>
      </c>
      <c r="C73" s="4">
        <f>'Total income package'!$D$80</f>
        <v>0</v>
      </c>
      <c r="D73" s="4">
        <f t="shared" si="3"/>
        <v>2666.6666666666665</v>
      </c>
      <c r="E73" s="4">
        <f t="shared" si="4"/>
        <v>2504.6666666666665</v>
      </c>
      <c r="F73" t="str">
        <f t="shared" si="5"/>
        <v>No</v>
      </c>
      <c r="G73" t="str">
        <f t="shared" si="6"/>
        <v>Yes</v>
      </c>
      <c r="I73" t="str">
        <f t="shared" si="7"/>
        <v>Yes</v>
      </c>
      <c r="J73" t="str">
        <f t="shared" ref="J73:J136" si="9">IF(E73&lt;$K$2,"Yes","No")</f>
        <v>Yes</v>
      </c>
      <c r="K73" t="str">
        <f t="shared" ref="K73:K136" si="10">IF(E73&lt;$L$2,"Yes","No")</f>
        <v>Yes</v>
      </c>
      <c r="L73" s="203">
        <f>IF(AND('Total income package'!$A$16=TRUE,E73&lt;$J$2),$M$2,0)</f>
        <v>1551.75</v>
      </c>
      <c r="M73" s="179">
        <f>IF(AND('Total income package'!$A$16=TRUE,E73&lt;$L$2),$P$2,0)</f>
        <v>637</v>
      </c>
      <c r="N73" s="204">
        <f t="shared" si="8"/>
        <v>2188.75</v>
      </c>
    </row>
    <row r="74" spans="1:14" x14ac:dyDescent="0.3">
      <c r="A74" s="105">
        <v>32500</v>
      </c>
      <c r="B74" s="4">
        <f t="shared" si="0"/>
        <v>2708.3333333333335</v>
      </c>
      <c r="C74" s="4">
        <f>'Total income package'!$D$80</f>
        <v>0</v>
      </c>
      <c r="D74" s="4">
        <f t="shared" ref="D74:D137" si="11">B74+C74</f>
        <v>2708.3333333333335</v>
      </c>
      <c r="E74" s="4">
        <f t="shared" ref="E74:E137" si="12">IF(D74-$H$2&lt;0,0,D74-$H$2)</f>
        <v>2546.3333333333335</v>
      </c>
      <c r="F74" t="str">
        <f t="shared" ref="F74:F137" si="13">IF(E74&lt;$I$2,"Yes","No")</f>
        <v>No</v>
      </c>
      <c r="G74" t="str">
        <f t="shared" ref="G74:G137" si="14">IF(E74&lt;$J$2,"Yes","No")</f>
        <v>Yes</v>
      </c>
      <c r="I74" t="str">
        <f t="shared" ref="I74:I137" si="15">IF($E$2&gt;0,"Yes","No")</f>
        <v>Yes</v>
      </c>
      <c r="J74" t="str">
        <f t="shared" si="9"/>
        <v>Yes</v>
      </c>
      <c r="K74" t="str">
        <f t="shared" si="10"/>
        <v>Yes</v>
      </c>
      <c r="L74" s="203">
        <f>IF(AND('Total income package'!$A$16=TRUE,E74&lt;$J$2),$M$2,0)</f>
        <v>1551.75</v>
      </c>
      <c r="M74" s="179">
        <f>IF(AND('Total income package'!$A$16=TRUE,E74&lt;$L$2),$P$2,0)</f>
        <v>637</v>
      </c>
      <c r="N74" s="204">
        <f t="shared" ref="N74:N137" si="16">L74+M74</f>
        <v>2188.75</v>
      </c>
    </row>
    <row r="75" spans="1:14" x14ac:dyDescent="0.3">
      <c r="A75" s="105">
        <v>33000</v>
      </c>
      <c r="B75" s="4">
        <f t="shared" ref="B75:B138" si="17">A75/12</f>
        <v>2750</v>
      </c>
      <c r="C75" s="4">
        <f>'Total income package'!$D$80</f>
        <v>0</v>
      </c>
      <c r="D75" s="4">
        <f t="shared" si="11"/>
        <v>2750</v>
      </c>
      <c r="E75" s="4">
        <f t="shared" si="12"/>
        <v>2588</v>
      </c>
      <c r="F75" t="str">
        <f t="shared" si="13"/>
        <v>No</v>
      </c>
      <c r="G75" t="str">
        <f t="shared" si="14"/>
        <v>Yes</v>
      </c>
      <c r="I75" t="str">
        <f t="shared" si="15"/>
        <v>Yes</v>
      </c>
      <c r="J75" t="str">
        <f t="shared" si="9"/>
        <v>Yes</v>
      </c>
      <c r="K75" t="str">
        <f t="shared" si="10"/>
        <v>Yes</v>
      </c>
      <c r="L75" s="203">
        <f>IF(AND('Total income package'!$A$16=TRUE,E75&lt;$J$2),$M$2,0)</f>
        <v>1551.75</v>
      </c>
      <c r="M75" s="179">
        <f>IF(AND('Total income package'!$A$16=TRUE,E75&lt;$L$2),$P$2,0)</f>
        <v>637</v>
      </c>
      <c r="N75" s="204">
        <f t="shared" si="16"/>
        <v>2188.75</v>
      </c>
    </row>
    <row r="76" spans="1:14" x14ac:dyDescent="0.3">
      <c r="A76" s="105">
        <v>33500</v>
      </c>
      <c r="B76" s="4">
        <f t="shared" si="17"/>
        <v>2791.6666666666665</v>
      </c>
      <c r="C76" s="4">
        <f>'Total income package'!$D$80</f>
        <v>0</v>
      </c>
      <c r="D76" s="4">
        <f t="shared" si="11"/>
        <v>2791.6666666666665</v>
      </c>
      <c r="E76" s="4">
        <f t="shared" si="12"/>
        <v>2629.6666666666665</v>
      </c>
      <c r="F76" t="str">
        <f t="shared" si="13"/>
        <v>No</v>
      </c>
      <c r="G76" t="str">
        <f t="shared" si="14"/>
        <v>Yes</v>
      </c>
      <c r="I76" t="str">
        <f t="shared" si="15"/>
        <v>Yes</v>
      </c>
      <c r="J76" t="str">
        <f t="shared" si="9"/>
        <v>Yes</v>
      </c>
      <c r="K76" t="str">
        <f t="shared" si="10"/>
        <v>Yes</v>
      </c>
      <c r="L76" s="203">
        <f>IF(AND('Total income package'!$A$16=TRUE,E76&lt;$J$2),$M$2,0)</f>
        <v>1551.75</v>
      </c>
      <c r="M76" s="179">
        <f>IF(AND('Total income package'!$A$16=TRUE,E76&lt;$L$2),$P$2,0)</f>
        <v>637</v>
      </c>
      <c r="N76" s="204">
        <f t="shared" si="16"/>
        <v>2188.75</v>
      </c>
    </row>
    <row r="77" spans="1:14" x14ac:dyDescent="0.3">
      <c r="A77" s="105">
        <v>34000</v>
      </c>
      <c r="B77" s="4">
        <f t="shared" si="17"/>
        <v>2833.3333333333335</v>
      </c>
      <c r="C77" s="4">
        <f>'Total income package'!$D$80</f>
        <v>0</v>
      </c>
      <c r="D77" s="4">
        <f t="shared" si="11"/>
        <v>2833.3333333333335</v>
      </c>
      <c r="E77" s="4">
        <f t="shared" si="12"/>
        <v>2671.3333333333335</v>
      </c>
      <c r="F77" t="str">
        <f t="shared" si="13"/>
        <v>No</v>
      </c>
      <c r="G77" t="str">
        <f t="shared" si="14"/>
        <v>Yes</v>
      </c>
      <c r="I77" t="str">
        <f t="shared" si="15"/>
        <v>Yes</v>
      </c>
      <c r="J77" t="str">
        <f t="shared" si="9"/>
        <v>Yes</v>
      </c>
      <c r="K77" t="str">
        <f t="shared" si="10"/>
        <v>Yes</v>
      </c>
      <c r="L77" s="203">
        <f>IF(AND('Total income package'!$A$16=TRUE,E77&lt;$J$2),$M$2,0)</f>
        <v>1551.75</v>
      </c>
      <c r="M77" s="179">
        <f>IF(AND('Total income package'!$A$16=TRUE,E77&lt;$L$2),$P$2,0)</f>
        <v>637</v>
      </c>
      <c r="N77" s="204">
        <f t="shared" si="16"/>
        <v>2188.75</v>
      </c>
    </row>
    <row r="78" spans="1:14" x14ac:dyDescent="0.3">
      <c r="A78" s="105">
        <v>34500</v>
      </c>
      <c r="B78" s="4">
        <f t="shared" si="17"/>
        <v>2875</v>
      </c>
      <c r="C78" s="4">
        <f>'Total income package'!$D$80</f>
        <v>0</v>
      </c>
      <c r="D78" s="4">
        <f t="shared" si="11"/>
        <v>2875</v>
      </c>
      <c r="E78" s="4">
        <f t="shared" si="12"/>
        <v>2713</v>
      </c>
      <c r="F78" t="str">
        <f t="shared" si="13"/>
        <v>No</v>
      </c>
      <c r="G78" t="str">
        <f t="shared" si="14"/>
        <v>Yes</v>
      </c>
      <c r="I78" t="str">
        <f t="shared" si="15"/>
        <v>Yes</v>
      </c>
      <c r="J78" t="str">
        <f t="shared" si="9"/>
        <v>Yes</v>
      </c>
      <c r="K78" t="str">
        <f t="shared" si="10"/>
        <v>Yes</v>
      </c>
      <c r="L78" s="203">
        <f>IF(AND('Total income package'!$A$16=TRUE,E78&lt;$J$2),$M$2,0)</f>
        <v>1551.75</v>
      </c>
      <c r="M78" s="179">
        <f>IF(AND('Total income package'!$A$16=TRUE,E78&lt;$L$2),$P$2,0)</f>
        <v>637</v>
      </c>
      <c r="N78" s="204">
        <f t="shared" si="16"/>
        <v>2188.75</v>
      </c>
    </row>
    <row r="79" spans="1:14" x14ac:dyDescent="0.3">
      <c r="A79" s="105">
        <v>35000</v>
      </c>
      <c r="B79" s="4">
        <f t="shared" si="17"/>
        <v>2916.6666666666665</v>
      </c>
      <c r="C79" s="4">
        <f>'Total income package'!$D$80</f>
        <v>0</v>
      </c>
      <c r="D79" s="4">
        <f t="shared" si="11"/>
        <v>2916.6666666666665</v>
      </c>
      <c r="E79" s="4">
        <f t="shared" si="12"/>
        <v>2754.6666666666665</v>
      </c>
      <c r="F79" t="str">
        <f t="shared" si="13"/>
        <v>No</v>
      </c>
      <c r="G79" t="str">
        <f t="shared" si="14"/>
        <v>Yes</v>
      </c>
      <c r="I79" t="str">
        <f t="shared" si="15"/>
        <v>Yes</v>
      </c>
      <c r="J79" t="str">
        <f t="shared" si="9"/>
        <v>Yes</v>
      </c>
      <c r="K79" t="str">
        <f t="shared" si="10"/>
        <v>Yes</v>
      </c>
      <c r="L79" s="203">
        <f>IF(AND('Total income package'!$A$16=TRUE,E79&lt;$J$2),$M$2,0)</f>
        <v>1551.75</v>
      </c>
      <c r="M79" s="179">
        <f>IF(AND('Total income package'!$A$16=TRUE,E79&lt;$L$2),$P$2,0)</f>
        <v>637</v>
      </c>
      <c r="N79" s="204">
        <f t="shared" si="16"/>
        <v>2188.75</v>
      </c>
    </row>
    <row r="80" spans="1:14" x14ac:dyDescent="0.3">
      <c r="A80" s="105">
        <v>35500</v>
      </c>
      <c r="B80" s="4">
        <f t="shared" si="17"/>
        <v>2958.3333333333335</v>
      </c>
      <c r="C80" s="4">
        <f>'Total income package'!$D$80</f>
        <v>0</v>
      </c>
      <c r="D80" s="4">
        <f t="shared" si="11"/>
        <v>2958.3333333333335</v>
      </c>
      <c r="E80" s="4">
        <f t="shared" si="12"/>
        <v>2796.3333333333335</v>
      </c>
      <c r="F80" t="str">
        <f t="shared" si="13"/>
        <v>No</v>
      </c>
      <c r="G80" t="str">
        <f t="shared" si="14"/>
        <v>Yes</v>
      </c>
      <c r="I80" t="str">
        <f t="shared" si="15"/>
        <v>Yes</v>
      </c>
      <c r="J80" t="str">
        <f t="shared" si="9"/>
        <v>Yes</v>
      </c>
      <c r="K80" t="str">
        <f t="shared" si="10"/>
        <v>Yes</v>
      </c>
      <c r="L80" s="203">
        <f>IF(AND('Total income package'!$A$16=TRUE,E80&lt;$J$2),$M$2,0)</f>
        <v>1551.75</v>
      </c>
      <c r="M80" s="179">
        <f>IF(AND('Total income package'!$A$16=TRUE,E80&lt;$L$2),$P$2,0)</f>
        <v>637</v>
      </c>
      <c r="N80" s="204">
        <f t="shared" si="16"/>
        <v>2188.75</v>
      </c>
    </row>
    <row r="81" spans="1:14" x14ac:dyDescent="0.3">
      <c r="A81" s="105">
        <v>36000</v>
      </c>
      <c r="B81" s="4">
        <f t="shared" si="17"/>
        <v>3000</v>
      </c>
      <c r="C81" s="4">
        <f>'Total income package'!$D$80</f>
        <v>0</v>
      </c>
      <c r="D81" s="4">
        <f t="shared" si="11"/>
        <v>3000</v>
      </c>
      <c r="E81" s="4">
        <f t="shared" si="12"/>
        <v>2838</v>
      </c>
      <c r="F81" t="str">
        <f t="shared" si="13"/>
        <v>No</v>
      </c>
      <c r="G81" t="str">
        <f t="shared" si="14"/>
        <v>Yes</v>
      </c>
      <c r="I81" t="str">
        <f t="shared" si="15"/>
        <v>Yes</v>
      </c>
      <c r="J81" t="str">
        <f t="shared" si="9"/>
        <v>Yes</v>
      </c>
      <c r="K81" t="str">
        <f t="shared" si="10"/>
        <v>Yes</v>
      </c>
      <c r="L81" s="203">
        <f>IF(AND('Total income package'!$A$16=TRUE,E81&lt;$J$2),$M$2,0)</f>
        <v>1551.75</v>
      </c>
      <c r="M81" s="179">
        <f>IF(AND('Total income package'!$A$16=TRUE,E81&lt;$L$2),$P$2,0)</f>
        <v>637</v>
      </c>
      <c r="N81" s="204">
        <f t="shared" si="16"/>
        <v>2188.75</v>
      </c>
    </row>
    <row r="82" spans="1:14" x14ac:dyDescent="0.3">
      <c r="A82" s="105">
        <v>36500</v>
      </c>
      <c r="B82" s="4">
        <f t="shared" si="17"/>
        <v>3041.6666666666665</v>
      </c>
      <c r="C82" s="4">
        <f>'Total income package'!$D$80</f>
        <v>0</v>
      </c>
      <c r="D82" s="4">
        <f t="shared" si="11"/>
        <v>3041.6666666666665</v>
      </c>
      <c r="E82" s="4">
        <f t="shared" si="12"/>
        <v>2879.6666666666665</v>
      </c>
      <c r="F82" t="str">
        <f t="shared" si="13"/>
        <v>No</v>
      </c>
      <c r="G82" t="str">
        <f t="shared" si="14"/>
        <v>Yes</v>
      </c>
      <c r="I82" t="str">
        <f t="shared" si="15"/>
        <v>Yes</v>
      </c>
      <c r="J82" t="str">
        <f t="shared" si="9"/>
        <v>Yes</v>
      </c>
      <c r="K82" t="str">
        <f t="shared" si="10"/>
        <v>Yes</v>
      </c>
      <c r="L82" s="203">
        <f>IF(AND('Total income package'!$A$16=TRUE,E82&lt;$J$2),$M$2,0)</f>
        <v>1551.75</v>
      </c>
      <c r="M82" s="179">
        <f>IF(AND('Total income package'!$A$16=TRUE,E82&lt;$L$2),$P$2,0)</f>
        <v>637</v>
      </c>
      <c r="N82" s="204">
        <f t="shared" si="16"/>
        <v>2188.75</v>
      </c>
    </row>
    <row r="83" spans="1:14" x14ac:dyDescent="0.3">
      <c r="A83" s="105">
        <v>37000</v>
      </c>
      <c r="B83" s="4">
        <f t="shared" si="17"/>
        <v>3083.3333333333335</v>
      </c>
      <c r="C83" s="4">
        <f>'Total income package'!$D$80</f>
        <v>0</v>
      </c>
      <c r="D83" s="4">
        <f t="shared" si="11"/>
        <v>3083.3333333333335</v>
      </c>
      <c r="E83" s="4">
        <f t="shared" si="12"/>
        <v>2921.3333333333335</v>
      </c>
      <c r="F83" t="str">
        <f t="shared" si="13"/>
        <v>No</v>
      </c>
      <c r="G83" t="str">
        <f t="shared" si="14"/>
        <v>Yes</v>
      </c>
      <c r="I83" t="str">
        <f t="shared" si="15"/>
        <v>Yes</v>
      </c>
      <c r="J83" t="str">
        <f t="shared" si="9"/>
        <v>Yes</v>
      </c>
      <c r="K83" t="str">
        <f t="shared" si="10"/>
        <v>Yes</v>
      </c>
      <c r="L83" s="203">
        <f>IF(AND('Total income package'!$A$16=TRUE,E83&lt;$J$2),$M$2,0)</f>
        <v>1551.75</v>
      </c>
      <c r="M83" s="179">
        <f>IF(AND('Total income package'!$A$16=TRUE,E83&lt;$L$2),$P$2,0)</f>
        <v>637</v>
      </c>
      <c r="N83" s="204">
        <f t="shared" si="16"/>
        <v>2188.75</v>
      </c>
    </row>
    <row r="84" spans="1:14" x14ac:dyDescent="0.3">
      <c r="A84" s="105">
        <v>37500</v>
      </c>
      <c r="B84" s="4">
        <f t="shared" si="17"/>
        <v>3125</v>
      </c>
      <c r="C84" s="4">
        <f>'Total income package'!$D$80</f>
        <v>0</v>
      </c>
      <c r="D84" s="4">
        <f t="shared" si="11"/>
        <v>3125</v>
      </c>
      <c r="E84" s="4">
        <f t="shared" si="12"/>
        <v>2963</v>
      </c>
      <c r="F84" t="str">
        <f t="shared" si="13"/>
        <v>No</v>
      </c>
      <c r="G84" t="str">
        <f t="shared" si="14"/>
        <v>Yes</v>
      </c>
      <c r="I84" t="str">
        <f t="shared" si="15"/>
        <v>Yes</v>
      </c>
      <c r="J84" t="str">
        <f t="shared" si="9"/>
        <v>Yes</v>
      </c>
      <c r="K84" t="str">
        <f t="shared" si="10"/>
        <v>Yes</v>
      </c>
      <c r="L84" s="203">
        <f>IF(AND('Total income package'!$A$16=TRUE,E84&lt;$J$2),$M$2,0)</f>
        <v>1551.75</v>
      </c>
      <c r="M84" s="179">
        <f>IF(AND('Total income package'!$A$16=TRUE,E84&lt;$L$2),$P$2,0)</f>
        <v>637</v>
      </c>
      <c r="N84" s="204">
        <f t="shared" si="16"/>
        <v>2188.75</v>
      </c>
    </row>
    <row r="85" spans="1:14" x14ac:dyDescent="0.3">
      <c r="A85" s="105">
        <v>38000</v>
      </c>
      <c r="B85" s="4">
        <f t="shared" si="17"/>
        <v>3166.6666666666665</v>
      </c>
      <c r="C85" s="4">
        <f>'Total income package'!$D$80</f>
        <v>0</v>
      </c>
      <c r="D85" s="4">
        <f t="shared" si="11"/>
        <v>3166.6666666666665</v>
      </c>
      <c r="E85" s="4">
        <f t="shared" si="12"/>
        <v>3004.6666666666665</v>
      </c>
      <c r="F85" t="str">
        <f t="shared" si="13"/>
        <v>No</v>
      </c>
      <c r="G85" t="str">
        <f t="shared" si="14"/>
        <v>Yes</v>
      </c>
      <c r="I85" t="str">
        <f t="shared" si="15"/>
        <v>Yes</v>
      </c>
      <c r="J85" t="str">
        <f t="shared" si="9"/>
        <v>Yes</v>
      </c>
      <c r="K85" t="str">
        <f t="shared" si="10"/>
        <v>Yes</v>
      </c>
      <c r="L85" s="203">
        <f>IF(AND('Total income package'!$A$16=TRUE,E85&lt;$J$2),$M$2,0)</f>
        <v>1551.75</v>
      </c>
      <c r="M85" s="179">
        <f>IF(AND('Total income package'!$A$16=TRUE,E85&lt;$L$2),$P$2,0)</f>
        <v>637</v>
      </c>
      <c r="N85" s="204">
        <f t="shared" si="16"/>
        <v>2188.75</v>
      </c>
    </row>
    <row r="86" spans="1:14" x14ac:dyDescent="0.3">
      <c r="A86" s="105">
        <v>38500</v>
      </c>
      <c r="B86" s="4">
        <f t="shared" si="17"/>
        <v>3208.3333333333335</v>
      </c>
      <c r="C86" s="4">
        <f>'Total income package'!$D$80</f>
        <v>0</v>
      </c>
      <c r="D86" s="4">
        <f t="shared" si="11"/>
        <v>3208.3333333333335</v>
      </c>
      <c r="E86" s="4">
        <f t="shared" si="12"/>
        <v>3046.3333333333335</v>
      </c>
      <c r="F86" t="str">
        <f t="shared" si="13"/>
        <v>No</v>
      </c>
      <c r="G86" t="str">
        <f t="shared" si="14"/>
        <v>Yes</v>
      </c>
      <c r="I86" t="str">
        <f t="shared" si="15"/>
        <v>Yes</v>
      </c>
      <c r="J86" t="str">
        <f t="shared" si="9"/>
        <v>Yes</v>
      </c>
      <c r="K86" t="str">
        <f t="shared" si="10"/>
        <v>Yes</v>
      </c>
      <c r="L86" s="203">
        <f>IF(AND('Total income package'!$A$16=TRUE,E86&lt;$J$2),$M$2,0)</f>
        <v>1551.75</v>
      </c>
      <c r="M86" s="179">
        <f>IF(AND('Total income package'!$A$16=TRUE,E86&lt;$L$2),$P$2,0)</f>
        <v>637</v>
      </c>
      <c r="N86" s="204">
        <f t="shared" si="16"/>
        <v>2188.75</v>
      </c>
    </row>
    <row r="87" spans="1:14" x14ac:dyDescent="0.3">
      <c r="A87" s="105">
        <v>39000</v>
      </c>
      <c r="B87" s="4">
        <f t="shared" si="17"/>
        <v>3250</v>
      </c>
      <c r="C87" s="4">
        <f>'Total income package'!$D$80</f>
        <v>0</v>
      </c>
      <c r="D87" s="4">
        <f t="shared" si="11"/>
        <v>3250</v>
      </c>
      <c r="E87" s="4">
        <f t="shared" si="12"/>
        <v>3088</v>
      </c>
      <c r="F87" t="str">
        <f t="shared" si="13"/>
        <v>No</v>
      </c>
      <c r="G87" t="str">
        <f t="shared" si="14"/>
        <v>Yes</v>
      </c>
      <c r="I87" t="str">
        <f t="shared" si="15"/>
        <v>Yes</v>
      </c>
      <c r="J87" t="str">
        <f t="shared" si="9"/>
        <v>Yes</v>
      </c>
      <c r="K87" t="str">
        <f t="shared" si="10"/>
        <v>Yes</v>
      </c>
      <c r="L87" s="203">
        <f>IF(AND('Total income package'!$A$16=TRUE,E87&lt;$J$2),$M$2,0)</f>
        <v>1551.75</v>
      </c>
      <c r="M87" s="179">
        <f>IF(AND('Total income package'!$A$16=TRUE,E87&lt;$L$2),$P$2,0)</f>
        <v>637</v>
      </c>
      <c r="N87" s="204">
        <f t="shared" si="16"/>
        <v>2188.75</v>
      </c>
    </row>
    <row r="88" spans="1:14" x14ac:dyDescent="0.3">
      <c r="A88" s="105">
        <v>39500</v>
      </c>
      <c r="B88" s="4">
        <f t="shared" si="17"/>
        <v>3291.6666666666665</v>
      </c>
      <c r="C88" s="4">
        <f>'Total income package'!$D$80</f>
        <v>0</v>
      </c>
      <c r="D88" s="4">
        <f t="shared" si="11"/>
        <v>3291.6666666666665</v>
      </c>
      <c r="E88" s="4">
        <f t="shared" si="12"/>
        <v>3129.6666666666665</v>
      </c>
      <c r="F88" t="str">
        <f t="shared" si="13"/>
        <v>No</v>
      </c>
      <c r="G88" t="str">
        <f t="shared" si="14"/>
        <v>Yes</v>
      </c>
      <c r="I88" t="str">
        <f t="shared" si="15"/>
        <v>Yes</v>
      </c>
      <c r="J88" t="str">
        <f t="shared" si="9"/>
        <v>Yes</v>
      </c>
      <c r="K88" t="str">
        <f t="shared" si="10"/>
        <v>Yes</v>
      </c>
      <c r="L88" s="203">
        <f>IF(AND('Total income package'!$A$16=TRUE,E88&lt;$J$2),$M$2,0)</f>
        <v>1551.75</v>
      </c>
      <c r="M88" s="179">
        <f>IF(AND('Total income package'!$A$16=TRUE,E88&lt;$L$2),$P$2,0)</f>
        <v>637</v>
      </c>
      <c r="N88" s="204">
        <f t="shared" si="16"/>
        <v>2188.75</v>
      </c>
    </row>
    <row r="89" spans="1:14" x14ac:dyDescent="0.3">
      <c r="A89" s="105">
        <v>40000</v>
      </c>
      <c r="B89" s="4">
        <f t="shared" si="17"/>
        <v>3333.3333333333335</v>
      </c>
      <c r="C89" s="4">
        <f>'Total income package'!$D$80</f>
        <v>0</v>
      </c>
      <c r="D89" s="4">
        <f t="shared" si="11"/>
        <v>3333.3333333333335</v>
      </c>
      <c r="E89" s="4">
        <f t="shared" si="12"/>
        <v>3171.3333333333335</v>
      </c>
      <c r="F89" t="str">
        <f t="shared" si="13"/>
        <v>No</v>
      </c>
      <c r="G89" t="str">
        <f t="shared" si="14"/>
        <v>Yes</v>
      </c>
      <c r="I89" t="str">
        <f t="shared" si="15"/>
        <v>Yes</v>
      </c>
      <c r="J89" t="str">
        <f t="shared" si="9"/>
        <v>Yes</v>
      </c>
      <c r="K89" t="str">
        <f t="shared" si="10"/>
        <v>Yes</v>
      </c>
      <c r="L89" s="203">
        <f>IF(AND('Total income package'!$A$16=TRUE,E89&lt;$J$2),$M$2,0)</f>
        <v>1551.75</v>
      </c>
      <c r="M89" s="179">
        <f>IF(AND('Total income package'!$A$16=TRUE,E89&lt;$L$2),$P$2,0)</f>
        <v>637</v>
      </c>
      <c r="N89" s="204">
        <f t="shared" si="16"/>
        <v>2188.75</v>
      </c>
    </row>
    <row r="90" spans="1:14" x14ac:dyDescent="0.3">
      <c r="A90" s="105">
        <v>40500</v>
      </c>
      <c r="B90" s="4">
        <f t="shared" si="17"/>
        <v>3375</v>
      </c>
      <c r="C90" s="4">
        <f>'Total income package'!$D$80</f>
        <v>0</v>
      </c>
      <c r="D90" s="4">
        <f t="shared" si="11"/>
        <v>3375</v>
      </c>
      <c r="E90" s="4">
        <f t="shared" si="12"/>
        <v>3213</v>
      </c>
      <c r="F90" t="str">
        <f t="shared" si="13"/>
        <v>No</v>
      </c>
      <c r="G90" t="str">
        <f t="shared" si="14"/>
        <v>Yes</v>
      </c>
      <c r="I90" t="str">
        <f t="shared" si="15"/>
        <v>Yes</v>
      </c>
      <c r="J90" t="str">
        <f t="shared" si="9"/>
        <v>Yes</v>
      </c>
      <c r="K90" t="str">
        <f t="shared" si="10"/>
        <v>Yes</v>
      </c>
      <c r="L90" s="203">
        <f>IF(AND('Total income package'!$A$16=TRUE,E90&lt;$J$2),$M$2,0)</f>
        <v>1551.75</v>
      </c>
      <c r="M90" s="179">
        <f>IF(AND('Total income package'!$A$16=TRUE,E90&lt;$L$2),$P$2,0)</f>
        <v>637</v>
      </c>
      <c r="N90" s="204">
        <f t="shared" si="16"/>
        <v>2188.75</v>
      </c>
    </row>
    <row r="91" spans="1:14" x14ac:dyDescent="0.3">
      <c r="A91" s="105">
        <v>41000</v>
      </c>
      <c r="B91" s="4">
        <f t="shared" si="17"/>
        <v>3416.6666666666665</v>
      </c>
      <c r="C91" s="4">
        <f>'Total income package'!$D$80</f>
        <v>0</v>
      </c>
      <c r="D91" s="4">
        <f t="shared" si="11"/>
        <v>3416.6666666666665</v>
      </c>
      <c r="E91" s="4">
        <f t="shared" si="12"/>
        <v>3254.6666666666665</v>
      </c>
      <c r="F91" t="str">
        <f t="shared" si="13"/>
        <v>No</v>
      </c>
      <c r="G91" t="str">
        <f t="shared" si="14"/>
        <v>Yes</v>
      </c>
      <c r="I91" t="str">
        <f t="shared" si="15"/>
        <v>Yes</v>
      </c>
      <c r="J91" t="str">
        <f t="shared" si="9"/>
        <v>Yes</v>
      </c>
      <c r="K91" t="str">
        <f t="shared" si="10"/>
        <v>Yes</v>
      </c>
      <c r="L91" s="203">
        <f>IF(AND('Total income package'!$A$16=TRUE,E91&lt;$J$2),$M$2,0)</f>
        <v>1551.75</v>
      </c>
      <c r="M91" s="179">
        <f>IF(AND('Total income package'!$A$16=TRUE,E91&lt;$L$2),$P$2,0)</f>
        <v>637</v>
      </c>
      <c r="N91" s="204">
        <f t="shared" si="16"/>
        <v>2188.75</v>
      </c>
    </row>
    <row r="92" spans="1:14" x14ac:dyDescent="0.3">
      <c r="A92" s="105">
        <v>41500</v>
      </c>
      <c r="B92" s="4">
        <f t="shared" si="17"/>
        <v>3458.3333333333335</v>
      </c>
      <c r="C92" s="4">
        <f>'Total income package'!$D$80</f>
        <v>0</v>
      </c>
      <c r="D92" s="4">
        <f t="shared" si="11"/>
        <v>3458.3333333333335</v>
      </c>
      <c r="E92" s="4">
        <f t="shared" si="12"/>
        <v>3296.3333333333335</v>
      </c>
      <c r="F92" t="str">
        <f t="shared" si="13"/>
        <v>No</v>
      </c>
      <c r="G92" t="str">
        <f t="shared" si="14"/>
        <v>Yes</v>
      </c>
      <c r="I92" t="str">
        <f t="shared" si="15"/>
        <v>Yes</v>
      </c>
      <c r="J92" t="str">
        <f t="shared" si="9"/>
        <v>Yes</v>
      </c>
      <c r="K92" t="str">
        <f t="shared" si="10"/>
        <v>Yes</v>
      </c>
      <c r="L92" s="203">
        <f>IF(AND('Total income package'!$A$16=TRUE,E92&lt;$J$2),$M$2,0)</f>
        <v>1551.75</v>
      </c>
      <c r="M92" s="179">
        <f>IF(AND('Total income package'!$A$16=TRUE,E92&lt;$L$2),$P$2,0)</f>
        <v>637</v>
      </c>
      <c r="N92" s="204">
        <f t="shared" si="16"/>
        <v>2188.75</v>
      </c>
    </row>
    <row r="93" spans="1:14" x14ac:dyDescent="0.3">
      <c r="A93" s="105">
        <v>42000</v>
      </c>
      <c r="B93" s="4">
        <f t="shared" si="17"/>
        <v>3500</v>
      </c>
      <c r="C93" s="4">
        <f>'Total income package'!$D$80</f>
        <v>0</v>
      </c>
      <c r="D93" s="4">
        <f t="shared" si="11"/>
        <v>3500</v>
      </c>
      <c r="E93" s="4">
        <f t="shared" si="12"/>
        <v>3338</v>
      </c>
      <c r="F93" t="str">
        <f t="shared" si="13"/>
        <v>No</v>
      </c>
      <c r="G93" t="str">
        <f t="shared" si="14"/>
        <v>Yes</v>
      </c>
      <c r="I93" t="str">
        <f t="shared" si="15"/>
        <v>Yes</v>
      </c>
      <c r="J93" t="str">
        <f t="shared" si="9"/>
        <v>Yes</v>
      </c>
      <c r="K93" t="str">
        <f t="shared" si="10"/>
        <v>Yes</v>
      </c>
      <c r="L93" s="203">
        <f>IF(AND('Total income package'!$A$16=TRUE,E93&lt;$J$2),$M$2,0)</f>
        <v>1551.75</v>
      </c>
      <c r="M93" s="179">
        <f>IF(AND('Total income package'!$A$16=TRUE,E93&lt;$L$2),$P$2,0)</f>
        <v>637</v>
      </c>
      <c r="N93" s="204">
        <f t="shared" si="16"/>
        <v>2188.75</v>
      </c>
    </row>
    <row r="94" spans="1:14" x14ac:dyDescent="0.3">
      <c r="A94" s="105">
        <v>42500</v>
      </c>
      <c r="B94" s="4">
        <f t="shared" si="17"/>
        <v>3541.6666666666665</v>
      </c>
      <c r="C94" s="4">
        <f>'Total income package'!$D$80</f>
        <v>0</v>
      </c>
      <c r="D94" s="4">
        <f t="shared" si="11"/>
        <v>3541.6666666666665</v>
      </c>
      <c r="E94" s="4">
        <f t="shared" si="12"/>
        <v>3379.6666666666665</v>
      </c>
      <c r="F94" t="str">
        <f t="shared" si="13"/>
        <v>No</v>
      </c>
      <c r="G94" t="str">
        <f t="shared" si="14"/>
        <v>Yes</v>
      </c>
      <c r="I94" t="str">
        <f t="shared" si="15"/>
        <v>Yes</v>
      </c>
      <c r="J94" t="str">
        <f t="shared" si="9"/>
        <v>Yes</v>
      </c>
      <c r="K94" t="str">
        <f t="shared" si="10"/>
        <v>Yes</v>
      </c>
      <c r="L94" s="203">
        <f>IF(AND('Total income package'!$A$16=TRUE,E94&lt;$J$2),$M$2,0)</f>
        <v>1551.75</v>
      </c>
      <c r="M94" s="179">
        <f>IF(AND('Total income package'!$A$16=TRUE,E94&lt;$L$2),$P$2,0)</f>
        <v>637</v>
      </c>
      <c r="N94" s="204">
        <f t="shared" si="16"/>
        <v>2188.75</v>
      </c>
    </row>
    <row r="95" spans="1:14" x14ac:dyDescent="0.3">
      <c r="A95" s="105">
        <v>43000</v>
      </c>
      <c r="B95" s="4">
        <f t="shared" si="17"/>
        <v>3583.3333333333335</v>
      </c>
      <c r="C95" s="4">
        <f>'Total income package'!$D$80</f>
        <v>0</v>
      </c>
      <c r="D95" s="4">
        <f t="shared" si="11"/>
        <v>3583.3333333333335</v>
      </c>
      <c r="E95" s="4">
        <f t="shared" si="12"/>
        <v>3421.3333333333335</v>
      </c>
      <c r="F95" t="str">
        <f t="shared" si="13"/>
        <v>No</v>
      </c>
      <c r="G95" t="str">
        <f t="shared" si="14"/>
        <v>Yes</v>
      </c>
      <c r="I95" t="str">
        <f t="shared" si="15"/>
        <v>Yes</v>
      </c>
      <c r="J95" t="str">
        <f t="shared" si="9"/>
        <v>Yes</v>
      </c>
      <c r="K95" t="str">
        <f t="shared" si="10"/>
        <v>Yes</v>
      </c>
      <c r="L95" s="203">
        <f>IF(AND('Total income package'!$A$16=TRUE,E95&lt;$J$2),$M$2,0)</f>
        <v>1551.75</v>
      </c>
      <c r="M95" s="179">
        <f>IF(AND('Total income package'!$A$16=TRUE,E95&lt;$L$2),$P$2,0)</f>
        <v>637</v>
      </c>
      <c r="N95" s="204">
        <f t="shared" si="16"/>
        <v>2188.75</v>
      </c>
    </row>
    <row r="96" spans="1:14" x14ac:dyDescent="0.3">
      <c r="A96" s="105">
        <v>43500</v>
      </c>
      <c r="B96" s="4">
        <f t="shared" si="17"/>
        <v>3625</v>
      </c>
      <c r="C96" s="4">
        <f>'Total income package'!$D$80</f>
        <v>0</v>
      </c>
      <c r="D96" s="4">
        <f t="shared" si="11"/>
        <v>3625</v>
      </c>
      <c r="E96" s="4">
        <f t="shared" si="12"/>
        <v>3463</v>
      </c>
      <c r="F96" t="str">
        <f t="shared" si="13"/>
        <v>No</v>
      </c>
      <c r="G96" t="str">
        <f t="shared" si="14"/>
        <v>Yes</v>
      </c>
      <c r="I96" t="str">
        <f t="shared" si="15"/>
        <v>Yes</v>
      </c>
      <c r="J96" t="str">
        <f t="shared" si="9"/>
        <v>Yes</v>
      </c>
      <c r="K96" t="str">
        <f t="shared" si="10"/>
        <v>Yes</v>
      </c>
      <c r="L96" s="203">
        <f>IF(AND('Total income package'!$A$16=TRUE,E96&lt;$J$2),$M$2,0)</f>
        <v>1551.75</v>
      </c>
      <c r="M96" s="179">
        <f>IF(AND('Total income package'!$A$16=TRUE,E96&lt;$L$2),$P$2,0)</f>
        <v>637</v>
      </c>
      <c r="N96" s="204">
        <f t="shared" si="16"/>
        <v>2188.75</v>
      </c>
    </row>
    <row r="97" spans="1:14" x14ac:dyDescent="0.3">
      <c r="A97" s="105">
        <v>44000</v>
      </c>
      <c r="B97" s="4">
        <f t="shared" si="17"/>
        <v>3666.6666666666665</v>
      </c>
      <c r="C97" s="4">
        <f>'Total income package'!$D$80</f>
        <v>0</v>
      </c>
      <c r="D97" s="4">
        <f t="shared" si="11"/>
        <v>3666.6666666666665</v>
      </c>
      <c r="E97" s="4">
        <f t="shared" si="12"/>
        <v>3504.6666666666665</v>
      </c>
      <c r="F97" t="str">
        <f t="shared" si="13"/>
        <v>No</v>
      </c>
      <c r="G97" t="str">
        <f t="shared" si="14"/>
        <v>Yes</v>
      </c>
      <c r="I97" t="str">
        <f t="shared" si="15"/>
        <v>Yes</v>
      </c>
      <c r="J97" t="str">
        <f t="shared" si="9"/>
        <v>Yes</v>
      </c>
      <c r="K97" t="str">
        <f t="shared" si="10"/>
        <v>Yes</v>
      </c>
      <c r="L97" s="203">
        <f>IF(AND('Total income package'!$A$16=TRUE,E97&lt;$J$2),$M$2,0)</f>
        <v>1551.75</v>
      </c>
      <c r="M97" s="179">
        <f>IF(AND('Total income package'!$A$16=TRUE,E97&lt;$L$2),$P$2,0)</f>
        <v>637</v>
      </c>
      <c r="N97" s="204">
        <f t="shared" si="16"/>
        <v>2188.75</v>
      </c>
    </row>
    <row r="98" spans="1:14" x14ac:dyDescent="0.3">
      <c r="A98" s="105">
        <v>44500</v>
      </c>
      <c r="B98" s="4">
        <f t="shared" si="17"/>
        <v>3708.3333333333335</v>
      </c>
      <c r="C98" s="4">
        <f>'Total income package'!$D$80</f>
        <v>0</v>
      </c>
      <c r="D98" s="4">
        <f t="shared" si="11"/>
        <v>3708.3333333333335</v>
      </c>
      <c r="E98" s="4">
        <f t="shared" si="12"/>
        <v>3546.3333333333335</v>
      </c>
      <c r="F98" t="str">
        <f t="shared" si="13"/>
        <v>No</v>
      </c>
      <c r="G98" t="str">
        <f t="shared" si="14"/>
        <v>Yes</v>
      </c>
      <c r="I98" t="str">
        <f t="shared" si="15"/>
        <v>Yes</v>
      </c>
      <c r="J98" t="str">
        <f t="shared" si="9"/>
        <v>Yes</v>
      </c>
      <c r="K98" t="str">
        <f t="shared" si="10"/>
        <v>Yes</v>
      </c>
      <c r="L98" s="203">
        <f>IF(AND('Total income package'!$A$16=TRUE,E98&lt;$J$2),$M$2,0)</f>
        <v>1551.75</v>
      </c>
      <c r="M98" s="179">
        <f>IF(AND('Total income package'!$A$16=TRUE,E98&lt;$L$2),$P$2,0)</f>
        <v>637</v>
      </c>
      <c r="N98" s="204">
        <f t="shared" si="16"/>
        <v>2188.75</v>
      </c>
    </row>
    <row r="99" spans="1:14" x14ac:dyDescent="0.3">
      <c r="A99" s="105">
        <v>45000</v>
      </c>
      <c r="B99" s="4">
        <f t="shared" si="17"/>
        <v>3750</v>
      </c>
      <c r="C99" s="4">
        <f>'Total income package'!$D$80</f>
        <v>0</v>
      </c>
      <c r="D99" s="4">
        <f t="shared" si="11"/>
        <v>3750</v>
      </c>
      <c r="E99" s="4">
        <f t="shared" si="12"/>
        <v>3588</v>
      </c>
      <c r="F99" t="str">
        <f t="shared" si="13"/>
        <v>No</v>
      </c>
      <c r="G99" t="str">
        <f t="shared" si="14"/>
        <v>Yes</v>
      </c>
      <c r="I99" t="str">
        <f t="shared" si="15"/>
        <v>Yes</v>
      </c>
      <c r="J99" t="str">
        <f t="shared" si="9"/>
        <v>Yes</v>
      </c>
      <c r="K99" t="str">
        <f t="shared" si="10"/>
        <v>Yes</v>
      </c>
      <c r="L99" s="203">
        <f>IF(AND('Total income package'!$A$16=TRUE,E99&lt;$J$2),$M$2,0)</f>
        <v>1551.75</v>
      </c>
      <c r="M99" s="179">
        <f>IF(AND('Total income package'!$A$16=TRUE,E99&lt;$L$2),$P$2,0)</f>
        <v>637</v>
      </c>
      <c r="N99" s="204">
        <f t="shared" si="16"/>
        <v>2188.75</v>
      </c>
    </row>
    <row r="100" spans="1:14" x14ac:dyDescent="0.3">
      <c r="A100" s="105">
        <v>45500</v>
      </c>
      <c r="B100" s="4">
        <f t="shared" si="17"/>
        <v>3791.6666666666665</v>
      </c>
      <c r="C100" s="4">
        <f>'Total income package'!$D$80</f>
        <v>0</v>
      </c>
      <c r="D100" s="4">
        <f t="shared" si="11"/>
        <v>3791.6666666666665</v>
      </c>
      <c r="E100" s="4">
        <f t="shared" si="12"/>
        <v>3629.6666666666665</v>
      </c>
      <c r="F100" t="str">
        <f t="shared" si="13"/>
        <v>No</v>
      </c>
      <c r="G100" t="str">
        <f t="shared" si="14"/>
        <v>Yes</v>
      </c>
      <c r="I100" t="str">
        <f t="shared" si="15"/>
        <v>Yes</v>
      </c>
      <c r="J100" t="str">
        <f t="shared" si="9"/>
        <v>Yes</v>
      </c>
      <c r="K100" t="str">
        <f t="shared" si="10"/>
        <v>Yes</v>
      </c>
      <c r="L100" s="203">
        <f>IF(AND('Total income package'!$A$16=TRUE,E100&lt;$J$2),$M$2,0)</f>
        <v>1551.75</v>
      </c>
      <c r="M100" s="179">
        <f>IF(AND('Total income package'!$A$16=TRUE,E100&lt;$L$2),$P$2,0)</f>
        <v>637</v>
      </c>
      <c r="N100" s="204">
        <f t="shared" si="16"/>
        <v>2188.75</v>
      </c>
    </row>
    <row r="101" spans="1:14" x14ac:dyDescent="0.3">
      <c r="A101" s="105">
        <v>46000</v>
      </c>
      <c r="B101" s="4">
        <f t="shared" si="17"/>
        <v>3833.3333333333335</v>
      </c>
      <c r="C101" s="4">
        <f>'Total income package'!$D$80</f>
        <v>0</v>
      </c>
      <c r="D101" s="4">
        <f t="shared" si="11"/>
        <v>3833.3333333333335</v>
      </c>
      <c r="E101" s="4">
        <f t="shared" si="12"/>
        <v>3671.3333333333335</v>
      </c>
      <c r="F101" t="str">
        <f t="shared" si="13"/>
        <v>No</v>
      </c>
      <c r="G101" t="str">
        <f t="shared" si="14"/>
        <v>Yes</v>
      </c>
      <c r="I101" t="str">
        <f t="shared" si="15"/>
        <v>Yes</v>
      </c>
      <c r="J101" t="str">
        <f t="shared" si="9"/>
        <v>Yes</v>
      </c>
      <c r="K101" t="str">
        <f t="shared" si="10"/>
        <v>Yes</v>
      </c>
      <c r="L101" s="203">
        <f>IF(AND('Total income package'!$A$16=TRUE,E101&lt;$J$2),$M$2,0)</f>
        <v>1551.75</v>
      </c>
      <c r="M101" s="179">
        <f>IF(AND('Total income package'!$A$16=TRUE,E101&lt;$L$2),$P$2,0)</f>
        <v>637</v>
      </c>
      <c r="N101" s="204">
        <f t="shared" si="16"/>
        <v>2188.75</v>
      </c>
    </row>
    <row r="102" spans="1:14" x14ac:dyDescent="0.3">
      <c r="A102" s="105">
        <v>46500</v>
      </c>
      <c r="B102" s="4">
        <f t="shared" si="17"/>
        <v>3875</v>
      </c>
      <c r="C102" s="4">
        <f>'Total income package'!$D$80</f>
        <v>0</v>
      </c>
      <c r="D102" s="4">
        <f t="shared" si="11"/>
        <v>3875</v>
      </c>
      <c r="E102" s="4">
        <f t="shared" si="12"/>
        <v>3713</v>
      </c>
      <c r="F102" t="str">
        <f t="shared" si="13"/>
        <v>No</v>
      </c>
      <c r="G102" t="str">
        <f t="shared" si="14"/>
        <v>Yes</v>
      </c>
      <c r="I102" t="str">
        <f t="shared" si="15"/>
        <v>Yes</v>
      </c>
      <c r="J102" t="str">
        <f t="shared" si="9"/>
        <v>Yes</v>
      </c>
      <c r="K102" t="str">
        <f t="shared" si="10"/>
        <v>Yes</v>
      </c>
      <c r="L102" s="203">
        <f>IF(AND('Total income package'!$A$16=TRUE,E102&lt;$J$2),$M$2,0)</f>
        <v>1551.75</v>
      </c>
      <c r="M102" s="179">
        <f>IF(AND('Total income package'!$A$16=TRUE,E102&lt;$L$2),$P$2,0)</f>
        <v>637</v>
      </c>
      <c r="N102" s="204">
        <f t="shared" si="16"/>
        <v>2188.75</v>
      </c>
    </row>
    <row r="103" spans="1:14" x14ac:dyDescent="0.3">
      <c r="A103" s="105">
        <v>47000</v>
      </c>
      <c r="B103" s="4">
        <f t="shared" si="17"/>
        <v>3916.6666666666665</v>
      </c>
      <c r="C103" s="4">
        <f>'Total income package'!$D$80</f>
        <v>0</v>
      </c>
      <c r="D103" s="4">
        <f t="shared" si="11"/>
        <v>3916.6666666666665</v>
      </c>
      <c r="E103" s="4">
        <f t="shared" si="12"/>
        <v>3754.6666666666665</v>
      </c>
      <c r="F103" t="str">
        <f t="shared" si="13"/>
        <v>No</v>
      </c>
      <c r="G103" t="str">
        <f t="shared" si="14"/>
        <v>Yes</v>
      </c>
      <c r="I103" t="str">
        <f t="shared" si="15"/>
        <v>Yes</v>
      </c>
      <c r="J103" t="str">
        <f t="shared" si="9"/>
        <v>Yes</v>
      </c>
      <c r="K103" t="str">
        <f t="shared" si="10"/>
        <v>Yes</v>
      </c>
      <c r="L103" s="203">
        <f>IF(AND('Total income package'!$A$16=TRUE,E103&lt;$J$2),$M$2,0)</f>
        <v>1551.75</v>
      </c>
      <c r="M103" s="179">
        <f>IF(AND('Total income package'!$A$16=TRUE,E103&lt;$L$2),$P$2,0)</f>
        <v>637</v>
      </c>
      <c r="N103" s="204">
        <f t="shared" si="16"/>
        <v>2188.75</v>
      </c>
    </row>
    <row r="104" spans="1:14" x14ac:dyDescent="0.3">
      <c r="A104" s="105">
        <v>47500</v>
      </c>
      <c r="B104" s="4">
        <f t="shared" si="17"/>
        <v>3958.3333333333335</v>
      </c>
      <c r="C104" s="4">
        <f>'Total income package'!$D$80</f>
        <v>0</v>
      </c>
      <c r="D104" s="4">
        <f t="shared" si="11"/>
        <v>3958.3333333333335</v>
      </c>
      <c r="E104" s="4">
        <f t="shared" si="12"/>
        <v>3796.3333333333335</v>
      </c>
      <c r="F104" t="str">
        <f t="shared" si="13"/>
        <v>No</v>
      </c>
      <c r="G104" t="str">
        <f t="shared" si="14"/>
        <v>Yes</v>
      </c>
      <c r="I104" t="str">
        <f t="shared" si="15"/>
        <v>Yes</v>
      </c>
      <c r="J104" t="str">
        <f t="shared" si="9"/>
        <v>Yes</v>
      </c>
      <c r="K104" t="str">
        <f t="shared" si="10"/>
        <v>Yes</v>
      </c>
      <c r="L104" s="203">
        <f>IF(AND('Total income package'!$A$16=TRUE,E104&lt;$J$2),$M$2,0)</f>
        <v>1551.75</v>
      </c>
      <c r="M104" s="179">
        <f>IF(AND('Total income package'!$A$16=TRUE,E104&lt;$L$2),$P$2,0)</f>
        <v>637</v>
      </c>
      <c r="N104" s="204">
        <f t="shared" si="16"/>
        <v>2188.75</v>
      </c>
    </row>
    <row r="105" spans="1:14" x14ac:dyDescent="0.3">
      <c r="A105" s="105">
        <v>48000</v>
      </c>
      <c r="B105" s="4">
        <f t="shared" si="17"/>
        <v>4000</v>
      </c>
      <c r="C105" s="4">
        <f>'Total income package'!$D$80</f>
        <v>0</v>
      </c>
      <c r="D105" s="4">
        <f t="shared" si="11"/>
        <v>4000</v>
      </c>
      <c r="E105" s="4">
        <f t="shared" si="12"/>
        <v>3838</v>
      </c>
      <c r="F105" t="str">
        <f t="shared" si="13"/>
        <v>No</v>
      </c>
      <c r="G105" t="str">
        <f t="shared" si="14"/>
        <v>Yes</v>
      </c>
      <c r="I105" t="str">
        <f t="shared" si="15"/>
        <v>Yes</v>
      </c>
      <c r="J105" t="str">
        <f t="shared" si="9"/>
        <v>Yes</v>
      </c>
      <c r="K105" t="str">
        <f t="shared" si="10"/>
        <v>Yes</v>
      </c>
      <c r="L105" s="203">
        <f>IF(AND('Total income package'!$A$16=TRUE,E105&lt;$J$2),$M$2,0)</f>
        <v>1551.75</v>
      </c>
      <c r="M105" s="179">
        <f>IF(AND('Total income package'!$A$16=TRUE,E105&lt;$L$2),$P$2,0)</f>
        <v>637</v>
      </c>
      <c r="N105" s="204">
        <f t="shared" si="16"/>
        <v>2188.75</v>
      </c>
    </row>
    <row r="106" spans="1:14" x14ac:dyDescent="0.3">
      <c r="A106" s="105">
        <v>48500</v>
      </c>
      <c r="B106" s="4">
        <f t="shared" si="17"/>
        <v>4041.6666666666665</v>
      </c>
      <c r="C106" s="4">
        <f>'Total income package'!$D$80</f>
        <v>0</v>
      </c>
      <c r="D106" s="4">
        <f t="shared" si="11"/>
        <v>4041.6666666666665</v>
      </c>
      <c r="E106" s="4">
        <f t="shared" si="12"/>
        <v>3879.6666666666665</v>
      </c>
      <c r="F106" t="str">
        <f t="shared" si="13"/>
        <v>No</v>
      </c>
      <c r="G106" t="str">
        <f t="shared" si="14"/>
        <v>Yes</v>
      </c>
      <c r="I106" t="str">
        <f t="shared" si="15"/>
        <v>Yes</v>
      </c>
      <c r="J106" t="str">
        <f t="shared" si="9"/>
        <v>Yes</v>
      </c>
      <c r="K106" t="str">
        <f t="shared" si="10"/>
        <v>Yes</v>
      </c>
      <c r="L106" s="203">
        <f>IF(AND('Total income package'!$A$16=TRUE,E106&lt;$J$2),$M$2,0)</f>
        <v>1551.75</v>
      </c>
      <c r="M106" s="179">
        <f>IF(AND('Total income package'!$A$16=TRUE,E106&lt;$L$2),$P$2,0)</f>
        <v>637</v>
      </c>
      <c r="N106" s="204">
        <f t="shared" si="16"/>
        <v>2188.75</v>
      </c>
    </row>
    <row r="107" spans="1:14" x14ac:dyDescent="0.3">
      <c r="A107" s="105">
        <v>49000</v>
      </c>
      <c r="B107" s="4">
        <f t="shared" si="17"/>
        <v>4083.3333333333335</v>
      </c>
      <c r="C107" s="4">
        <f>'Total income package'!$D$80</f>
        <v>0</v>
      </c>
      <c r="D107" s="4">
        <f t="shared" si="11"/>
        <v>4083.3333333333335</v>
      </c>
      <c r="E107" s="4">
        <f t="shared" si="12"/>
        <v>3921.3333333333335</v>
      </c>
      <c r="F107" t="str">
        <f t="shared" si="13"/>
        <v>No</v>
      </c>
      <c r="G107" t="str">
        <f t="shared" si="14"/>
        <v>Yes</v>
      </c>
      <c r="I107" t="str">
        <f t="shared" si="15"/>
        <v>Yes</v>
      </c>
      <c r="J107" t="str">
        <f t="shared" si="9"/>
        <v>Yes</v>
      </c>
      <c r="K107" t="str">
        <f t="shared" si="10"/>
        <v>Yes</v>
      </c>
      <c r="L107" s="203">
        <f>IF(AND('Total income package'!$A$16=TRUE,E107&lt;$J$2),$M$2,0)</f>
        <v>1551.75</v>
      </c>
      <c r="M107" s="179">
        <f>IF(AND('Total income package'!$A$16=TRUE,E107&lt;$L$2),$P$2,0)</f>
        <v>637</v>
      </c>
      <c r="N107" s="204">
        <f t="shared" si="16"/>
        <v>2188.75</v>
      </c>
    </row>
    <row r="108" spans="1:14" x14ac:dyDescent="0.3">
      <c r="A108" s="105">
        <v>49500</v>
      </c>
      <c r="B108" s="4">
        <f t="shared" si="17"/>
        <v>4125</v>
      </c>
      <c r="C108" s="4">
        <f>'Total income package'!$D$80</f>
        <v>0</v>
      </c>
      <c r="D108" s="4">
        <f t="shared" si="11"/>
        <v>4125</v>
      </c>
      <c r="E108" s="4">
        <f t="shared" si="12"/>
        <v>3963</v>
      </c>
      <c r="F108" t="str">
        <f t="shared" si="13"/>
        <v>No</v>
      </c>
      <c r="G108" t="str">
        <f t="shared" si="14"/>
        <v>Yes</v>
      </c>
      <c r="I108" t="str">
        <f t="shared" si="15"/>
        <v>Yes</v>
      </c>
      <c r="J108" t="str">
        <f t="shared" si="9"/>
        <v>Yes</v>
      </c>
      <c r="K108" t="str">
        <f t="shared" si="10"/>
        <v>Yes</v>
      </c>
      <c r="L108" s="203">
        <f>IF(AND('Total income package'!$A$16=TRUE,E108&lt;$J$2),$M$2,0)</f>
        <v>1551.75</v>
      </c>
      <c r="M108" s="179">
        <f>IF(AND('Total income package'!$A$16=TRUE,E108&lt;$L$2),$P$2,0)</f>
        <v>637</v>
      </c>
      <c r="N108" s="204">
        <f t="shared" si="16"/>
        <v>2188.75</v>
      </c>
    </row>
    <row r="109" spans="1:14" x14ac:dyDescent="0.3">
      <c r="A109" s="105">
        <v>50000</v>
      </c>
      <c r="B109" s="4">
        <f t="shared" si="17"/>
        <v>4166.666666666667</v>
      </c>
      <c r="C109" s="4">
        <f>'Total income package'!$D$80</f>
        <v>0</v>
      </c>
      <c r="D109" s="4">
        <f t="shared" si="11"/>
        <v>4166.666666666667</v>
      </c>
      <c r="E109" s="4">
        <f t="shared" si="12"/>
        <v>4004.666666666667</v>
      </c>
      <c r="F109" t="str">
        <f t="shared" si="13"/>
        <v>No</v>
      </c>
      <c r="G109" t="str">
        <f t="shared" si="14"/>
        <v>Yes</v>
      </c>
      <c r="I109" t="str">
        <f t="shared" si="15"/>
        <v>Yes</v>
      </c>
      <c r="J109" t="str">
        <f t="shared" si="9"/>
        <v>Yes</v>
      </c>
      <c r="K109" t="str">
        <f t="shared" si="10"/>
        <v>Yes</v>
      </c>
      <c r="L109" s="203">
        <f>IF(AND('Total income package'!$A$16=TRUE,E109&lt;$J$2),$M$2,0)</f>
        <v>1551.75</v>
      </c>
      <c r="M109" s="179">
        <f>IF(AND('Total income package'!$A$16=TRUE,E109&lt;$L$2),$P$2,0)</f>
        <v>637</v>
      </c>
      <c r="N109" s="204">
        <f t="shared" si="16"/>
        <v>2188.75</v>
      </c>
    </row>
    <row r="110" spans="1:14" x14ac:dyDescent="0.3">
      <c r="A110" s="105">
        <v>50500</v>
      </c>
      <c r="B110" s="4">
        <f t="shared" si="17"/>
        <v>4208.333333333333</v>
      </c>
      <c r="C110" s="4">
        <f>'Total income package'!$D$80</f>
        <v>0</v>
      </c>
      <c r="D110" s="4">
        <f t="shared" si="11"/>
        <v>4208.333333333333</v>
      </c>
      <c r="E110" s="4">
        <f t="shared" si="12"/>
        <v>4046.333333333333</v>
      </c>
      <c r="F110" t="str">
        <f t="shared" si="13"/>
        <v>No</v>
      </c>
      <c r="G110" t="str">
        <f t="shared" si="14"/>
        <v>Yes</v>
      </c>
      <c r="I110" t="str">
        <f t="shared" si="15"/>
        <v>Yes</v>
      </c>
      <c r="J110" t="str">
        <f t="shared" si="9"/>
        <v>Yes</v>
      </c>
      <c r="K110" t="str">
        <f t="shared" si="10"/>
        <v>Yes</v>
      </c>
      <c r="L110" s="203">
        <f>IF(AND('Total income package'!$A$16=TRUE,E110&lt;$J$2),$M$2,0)</f>
        <v>1551.75</v>
      </c>
      <c r="M110" s="179">
        <f>IF(AND('Total income package'!$A$16=TRUE,E110&lt;$L$2),$P$2,0)</f>
        <v>637</v>
      </c>
      <c r="N110" s="204">
        <f t="shared" si="16"/>
        <v>2188.75</v>
      </c>
    </row>
    <row r="111" spans="1:14" x14ac:dyDescent="0.3">
      <c r="A111" s="105">
        <v>51000</v>
      </c>
      <c r="B111" s="4">
        <f t="shared" si="17"/>
        <v>4250</v>
      </c>
      <c r="C111" s="4">
        <f>'Total income package'!$D$80</f>
        <v>0</v>
      </c>
      <c r="D111" s="4">
        <f t="shared" si="11"/>
        <v>4250</v>
      </c>
      <c r="E111" s="4">
        <f t="shared" si="12"/>
        <v>4088</v>
      </c>
      <c r="F111" t="str">
        <f t="shared" si="13"/>
        <v>No</v>
      </c>
      <c r="G111" t="str">
        <f t="shared" si="14"/>
        <v>Yes</v>
      </c>
      <c r="I111" t="str">
        <f t="shared" si="15"/>
        <v>Yes</v>
      </c>
      <c r="J111" t="str">
        <f t="shared" si="9"/>
        <v>Yes</v>
      </c>
      <c r="K111" t="str">
        <f t="shared" si="10"/>
        <v>Yes</v>
      </c>
      <c r="L111" s="203">
        <f>IF(AND('Total income package'!$A$16=TRUE,E111&lt;$J$2),$M$2,0)</f>
        <v>1551.75</v>
      </c>
      <c r="M111" s="179">
        <f>IF(AND('Total income package'!$A$16=TRUE,E111&lt;$L$2),$P$2,0)</f>
        <v>637</v>
      </c>
      <c r="N111" s="204">
        <f t="shared" si="16"/>
        <v>2188.75</v>
      </c>
    </row>
    <row r="112" spans="1:14" x14ac:dyDescent="0.3">
      <c r="A112" s="105">
        <v>51500</v>
      </c>
      <c r="B112" s="4">
        <f t="shared" si="17"/>
        <v>4291.666666666667</v>
      </c>
      <c r="C112" s="4">
        <f>'Total income package'!$D$80</f>
        <v>0</v>
      </c>
      <c r="D112" s="4">
        <f t="shared" si="11"/>
        <v>4291.666666666667</v>
      </c>
      <c r="E112" s="4">
        <f t="shared" si="12"/>
        <v>4129.666666666667</v>
      </c>
      <c r="F112" t="str">
        <f t="shared" si="13"/>
        <v>No</v>
      </c>
      <c r="G112" t="str">
        <f t="shared" si="14"/>
        <v>Yes</v>
      </c>
      <c r="I112" t="str">
        <f t="shared" si="15"/>
        <v>Yes</v>
      </c>
      <c r="J112" t="str">
        <f t="shared" si="9"/>
        <v>Yes</v>
      </c>
      <c r="K112" t="str">
        <f t="shared" si="10"/>
        <v>Yes</v>
      </c>
      <c r="L112" s="203">
        <f>IF(AND('Total income package'!$A$16=TRUE,E112&lt;$J$2),$M$2,0)</f>
        <v>1551.75</v>
      </c>
      <c r="M112" s="179">
        <f>IF(AND('Total income package'!$A$16=TRUE,E112&lt;$L$2),$P$2,0)</f>
        <v>637</v>
      </c>
      <c r="N112" s="204">
        <f t="shared" si="16"/>
        <v>2188.75</v>
      </c>
    </row>
    <row r="113" spans="1:14" x14ac:dyDescent="0.3">
      <c r="A113" s="105">
        <v>52000</v>
      </c>
      <c r="B113" s="4">
        <f t="shared" si="17"/>
        <v>4333.333333333333</v>
      </c>
      <c r="C113" s="4">
        <f>'Total income package'!$D$80</f>
        <v>0</v>
      </c>
      <c r="D113" s="4">
        <f t="shared" si="11"/>
        <v>4333.333333333333</v>
      </c>
      <c r="E113" s="4">
        <f t="shared" si="12"/>
        <v>4171.333333333333</v>
      </c>
      <c r="F113" t="str">
        <f t="shared" si="13"/>
        <v>No</v>
      </c>
      <c r="G113" t="str">
        <f t="shared" si="14"/>
        <v>Yes</v>
      </c>
      <c r="I113" t="str">
        <f t="shared" si="15"/>
        <v>Yes</v>
      </c>
      <c r="J113" t="str">
        <f t="shared" si="9"/>
        <v>Yes</v>
      </c>
      <c r="K113" t="str">
        <f t="shared" si="10"/>
        <v>Yes</v>
      </c>
      <c r="L113" s="203">
        <f>IF(AND('Total income package'!$A$16=TRUE,E113&lt;$J$2),$M$2,0)</f>
        <v>1551.75</v>
      </c>
      <c r="M113" s="179">
        <f>IF(AND('Total income package'!$A$16=TRUE,E113&lt;$L$2),$P$2,0)</f>
        <v>637</v>
      </c>
      <c r="N113" s="204">
        <f t="shared" si="16"/>
        <v>2188.75</v>
      </c>
    </row>
    <row r="114" spans="1:14" x14ac:dyDescent="0.3">
      <c r="A114" s="105">
        <v>52500</v>
      </c>
      <c r="B114" s="4">
        <f t="shared" si="17"/>
        <v>4375</v>
      </c>
      <c r="C114" s="4">
        <f>'Total income package'!$D$80</f>
        <v>0</v>
      </c>
      <c r="D114" s="4">
        <f t="shared" si="11"/>
        <v>4375</v>
      </c>
      <c r="E114" s="4">
        <f t="shared" si="12"/>
        <v>4213</v>
      </c>
      <c r="F114" t="str">
        <f t="shared" si="13"/>
        <v>No</v>
      </c>
      <c r="G114" t="str">
        <f t="shared" si="14"/>
        <v>Yes</v>
      </c>
      <c r="I114" t="str">
        <f t="shared" si="15"/>
        <v>Yes</v>
      </c>
      <c r="J114" t="str">
        <f t="shared" si="9"/>
        <v>Yes</v>
      </c>
      <c r="K114" t="str">
        <f t="shared" si="10"/>
        <v>Yes</v>
      </c>
      <c r="L114" s="203">
        <f>IF(AND('Total income package'!$A$16=TRUE,E114&lt;$J$2),$M$2,0)</f>
        <v>1551.75</v>
      </c>
      <c r="M114" s="179">
        <f>IF(AND('Total income package'!$A$16=TRUE,E114&lt;$L$2),$P$2,0)</f>
        <v>637</v>
      </c>
      <c r="N114" s="204">
        <f t="shared" si="16"/>
        <v>2188.75</v>
      </c>
    </row>
    <row r="115" spans="1:14" x14ac:dyDescent="0.3">
      <c r="A115" s="105">
        <v>53000</v>
      </c>
      <c r="B115" s="4">
        <f t="shared" si="17"/>
        <v>4416.666666666667</v>
      </c>
      <c r="C115" s="4">
        <f>'Total income package'!$D$80</f>
        <v>0</v>
      </c>
      <c r="D115" s="4">
        <f t="shared" si="11"/>
        <v>4416.666666666667</v>
      </c>
      <c r="E115" s="4">
        <f t="shared" si="12"/>
        <v>4254.666666666667</v>
      </c>
      <c r="F115" t="str">
        <f t="shared" si="13"/>
        <v>No</v>
      </c>
      <c r="G115" t="str">
        <f t="shared" si="14"/>
        <v>Yes</v>
      </c>
      <c r="I115" t="str">
        <f t="shared" si="15"/>
        <v>Yes</v>
      </c>
      <c r="J115" t="str">
        <f t="shared" si="9"/>
        <v>Yes</v>
      </c>
      <c r="K115" t="str">
        <f t="shared" si="10"/>
        <v>Yes</v>
      </c>
      <c r="L115" s="203">
        <f>IF(AND('Total income package'!$A$16=TRUE,E115&lt;$J$2),$M$2,0)</f>
        <v>1551.75</v>
      </c>
      <c r="M115" s="179">
        <f>IF(AND('Total income package'!$A$16=TRUE,E115&lt;$L$2),$P$2,0)</f>
        <v>637</v>
      </c>
      <c r="N115" s="204">
        <f t="shared" si="16"/>
        <v>2188.75</v>
      </c>
    </row>
    <row r="116" spans="1:14" x14ac:dyDescent="0.3">
      <c r="A116" s="105">
        <v>53500</v>
      </c>
      <c r="B116" s="4">
        <f t="shared" si="17"/>
        <v>4458.333333333333</v>
      </c>
      <c r="C116" s="4">
        <f>'Total income package'!$D$80</f>
        <v>0</v>
      </c>
      <c r="D116" s="4">
        <f t="shared" si="11"/>
        <v>4458.333333333333</v>
      </c>
      <c r="E116" s="4">
        <f t="shared" si="12"/>
        <v>4296.333333333333</v>
      </c>
      <c r="F116" t="str">
        <f t="shared" si="13"/>
        <v>No</v>
      </c>
      <c r="G116" t="str">
        <f t="shared" si="14"/>
        <v>No</v>
      </c>
      <c r="I116" t="str">
        <f t="shared" si="15"/>
        <v>Yes</v>
      </c>
      <c r="J116" t="str">
        <f t="shared" si="9"/>
        <v>Yes</v>
      </c>
      <c r="K116" t="str">
        <f t="shared" si="10"/>
        <v>Yes</v>
      </c>
      <c r="L116" s="203">
        <f>IF(AND('Total income package'!$A$16=TRUE,E116&lt;$J$2),$M$2,0)</f>
        <v>0</v>
      </c>
      <c r="M116" s="179">
        <f>IF(AND('Total income package'!$A$16=TRUE,E116&lt;$L$2),$P$2,0)</f>
        <v>637</v>
      </c>
      <c r="N116" s="204">
        <f t="shared" si="16"/>
        <v>637</v>
      </c>
    </row>
    <row r="117" spans="1:14" x14ac:dyDescent="0.3">
      <c r="A117" s="105">
        <v>54000</v>
      </c>
      <c r="B117" s="4">
        <f t="shared" si="17"/>
        <v>4500</v>
      </c>
      <c r="C117" s="4">
        <f>'Total income package'!$D$80</f>
        <v>0</v>
      </c>
      <c r="D117" s="4">
        <f t="shared" si="11"/>
        <v>4500</v>
      </c>
      <c r="E117" s="4">
        <f t="shared" si="12"/>
        <v>4338</v>
      </c>
      <c r="F117" t="str">
        <f t="shared" si="13"/>
        <v>No</v>
      </c>
      <c r="G117" t="str">
        <f t="shared" si="14"/>
        <v>No</v>
      </c>
      <c r="I117" t="str">
        <f t="shared" si="15"/>
        <v>Yes</v>
      </c>
      <c r="J117" t="str">
        <f t="shared" si="9"/>
        <v>Yes</v>
      </c>
      <c r="K117" t="str">
        <f t="shared" si="10"/>
        <v>Yes</v>
      </c>
      <c r="L117" s="203">
        <f>IF(AND('Total income package'!$A$16=TRUE,E117&lt;$J$2),$M$2,0)</f>
        <v>0</v>
      </c>
      <c r="M117" s="179">
        <f>IF(AND('Total income package'!$A$16=TRUE,E117&lt;$L$2),$P$2,0)</f>
        <v>637</v>
      </c>
      <c r="N117" s="204">
        <f t="shared" si="16"/>
        <v>637</v>
      </c>
    </row>
    <row r="118" spans="1:14" x14ac:dyDescent="0.3">
      <c r="A118" s="105">
        <v>54500</v>
      </c>
      <c r="B118" s="4">
        <f t="shared" si="17"/>
        <v>4541.666666666667</v>
      </c>
      <c r="C118" s="4">
        <f>'Total income package'!$D$80</f>
        <v>0</v>
      </c>
      <c r="D118" s="4">
        <f t="shared" si="11"/>
        <v>4541.666666666667</v>
      </c>
      <c r="E118" s="4">
        <f t="shared" si="12"/>
        <v>4379.666666666667</v>
      </c>
      <c r="F118" t="str">
        <f t="shared" si="13"/>
        <v>No</v>
      </c>
      <c r="G118" t="str">
        <f t="shared" si="14"/>
        <v>No</v>
      </c>
      <c r="I118" t="str">
        <f t="shared" si="15"/>
        <v>Yes</v>
      </c>
      <c r="J118" t="str">
        <f t="shared" si="9"/>
        <v>Yes</v>
      </c>
      <c r="K118" t="str">
        <f t="shared" si="10"/>
        <v>Yes</v>
      </c>
      <c r="L118" s="203">
        <f>IF(AND('Total income package'!$A$16=TRUE,E118&lt;$J$2),$M$2,0)</f>
        <v>0</v>
      </c>
      <c r="M118" s="179">
        <f>IF(AND('Total income package'!$A$16=TRUE,E118&lt;$L$2),$P$2,0)</f>
        <v>637</v>
      </c>
      <c r="N118" s="204">
        <f t="shared" si="16"/>
        <v>637</v>
      </c>
    </row>
    <row r="119" spans="1:14" x14ac:dyDescent="0.3">
      <c r="A119" s="105">
        <v>55000</v>
      </c>
      <c r="B119" s="4">
        <f t="shared" si="17"/>
        <v>4583.333333333333</v>
      </c>
      <c r="C119" s="4">
        <f>'Total income package'!$D$80</f>
        <v>0</v>
      </c>
      <c r="D119" s="4">
        <f t="shared" si="11"/>
        <v>4583.333333333333</v>
      </c>
      <c r="E119" s="4">
        <f t="shared" si="12"/>
        <v>4421.333333333333</v>
      </c>
      <c r="F119" t="str">
        <f t="shared" si="13"/>
        <v>No</v>
      </c>
      <c r="G119" t="str">
        <f t="shared" si="14"/>
        <v>No</v>
      </c>
      <c r="I119" t="str">
        <f t="shared" si="15"/>
        <v>Yes</v>
      </c>
      <c r="J119" t="str">
        <f t="shared" si="9"/>
        <v>Yes</v>
      </c>
      <c r="K119" t="str">
        <f t="shared" si="10"/>
        <v>Yes</v>
      </c>
      <c r="L119" s="203">
        <f>IF(AND('Total income package'!$A$16=TRUE,E119&lt;$J$2),$M$2,0)</f>
        <v>0</v>
      </c>
      <c r="M119" s="179">
        <f>IF(AND('Total income package'!$A$16=TRUE,E119&lt;$L$2),$P$2,0)</f>
        <v>637</v>
      </c>
      <c r="N119" s="204">
        <f t="shared" si="16"/>
        <v>637</v>
      </c>
    </row>
    <row r="120" spans="1:14" x14ac:dyDescent="0.3">
      <c r="A120" s="105">
        <v>55500</v>
      </c>
      <c r="B120" s="4">
        <f t="shared" si="17"/>
        <v>4625</v>
      </c>
      <c r="C120" s="4">
        <f>'Total income package'!$D$80</f>
        <v>0</v>
      </c>
      <c r="D120" s="4">
        <f t="shared" si="11"/>
        <v>4625</v>
      </c>
      <c r="E120" s="4">
        <f t="shared" si="12"/>
        <v>4463</v>
      </c>
      <c r="F120" t="str">
        <f t="shared" si="13"/>
        <v>No</v>
      </c>
      <c r="G120" t="str">
        <f t="shared" si="14"/>
        <v>No</v>
      </c>
      <c r="I120" t="str">
        <f t="shared" si="15"/>
        <v>Yes</v>
      </c>
      <c r="J120" t="str">
        <f t="shared" si="9"/>
        <v>Yes</v>
      </c>
      <c r="K120" t="str">
        <f t="shared" si="10"/>
        <v>Yes</v>
      </c>
      <c r="L120" s="203">
        <f>IF(AND('Total income package'!$A$16=TRUE,E120&lt;$J$2),$M$2,0)</f>
        <v>0</v>
      </c>
      <c r="M120" s="179">
        <f>IF(AND('Total income package'!$A$16=TRUE,E120&lt;$L$2),$P$2,0)</f>
        <v>637</v>
      </c>
      <c r="N120" s="204">
        <f t="shared" si="16"/>
        <v>637</v>
      </c>
    </row>
    <row r="121" spans="1:14" x14ac:dyDescent="0.3">
      <c r="A121" s="105">
        <v>56000</v>
      </c>
      <c r="B121" s="4">
        <f t="shared" si="17"/>
        <v>4666.666666666667</v>
      </c>
      <c r="C121" s="4">
        <f>'Total income package'!$D$80</f>
        <v>0</v>
      </c>
      <c r="D121" s="4">
        <f t="shared" si="11"/>
        <v>4666.666666666667</v>
      </c>
      <c r="E121" s="4">
        <f t="shared" si="12"/>
        <v>4504.666666666667</v>
      </c>
      <c r="F121" t="str">
        <f t="shared" si="13"/>
        <v>No</v>
      </c>
      <c r="G121" t="str">
        <f t="shared" si="14"/>
        <v>No</v>
      </c>
      <c r="I121" t="str">
        <f t="shared" si="15"/>
        <v>Yes</v>
      </c>
      <c r="J121" t="str">
        <f t="shared" si="9"/>
        <v>Yes</v>
      </c>
      <c r="K121" t="str">
        <f t="shared" si="10"/>
        <v>Yes</v>
      </c>
      <c r="L121" s="203">
        <f>IF(AND('Total income package'!$A$16=TRUE,E121&lt;$J$2),$M$2,0)</f>
        <v>0</v>
      </c>
      <c r="M121" s="179">
        <f>IF(AND('Total income package'!$A$16=TRUE,E121&lt;$L$2),$P$2,0)</f>
        <v>637</v>
      </c>
      <c r="N121" s="204">
        <f t="shared" si="16"/>
        <v>637</v>
      </c>
    </row>
    <row r="122" spans="1:14" x14ac:dyDescent="0.3">
      <c r="A122" s="105">
        <v>56500</v>
      </c>
      <c r="B122" s="4">
        <f t="shared" si="17"/>
        <v>4708.333333333333</v>
      </c>
      <c r="C122" s="4">
        <f>'Total income package'!$D$80</f>
        <v>0</v>
      </c>
      <c r="D122" s="4">
        <f t="shared" si="11"/>
        <v>4708.333333333333</v>
      </c>
      <c r="E122" s="4">
        <f t="shared" si="12"/>
        <v>4546.333333333333</v>
      </c>
      <c r="F122" t="str">
        <f t="shared" si="13"/>
        <v>No</v>
      </c>
      <c r="G122" t="str">
        <f t="shared" si="14"/>
        <v>No</v>
      </c>
      <c r="I122" t="str">
        <f t="shared" si="15"/>
        <v>Yes</v>
      </c>
      <c r="J122" t="str">
        <f t="shared" si="9"/>
        <v>Yes</v>
      </c>
      <c r="K122" t="str">
        <f t="shared" si="10"/>
        <v>Yes</v>
      </c>
      <c r="L122" s="203">
        <f>IF(AND('Total income package'!$A$16=TRUE,E122&lt;$J$2),$M$2,0)</f>
        <v>0</v>
      </c>
      <c r="M122" s="179">
        <f>IF(AND('Total income package'!$A$16=TRUE,E122&lt;$L$2),$P$2,0)</f>
        <v>637</v>
      </c>
      <c r="N122" s="204">
        <f t="shared" si="16"/>
        <v>637</v>
      </c>
    </row>
    <row r="123" spans="1:14" x14ac:dyDescent="0.3">
      <c r="A123" s="105">
        <v>57000</v>
      </c>
      <c r="B123" s="4">
        <f t="shared" si="17"/>
        <v>4750</v>
      </c>
      <c r="C123" s="4">
        <f>'Total income package'!$D$80</f>
        <v>0</v>
      </c>
      <c r="D123" s="4">
        <f t="shared" si="11"/>
        <v>4750</v>
      </c>
      <c r="E123" s="4">
        <f t="shared" si="12"/>
        <v>4588</v>
      </c>
      <c r="F123" t="str">
        <f t="shared" si="13"/>
        <v>No</v>
      </c>
      <c r="G123" t="str">
        <f t="shared" si="14"/>
        <v>No</v>
      </c>
      <c r="I123" t="str">
        <f t="shared" si="15"/>
        <v>Yes</v>
      </c>
      <c r="J123" t="str">
        <f t="shared" si="9"/>
        <v>Yes</v>
      </c>
      <c r="K123" t="str">
        <f t="shared" si="10"/>
        <v>Yes</v>
      </c>
      <c r="L123" s="203">
        <f>IF(AND('Total income package'!$A$16=TRUE,E123&lt;$J$2),$M$2,0)</f>
        <v>0</v>
      </c>
      <c r="M123" s="179">
        <f>IF(AND('Total income package'!$A$16=TRUE,E123&lt;$L$2),$P$2,0)</f>
        <v>637</v>
      </c>
      <c r="N123" s="204">
        <f t="shared" si="16"/>
        <v>637</v>
      </c>
    </row>
    <row r="124" spans="1:14" x14ac:dyDescent="0.3">
      <c r="A124" s="105">
        <v>57500</v>
      </c>
      <c r="B124" s="4">
        <f t="shared" si="17"/>
        <v>4791.666666666667</v>
      </c>
      <c r="C124" s="4">
        <f>'Total income package'!$D$80</f>
        <v>0</v>
      </c>
      <c r="D124" s="4">
        <f t="shared" si="11"/>
        <v>4791.666666666667</v>
      </c>
      <c r="E124" s="4">
        <f t="shared" si="12"/>
        <v>4629.666666666667</v>
      </c>
      <c r="F124" t="str">
        <f t="shared" si="13"/>
        <v>No</v>
      </c>
      <c r="G124" t="str">
        <f t="shared" si="14"/>
        <v>No</v>
      </c>
      <c r="I124" t="str">
        <f t="shared" si="15"/>
        <v>Yes</v>
      </c>
      <c r="J124" t="str">
        <f t="shared" si="9"/>
        <v>No</v>
      </c>
      <c r="K124" t="str">
        <f t="shared" si="10"/>
        <v>Yes</v>
      </c>
      <c r="L124" s="203">
        <f>IF(AND('Total income package'!$A$16=TRUE,E124&lt;$J$2),$M$2,0)</f>
        <v>0</v>
      </c>
      <c r="M124" s="179">
        <f>IF(AND('Total income package'!$A$16=TRUE,E124&lt;$L$2),$P$2,0)</f>
        <v>637</v>
      </c>
      <c r="N124" s="204">
        <f t="shared" si="16"/>
        <v>637</v>
      </c>
    </row>
    <row r="125" spans="1:14" x14ac:dyDescent="0.3">
      <c r="A125" s="105">
        <v>58000</v>
      </c>
      <c r="B125" s="4">
        <f t="shared" si="17"/>
        <v>4833.333333333333</v>
      </c>
      <c r="C125" s="4">
        <f>'Total income package'!$D$80</f>
        <v>0</v>
      </c>
      <c r="D125" s="4">
        <f t="shared" si="11"/>
        <v>4833.333333333333</v>
      </c>
      <c r="E125" s="4">
        <f t="shared" si="12"/>
        <v>4671.333333333333</v>
      </c>
      <c r="F125" t="str">
        <f t="shared" si="13"/>
        <v>No</v>
      </c>
      <c r="G125" t="str">
        <f t="shared" si="14"/>
        <v>No</v>
      </c>
      <c r="I125" t="str">
        <f t="shared" si="15"/>
        <v>Yes</v>
      </c>
      <c r="J125" t="str">
        <f t="shared" si="9"/>
        <v>No</v>
      </c>
      <c r="K125" t="str">
        <f t="shared" si="10"/>
        <v>Yes</v>
      </c>
      <c r="L125" s="203">
        <f>IF(AND('Total income package'!$A$16=TRUE,E125&lt;$J$2),$M$2,0)</f>
        <v>0</v>
      </c>
      <c r="M125" s="179">
        <f>IF(AND('Total income package'!$A$16=TRUE,E125&lt;$L$2),$P$2,0)</f>
        <v>637</v>
      </c>
      <c r="N125" s="204">
        <f t="shared" si="16"/>
        <v>637</v>
      </c>
    </row>
    <row r="126" spans="1:14" x14ac:dyDescent="0.3">
      <c r="A126" s="105">
        <v>58500</v>
      </c>
      <c r="B126" s="4">
        <f t="shared" si="17"/>
        <v>4875</v>
      </c>
      <c r="C126" s="4">
        <f>'Total income package'!$D$80</f>
        <v>0</v>
      </c>
      <c r="D126" s="4">
        <f t="shared" si="11"/>
        <v>4875</v>
      </c>
      <c r="E126" s="4">
        <f t="shared" si="12"/>
        <v>4713</v>
      </c>
      <c r="F126" t="str">
        <f t="shared" si="13"/>
        <v>No</v>
      </c>
      <c r="G126" t="str">
        <f t="shared" si="14"/>
        <v>No</v>
      </c>
      <c r="I126" t="str">
        <f t="shared" si="15"/>
        <v>Yes</v>
      </c>
      <c r="J126" t="str">
        <f t="shared" si="9"/>
        <v>No</v>
      </c>
      <c r="K126" t="str">
        <f t="shared" si="10"/>
        <v>Yes</v>
      </c>
      <c r="L126" s="203">
        <f>IF(AND('Total income package'!$A$16=TRUE,E126&lt;$J$2),$M$2,0)</f>
        <v>0</v>
      </c>
      <c r="M126" s="179">
        <f>IF(AND('Total income package'!$A$16=TRUE,E126&lt;$L$2),$P$2,0)</f>
        <v>637</v>
      </c>
      <c r="N126" s="204">
        <f t="shared" si="16"/>
        <v>637</v>
      </c>
    </row>
    <row r="127" spans="1:14" x14ac:dyDescent="0.3">
      <c r="A127" s="105">
        <v>59000</v>
      </c>
      <c r="B127" s="4">
        <f t="shared" si="17"/>
        <v>4916.666666666667</v>
      </c>
      <c r="C127" s="4">
        <f>'Total income package'!$D$80</f>
        <v>0</v>
      </c>
      <c r="D127" s="4">
        <f t="shared" si="11"/>
        <v>4916.666666666667</v>
      </c>
      <c r="E127" s="4">
        <f t="shared" si="12"/>
        <v>4754.666666666667</v>
      </c>
      <c r="F127" t="str">
        <f t="shared" si="13"/>
        <v>No</v>
      </c>
      <c r="G127" t="str">
        <f t="shared" si="14"/>
        <v>No</v>
      </c>
      <c r="I127" t="str">
        <f t="shared" si="15"/>
        <v>Yes</v>
      </c>
      <c r="J127" t="str">
        <f t="shared" si="9"/>
        <v>No</v>
      </c>
      <c r="K127" t="str">
        <f t="shared" si="10"/>
        <v>Yes</v>
      </c>
      <c r="L127" s="203">
        <f>IF(AND('Total income package'!$A$16=TRUE,E127&lt;$J$2),$M$2,0)</f>
        <v>0</v>
      </c>
      <c r="M127" s="179">
        <f>IF(AND('Total income package'!$A$16=TRUE,E127&lt;$L$2),$P$2,0)</f>
        <v>637</v>
      </c>
      <c r="N127" s="204">
        <f t="shared" si="16"/>
        <v>637</v>
      </c>
    </row>
    <row r="128" spans="1:14" x14ac:dyDescent="0.3">
      <c r="A128" s="105">
        <v>59500</v>
      </c>
      <c r="B128" s="4">
        <f t="shared" si="17"/>
        <v>4958.333333333333</v>
      </c>
      <c r="C128" s="4">
        <f>'Total income package'!$D$80</f>
        <v>0</v>
      </c>
      <c r="D128" s="4">
        <f t="shared" si="11"/>
        <v>4958.333333333333</v>
      </c>
      <c r="E128" s="4">
        <f t="shared" si="12"/>
        <v>4796.333333333333</v>
      </c>
      <c r="F128" t="str">
        <f t="shared" si="13"/>
        <v>No</v>
      </c>
      <c r="G128" t="str">
        <f t="shared" si="14"/>
        <v>No</v>
      </c>
      <c r="I128" t="str">
        <f t="shared" si="15"/>
        <v>Yes</v>
      </c>
      <c r="J128" t="str">
        <f t="shared" si="9"/>
        <v>No</v>
      </c>
      <c r="K128" t="str">
        <f t="shared" si="10"/>
        <v>Yes</v>
      </c>
      <c r="L128" s="203">
        <f>IF(AND('Total income package'!$A$16=TRUE,E128&lt;$J$2),$M$2,0)</f>
        <v>0</v>
      </c>
      <c r="M128" s="179">
        <f>IF(AND('Total income package'!$A$16=TRUE,E128&lt;$L$2),$P$2,0)</f>
        <v>637</v>
      </c>
      <c r="N128" s="204">
        <f t="shared" si="16"/>
        <v>637</v>
      </c>
    </row>
    <row r="129" spans="1:14" x14ac:dyDescent="0.3">
      <c r="A129" s="105">
        <v>60000</v>
      </c>
      <c r="B129" s="4">
        <f t="shared" si="17"/>
        <v>5000</v>
      </c>
      <c r="C129" s="4">
        <f>'Total income package'!$D$80</f>
        <v>0</v>
      </c>
      <c r="D129" s="4">
        <f t="shared" si="11"/>
        <v>5000</v>
      </c>
      <c r="E129" s="4">
        <f t="shared" si="12"/>
        <v>4838</v>
      </c>
      <c r="F129" t="str">
        <f t="shared" si="13"/>
        <v>No</v>
      </c>
      <c r="G129" t="str">
        <f t="shared" si="14"/>
        <v>No</v>
      </c>
      <c r="I129" t="str">
        <f t="shared" si="15"/>
        <v>Yes</v>
      </c>
      <c r="J129" t="str">
        <f t="shared" si="9"/>
        <v>No</v>
      </c>
      <c r="K129" t="str">
        <f t="shared" si="10"/>
        <v>Yes</v>
      </c>
      <c r="L129" s="203">
        <f>IF(AND('Total income package'!$A$16=TRUE,E129&lt;$J$2),$M$2,0)</f>
        <v>0</v>
      </c>
      <c r="M129" s="179">
        <f>IF(AND('Total income package'!$A$16=TRUE,E129&lt;$L$2),$P$2,0)</f>
        <v>637</v>
      </c>
      <c r="N129" s="204">
        <f t="shared" si="16"/>
        <v>637</v>
      </c>
    </row>
    <row r="130" spans="1:14" x14ac:dyDescent="0.3">
      <c r="A130" s="105">
        <v>60500</v>
      </c>
      <c r="B130" s="4">
        <f t="shared" si="17"/>
        <v>5041.666666666667</v>
      </c>
      <c r="C130" s="4">
        <f>'Total income package'!$D$80</f>
        <v>0</v>
      </c>
      <c r="D130" s="4">
        <f t="shared" si="11"/>
        <v>5041.666666666667</v>
      </c>
      <c r="E130" s="4">
        <f t="shared" si="12"/>
        <v>4879.666666666667</v>
      </c>
      <c r="F130" t="str">
        <f t="shared" si="13"/>
        <v>No</v>
      </c>
      <c r="G130" t="str">
        <f t="shared" si="14"/>
        <v>No</v>
      </c>
      <c r="I130" t="str">
        <f t="shared" si="15"/>
        <v>Yes</v>
      </c>
      <c r="J130" t="str">
        <f t="shared" si="9"/>
        <v>No</v>
      </c>
      <c r="K130" t="str">
        <f t="shared" si="10"/>
        <v>Yes</v>
      </c>
      <c r="L130" s="203">
        <f>IF(AND('Total income package'!$A$16=TRUE,E130&lt;$J$2),$M$2,0)</f>
        <v>0</v>
      </c>
      <c r="M130" s="179">
        <f>IF(AND('Total income package'!$A$16=TRUE,E130&lt;$L$2),$P$2,0)</f>
        <v>637</v>
      </c>
      <c r="N130" s="204">
        <f t="shared" si="16"/>
        <v>637</v>
      </c>
    </row>
    <row r="131" spans="1:14" x14ac:dyDescent="0.3">
      <c r="A131" s="105">
        <v>61000</v>
      </c>
      <c r="B131" s="4">
        <f t="shared" si="17"/>
        <v>5083.333333333333</v>
      </c>
      <c r="C131" s="4">
        <f>'Total income package'!$D$80</f>
        <v>0</v>
      </c>
      <c r="D131" s="4">
        <f t="shared" si="11"/>
        <v>5083.333333333333</v>
      </c>
      <c r="E131" s="4">
        <f t="shared" si="12"/>
        <v>4921.333333333333</v>
      </c>
      <c r="F131" t="str">
        <f t="shared" si="13"/>
        <v>No</v>
      </c>
      <c r="G131" t="str">
        <f t="shared" si="14"/>
        <v>No</v>
      </c>
      <c r="I131" t="str">
        <f t="shared" si="15"/>
        <v>Yes</v>
      </c>
      <c r="J131" t="str">
        <f t="shared" si="9"/>
        <v>No</v>
      </c>
      <c r="K131" t="str">
        <f t="shared" si="10"/>
        <v>Yes</v>
      </c>
      <c r="L131" s="203">
        <f>IF(AND('Total income package'!$A$16=TRUE,E131&lt;$J$2),$M$2,0)</f>
        <v>0</v>
      </c>
      <c r="M131" s="179">
        <f>IF(AND('Total income package'!$A$16=TRUE,E131&lt;$L$2),$P$2,0)</f>
        <v>637</v>
      </c>
      <c r="N131" s="204">
        <f t="shared" si="16"/>
        <v>637</v>
      </c>
    </row>
    <row r="132" spans="1:14" x14ac:dyDescent="0.3">
      <c r="A132" s="105">
        <v>61500</v>
      </c>
      <c r="B132" s="4">
        <f t="shared" si="17"/>
        <v>5125</v>
      </c>
      <c r="C132" s="4">
        <f>'Total income package'!$D$80</f>
        <v>0</v>
      </c>
      <c r="D132" s="4">
        <f t="shared" si="11"/>
        <v>5125</v>
      </c>
      <c r="E132" s="4">
        <f t="shared" si="12"/>
        <v>4963</v>
      </c>
      <c r="F132" t="str">
        <f t="shared" si="13"/>
        <v>No</v>
      </c>
      <c r="G132" t="str">
        <f t="shared" si="14"/>
        <v>No</v>
      </c>
      <c r="I132" t="str">
        <f t="shared" si="15"/>
        <v>Yes</v>
      </c>
      <c r="J132" t="str">
        <f t="shared" si="9"/>
        <v>No</v>
      </c>
      <c r="K132" t="str">
        <f t="shared" si="10"/>
        <v>Yes</v>
      </c>
      <c r="L132" s="203">
        <f>IF(AND('Total income package'!$A$16=TRUE,E132&lt;$J$2),$M$2,0)</f>
        <v>0</v>
      </c>
      <c r="M132" s="179">
        <f>IF(AND('Total income package'!$A$16=TRUE,E132&lt;$L$2),$P$2,0)</f>
        <v>637</v>
      </c>
      <c r="N132" s="204">
        <f t="shared" si="16"/>
        <v>637</v>
      </c>
    </row>
    <row r="133" spans="1:14" x14ac:dyDescent="0.3">
      <c r="A133" s="105">
        <v>62000</v>
      </c>
      <c r="B133" s="4">
        <f t="shared" si="17"/>
        <v>5166.666666666667</v>
      </c>
      <c r="C133" s="4">
        <f>'Total income package'!$D$80</f>
        <v>0</v>
      </c>
      <c r="D133" s="4">
        <f t="shared" si="11"/>
        <v>5166.666666666667</v>
      </c>
      <c r="E133" s="4">
        <f t="shared" si="12"/>
        <v>5004.666666666667</v>
      </c>
      <c r="F133" t="str">
        <f t="shared" si="13"/>
        <v>No</v>
      </c>
      <c r="G133" t="str">
        <f t="shared" si="14"/>
        <v>No</v>
      </c>
      <c r="I133" t="str">
        <f t="shared" si="15"/>
        <v>Yes</v>
      </c>
      <c r="J133" t="str">
        <f t="shared" si="9"/>
        <v>No</v>
      </c>
      <c r="K133" t="str">
        <f t="shared" si="10"/>
        <v>Yes</v>
      </c>
      <c r="L133" s="203">
        <f>IF(AND('Total income package'!$A$16=TRUE,E133&lt;$J$2),$M$2,0)</f>
        <v>0</v>
      </c>
      <c r="M133" s="179">
        <f>IF(AND('Total income package'!$A$16=TRUE,E133&lt;$L$2),$P$2,0)</f>
        <v>637</v>
      </c>
      <c r="N133" s="204">
        <f t="shared" si="16"/>
        <v>637</v>
      </c>
    </row>
    <row r="134" spans="1:14" x14ac:dyDescent="0.3">
      <c r="A134" s="105">
        <v>62500</v>
      </c>
      <c r="B134" s="4">
        <f t="shared" si="17"/>
        <v>5208.333333333333</v>
      </c>
      <c r="C134" s="4">
        <f>'Total income package'!$D$80</f>
        <v>0</v>
      </c>
      <c r="D134" s="4">
        <f t="shared" si="11"/>
        <v>5208.333333333333</v>
      </c>
      <c r="E134" s="4">
        <f t="shared" si="12"/>
        <v>5046.333333333333</v>
      </c>
      <c r="F134" t="str">
        <f t="shared" si="13"/>
        <v>No</v>
      </c>
      <c r="G134" t="str">
        <f t="shared" si="14"/>
        <v>No</v>
      </c>
      <c r="I134" t="str">
        <f t="shared" si="15"/>
        <v>Yes</v>
      </c>
      <c r="J134" t="str">
        <f t="shared" si="9"/>
        <v>No</v>
      </c>
      <c r="K134" t="str">
        <f t="shared" si="10"/>
        <v>Yes</v>
      </c>
      <c r="L134" s="203">
        <f>IF(AND('Total income package'!$A$16=TRUE,E134&lt;$J$2),$M$2,0)</f>
        <v>0</v>
      </c>
      <c r="M134" s="179">
        <f>IF(AND('Total income package'!$A$16=TRUE,E134&lt;$L$2),$P$2,0)</f>
        <v>637</v>
      </c>
      <c r="N134" s="204">
        <f t="shared" si="16"/>
        <v>637</v>
      </c>
    </row>
    <row r="135" spans="1:14" x14ac:dyDescent="0.3">
      <c r="A135" s="105">
        <v>63000</v>
      </c>
      <c r="B135" s="4">
        <f t="shared" si="17"/>
        <v>5250</v>
      </c>
      <c r="C135" s="4">
        <f>'Total income package'!$D$80</f>
        <v>0</v>
      </c>
      <c r="D135" s="4">
        <f t="shared" si="11"/>
        <v>5250</v>
      </c>
      <c r="E135" s="4">
        <f t="shared" si="12"/>
        <v>5088</v>
      </c>
      <c r="F135" t="str">
        <f t="shared" si="13"/>
        <v>No</v>
      </c>
      <c r="G135" t="str">
        <f t="shared" si="14"/>
        <v>No</v>
      </c>
      <c r="I135" t="str">
        <f t="shared" si="15"/>
        <v>Yes</v>
      </c>
      <c r="J135" t="str">
        <f t="shared" si="9"/>
        <v>No</v>
      </c>
      <c r="K135" t="str">
        <f t="shared" si="10"/>
        <v>Yes</v>
      </c>
      <c r="L135" s="203">
        <f>IF(AND('Total income package'!$A$16=TRUE,E135&lt;$J$2),$M$2,0)</f>
        <v>0</v>
      </c>
      <c r="M135" s="179">
        <f>IF(AND('Total income package'!$A$16=TRUE,E135&lt;$L$2),$P$2,0)</f>
        <v>637</v>
      </c>
      <c r="N135" s="204">
        <f t="shared" si="16"/>
        <v>637</v>
      </c>
    </row>
    <row r="136" spans="1:14" x14ac:dyDescent="0.3">
      <c r="A136" s="105">
        <v>63500</v>
      </c>
      <c r="B136" s="4">
        <f t="shared" si="17"/>
        <v>5291.666666666667</v>
      </c>
      <c r="C136" s="4">
        <f>'Total income package'!$D$80</f>
        <v>0</v>
      </c>
      <c r="D136" s="4">
        <f t="shared" si="11"/>
        <v>5291.666666666667</v>
      </c>
      <c r="E136" s="4">
        <f t="shared" si="12"/>
        <v>5129.666666666667</v>
      </c>
      <c r="F136" t="str">
        <f t="shared" si="13"/>
        <v>No</v>
      </c>
      <c r="G136" t="str">
        <f t="shared" si="14"/>
        <v>No</v>
      </c>
      <c r="I136" t="str">
        <f t="shared" si="15"/>
        <v>Yes</v>
      </c>
      <c r="J136" t="str">
        <f t="shared" si="9"/>
        <v>No</v>
      </c>
      <c r="K136" t="str">
        <f t="shared" si="10"/>
        <v>Yes</v>
      </c>
      <c r="L136" s="203">
        <f>IF(AND('Total income package'!$A$16=TRUE,E136&lt;$J$2),$M$2,0)</f>
        <v>0</v>
      </c>
      <c r="M136" s="179">
        <f>IF(AND('Total income package'!$A$16=TRUE,E136&lt;$L$2),$P$2,0)</f>
        <v>637</v>
      </c>
      <c r="N136" s="204">
        <f t="shared" si="16"/>
        <v>637</v>
      </c>
    </row>
    <row r="137" spans="1:14" x14ac:dyDescent="0.3">
      <c r="A137" s="105">
        <v>64000</v>
      </c>
      <c r="B137" s="4">
        <f t="shared" si="17"/>
        <v>5333.333333333333</v>
      </c>
      <c r="C137" s="4">
        <f>'Total income package'!$D$80</f>
        <v>0</v>
      </c>
      <c r="D137" s="4">
        <f t="shared" si="11"/>
        <v>5333.333333333333</v>
      </c>
      <c r="E137" s="4">
        <f t="shared" si="12"/>
        <v>5171.333333333333</v>
      </c>
      <c r="F137" t="str">
        <f t="shared" si="13"/>
        <v>No</v>
      </c>
      <c r="G137" t="str">
        <f t="shared" si="14"/>
        <v>No</v>
      </c>
      <c r="I137" t="str">
        <f t="shared" si="15"/>
        <v>Yes</v>
      </c>
      <c r="J137" t="str">
        <f t="shared" ref="J137:J200" si="18">IF(E137&lt;$K$2,"Yes","No")</f>
        <v>No</v>
      </c>
      <c r="K137" t="str">
        <f t="shared" ref="K137:K200" si="19">IF(E137&lt;$L$2,"Yes","No")</f>
        <v>Yes</v>
      </c>
      <c r="L137" s="203">
        <f>IF(AND('Total income package'!$A$16=TRUE,E137&lt;$J$2),$M$2,0)</f>
        <v>0</v>
      </c>
      <c r="M137" s="179">
        <f>IF(AND('Total income package'!$A$16=TRUE,E137&lt;$L$2),$P$2,0)</f>
        <v>637</v>
      </c>
      <c r="N137" s="204">
        <f t="shared" si="16"/>
        <v>637</v>
      </c>
    </row>
    <row r="138" spans="1:14" x14ac:dyDescent="0.3">
      <c r="A138" s="105">
        <v>64500</v>
      </c>
      <c r="B138" s="4">
        <f t="shared" si="17"/>
        <v>5375</v>
      </c>
      <c r="C138" s="4">
        <f>'Total income package'!$D$80</f>
        <v>0</v>
      </c>
      <c r="D138" s="4">
        <f t="shared" ref="D138:D201" si="20">B138+C138</f>
        <v>5375</v>
      </c>
      <c r="E138" s="4">
        <f t="shared" ref="E138:E201" si="21">IF(D138-$H$2&lt;0,0,D138-$H$2)</f>
        <v>5213</v>
      </c>
      <c r="F138" t="str">
        <f t="shared" ref="F138:F201" si="22">IF(E138&lt;$I$2,"Yes","No")</f>
        <v>No</v>
      </c>
      <c r="G138" t="str">
        <f t="shared" ref="G138:G201" si="23">IF(E138&lt;$J$2,"Yes","No")</f>
        <v>No</v>
      </c>
      <c r="I138" t="str">
        <f t="shared" ref="I138:I201" si="24">IF($E$2&gt;0,"Yes","No")</f>
        <v>Yes</v>
      </c>
      <c r="J138" t="str">
        <f t="shared" si="18"/>
        <v>No</v>
      </c>
      <c r="K138" t="str">
        <f t="shared" si="19"/>
        <v>Yes</v>
      </c>
      <c r="L138" s="203">
        <f>IF(AND('Total income package'!$A$16=TRUE,E138&lt;$J$2),$M$2,0)</f>
        <v>0</v>
      </c>
      <c r="M138" s="179">
        <f>IF(AND('Total income package'!$A$16=TRUE,E138&lt;$L$2),$P$2,0)</f>
        <v>637</v>
      </c>
      <c r="N138" s="204">
        <f t="shared" ref="N138:N201" si="25">L138+M138</f>
        <v>637</v>
      </c>
    </row>
    <row r="139" spans="1:14" x14ac:dyDescent="0.3">
      <c r="A139" s="105">
        <v>65000</v>
      </c>
      <c r="B139" s="4">
        <f t="shared" ref="B139:B202" si="26">A139/12</f>
        <v>5416.666666666667</v>
      </c>
      <c r="C139" s="4">
        <f>'Total income package'!$D$80</f>
        <v>0</v>
      </c>
      <c r="D139" s="4">
        <f t="shared" si="20"/>
        <v>5416.666666666667</v>
      </c>
      <c r="E139" s="4">
        <f t="shared" si="21"/>
        <v>5254.666666666667</v>
      </c>
      <c r="F139" t="str">
        <f t="shared" si="22"/>
        <v>No</v>
      </c>
      <c r="G139" t="str">
        <f t="shared" si="23"/>
        <v>No</v>
      </c>
      <c r="I139" t="str">
        <f t="shared" si="24"/>
        <v>Yes</v>
      </c>
      <c r="J139" t="str">
        <f t="shared" si="18"/>
        <v>No</v>
      </c>
      <c r="K139" t="str">
        <f t="shared" si="19"/>
        <v>Yes</v>
      </c>
      <c r="L139" s="203">
        <f>IF(AND('Total income package'!$A$16=TRUE,E139&lt;$J$2),$M$2,0)</f>
        <v>0</v>
      </c>
      <c r="M139" s="179">
        <f>IF(AND('Total income package'!$A$16=TRUE,E139&lt;$L$2),$P$2,0)</f>
        <v>637</v>
      </c>
      <c r="N139" s="204">
        <f t="shared" si="25"/>
        <v>637</v>
      </c>
    </row>
    <row r="140" spans="1:14" x14ac:dyDescent="0.3">
      <c r="A140" s="105">
        <v>65500</v>
      </c>
      <c r="B140" s="4">
        <f t="shared" si="26"/>
        <v>5458.333333333333</v>
      </c>
      <c r="C140" s="4">
        <f>'Total income package'!$D$80</f>
        <v>0</v>
      </c>
      <c r="D140" s="4">
        <f t="shared" si="20"/>
        <v>5458.333333333333</v>
      </c>
      <c r="E140" s="4">
        <f t="shared" si="21"/>
        <v>5296.333333333333</v>
      </c>
      <c r="F140" t="str">
        <f t="shared" si="22"/>
        <v>No</v>
      </c>
      <c r="G140" t="str">
        <f t="shared" si="23"/>
        <v>No</v>
      </c>
      <c r="I140" t="str">
        <f t="shared" si="24"/>
        <v>Yes</v>
      </c>
      <c r="J140" t="str">
        <f t="shared" si="18"/>
        <v>No</v>
      </c>
      <c r="K140" t="str">
        <f t="shared" si="19"/>
        <v>Yes</v>
      </c>
      <c r="L140" s="203">
        <f>IF(AND('Total income package'!$A$16=TRUE,E140&lt;$J$2),$M$2,0)</f>
        <v>0</v>
      </c>
      <c r="M140" s="179">
        <f>IF(AND('Total income package'!$A$16=TRUE,E140&lt;$L$2),$P$2,0)</f>
        <v>637</v>
      </c>
      <c r="N140" s="204">
        <f t="shared" si="25"/>
        <v>637</v>
      </c>
    </row>
    <row r="141" spans="1:14" x14ac:dyDescent="0.3">
      <c r="A141" s="105">
        <v>66000</v>
      </c>
      <c r="B141" s="4">
        <f t="shared" si="26"/>
        <v>5500</v>
      </c>
      <c r="C141" s="4">
        <f>'Total income package'!$D$80</f>
        <v>0</v>
      </c>
      <c r="D141" s="4">
        <f t="shared" si="20"/>
        <v>5500</v>
      </c>
      <c r="E141" s="4">
        <f t="shared" si="21"/>
        <v>5338</v>
      </c>
      <c r="F141" t="str">
        <f t="shared" si="22"/>
        <v>No</v>
      </c>
      <c r="G141" t="str">
        <f t="shared" si="23"/>
        <v>No</v>
      </c>
      <c r="I141" t="str">
        <f t="shared" si="24"/>
        <v>Yes</v>
      </c>
      <c r="J141" t="str">
        <f t="shared" si="18"/>
        <v>No</v>
      </c>
      <c r="K141" t="str">
        <f t="shared" si="19"/>
        <v>Yes</v>
      </c>
      <c r="L141" s="203">
        <f>IF(AND('Total income package'!$A$16=TRUE,E141&lt;$J$2),$M$2,0)</f>
        <v>0</v>
      </c>
      <c r="M141" s="179">
        <f>IF(AND('Total income package'!$A$16=TRUE,E141&lt;$L$2),$P$2,0)</f>
        <v>637</v>
      </c>
      <c r="N141" s="204">
        <f t="shared" si="25"/>
        <v>637</v>
      </c>
    </row>
    <row r="142" spans="1:14" x14ac:dyDescent="0.3">
      <c r="A142" s="105">
        <v>66500</v>
      </c>
      <c r="B142" s="4">
        <f t="shared" si="26"/>
        <v>5541.666666666667</v>
      </c>
      <c r="C142" s="4">
        <f>'Total income package'!$D$80</f>
        <v>0</v>
      </c>
      <c r="D142" s="4">
        <f t="shared" si="20"/>
        <v>5541.666666666667</v>
      </c>
      <c r="E142" s="4">
        <f t="shared" si="21"/>
        <v>5379.666666666667</v>
      </c>
      <c r="F142" t="str">
        <f t="shared" si="22"/>
        <v>No</v>
      </c>
      <c r="G142" t="str">
        <f t="shared" si="23"/>
        <v>No</v>
      </c>
      <c r="I142" t="str">
        <f t="shared" si="24"/>
        <v>Yes</v>
      </c>
      <c r="J142" t="str">
        <f t="shared" si="18"/>
        <v>No</v>
      </c>
      <c r="K142" t="str">
        <f t="shared" si="19"/>
        <v>Yes</v>
      </c>
      <c r="L142" s="203">
        <f>IF(AND('Total income package'!$A$16=TRUE,E142&lt;$J$2),$M$2,0)</f>
        <v>0</v>
      </c>
      <c r="M142" s="179">
        <f>IF(AND('Total income package'!$A$16=TRUE,E142&lt;$L$2),$P$2,0)</f>
        <v>637</v>
      </c>
      <c r="N142" s="204">
        <f t="shared" si="25"/>
        <v>637</v>
      </c>
    </row>
    <row r="143" spans="1:14" x14ac:dyDescent="0.3">
      <c r="A143" s="105">
        <v>67000</v>
      </c>
      <c r="B143" s="4">
        <f t="shared" si="26"/>
        <v>5583.333333333333</v>
      </c>
      <c r="C143" s="4">
        <f>'Total income package'!$D$80</f>
        <v>0</v>
      </c>
      <c r="D143" s="4">
        <f t="shared" si="20"/>
        <v>5583.333333333333</v>
      </c>
      <c r="E143" s="4">
        <f t="shared" si="21"/>
        <v>5421.333333333333</v>
      </c>
      <c r="F143" t="str">
        <f t="shared" si="22"/>
        <v>No</v>
      </c>
      <c r="G143" t="str">
        <f t="shared" si="23"/>
        <v>No</v>
      </c>
      <c r="I143" t="str">
        <f t="shared" si="24"/>
        <v>Yes</v>
      </c>
      <c r="J143" t="str">
        <f t="shared" si="18"/>
        <v>No</v>
      </c>
      <c r="K143" t="str">
        <f t="shared" si="19"/>
        <v>Yes</v>
      </c>
      <c r="L143" s="203">
        <f>IF(AND('Total income package'!$A$16=TRUE,E143&lt;$J$2),$M$2,0)</f>
        <v>0</v>
      </c>
      <c r="M143" s="179">
        <f>IF(AND('Total income package'!$A$16=TRUE,E143&lt;$L$2),$P$2,0)</f>
        <v>637</v>
      </c>
      <c r="N143" s="204">
        <f t="shared" si="25"/>
        <v>637</v>
      </c>
    </row>
    <row r="144" spans="1:14" x14ac:dyDescent="0.3">
      <c r="A144" s="105">
        <v>67500</v>
      </c>
      <c r="B144" s="4">
        <f t="shared" si="26"/>
        <v>5625</v>
      </c>
      <c r="C144" s="4">
        <f>'Total income package'!$D$80</f>
        <v>0</v>
      </c>
      <c r="D144" s="4">
        <f t="shared" si="20"/>
        <v>5625</v>
      </c>
      <c r="E144" s="4">
        <f t="shared" si="21"/>
        <v>5463</v>
      </c>
      <c r="F144" t="str">
        <f t="shared" si="22"/>
        <v>No</v>
      </c>
      <c r="G144" t="str">
        <f t="shared" si="23"/>
        <v>No</v>
      </c>
      <c r="I144" t="str">
        <f t="shared" si="24"/>
        <v>Yes</v>
      </c>
      <c r="J144" t="str">
        <f t="shared" si="18"/>
        <v>No</v>
      </c>
      <c r="K144" t="str">
        <f t="shared" si="19"/>
        <v>Yes</v>
      </c>
      <c r="L144" s="203">
        <f>IF(AND('Total income package'!$A$16=TRUE,E144&lt;$J$2),$M$2,0)</f>
        <v>0</v>
      </c>
      <c r="M144" s="179">
        <f>IF(AND('Total income package'!$A$16=TRUE,E144&lt;$L$2),$P$2,0)</f>
        <v>637</v>
      </c>
      <c r="N144" s="204">
        <f t="shared" si="25"/>
        <v>637</v>
      </c>
    </row>
    <row r="145" spans="1:14" x14ac:dyDescent="0.3">
      <c r="A145" s="105">
        <v>68000</v>
      </c>
      <c r="B145" s="4">
        <f t="shared" si="26"/>
        <v>5666.666666666667</v>
      </c>
      <c r="C145" s="4">
        <f>'Total income package'!$D$80</f>
        <v>0</v>
      </c>
      <c r="D145" s="4">
        <f t="shared" si="20"/>
        <v>5666.666666666667</v>
      </c>
      <c r="E145" s="4">
        <f t="shared" si="21"/>
        <v>5504.666666666667</v>
      </c>
      <c r="F145" t="str">
        <f t="shared" si="22"/>
        <v>No</v>
      </c>
      <c r="G145" t="str">
        <f t="shared" si="23"/>
        <v>No</v>
      </c>
      <c r="I145" t="str">
        <f t="shared" si="24"/>
        <v>Yes</v>
      </c>
      <c r="J145" t="str">
        <f t="shared" si="18"/>
        <v>No</v>
      </c>
      <c r="K145" t="str">
        <f t="shared" si="19"/>
        <v>Yes</v>
      </c>
      <c r="L145" s="203">
        <f>IF(AND('Total income package'!$A$16=TRUE,E145&lt;$J$2),$M$2,0)</f>
        <v>0</v>
      </c>
      <c r="M145" s="179">
        <f>IF(AND('Total income package'!$A$16=TRUE,E145&lt;$L$2),$P$2,0)</f>
        <v>637</v>
      </c>
      <c r="N145" s="204">
        <f t="shared" si="25"/>
        <v>637</v>
      </c>
    </row>
    <row r="146" spans="1:14" x14ac:dyDescent="0.3">
      <c r="A146" s="105">
        <v>68500</v>
      </c>
      <c r="B146" s="4">
        <f t="shared" si="26"/>
        <v>5708.333333333333</v>
      </c>
      <c r="C146" s="4">
        <f>'Total income package'!$D$80</f>
        <v>0</v>
      </c>
      <c r="D146" s="4">
        <f t="shared" si="20"/>
        <v>5708.333333333333</v>
      </c>
      <c r="E146" s="4">
        <f t="shared" si="21"/>
        <v>5546.333333333333</v>
      </c>
      <c r="F146" t="str">
        <f t="shared" si="22"/>
        <v>No</v>
      </c>
      <c r="G146" t="str">
        <f t="shared" si="23"/>
        <v>No</v>
      </c>
      <c r="I146" t="str">
        <f t="shared" si="24"/>
        <v>Yes</v>
      </c>
      <c r="J146" t="str">
        <f t="shared" si="18"/>
        <v>No</v>
      </c>
      <c r="K146" t="str">
        <f t="shared" si="19"/>
        <v>Yes</v>
      </c>
      <c r="L146" s="203">
        <f>IF(AND('Total income package'!$A$16=TRUE,E146&lt;$J$2),$M$2,0)</f>
        <v>0</v>
      </c>
      <c r="M146" s="179">
        <f>IF(AND('Total income package'!$A$16=TRUE,E146&lt;$L$2),$P$2,0)</f>
        <v>637</v>
      </c>
      <c r="N146" s="204">
        <f t="shared" si="25"/>
        <v>637</v>
      </c>
    </row>
    <row r="147" spans="1:14" x14ac:dyDescent="0.3">
      <c r="A147" s="105">
        <v>69000</v>
      </c>
      <c r="B147" s="4">
        <f t="shared" si="26"/>
        <v>5750</v>
      </c>
      <c r="C147" s="4">
        <f>'Total income package'!$D$80</f>
        <v>0</v>
      </c>
      <c r="D147" s="4">
        <f t="shared" si="20"/>
        <v>5750</v>
      </c>
      <c r="E147" s="4">
        <f t="shared" si="21"/>
        <v>5588</v>
      </c>
      <c r="F147" t="str">
        <f t="shared" si="22"/>
        <v>No</v>
      </c>
      <c r="G147" t="str">
        <f t="shared" si="23"/>
        <v>No</v>
      </c>
      <c r="I147" t="str">
        <f t="shared" si="24"/>
        <v>Yes</v>
      </c>
      <c r="J147" t="str">
        <f t="shared" si="18"/>
        <v>No</v>
      </c>
      <c r="K147" t="str">
        <f t="shared" si="19"/>
        <v>Yes</v>
      </c>
      <c r="L147" s="203">
        <f>IF(AND('Total income package'!$A$16=TRUE,E147&lt;$J$2),$M$2,0)</f>
        <v>0</v>
      </c>
      <c r="M147" s="179">
        <f>IF(AND('Total income package'!$A$16=TRUE,E147&lt;$L$2),$P$2,0)</f>
        <v>637</v>
      </c>
      <c r="N147" s="204">
        <f t="shared" si="25"/>
        <v>637</v>
      </c>
    </row>
    <row r="148" spans="1:14" x14ac:dyDescent="0.3">
      <c r="A148" s="105">
        <v>69500</v>
      </c>
      <c r="B148" s="4">
        <f t="shared" si="26"/>
        <v>5791.666666666667</v>
      </c>
      <c r="C148" s="4">
        <f>'Total income package'!$D$80</f>
        <v>0</v>
      </c>
      <c r="D148" s="4">
        <f t="shared" si="20"/>
        <v>5791.666666666667</v>
      </c>
      <c r="E148" s="4">
        <f t="shared" si="21"/>
        <v>5629.666666666667</v>
      </c>
      <c r="F148" t="str">
        <f t="shared" si="22"/>
        <v>No</v>
      </c>
      <c r="G148" t="str">
        <f t="shared" si="23"/>
        <v>No</v>
      </c>
      <c r="I148" t="str">
        <f t="shared" si="24"/>
        <v>Yes</v>
      </c>
      <c r="J148" t="str">
        <f t="shared" si="18"/>
        <v>No</v>
      </c>
      <c r="K148" t="str">
        <f t="shared" si="19"/>
        <v>Yes</v>
      </c>
      <c r="L148" s="203">
        <f>IF(AND('Total income package'!$A$16=TRUE,E148&lt;$J$2),$M$2,0)</f>
        <v>0</v>
      </c>
      <c r="M148" s="179">
        <f>IF(AND('Total income package'!$A$16=TRUE,E148&lt;$L$2),$P$2,0)</f>
        <v>637</v>
      </c>
      <c r="N148" s="204">
        <f t="shared" si="25"/>
        <v>637</v>
      </c>
    </row>
    <row r="149" spans="1:14" x14ac:dyDescent="0.3">
      <c r="A149" s="105">
        <v>70000</v>
      </c>
      <c r="B149" s="4">
        <f t="shared" si="26"/>
        <v>5833.333333333333</v>
      </c>
      <c r="C149" s="4">
        <f>'Total income package'!$D$80</f>
        <v>0</v>
      </c>
      <c r="D149" s="4">
        <f t="shared" si="20"/>
        <v>5833.333333333333</v>
      </c>
      <c r="E149" s="4">
        <f t="shared" si="21"/>
        <v>5671.333333333333</v>
      </c>
      <c r="F149" t="str">
        <f t="shared" si="22"/>
        <v>No</v>
      </c>
      <c r="G149" t="str">
        <f t="shared" si="23"/>
        <v>No</v>
      </c>
      <c r="I149" t="str">
        <f t="shared" si="24"/>
        <v>Yes</v>
      </c>
      <c r="J149" t="str">
        <f t="shared" si="18"/>
        <v>No</v>
      </c>
      <c r="K149" t="str">
        <f t="shared" si="19"/>
        <v>Yes</v>
      </c>
      <c r="L149" s="203">
        <f>IF(AND('Total income package'!$A$16=TRUE,E149&lt;$J$2),$M$2,0)</f>
        <v>0</v>
      </c>
      <c r="M149" s="179">
        <f>IF(AND('Total income package'!$A$16=TRUE,E149&lt;$L$2),$P$2,0)</f>
        <v>637</v>
      </c>
      <c r="N149" s="204">
        <f t="shared" si="25"/>
        <v>637</v>
      </c>
    </row>
    <row r="150" spans="1:14" x14ac:dyDescent="0.3">
      <c r="A150" s="105">
        <v>70500</v>
      </c>
      <c r="B150" s="4">
        <f t="shared" si="26"/>
        <v>5875</v>
      </c>
      <c r="C150" s="4">
        <f>'Total income package'!$D$80</f>
        <v>0</v>
      </c>
      <c r="D150" s="4">
        <f t="shared" si="20"/>
        <v>5875</v>
      </c>
      <c r="E150" s="4">
        <f t="shared" si="21"/>
        <v>5713</v>
      </c>
      <c r="F150" t="str">
        <f t="shared" si="22"/>
        <v>No</v>
      </c>
      <c r="G150" t="str">
        <f t="shared" si="23"/>
        <v>No</v>
      </c>
      <c r="I150" t="str">
        <f t="shared" si="24"/>
        <v>Yes</v>
      </c>
      <c r="J150" t="str">
        <f t="shared" si="18"/>
        <v>No</v>
      </c>
      <c r="K150" t="str">
        <f t="shared" si="19"/>
        <v>Yes</v>
      </c>
      <c r="L150" s="203">
        <f>IF(AND('Total income package'!$A$16=TRUE,E150&lt;$J$2),$M$2,0)</f>
        <v>0</v>
      </c>
      <c r="M150" s="179">
        <f>IF(AND('Total income package'!$A$16=TRUE,E150&lt;$L$2),$P$2,0)</f>
        <v>637</v>
      </c>
      <c r="N150" s="204">
        <f t="shared" si="25"/>
        <v>637</v>
      </c>
    </row>
    <row r="151" spans="1:14" x14ac:dyDescent="0.3">
      <c r="A151" s="105">
        <v>71000</v>
      </c>
      <c r="B151" s="4">
        <f t="shared" si="26"/>
        <v>5916.666666666667</v>
      </c>
      <c r="C151" s="4">
        <f>'Total income package'!$D$80</f>
        <v>0</v>
      </c>
      <c r="D151" s="4">
        <f t="shared" si="20"/>
        <v>5916.666666666667</v>
      </c>
      <c r="E151" s="4">
        <f t="shared" si="21"/>
        <v>5754.666666666667</v>
      </c>
      <c r="F151" t="str">
        <f t="shared" si="22"/>
        <v>No</v>
      </c>
      <c r="G151" t="str">
        <f t="shared" si="23"/>
        <v>No</v>
      </c>
      <c r="I151" t="str">
        <f t="shared" si="24"/>
        <v>Yes</v>
      </c>
      <c r="J151" t="str">
        <f t="shared" si="18"/>
        <v>No</v>
      </c>
      <c r="K151" t="str">
        <f t="shared" si="19"/>
        <v>Yes</v>
      </c>
      <c r="L151" s="203">
        <f>IF(AND('Total income package'!$A$16=TRUE,E151&lt;$J$2),$M$2,0)</f>
        <v>0</v>
      </c>
      <c r="M151" s="179">
        <f>IF(AND('Total income package'!$A$16=TRUE,E151&lt;$L$2),$P$2,0)</f>
        <v>637</v>
      </c>
      <c r="N151" s="204">
        <f t="shared" si="25"/>
        <v>637</v>
      </c>
    </row>
    <row r="152" spans="1:14" x14ac:dyDescent="0.3">
      <c r="A152" s="105">
        <v>71500</v>
      </c>
      <c r="B152" s="4">
        <f t="shared" si="26"/>
        <v>5958.333333333333</v>
      </c>
      <c r="C152" s="4">
        <f>'Total income package'!$D$80</f>
        <v>0</v>
      </c>
      <c r="D152" s="4">
        <f t="shared" si="20"/>
        <v>5958.333333333333</v>
      </c>
      <c r="E152" s="4">
        <f t="shared" si="21"/>
        <v>5796.333333333333</v>
      </c>
      <c r="F152" t="str">
        <f t="shared" si="22"/>
        <v>No</v>
      </c>
      <c r="G152" t="str">
        <f t="shared" si="23"/>
        <v>No</v>
      </c>
      <c r="I152" t="str">
        <f t="shared" si="24"/>
        <v>Yes</v>
      </c>
      <c r="J152" t="str">
        <f t="shared" si="18"/>
        <v>No</v>
      </c>
      <c r="K152" t="str">
        <f t="shared" si="19"/>
        <v>Yes</v>
      </c>
      <c r="L152" s="203">
        <f>IF(AND('Total income package'!$A$16=TRUE,E152&lt;$J$2),$M$2,0)</f>
        <v>0</v>
      </c>
      <c r="M152" s="179">
        <f>IF(AND('Total income package'!$A$16=TRUE,E152&lt;$L$2),$P$2,0)</f>
        <v>637</v>
      </c>
      <c r="N152" s="204">
        <f t="shared" si="25"/>
        <v>637</v>
      </c>
    </row>
    <row r="153" spans="1:14" x14ac:dyDescent="0.3">
      <c r="A153" s="105">
        <v>72000</v>
      </c>
      <c r="B153" s="4">
        <f t="shared" si="26"/>
        <v>6000</v>
      </c>
      <c r="C153" s="4">
        <f>'Total income package'!$D$80</f>
        <v>0</v>
      </c>
      <c r="D153" s="4">
        <f t="shared" si="20"/>
        <v>6000</v>
      </c>
      <c r="E153" s="4">
        <f t="shared" si="21"/>
        <v>5838</v>
      </c>
      <c r="F153" t="str">
        <f t="shared" si="22"/>
        <v>No</v>
      </c>
      <c r="G153" t="str">
        <f t="shared" si="23"/>
        <v>No</v>
      </c>
      <c r="I153" t="str">
        <f t="shared" si="24"/>
        <v>Yes</v>
      </c>
      <c r="J153" t="str">
        <f t="shared" si="18"/>
        <v>No</v>
      </c>
      <c r="K153" t="str">
        <f t="shared" si="19"/>
        <v>Yes</v>
      </c>
      <c r="L153" s="203">
        <f>IF(AND('Total income package'!$A$16=TRUE,E153&lt;$J$2),$M$2,0)</f>
        <v>0</v>
      </c>
      <c r="M153" s="179">
        <f>IF(AND('Total income package'!$A$16=TRUE,E153&lt;$L$2),$P$2,0)</f>
        <v>637</v>
      </c>
      <c r="N153" s="204">
        <f t="shared" si="25"/>
        <v>637</v>
      </c>
    </row>
    <row r="154" spans="1:14" x14ac:dyDescent="0.3">
      <c r="A154" s="105">
        <v>72500</v>
      </c>
      <c r="B154" s="4">
        <f t="shared" si="26"/>
        <v>6041.666666666667</v>
      </c>
      <c r="C154" s="4">
        <f>'Total income package'!$D$80</f>
        <v>0</v>
      </c>
      <c r="D154" s="4">
        <f t="shared" si="20"/>
        <v>6041.666666666667</v>
      </c>
      <c r="E154" s="4">
        <f t="shared" si="21"/>
        <v>5879.666666666667</v>
      </c>
      <c r="F154" t="str">
        <f t="shared" si="22"/>
        <v>No</v>
      </c>
      <c r="G154" t="str">
        <f t="shared" si="23"/>
        <v>No</v>
      </c>
      <c r="I154" t="str">
        <f t="shared" si="24"/>
        <v>Yes</v>
      </c>
      <c r="J154" t="str">
        <f t="shared" si="18"/>
        <v>No</v>
      </c>
      <c r="K154" t="str">
        <f t="shared" si="19"/>
        <v>Yes</v>
      </c>
      <c r="L154" s="203">
        <f>IF(AND('Total income package'!$A$16=TRUE,E154&lt;$J$2),$M$2,0)</f>
        <v>0</v>
      </c>
      <c r="M154" s="179">
        <f>IF(AND('Total income package'!$A$16=TRUE,E154&lt;$L$2),$P$2,0)</f>
        <v>637</v>
      </c>
      <c r="N154" s="204">
        <f t="shared" si="25"/>
        <v>637</v>
      </c>
    </row>
    <row r="155" spans="1:14" x14ac:dyDescent="0.3">
      <c r="A155" s="105">
        <v>73000</v>
      </c>
      <c r="B155" s="4">
        <f t="shared" si="26"/>
        <v>6083.333333333333</v>
      </c>
      <c r="C155" s="4">
        <f>'Total income package'!$D$80</f>
        <v>0</v>
      </c>
      <c r="D155" s="4">
        <f t="shared" si="20"/>
        <v>6083.333333333333</v>
      </c>
      <c r="E155" s="4">
        <f t="shared" si="21"/>
        <v>5921.333333333333</v>
      </c>
      <c r="F155" t="str">
        <f t="shared" si="22"/>
        <v>No</v>
      </c>
      <c r="G155" t="str">
        <f t="shared" si="23"/>
        <v>No</v>
      </c>
      <c r="I155" t="str">
        <f t="shared" si="24"/>
        <v>Yes</v>
      </c>
      <c r="J155" t="str">
        <f t="shared" si="18"/>
        <v>No</v>
      </c>
      <c r="K155" t="str">
        <f t="shared" si="19"/>
        <v>Yes</v>
      </c>
      <c r="L155" s="203">
        <f>IF(AND('Total income package'!$A$16=TRUE,E155&lt;$J$2),$M$2,0)</f>
        <v>0</v>
      </c>
      <c r="M155" s="179">
        <f>IF(AND('Total income package'!$A$16=TRUE,E155&lt;$L$2),$P$2,0)</f>
        <v>637</v>
      </c>
      <c r="N155" s="204">
        <f t="shared" si="25"/>
        <v>637</v>
      </c>
    </row>
    <row r="156" spans="1:14" x14ac:dyDescent="0.3">
      <c r="A156" s="105">
        <v>73500</v>
      </c>
      <c r="B156" s="4">
        <f t="shared" si="26"/>
        <v>6125</v>
      </c>
      <c r="C156" s="4">
        <f>'Total income package'!$D$80</f>
        <v>0</v>
      </c>
      <c r="D156" s="4">
        <f t="shared" si="20"/>
        <v>6125</v>
      </c>
      <c r="E156" s="4">
        <f t="shared" si="21"/>
        <v>5963</v>
      </c>
      <c r="F156" t="str">
        <f t="shared" si="22"/>
        <v>No</v>
      </c>
      <c r="G156" t="str">
        <f t="shared" si="23"/>
        <v>No</v>
      </c>
      <c r="I156" t="str">
        <f t="shared" si="24"/>
        <v>Yes</v>
      </c>
      <c r="J156" t="str">
        <f t="shared" si="18"/>
        <v>No</v>
      </c>
      <c r="K156" t="str">
        <f t="shared" si="19"/>
        <v>Yes</v>
      </c>
      <c r="L156" s="203">
        <f>IF(AND('Total income package'!$A$16=TRUE,E156&lt;$J$2),$M$2,0)</f>
        <v>0</v>
      </c>
      <c r="M156" s="179">
        <f>IF(AND('Total income package'!$A$16=TRUE,E156&lt;$L$2),$P$2,0)</f>
        <v>637</v>
      </c>
      <c r="N156" s="204">
        <f t="shared" si="25"/>
        <v>637</v>
      </c>
    </row>
    <row r="157" spans="1:14" x14ac:dyDescent="0.3">
      <c r="A157" s="105">
        <v>74000</v>
      </c>
      <c r="B157" s="4">
        <f t="shared" si="26"/>
        <v>6166.666666666667</v>
      </c>
      <c r="C157" s="4">
        <f>'Total income package'!$D$80</f>
        <v>0</v>
      </c>
      <c r="D157" s="4">
        <f t="shared" si="20"/>
        <v>6166.666666666667</v>
      </c>
      <c r="E157" s="4">
        <f t="shared" si="21"/>
        <v>6004.666666666667</v>
      </c>
      <c r="F157" t="str">
        <f t="shared" si="22"/>
        <v>No</v>
      </c>
      <c r="G157" t="str">
        <f t="shared" si="23"/>
        <v>No</v>
      </c>
      <c r="I157" t="str">
        <f t="shared" si="24"/>
        <v>Yes</v>
      </c>
      <c r="J157" t="str">
        <f t="shared" si="18"/>
        <v>No</v>
      </c>
      <c r="K157" t="str">
        <f t="shared" si="19"/>
        <v>Yes</v>
      </c>
      <c r="L157" s="203">
        <f>IF(AND('Total income package'!$A$16=TRUE,E157&lt;$J$2),$M$2,0)</f>
        <v>0</v>
      </c>
      <c r="M157" s="179">
        <f>IF(AND('Total income package'!$A$16=TRUE,E157&lt;$L$2),$P$2,0)</f>
        <v>637</v>
      </c>
      <c r="N157" s="204">
        <f t="shared" si="25"/>
        <v>637</v>
      </c>
    </row>
    <row r="158" spans="1:14" x14ac:dyDescent="0.3">
      <c r="A158" s="105">
        <v>74500</v>
      </c>
      <c r="B158" s="4">
        <f t="shared" si="26"/>
        <v>6208.333333333333</v>
      </c>
      <c r="C158" s="4">
        <f>'Total income package'!$D$80</f>
        <v>0</v>
      </c>
      <c r="D158" s="4">
        <f t="shared" si="20"/>
        <v>6208.333333333333</v>
      </c>
      <c r="E158" s="4">
        <f t="shared" si="21"/>
        <v>6046.333333333333</v>
      </c>
      <c r="F158" t="str">
        <f t="shared" si="22"/>
        <v>No</v>
      </c>
      <c r="G158" t="str">
        <f t="shared" si="23"/>
        <v>No</v>
      </c>
      <c r="I158" t="str">
        <f t="shared" si="24"/>
        <v>Yes</v>
      </c>
      <c r="J158" t="str">
        <f t="shared" si="18"/>
        <v>No</v>
      </c>
      <c r="K158" t="str">
        <f t="shared" si="19"/>
        <v>Yes</v>
      </c>
      <c r="L158" s="203">
        <f>IF(AND('Total income package'!$A$16=TRUE,E158&lt;$J$2),$M$2,0)</f>
        <v>0</v>
      </c>
      <c r="M158" s="179">
        <f>IF(AND('Total income package'!$A$16=TRUE,E158&lt;$L$2),$P$2,0)</f>
        <v>637</v>
      </c>
      <c r="N158" s="204">
        <f t="shared" si="25"/>
        <v>637</v>
      </c>
    </row>
    <row r="159" spans="1:14" x14ac:dyDescent="0.3">
      <c r="A159" s="105">
        <v>75000</v>
      </c>
      <c r="B159" s="4">
        <f t="shared" si="26"/>
        <v>6250</v>
      </c>
      <c r="C159" s="4">
        <f>'Total income package'!$D$80</f>
        <v>0</v>
      </c>
      <c r="D159" s="4">
        <f t="shared" si="20"/>
        <v>6250</v>
      </c>
      <c r="E159" s="4">
        <f t="shared" si="21"/>
        <v>6088</v>
      </c>
      <c r="F159" t="str">
        <f t="shared" si="22"/>
        <v>No</v>
      </c>
      <c r="G159" t="str">
        <f t="shared" si="23"/>
        <v>No</v>
      </c>
      <c r="I159" t="str">
        <f t="shared" si="24"/>
        <v>Yes</v>
      </c>
      <c r="J159" t="str">
        <f t="shared" si="18"/>
        <v>No</v>
      </c>
      <c r="K159" t="str">
        <f t="shared" si="19"/>
        <v>Yes</v>
      </c>
      <c r="L159" s="203">
        <f>IF(AND('Total income package'!$A$16=TRUE,E159&lt;$J$2),$M$2,0)</f>
        <v>0</v>
      </c>
      <c r="M159" s="179">
        <f>IF(AND('Total income package'!$A$16=TRUE,E159&lt;$L$2),$P$2,0)</f>
        <v>637</v>
      </c>
      <c r="N159" s="204">
        <f t="shared" si="25"/>
        <v>637</v>
      </c>
    </row>
    <row r="160" spans="1:14" x14ac:dyDescent="0.3">
      <c r="A160" s="105">
        <v>75500</v>
      </c>
      <c r="B160" s="4">
        <f t="shared" si="26"/>
        <v>6291.666666666667</v>
      </c>
      <c r="C160" s="4">
        <f>'Total income package'!$D$80</f>
        <v>0</v>
      </c>
      <c r="D160" s="4">
        <f t="shared" si="20"/>
        <v>6291.666666666667</v>
      </c>
      <c r="E160" s="4">
        <f t="shared" si="21"/>
        <v>6129.666666666667</v>
      </c>
      <c r="F160" t="str">
        <f t="shared" si="22"/>
        <v>No</v>
      </c>
      <c r="G160" t="str">
        <f t="shared" si="23"/>
        <v>No</v>
      </c>
      <c r="I160" t="str">
        <f t="shared" si="24"/>
        <v>Yes</v>
      </c>
      <c r="J160" t="str">
        <f t="shared" si="18"/>
        <v>No</v>
      </c>
      <c r="K160" t="str">
        <f t="shared" si="19"/>
        <v>Yes</v>
      </c>
      <c r="L160" s="203">
        <f>IF(AND('Total income package'!$A$16=TRUE,E160&lt;$J$2),$M$2,0)</f>
        <v>0</v>
      </c>
      <c r="M160" s="179">
        <f>IF(AND('Total income package'!$A$16=TRUE,E160&lt;$L$2),$P$2,0)</f>
        <v>637</v>
      </c>
      <c r="N160" s="204">
        <f t="shared" si="25"/>
        <v>637</v>
      </c>
    </row>
    <row r="161" spans="1:14" x14ac:dyDescent="0.3">
      <c r="A161" s="105">
        <v>76000</v>
      </c>
      <c r="B161" s="4">
        <f t="shared" si="26"/>
        <v>6333.333333333333</v>
      </c>
      <c r="C161" s="4">
        <f>'Total income package'!$D$80</f>
        <v>0</v>
      </c>
      <c r="D161" s="4">
        <f t="shared" si="20"/>
        <v>6333.333333333333</v>
      </c>
      <c r="E161" s="4">
        <f t="shared" si="21"/>
        <v>6171.333333333333</v>
      </c>
      <c r="F161" t="str">
        <f t="shared" si="22"/>
        <v>No</v>
      </c>
      <c r="G161" t="str">
        <f t="shared" si="23"/>
        <v>No</v>
      </c>
      <c r="I161" t="str">
        <f t="shared" si="24"/>
        <v>Yes</v>
      </c>
      <c r="J161" t="str">
        <f t="shared" si="18"/>
        <v>No</v>
      </c>
      <c r="K161" t="str">
        <f t="shared" si="19"/>
        <v>Yes</v>
      </c>
      <c r="L161" s="203">
        <f>IF(AND('Total income package'!$A$16=TRUE,E161&lt;$J$2),$M$2,0)</f>
        <v>0</v>
      </c>
      <c r="M161" s="179">
        <f>IF(AND('Total income package'!$A$16=TRUE,E161&lt;$L$2),$P$2,0)</f>
        <v>637</v>
      </c>
      <c r="N161" s="204">
        <f t="shared" si="25"/>
        <v>637</v>
      </c>
    </row>
    <row r="162" spans="1:14" x14ac:dyDescent="0.3">
      <c r="A162" s="105">
        <v>76500</v>
      </c>
      <c r="B162" s="4">
        <f t="shared" si="26"/>
        <v>6375</v>
      </c>
      <c r="C162" s="4">
        <f>'Total income package'!$D$80</f>
        <v>0</v>
      </c>
      <c r="D162" s="4">
        <f t="shared" si="20"/>
        <v>6375</v>
      </c>
      <c r="E162" s="4">
        <f t="shared" si="21"/>
        <v>6213</v>
      </c>
      <c r="F162" t="str">
        <f t="shared" si="22"/>
        <v>No</v>
      </c>
      <c r="G162" t="str">
        <f t="shared" si="23"/>
        <v>No</v>
      </c>
      <c r="I162" t="str">
        <f t="shared" si="24"/>
        <v>Yes</v>
      </c>
      <c r="J162" t="str">
        <f t="shared" si="18"/>
        <v>No</v>
      </c>
      <c r="K162" t="str">
        <f t="shared" si="19"/>
        <v>Yes</v>
      </c>
      <c r="L162" s="203">
        <f>IF(AND('Total income package'!$A$16=TRUE,E162&lt;$J$2),$M$2,0)</f>
        <v>0</v>
      </c>
      <c r="M162" s="179">
        <f>IF(AND('Total income package'!$A$16=TRUE,E162&lt;$L$2),$P$2,0)</f>
        <v>637</v>
      </c>
      <c r="N162" s="204">
        <f t="shared" si="25"/>
        <v>637</v>
      </c>
    </row>
    <row r="163" spans="1:14" x14ac:dyDescent="0.3">
      <c r="A163" s="105">
        <v>77000</v>
      </c>
      <c r="B163" s="4">
        <f t="shared" si="26"/>
        <v>6416.666666666667</v>
      </c>
      <c r="C163" s="4">
        <f>'Total income package'!$D$80</f>
        <v>0</v>
      </c>
      <c r="D163" s="4">
        <f t="shared" si="20"/>
        <v>6416.666666666667</v>
      </c>
      <c r="E163" s="4">
        <f t="shared" si="21"/>
        <v>6254.666666666667</v>
      </c>
      <c r="F163" t="str">
        <f t="shared" si="22"/>
        <v>No</v>
      </c>
      <c r="G163" t="str">
        <f t="shared" si="23"/>
        <v>No</v>
      </c>
      <c r="I163" t="str">
        <f t="shared" si="24"/>
        <v>Yes</v>
      </c>
      <c r="J163" t="str">
        <f t="shared" si="18"/>
        <v>No</v>
      </c>
      <c r="K163" t="str">
        <f t="shared" si="19"/>
        <v>Yes</v>
      </c>
      <c r="L163" s="203">
        <f>IF(AND('Total income package'!$A$16=TRUE,E163&lt;$J$2),$M$2,0)</f>
        <v>0</v>
      </c>
      <c r="M163" s="179">
        <f>IF(AND('Total income package'!$A$16=TRUE,E163&lt;$L$2),$P$2,0)</f>
        <v>637</v>
      </c>
      <c r="N163" s="204">
        <f t="shared" si="25"/>
        <v>637</v>
      </c>
    </row>
    <row r="164" spans="1:14" x14ac:dyDescent="0.3">
      <c r="A164" s="105">
        <v>77500</v>
      </c>
      <c r="B164" s="4">
        <f t="shared" si="26"/>
        <v>6458.333333333333</v>
      </c>
      <c r="C164" s="4">
        <f>'Total income package'!$D$80</f>
        <v>0</v>
      </c>
      <c r="D164" s="4">
        <f t="shared" si="20"/>
        <v>6458.333333333333</v>
      </c>
      <c r="E164" s="4">
        <f t="shared" si="21"/>
        <v>6296.333333333333</v>
      </c>
      <c r="F164" t="str">
        <f t="shared" si="22"/>
        <v>No</v>
      </c>
      <c r="G164" t="str">
        <f t="shared" si="23"/>
        <v>No</v>
      </c>
      <c r="I164" t="str">
        <f t="shared" si="24"/>
        <v>Yes</v>
      </c>
      <c r="J164" t="str">
        <f t="shared" si="18"/>
        <v>No</v>
      </c>
      <c r="K164" t="str">
        <f t="shared" si="19"/>
        <v>No</v>
      </c>
      <c r="L164" s="203">
        <f>IF(AND('Total income package'!$A$16=TRUE,E164&lt;$J$2),$M$2,0)</f>
        <v>0</v>
      </c>
      <c r="M164" s="179">
        <f>IF(AND('Total income package'!$A$16=TRUE,E164&lt;$L$2),$P$2,0)</f>
        <v>0</v>
      </c>
      <c r="N164" s="204">
        <f t="shared" si="25"/>
        <v>0</v>
      </c>
    </row>
    <row r="165" spans="1:14" x14ac:dyDescent="0.3">
      <c r="A165" s="105">
        <v>78000</v>
      </c>
      <c r="B165" s="4">
        <f t="shared" si="26"/>
        <v>6500</v>
      </c>
      <c r="C165" s="4">
        <f>'Total income package'!$D$80</f>
        <v>0</v>
      </c>
      <c r="D165" s="4">
        <f t="shared" si="20"/>
        <v>6500</v>
      </c>
      <c r="E165" s="4">
        <f t="shared" si="21"/>
        <v>6338</v>
      </c>
      <c r="F165" t="str">
        <f t="shared" si="22"/>
        <v>No</v>
      </c>
      <c r="G165" t="str">
        <f t="shared" si="23"/>
        <v>No</v>
      </c>
      <c r="I165" t="str">
        <f t="shared" si="24"/>
        <v>Yes</v>
      </c>
      <c r="J165" t="str">
        <f t="shared" si="18"/>
        <v>No</v>
      </c>
      <c r="K165" t="str">
        <f t="shared" si="19"/>
        <v>No</v>
      </c>
      <c r="L165" s="203">
        <f>IF(AND('Total income package'!$A$16=TRUE,E165&lt;$J$2),$M$2,0)</f>
        <v>0</v>
      </c>
      <c r="M165" s="179">
        <f>IF(AND('Total income package'!$A$16=TRUE,E165&lt;$L$2),$P$2,0)</f>
        <v>0</v>
      </c>
      <c r="N165" s="204">
        <f t="shared" si="25"/>
        <v>0</v>
      </c>
    </row>
    <row r="166" spans="1:14" x14ac:dyDescent="0.3">
      <c r="A166" s="105">
        <v>78500</v>
      </c>
      <c r="B166" s="4">
        <f t="shared" si="26"/>
        <v>6541.666666666667</v>
      </c>
      <c r="C166" s="4">
        <f>'Total income package'!$D$80</f>
        <v>0</v>
      </c>
      <c r="D166" s="4">
        <f t="shared" si="20"/>
        <v>6541.666666666667</v>
      </c>
      <c r="E166" s="4">
        <f t="shared" si="21"/>
        <v>6379.666666666667</v>
      </c>
      <c r="F166" t="str">
        <f t="shared" si="22"/>
        <v>No</v>
      </c>
      <c r="G166" t="str">
        <f t="shared" si="23"/>
        <v>No</v>
      </c>
      <c r="I166" t="str">
        <f t="shared" si="24"/>
        <v>Yes</v>
      </c>
      <c r="J166" t="str">
        <f t="shared" si="18"/>
        <v>No</v>
      </c>
      <c r="K166" t="str">
        <f t="shared" si="19"/>
        <v>No</v>
      </c>
      <c r="L166" s="203">
        <f>IF(AND('Total income package'!$A$16=TRUE,E166&lt;$J$2),$M$2,0)</f>
        <v>0</v>
      </c>
      <c r="M166" s="179">
        <f>IF(AND('Total income package'!$A$16=TRUE,E166&lt;$L$2),$P$2,0)</f>
        <v>0</v>
      </c>
      <c r="N166" s="204">
        <f t="shared" si="25"/>
        <v>0</v>
      </c>
    </row>
    <row r="167" spans="1:14" x14ac:dyDescent="0.3">
      <c r="A167" s="105">
        <v>79000</v>
      </c>
      <c r="B167" s="4">
        <f t="shared" si="26"/>
        <v>6583.333333333333</v>
      </c>
      <c r="C167" s="4">
        <f>'Total income package'!$D$80</f>
        <v>0</v>
      </c>
      <c r="D167" s="4">
        <f t="shared" si="20"/>
        <v>6583.333333333333</v>
      </c>
      <c r="E167" s="4">
        <f t="shared" si="21"/>
        <v>6421.333333333333</v>
      </c>
      <c r="F167" t="str">
        <f t="shared" si="22"/>
        <v>No</v>
      </c>
      <c r="G167" t="str">
        <f t="shared" si="23"/>
        <v>No</v>
      </c>
      <c r="I167" t="str">
        <f t="shared" si="24"/>
        <v>Yes</v>
      </c>
      <c r="J167" t="str">
        <f t="shared" si="18"/>
        <v>No</v>
      </c>
      <c r="K167" t="str">
        <f t="shared" si="19"/>
        <v>No</v>
      </c>
      <c r="L167" s="203">
        <f>IF(AND('Total income package'!$A$16=TRUE,E167&lt;$J$2),$M$2,0)</f>
        <v>0</v>
      </c>
      <c r="M167" s="179">
        <f>IF(AND('Total income package'!$A$16=TRUE,E167&lt;$L$2),$P$2,0)</f>
        <v>0</v>
      </c>
      <c r="N167" s="204">
        <f t="shared" si="25"/>
        <v>0</v>
      </c>
    </row>
    <row r="168" spans="1:14" x14ac:dyDescent="0.3">
      <c r="A168" s="105">
        <v>79500</v>
      </c>
      <c r="B168" s="4">
        <f t="shared" si="26"/>
        <v>6625</v>
      </c>
      <c r="C168" s="4">
        <f>'Total income package'!$D$80</f>
        <v>0</v>
      </c>
      <c r="D168" s="4">
        <f t="shared" si="20"/>
        <v>6625</v>
      </c>
      <c r="E168" s="4">
        <f t="shared" si="21"/>
        <v>6463</v>
      </c>
      <c r="F168" t="str">
        <f t="shared" si="22"/>
        <v>No</v>
      </c>
      <c r="G168" t="str">
        <f t="shared" si="23"/>
        <v>No</v>
      </c>
      <c r="I168" t="str">
        <f t="shared" si="24"/>
        <v>Yes</v>
      </c>
      <c r="J168" t="str">
        <f t="shared" si="18"/>
        <v>No</v>
      </c>
      <c r="K168" t="str">
        <f t="shared" si="19"/>
        <v>No</v>
      </c>
      <c r="L168" s="203">
        <f>IF(AND('Total income package'!$A$16=TRUE,E168&lt;$J$2),$M$2,0)</f>
        <v>0</v>
      </c>
      <c r="M168" s="179">
        <f>IF(AND('Total income package'!$A$16=TRUE,E168&lt;$L$2),$P$2,0)</f>
        <v>0</v>
      </c>
      <c r="N168" s="204">
        <f t="shared" si="25"/>
        <v>0</v>
      </c>
    </row>
    <row r="169" spans="1:14" x14ac:dyDescent="0.3">
      <c r="A169" s="105">
        <v>80000</v>
      </c>
      <c r="B169" s="4">
        <f t="shared" si="26"/>
        <v>6666.666666666667</v>
      </c>
      <c r="C169" s="4">
        <f>'Total income package'!$D$80</f>
        <v>0</v>
      </c>
      <c r="D169" s="4">
        <f t="shared" si="20"/>
        <v>6666.666666666667</v>
      </c>
      <c r="E169" s="4">
        <f t="shared" si="21"/>
        <v>6504.666666666667</v>
      </c>
      <c r="F169" t="str">
        <f t="shared" si="22"/>
        <v>No</v>
      </c>
      <c r="G169" t="str">
        <f t="shared" si="23"/>
        <v>No</v>
      </c>
      <c r="I169" t="str">
        <f t="shared" si="24"/>
        <v>Yes</v>
      </c>
      <c r="J169" t="str">
        <f t="shared" si="18"/>
        <v>No</v>
      </c>
      <c r="K169" t="str">
        <f t="shared" si="19"/>
        <v>No</v>
      </c>
      <c r="L169" s="203">
        <f>IF(AND('Total income package'!$A$16=TRUE,E169&lt;$J$2),$M$2,0)</f>
        <v>0</v>
      </c>
      <c r="M169" s="179">
        <f>IF(AND('Total income package'!$A$16=TRUE,E169&lt;$L$2),$P$2,0)</f>
        <v>0</v>
      </c>
      <c r="N169" s="204">
        <f t="shared" si="25"/>
        <v>0</v>
      </c>
    </row>
    <row r="170" spans="1:14" x14ac:dyDescent="0.3">
      <c r="A170" s="105">
        <v>80500</v>
      </c>
      <c r="B170" s="4">
        <f t="shared" si="26"/>
        <v>6708.333333333333</v>
      </c>
      <c r="C170" s="4">
        <f>'Total income package'!$D$80</f>
        <v>0</v>
      </c>
      <c r="D170" s="4">
        <f t="shared" si="20"/>
        <v>6708.333333333333</v>
      </c>
      <c r="E170" s="4">
        <f t="shared" si="21"/>
        <v>6546.333333333333</v>
      </c>
      <c r="F170" t="str">
        <f t="shared" si="22"/>
        <v>No</v>
      </c>
      <c r="G170" t="str">
        <f t="shared" si="23"/>
        <v>No</v>
      </c>
      <c r="I170" t="str">
        <f t="shared" si="24"/>
        <v>Yes</v>
      </c>
      <c r="J170" t="str">
        <f t="shared" si="18"/>
        <v>No</v>
      </c>
      <c r="K170" t="str">
        <f t="shared" si="19"/>
        <v>No</v>
      </c>
      <c r="L170" s="203">
        <f>IF(AND('Total income package'!$A$16=TRUE,E170&lt;$J$2),$M$2,0)</f>
        <v>0</v>
      </c>
      <c r="M170" s="179">
        <f>IF(AND('Total income package'!$A$16=TRUE,E170&lt;$L$2),$P$2,0)</f>
        <v>0</v>
      </c>
      <c r="N170" s="204">
        <f t="shared" si="25"/>
        <v>0</v>
      </c>
    </row>
    <row r="171" spans="1:14" x14ac:dyDescent="0.3">
      <c r="A171" s="105">
        <v>81000</v>
      </c>
      <c r="B171" s="4">
        <f t="shared" si="26"/>
        <v>6750</v>
      </c>
      <c r="C171" s="4">
        <f>'Total income package'!$D$80</f>
        <v>0</v>
      </c>
      <c r="D171" s="4">
        <f t="shared" si="20"/>
        <v>6750</v>
      </c>
      <c r="E171" s="4">
        <f t="shared" si="21"/>
        <v>6588</v>
      </c>
      <c r="F171" t="str">
        <f t="shared" si="22"/>
        <v>No</v>
      </c>
      <c r="G171" t="str">
        <f t="shared" si="23"/>
        <v>No</v>
      </c>
      <c r="I171" t="str">
        <f t="shared" si="24"/>
        <v>Yes</v>
      </c>
      <c r="J171" t="str">
        <f t="shared" si="18"/>
        <v>No</v>
      </c>
      <c r="K171" t="str">
        <f t="shared" si="19"/>
        <v>No</v>
      </c>
      <c r="L171" s="203">
        <f>IF(AND('Total income package'!$A$16=TRUE,E171&lt;$J$2),$M$2,0)</f>
        <v>0</v>
      </c>
      <c r="M171" s="179">
        <f>IF(AND('Total income package'!$A$16=TRUE,E171&lt;$L$2),$P$2,0)</f>
        <v>0</v>
      </c>
      <c r="N171" s="204">
        <f t="shared" si="25"/>
        <v>0</v>
      </c>
    </row>
    <row r="172" spans="1:14" x14ac:dyDescent="0.3">
      <c r="A172" s="105">
        <v>81500</v>
      </c>
      <c r="B172" s="4">
        <f t="shared" si="26"/>
        <v>6791.666666666667</v>
      </c>
      <c r="C172" s="4">
        <f>'Total income package'!$D$80</f>
        <v>0</v>
      </c>
      <c r="D172" s="4">
        <f t="shared" si="20"/>
        <v>6791.666666666667</v>
      </c>
      <c r="E172" s="4">
        <f t="shared" si="21"/>
        <v>6629.666666666667</v>
      </c>
      <c r="F172" t="str">
        <f t="shared" si="22"/>
        <v>No</v>
      </c>
      <c r="G172" t="str">
        <f t="shared" si="23"/>
        <v>No</v>
      </c>
      <c r="I172" t="str">
        <f t="shared" si="24"/>
        <v>Yes</v>
      </c>
      <c r="J172" t="str">
        <f t="shared" si="18"/>
        <v>No</v>
      </c>
      <c r="K172" t="str">
        <f t="shared" si="19"/>
        <v>No</v>
      </c>
      <c r="L172" s="203">
        <f>IF(AND('Total income package'!$A$16=TRUE,E172&lt;$J$2),$M$2,0)</f>
        <v>0</v>
      </c>
      <c r="M172" s="179">
        <f>IF(AND('Total income package'!$A$16=TRUE,E172&lt;$L$2),$P$2,0)</f>
        <v>0</v>
      </c>
      <c r="N172" s="204">
        <f t="shared" si="25"/>
        <v>0</v>
      </c>
    </row>
    <row r="173" spans="1:14" x14ac:dyDescent="0.3">
      <c r="A173" s="105">
        <v>82000</v>
      </c>
      <c r="B173" s="4">
        <f t="shared" si="26"/>
        <v>6833.333333333333</v>
      </c>
      <c r="C173" s="4">
        <f>'Total income package'!$D$80</f>
        <v>0</v>
      </c>
      <c r="D173" s="4">
        <f t="shared" si="20"/>
        <v>6833.333333333333</v>
      </c>
      <c r="E173" s="4">
        <f t="shared" si="21"/>
        <v>6671.333333333333</v>
      </c>
      <c r="F173" t="str">
        <f t="shared" si="22"/>
        <v>No</v>
      </c>
      <c r="G173" t="str">
        <f t="shared" si="23"/>
        <v>No</v>
      </c>
      <c r="I173" t="str">
        <f t="shared" si="24"/>
        <v>Yes</v>
      </c>
      <c r="J173" t="str">
        <f t="shared" si="18"/>
        <v>No</v>
      </c>
      <c r="K173" t="str">
        <f t="shared" si="19"/>
        <v>No</v>
      </c>
      <c r="L173" s="203">
        <f>IF(AND('Total income package'!$A$16=TRUE,E173&lt;$J$2),$M$2,0)</f>
        <v>0</v>
      </c>
      <c r="M173" s="179">
        <f>IF(AND('Total income package'!$A$16=TRUE,E173&lt;$L$2),$P$2,0)</f>
        <v>0</v>
      </c>
      <c r="N173" s="204">
        <f t="shared" si="25"/>
        <v>0</v>
      </c>
    </row>
    <row r="174" spans="1:14" x14ac:dyDescent="0.3">
      <c r="A174" s="105">
        <v>82500</v>
      </c>
      <c r="B174" s="4">
        <f t="shared" si="26"/>
        <v>6875</v>
      </c>
      <c r="C174" s="4">
        <f>'Total income package'!$D$80</f>
        <v>0</v>
      </c>
      <c r="D174" s="4">
        <f t="shared" si="20"/>
        <v>6875</v>
      </c>
      <c r="E174" s="4">
        <f t="shared" si="21"/>
        <v>6713</v>
      </c>
      <c r="F174" t="str">
        <f t="shared" si="22"/>
        <v>No</v>
      </c>
      <c r="G174" t="str">
        <f t="shared" si="23"/>
        <v>No</v>
      </c>
      <c r="I174" t="str">
        <f t="shared" si="24"/>
        <v>Yes</v>
      </c>
      <c r="J174" t="str">
        <f t="shared" si="18"/>
        <v>No</v>
      </c>
      <c r="K174" t="str">
        <f t="shared" si="19"/>
        <v>No</v>
      </c>
      <c r="L174" s="203">
        <f>IF(AND('Total income package'!$A$16=TRUE,E174&lt;$J$2),$M$2,0)</f>
        <v>0</v>
      </c>
      <c r="M174" s="179">
        <f>IF(AND('Total income package'!$A$16=TRUE,E174&lt;$L$2),$P$2,0)</f>
        <v>0</v>
      </c>
      <c r="N174" s="204">
        <f t="shared" si="25"/>
        <v>0</v>
      </c>
    </row>
    <row r="175" spans="1:14" x14ac:dyDescent="0.3">
      <c r="A175" s="105">
        <v>83000</v>
      </c>
      <c r="B175" s="4">
        <f t="shared" si="26"/>
        <v>6916.666666666667</v>
      </c>
      <c r="C175" s="4">
        <f>'Total income package'!$D$80</f>
        <v>0</v>
      </c>
      <c r="D175" s="4">
        <f t="shared" si="20"/>
        <v>6916.666666666667</v>
      </c>
      <c r="E175" s="4">
        <f t="shared" si="21"/>
        <v>6754.666666666667</v>
      </c>
      <c r="F175" t="str">
        <f t="shared" si="22"/>
        <v>No</v>
      </c>
      <c r="G175" t="str">
        <f t="shared" si="23"/>
        <v>No</v>
      </c>
      <c r="I175" t="str">
        <f t="shared" si="24"/>
        <v>Yes</v>
      </c>
      <c r="J175" t="str">
        <f t="shared" si="18"/>
        <v>No</v>
      </c>
      <c r="K175" t="str">
        <f t="shared" si="19"/>
        <v>No</v>
      </c>
      <c r="L175" s="203">
        <f>IF(AND('Total income package'!$A$16=TRUE,E175&lt;$J$2),$M$2,0)</f>
        <v>0</v>
      </c>
      <c r="M175" s="179">
        <f>IF(AND('Total income package'!$A$16=TRUE,E175&lt;$L$2),$P$2,0)</f>
        <v>0</v>
      </c>
      <c r="N175" s="204">
        <f t="shared" si="25"/>
        <v>0</v>
      </c>
    </row>
    <row r="176" spans="1:14" x14ac:dyDescent="0.3">
      <c r="A176" s="105">
        <v>83500</v>
      </c>
      <c r="B176" s="4">
        <f t="shared" si="26"/>
        <v>6958.333333333333</v>
      </c>
      <c r="C176" s="4">
        <f>'Total income package'!$D$80</f>
        <v>0</v>
      </c>
      <c r="D176" s="4">
        <f t="shared" si="20"/>
        <v>6958.333333333333</v>
      </c>
      <c r="E176" s="4">
        <f t="shared" si="21"/>
        <v>6796.333333333333</v>
      </c>
      <c r="F176" t="str">
        <f t="shared" si="22"/>
        <v>No</v>
      </c>
      <c r="G176" t="str">
        <f t="shared" si="23"/>
        <v>No</v>
      </c>
      <c r="I176" t="str">
        <f t="shared" si="24"/>
        <v>Yes</v>
      </c>
      <c r="J176" t="str">
        <f t="shared" si="18"/>
        <v>No</v>
      </c>
      <c r="K176" t="str">
        <f t="shared" si="19"/>
        <v>No</v>
      </c>
      <c r="L176" s="203">
        <f>IF(AND('Total income package'!$A$16=TRUE,E176&lt;$J$2),$M$2,0)</f>
        <v>0</v>
      </c>
      <c r="M176" s="179">
        <f>IF(AND('Total income package'!$A$16=TRUE,E176&lt;$L$2),$P$2,0)</f>
        <v>0</v>
      </c>
      <c r="N176" s="204">
        <f t="shared" si="25"/>
        <v>0</v>
      </c>
    </row>
    <row r="177" spans="1:14" x14ac:dyDescent="0.3">
      <c r="A177" s="105">
        <v>84000</v>
      </c>
      <c r="B177" s="4">
        <f t="shared" si="26"/>
        <v>7000</v>
      </c>
      <c r="C177" s="4">
        <f>'Total income package'!$D$80</f>
        <v>0</v>
      </c>
      <c r="D177" s="4">
        <f t="shared" si="20"/>
        <v>7000</v>
      </c>
      <c r="E177" s="4">
        <f t="shared" si="21"/>
        <v>6838</v>
      </c>
      <c r="F177" t="str">
        <f t="shared" si="22"/>
        <v>No</v>
      </c>
      <c r="G177" t="str">
        <f t="shared" si="23"/>
        <v>No</v>
      </c>
      <c r="I177" t="str">
        <f t="shared" si="24"/>
        <v>Yes</v>
      </c>
      <c r="J177" t="str">
        <f t="shared" si="18"/>
        <v>No</v>
      </c>
      <c r="K177" t="str">
        <f t="shared" si="19"/>
        <v>No</v>
      </c>
      <c r="L177" s="203">
        <f>IF(AND('Total income package'!$A$16=TRUE,E177&lt;$J$2),$M$2,0)</f>
        <v>0</v>
      </c>
      <c r="M177" s="179">
        <f>IF(AND('Total income package'!$A$16=TRUE,E177&lt;$L$2),$P$2,0)</f>
        <v>0</v>
      </c>
      <c r="N177" s="204">
        <f t="shared" si="25"/>
        <v>0</v>
      </c>
    </row>
    <row r="178" spans="1:14" x14ac:dyDescent="0.3">
      <c r="A178" s="105">
        <v>84500</v>
      </c>
      <c r="B178" s="4">
        <f t="shared" si="26"/>
        <v>7041.666666666667</v>
      </c>
      <c r="C178" s="4">
        <f>'Total income package'!$D$80</f>
        <v>0</v>
      </c>
      <c r="D178" s="4">
        <f t="shared" si="20"/>
        <v>7041.666666666667</v>
      </c>
      <c r="E178" s="4">
        <f t="shared" si="21"/>
        <v>6879.666666666667</v>
      </c>
      <c r="F178" t="str">
        <f t="shared" si="22"/>
        <v>No</v>
      </c>
      <c r="G178" t="str">
        <f t="shared" si="23"/>
        <v>No</v>
      </c>
      <c r="I178" t="str">
        <f t="shared" si="24"/>
        <v>Yes</v>
      </c>
      <c r="J178" t="str">
        <f t="shared" si="18"/>
        <v>No</v>
      </c>
      <c r="K178" t="str">
        <f t="shared" si="19"/>
        <v>No</v>
      </c>
      <c r="L178" s="203">
        <f>IF(AND('Total income package'!$A$16=TRUE,E178&lt;$J$2),$M$2,0)</f>
        <v>0</v>
      </c>
      <c r="M178" s="179">
        <f>IF(AND('Total income package'!$A$16=TRUE,E178&lt;$L$2),$P$2,0)</f>
        <v>0</v>
      </c>
      <c r="N178" s="204">
        <f t="shared" si="25"/>
        <v>0</v>
      </c>
    </row>
    <row r="179" spans="1:14" x14ac:dyDescent="0.3">
      <c r="A179" s="105">
        <v>85000</v>
      </c>
      <c r="B179" s="4">
        <f t="shared" si="26"/>
        <v>7083.333333333333</v>
      </c>
      <c r="C179" s="4">
        <f>'Total income package'!$D$80</f>
        <v>0</v>
      </c>
      <c r="D179" s="4">
        <f t="shared" si="20"/>
        <v>7083.333333333333</v>
      </c>
      <c r="E179" s="4">
        <f t="shared" si="21"/>
        <v>6921.333333333333</v>
      </c>
      <c r="F179" t="str">
        <f t="shared" si="22"/>
        <v>No</v>
      </c>
      <c r="G179" t="str">
        <f t="shared" si="23"/>
        <v>No</v>
      </c>
      <c r="I179" t="str">
        <f t="shared" si="24"/>
        <v>Yes</v>
      </c>
      <c r="J179" t="str">
        <f t="shared" si="18"/>
        <v>No</v>
      </c>
      <c r="K179" t="str">
        <f t="shared" si="19"/>
        <v>No</v>
      </c>
      <c r="L179" s="203">
        <f>IF(AND('Total income package'!$A$16=TRUE,E179&lt;$J$2),$M$2,0)</f>
        <v>0</v>
      </c>
      <c r="M179" s="179">
        <f>IF(AND('Total income package'!$A$16=TRUE,E179&lt;$L$2),$P$2,0)</f>
        <v>0</v>
      </c>
      <c r="N179" s="204">
        <f t="shared" si="25"/>
        <v>0</v>
      </c>
    </row>
    <row r="180" spans="1:14" x14ac:dyDescent="0.3">
      <c r="A180" s="105">
        <v>85500</v>
      </c>
      <c r="B180" s="4">
        <f t="shared" si="26"/>
        <v>7125</v>
      </c>
      <c r="C180" s="4">
        <f>'Total income package'!$D$80</f>
        <v>0</v>
      </c>
      <c r="D180" s="4">
        <f t="shared" si="20"/>
        <v>7125</v>
      </c>
      <c r="E180" s="4">
        <f t="shared" si="21"/>
        <v>6963</v>
      </c>
      <c r="F180" t="str">
        <f t="shared" si="22"/>
        <v>No</v>
      </c>
      <c r="G180" t="str">
        <f t="shared" si="23"/>
        <v>No</v>
      </c>
      <c r="I180" t="str">
        <f t="shared" si="24"/>
        <v>Yes</v>
      </c>
      <c r="J180" t="str">
        <f t="shared" si="18"/>
        <v>No</v>
      </c>
      <c r="K180" t="str">
        <f t="shared" si="19"/>
        <v>No</v>
      </c>
      <c r="L180" s="203">
        <f>IF(AND('Total income package'!$A$16=TRUE,E180&lt;$J$2),$M$2,0)</f>
        <v>0</v>
      </c>
      <c r="M180" s="179">
        <f>IF(AND('Total income package'!$A$16=TRUE,E180&lt;$L$2),$P$2,0)</f>
        <v>0</v>
      </c>
      <c r="N180" s="204">
        <f t="shared" si="25"/>
        <v>0</v>
      </c>
    </row>
    <row r="181" spans="1:14" x14ac:dyDescent="0.3">
      <c r="A181" s="105">
        <v>86000</v>
      </c>
      <c r="B181" s="4">
        <f t="shared" si="26"/>
        <v>7166.666666666667</v>
      </c>
      <c r="C181" s="4">
        <f>'Total income package'!$D$80</f>
        <v>0</v>
      </c>
      <c r="D181" s="4">
        <f t="shared" si="20"/>
        <v>7166.666666666667</v>
      </c>
      <c r="E181" s="4">
        <f t="shared" si="21"/>
        <v>7004.666666666667</v>
      </c>
      <c r="F181" t="str">
        <f t="shared" si="22"/>
        <v>No</v>
      </c>
      <c r="G181" t="str">
        <f t="shared" si="23"/>
        <v>No</v>
      </c>
      <c r="I181" t="str">
        <f t="shared" si="24"/>
        <v>Yes</v>
      </c>
      <c r="J181" t="str">
        <f t="shared" si="18"/>
        <v>No</v>
      </c>
      <c r="K181" t="str">
        <f t="shared" si="19"/>
        <v>No</v>
      </c>
      <c r="L181" s="203">
        <f>IF(AND('Total income package'!$A$16=TRUE,E181&lt;$J$2),$M$2,0)</f>
        <v>0</v>
      </c>
      <c r="M181" s="179">
        <f>IF(AND('Total income package'!$A$16=TRUE,E181&lt;$L$2),$P$2,0)</f>
        <v>0</v>
      </c>
      <c r="N181" s="204">
        <f t="shared" si="25"/>
        <v>0</v>
      </c>
    </row>
    <row r="182" spans="1:14" x14ac:dyDescent="0.3">
      <c r="A182" s="105">
        <v>86500</v>
      </c>
      <c r="B182" s="4">
        <f t="shared" si="26"/>
        <v>7208.333333333333</v>
      </c>
      <c r="C182" s="4">
        <f>'Total income package'!$D$80</f>
        <v>0</v>
      </c>
      <c r="D182" s="4">
        <f t="shared" si="20"/>
        <v>7208.333333333333</v>
      </c>
      <c r="E182" s="4">
        <f t="shared" si="21"/>
        <v>7046.333333333333</v>
      </c>
      <c r="F182" t="str">
        <f t="shared" si="22"/>
        <v>No</v>
      </c>
      <c r="G182" t="str">
        <f t="shared" si="23"/>
        <v>No</v>
      </c>
      <c r="I182" t="str">
        <f t="shared" si="24"/>
        <v>Yes</v>
      </c>
      <c r="J182" t="str">
        <f t="shared" si="18"/>
        <v>No</v>
      </c>
      <c r="K182" t="str">
        <f t="shared" si="19"/>
        <v>No</v>
      </c>
      <c r="L182" s="203">
        <f>IF(AND('Total income package'!$A$16=TRUE,E182&lt;$J$2),$M$2,0)</f>
        <v>0</v>
      </c>
      <c r="M182" s="179">
        <f>IF(AND('Total income package'!$A$16=TRUE,E182&lt;$L$2),$P$2,0)</f>
        <v>0</v>
      </c>
      <c r="N182" s="204">
        <f t="shared" si="25"/>
        <v>0</v>
      </c>
    </row>
    <row r="183" spans="1:14" x14ac:dyDescent="0.3">
      <c r="A183" s="105">
        <v>87000</v>
      </c>
      <c r="B183" s="4">
        <f t="shared" si="26"/>
        <v>7250</v>
      </c>
      <c r="C183" s="4">
        <f>'Total income package'!$D$80</f>
        <v>0</v>
      </c>
      <c r="D183" s="4">
        <f t="shared" si="20"/>
        <v>7250</v>
      </c>
      <c r="E183" s="4">
        <f t="shared" si="21"/>
        <v>7088</v>
      </c>
      <c r="F183" t="str">
        <f t="shared" si="22"/>
        <v>No</v>
      </c>
      <c r="G183" t="str">
        <f t="shared" si="23"/>
        <v>No</v>
      </c>
      <c r="I183" t="str">
        <f t="shared" si="24"/>
        <v>Yes</v>
      </c>
      <c r="J183" t="str">
        <f t="shared" si="18"/>
        <v>No</v>
      </c>
      <c r="K183" t="str">
        <f t="shared" si="19"/>
        <v>No</v>
      </c>
      <c r="L183" s="203">
        <f>IF(AND('Total income package'!$A$16=TRUE,E183&lt;$J$2),$M$2,0)</f>
        <v>0</v>
      </c>
      <c r="M183" s="179">
        <f>IF(AND('Total income package'!$A$16=TRUE,E183&lt;$L$2),$P$2,0)</f>
        <v>0</v>
      </c>
      <c r="N183" s="204">
        <f t="shared" si="25"/>
        <v>0</v>
      </c>
    </row>
    <row r="184" spans="1:14" x14ac:dyDescent="0.3">
      <c r="A184" s="105">
        <v>87500</v>
      </c>
      <c r="B184" s="4">
        <f t="shared" si="26"/>
        <v>7291.666666666667</v>
      </c>
      <c r="C184" s="4">
        <f>'Total income package'!$D$80</f>
        <v>0</v>
      </c>
      <c r="D184" s="4">
        <f t="shared" si="20"/>
        <v>7291.666666666667</v>
      </c>
      <c r="E184" s="4">
        <f t="shared" si="21"/>
        <v>7129.666666666667</v>
      </c>
      <c r="F184" t="str">
        <f t="shared" si="22"/>
        <v>No</v>
      </c>
      <c r="G184" t="str">
        <f t="shared" si="23"/>
        <v>No</v>
      </c>
      <c r="I184" t="str">
        <f t="shared" si="24"/>
        <v>Yes</v>
      </c>
      <c r="J184" t="str">
        <f t="shared" si="18"/>
        <v>No</v>
      </c>
      <c r="K184" t="str">
        <f t="shared" si="19"/>
        <v>No</v>
      </c>
      <c r="L184" s="203">
        <f>IF(AND('Total income package'!$A$16=TRUE,E184&lt;$J$2),$M$2,0)</f>
        <v>0</v>
      </c>
      <c r="M184" s="179">
        <f>IF(AND('Total income package'!$A$16=TRUE,E184&lt;$L$2),$P$2,0)</f>
        <v>0</v>
      </c>
      <c r="N184" s="204">
        <f t="shared" si="25"/>
        <v>0</v>
      </c>
    </row>
    <row r="185" spans="1:14" x14ac:dyDescent="0.3">
      <c r="A185" s="105">
        <v>88000</v>
      </c>
      <c r="B185" s="4">
        <f t="shared" si="26"/>
        <v>7333.333333333333</v>
      </c>
      <c r="C185" s="4">
        <f>'Total income package'!$D$80</f>
        <v>0</v>
      </c>
      <c r="D185" s="4">
        <f t="shared" si="20"/>
        <v>7333.333333333333</v>
      </c>
      <c r="E185" s="4">
        <f t="shared" si="21"/>
        <v>7171.333333333333</v>
      </c>
      <c r="F185" t="str">
        <f t="shared" si="22"/>
        <v>No</v>
      </c>
      <c r="G185" t="str">
        <f t="shared" si="23"/>
        <v>No</v>
      </c>
      <c r="I185" t="str">
        <f t="shared" si="24"/>
        <v>Yes</v>
      </c>
      <c r="J185" t="str">
        <f t="shared" si="18"/>
        <v>No</v>
      </c>
      <c r="K185" t="str">
        <f t="shared" si="19"/>
        <v>No</v>
      </c>
      <c r="L185" s="203">
        <f>IF(AND('Total income package'!$A$16=TRUE,E185&lt;$J$2),$M$2,0)</f>
        <v>0</v>
      </c>
      <c r="M185" s="179">
        <f>IF(AND('Total income package'!$A$16=TRUE,E185&lt;$L$2),$P$2,0)</f>
        <v>0</v>
      </c>
      <c r="N185" s="204">
        <f t="shared" si="25"/>
        <v>0</v>
      </c>
    </row>
    <row r="186" spans="1:14" x14ac:dyDescent="0.3">
      <c r="A186" s="105">
        <v>88500</v>
      </c>
      <c r="B186" s="4">
        <f t="shared" si="26"/>
        <v>7375</v>
      </c>
      <c r="C186" s="4">
        <f>'Total income package'!$D$80</f>
        <v>0</v>
      </c>
      <c r="D186" s="4">
        <f t="shared" si="20"/>
        <v>7375</v>
      </c>
      <c r="E186" s="4">
        <f t="shared" si="21"/>
        <v>7213</v>
      </c>
      <c r="F186" t="str">
        <f t="shared" si="22"/>
        <v>No</v>
      </c>
      <c r="G186" t="str">
        <f t="shared" si="23"/>
        <v>No</v>
      </c>
      <c r="I186" t="str">
        <f t="shared" si="24"/>
        <v>Yes</v>
      </c>
      <c r="J186" t="str">
        <f t="shared" si="18"/>
        <v>No</v>
      </c>
      <c r="K186" t="str">
        <f t="shared" si="19"/>
        <v>No</v>
      </c>
      <c r="L186" s="203">
        <f>IF(AND('Total income package'!$A$16=TRUE,E186&lt;$J$2),$M$2,0)</f>
        <v>0</v>
      </c>
      <c r="M186" s="179">
        <f>IF(AND('Total income package'!$A$16=TRUE,E186&lt;$L$2),$P$2,0)</f>
        <v>0</v>
      </c>
      <c r="N186" s="204">
        <f t="shared" si="25"/>
        <v>0</v>
      </c>
    </row>
    <row r="187" spans="1:14" x14ac:dyDescent="0.3">
      <c r="A187" s="105">
        <v>89000</v>
      </c>
      <c r="B187" s="4">
        <f t="shared" si="26"/>
        <v>7416.666666666667</v>
      </c>
      <c r="C187" s="4">
        <f>'Total income package'!$D$80</f>
        <v>0</v>
      </c>
      <c r="D187" s="4">
        <f t="shared" si="20"/>
        <v>7416.666666666667</v>
      </c>
      <c r="E187" s="4">
        <f t="shared" si="21"/>
        <v>7254.666666666667</v>
      </c>
      <c r="F187" t="str">
        <f t="shared" si="22"/>
        <v>No</v>
      </c>
      <c r="G187" t="str">
        <f t="shared" si="23"/>
        <v>No</v>
      </c>
      <c r="I187" t="str">
        <f t="shared" si="24"/>
        <v>Yes</v>
      </c>
      <c r="J187" t="str">
        <f t="shared" si="18"/>
        <v>No</v>
      </c>
      <c r="K187" t="str">
        <f t="shared" si="19"/>
        <v>No</v>
      </c>
      <c r="L187" s="203">
        <f>IF(AND('Total income package'!$A$16=TRUE,E187&lt;$J$2),$M$2,0)</f>
        <v>0</v>
      </c>
      <c r="M187" s="179">
        <f>IF(AND('Total income package'!$A$16=TRUE,E187&lt;$L$2),$P$2,0)</f>
        <v>0</v>
      </c>
      <c r="N187" s="204">
        <f t="shared" si="25"/>
        <v>0</v>
      </c>
    </row>
    <row r="188" spans="1:14" x14ac:dyDescent="0.3">
      <c r="A188" s="105">
        <v>89500</v>
      </c>
      <c r="B188" s="4">
        <f t="shared" si="26"/>
        <v>7458.333333333333</v>
      </c>
      <c r="C188" s="4">
        <f>'Total income package'!$D$80</f>
        <v>0</v>
      </c>
      <c r="D188" s="4">
        <f t="shared" si="20"/>
        <v>7458.333333333333</v>
      </c>
      <c r="E188" s="4">
        <f t="shared" si="21"/>
        <v>7296.333333333333</v>
      </c>
      <c r="F188" t="str">
        <f t="shared" si="22"/>
        <v>No</v>
      </c>
      <c r="G188" t="str">
        <f t="shared" si="23"/>
        <v>No</v>
      </c>
      <c r="I188" t="str">
        <f t="shared" si="24"/>
        <v>Yes</v>
      </c>
      <c r="J188" t="str">
        <f t="shared" si="18"/>
        <v>No</v>
      </c>
      <c r="K188" t="str">
        <f t="shared" si="19"/>
        <v>No</v>
      </c>
      <c r="L188" s="203">
        <f>IF(AND('Total income package'!$A$16=TRUE,E188&lt;$J$2),$M$2,0)</f>
        <v>0</v>
      </c>
      <c r="M188" s="179">
        <f>IF(AND('Total income package'!$A$16=TRUE,E188&lt;$L$2),$P$2,0)</f>
        <v>0</v>
      </c>
      <c r="N188" s="204">
        <f t="shared" si="25"/>
        <v>0</v>
      </c>
    </row>
    <row r="189" spans="1:14" x14ac:dyDescent="0.3">
      <c r="A189" s="105">
        <v>90000</v>
      </c>
      <c r="B189" s="4">
        <f t="shared" si="26"/>
        <v>7500</v>
      </c>
      <c r="C189" s="4">
        <f>'Total income package'!$D$80</f>
        <v>0</v>
      </c>
      <c r="D189" s="4">
        <f t="shared" si="20"/>
        <v>7500</v>
      </c>
      <c r="E189" s="4">
        <f t="shared" si="21"/>
        <v>7338</v>
      </c>
      <c r="F189" t="str">
        <f t="shared" si="22"/>
        <v>No</v>
      </c>
      <c r="G189" t="str">
        <f t="shared" si="23"/>
        <v>No</v>
      </c>
      <c r="I189" t="str">
        <f t="shared" si="24"/>
        <v>Yes</v>
      </c>
      <c r="J189" t="str">
        <f t="shared" si="18"/>
        <v>No</v>
      </c>
      <c r="K189" t="str">
        <f t="shared" si="19"/>
        <v>No</v>
      </c>
      <c r="L189" s="203">
        <f>IF(AND('Total income package'!$A$16=TRUE,E189&lt;$J$2),$M$2,0)</f>
        <v>0</v>
      </c>
      <c r="M189" s="179">
        <f>IF(AND('Total income package'!$A$16=TRUE,E189&lt;$L$2),$P$2,0)</f>
        <v>0</v>
      </c>
      <c r="N189" s="204">
        <f t="shared" si="25"/>
        <v>0</v>
      </c>
    </row>
    <row r="190" spans="1:14" x14ac:dyDescent="0.3">
      <c r="A190" s="105">
        <v>90500</v>
      </c>
      <c r="B190" s="4">
        <f t="shared" si="26"/>
        <v>7541.666666666667</v>
      </c>
      <c r="C190" s="4">
        <f>'Total income package'!$D$80</f>
        <v>0</v>
      </c>
      <c r="D190" s="4">
        <f t="shared" si="20"/>
        <v>7541.666666666667</v>
      </c>
      <c r="E190" s="4">
        <f t="shared" si="21"/>
        <v>7379.666666666667</v>
      </c>
      <c r="F190" t="str">
        <f t="shared" si="22"/>
        <v>No</v>
      </c>
      <c r="G190" t="str">
        <f t="shared" si="23"/>
        <v>No</v>
      </c>
      <c r="I190" t="str">
        <f t="shared" si="24"/>
        <v>Yes</v>
      </c>
      <c r="J190" t="str">
        <f t="shared" si="18"/>
        <v>No</v>
      </c>
      <c r="K190" t="str">
        <f t="shared" si="19"/>
        <v>No</v>
      </c>
      <c r="L190" s="203">
        <f>IF(AND('Total income package'!$A$16=TRUE,E190&lt;$J$2),$M$2,0)</f>
        <v>0</v>
      </c>
      <c r="M190" s="179">
        <f>IF(AND('Total income package'!$A$16=TRUE,E190&lt;$L$2),$P$2,0)</f>
        <v>0</v>
      </c>
      <c r="N190" s="204">
        <f t="shared" si="25"/>
        <v>0</v>
      </c>
    </row>
    <row r="191" spans="1:14" x14ac:dyDescent="0.3">
      <c r="A191" s="105">
        <v>91000</v>
      </c>
      <c r="B191" s="4">
        <f t="shared" si="26"/>
        <v>7583.333333333333</v>
      </c>
      <c r="C191" s="4">
        <f>'Total income package'!$D$80</f>
        <v>0</v>
      </c>
      <c r="D191" s="4">
        <f t="shared" si="20"/>
        <v>7583.333333333333</v>
      </c>
      <c r="E191" s="4">
        <f t="shared" si="21"/>
        <v>7421.333333333333</v>
      </c>
      <c r="F191" t="str">
        <f t="shared" si="22"/>
        <v>No</v>
      </c>
      <c r="G191" t="str">
        <f t="shared" si="23"/>
        <v>No</v>
      </c>
      <c r="I191" t="str">
        <f t="shared" si="24"/>
        <v>Yes</v>
      </c>
      <c r="J191" t="str">
        <f t="shared" si="18"/>
        <v>No</v>
      </c>
      <c r="K191" t="str">
        <f t="shared" si="19"/>
        <v>No</v>
      </c>
      <c r="L191" s="203">
        <f>IF(AND('Total income package'!$A$16=TRUE,E191&lt;$J$2),$M$2,0)</f>
        <v>0</v>
      </c>
      <c r="M191" s="179">
        <f>IF(AND('Total income package'!$A$16=TRUE,E191&lt;$L$2),$P$2,0)</f>
        <v>0</v>
      </c>
      <c r="N191" s="204">
        <f t="shared" si="25"/>
        <v>0</v>
      </c>
    </row>
    <row r="192" spans="1:14" x14ac:dyDescent="0.3">
      <c r="A192" s="105">
        <v>91500</v>
      </c>
      <c r="B192" s="4">
        <f t="shared" si="26"/>
        <v>7625</v>
      </c>
      <c r="C192" s="4">
        <f>'Total income package'!$D$80</f>
        <v>0</v>
      </c>
      <c r="D192" s="4">
        <f t="shared" si="20"/>
        <v>7625</v>
      </c>
      <c r="E192" s="4">
        <f t="shared" si="21"/>
        <v>7463</v>
      </c>
      <c r="F192" t="str">
        <f t="shared" si="22"/>
        <v>No</v>
      </c>
      <c r="G192" t="str">
        <f t="shared" si="23"/>
        <v>No</v>
      </c>
      <c r="I192" t="str">
        <f t="shared" si="24"/>
        <v>Yes</v>
      </c>
      <c r="J192" t="str">
        <f t="shared" si="18"/>
        <v>No</v>
      </c>
      <c r="K192" t="str">
        <f t="shared" si="19"/>
        <v>No</v>
      </c>
      <c r="L192" s="203">
        <f>IF(AND('Total income package'!$A$16=TRUE,E192&lt;$J$2),$M$2,0)</f>
        <v>0</v>
      </c>
      <c r="M192" s="179">
        <f>IF(AND('Total income package'!$A$16=TRUE,E192&lt;$L$2),$P$2,0)</f>
        <v>0</v>
      </c>
      <c r="N192" s="204">
        <f t="shared" si="25"/>
        <v>0</v>
      </c>
    </row>
    <row r="193" spans="1:14" x14ac:dyDescent="0.3">
      <c r="A193" s="105">
        <v>92000</v>
      </c>
      <c r="B193" s="4">
        <f t="shared" si="26"/>
        <v>7666.666666666667</v>
      </c>
      <c r="C193" s="4">
        <f>'Total income package'!$D$80</f>
        <v>0</v>
      </c>
      <c r="D193" s="4">
        <f t="shared" si="20"/>
        <v>7666.666666666667</v>
      </c>
      <c r="E193" s="4">
        <f t="shared" si="21"/>
        <v>7504.666666666667</v>
      </c>
      <c r="F193" t="str">
        <f t="shared" si="22"/>
        <v>No</v>
      </c>
      <c r="G193" t="str">
        <f t="shared" si="23"/>
        <v>No</v>
      </c>
      <c r="I193" t="str">
        <f t="shared" si="24"/>
        <v>Yes</v>
      </c>
      <c r="J193" t="str">
        <f t="shared" si="18"/>
        <v>No</v>
      </c>
      <c r="K193" t="str">
        <f t="shared" si="19"/>
        <v>No</v>
      </c>
      <c r="L193" s="203">
        <f>IF(AND('Total income package'!$A$16=TRUE,E193&lt;$J$2),$M$2,0)</f>
        <v>0</v>
      </c>
      <c r="M193" s="179">
        <f>IF(AND('Total income package'!$A$16=TRUE,E193&lt;$L$2),$P$2,0)</f>
        <v>0</v>
      </c>
      <c r="N193" s="204">
        <f t="shared" si="25"/>
        <v>0</v>
      </c>
    </row>
    <row r="194" spans="1:14" x14ac:dyDescent="0.3">
      <c r="A194" s="105">
        <v>92500</v>
      </c>
      <c r="B194" s="4">
        <f t="shared" si="26"/>
        <v>7708.333333333333</v>
      </c>
      <c r="C194" s="4">
        <f>'Total income package'!$D$80</f>
        <v>0</v>
      </c>
      <c r="D194" s="4">
        <f t="shared" si="20"/>
        <v>7708.333333333333</v>
      </c>
      <c r="E194" s="4">
        <f t="shared" si="21"/>
        <v>7546.333333333333</v>
      </c>
      <c r="F194" t="str">
        <f t="shared" si="22"/>
        <v>No</v>
      </c>
      <c r="G194" t="str">
        <f t="shared" si="23"/>
        <v>No</v>
      </c>
      <c r="I194" t="str">
        <f t="shared" si="24"/>
        <v>Yes</v>
      </c>
      <c r="J194" t="str">
        <f t="shared" si="18"/>
        <v>No</v>
      </c>
      <c r="K194" t="str">
        <f t="shared" si="19"/>
        <v>No</v>
      </c>
      <c r="L194" s="203">
        <f>IF(AND('Total income package'!$A$16=TRUE,E194&lt;$J$2),$M$2,0)</f>
        <v>0</v>
      </c>
      <c r="M194" s="179">
        <f>IF(AND('Total income package'!$A$16=TRUE,E194&lt;$L$2),$P$2,0)</f>
        <v>0</v>
      </c>
      <c r="N194" s="204">
        <f t="shared" si="25"/>
        <v>0</v>
      </c>
    </row>
    <row r="195" spans="1:14" x14ac:dyDescent="0.3">
      <c r="A195" s="105">
        <v>93000</v>
      </c>
      <c r="B195" s="4">
        <f t="shared" si="26"/>
        <v>7750</v>
      </c>
      <c r="C195" s="4">
        <f>'Total income package'!$D$80</f>
        <v>0</v>
      </c>
      <c r="D195" s="4">
        <f t="shared" si="20"/>
        <v>7750</v>
      </c>
      <c r="E195" s="4">
        <f t="shared" si="21"/>
        <v>7588</v>
      </c>
      <c r="F195" t="str">
        <f t="shared" si="22"/>
        <v>No</v>
      </c>
      <c r="G195" t="str">
        <f t="shared" si="23"/>
        <v>No</v>
      </c>
      <c r="I195" t="str">
        <f t="shared" si="24"/>
        <v>Yes</v>
      </c>
      <c r="J195" t="str">
        <f t="shared" si="18"/>
        <v>No</v>
      </c>
      <c r="K195" t="str">
        <f t="shared" si="19"/>
        <v>No</v>
      </c>
      <c r="L195" s="203">
        <f>IF(AND('Total income package'!$A$16=TRUE,E195&lt;$J$2),$M$2,0)</f>
        <v>0</v>
      </c>
      <c r="M195" s="179">
        <f>IF(AND('Total income package'!$A$16=TRUE,E195&lt;$L$2),$P$2,0)</f>
        <v>0</v>
      </c>
      <c r="N195" s="204">
        <f t="shared" si="25"/>
        <v>0</v>
      </c>
    </row>
    <row r="196" spans="1:14" x14ac:dyDescent="0.3">
      <c r="A196" s="105">
        <v>93500</v>
      </c>
      <c r="B196" s="4">
        <f t="shared" si="26"/>
        <v>7791.666666666667</v>
      </c>
      <c r="C196" s="4">
        <f>'Total income package'!$D$80</f>
        <v>0</v>
      </c>
      <c r="D196" s="4">
        <f t="shared" si="20"/>
        <v>7791.666666666667</v>
      </c>
      <c r="E196" s="4">
        <f t="shared" si="21"/>
        <v>7629.666666666667</v>
      </c>
      <c r="F196" t="str">
        <f t="shared" si="22"/>
        <v>No</v>
      </c>
      <c r="G196" t="str">
        <f t="shared" si="23"/>
        <v>No</v>
      </c>
      <c r="I196" t="str">
        <f t="shared" si="24"/>
        <v>Yes</v>
      </c>
      <c r="J196" t="str">
        <f t="shared" si="18"/>
        <v>No</v>
      </c>
      <c r="K196" t="str">
        <f t="shared" si="19"/>
        <v>No</v>
      </c>
      <c r="L196" s="203">
        <f>IF(AND('Total income package'!$A$16=TRUE,E196&lt;$J$2),$M$2,0)</f>
        <v>0</v>
      </c>
      <c r="M196" s="179">
        <f>IF(AND('Total income package'!$A$16=TRUE,E196&lt;$L$2),$P$2,0)</f>
        <v>0</v>
      </c>
      <c r="N196" s="204">
        <f t="shared" si="25"/>
        <v>0</v>
      </c>
    </row>
    <row r="197" spans="1:14" x14ac:dyDescent="0.3">
      <c r="A197" s="105">
        <v>94000</v>
      </c>
      <c r="B197" s="4">
        <f t="shared" si="26"/>
        <v>7833.333333333333</v>
      </c>
      <c r="C197" s="4">
        <f>'Total income package'!$D$80</f>
        <v>0</v>
      </c>
      <c r="D197" s="4">
        <f t="shared" si="20"/>
        <v>7833.333333333333</v>
      </c>
      <c r="E197" s="4">
        <f t="shared" si="21"/>
        <v>7671.333333333333</v>
      </c>
      <c r="F197" t="str">
        <f t="shared" si="22"/>
        <v>No</v>
      </c>
      <c r="G197" t="str">
        <f t="shared" si="23"/>
        <v>No</v>
      </c>
      <c r="I197" t="str">
        <f t="shared" si="24"/>
        <v>Yes</v>
      </c>
      <c r="J197" t="str">
        <f t="shared" si="18"/>
        <v>No</v>
      </c>
      <c r="K197" t="str">
        <f t="shared" si="19"/>
        <v>No</v>
      </c>
      <c r="L197" s="203">
        <f>IF(AND('Total income package'!$A$16=TRUE,E197&lt;$J$2),$M$2,0)</f>
        <v>0</v>
      </c>
      <c r="M197" s="179">
        <f>IF(AND('Total income package'!$A$16=TRUE,E197&lt;$L$2),$P$2,0)</f>
        <v>0</v>
      </c>
      <c r="N197" s="204">
        <f t="shared" si="25"/>
        <v>0</v>
      </c>
    </row>
    <row r="198" spans="1:14" x14ac:dyDescent="0.3">
      <c r="A198" s="105">
        <v>94500</v>
      </c>
      <c r="B198" s="4">
        <f t="shared" si="26"/>
        <v>7875</v>
      </c>
      <c r="C198" s="4">
        <f>'Total income package'!$D$80</f>
        <v>0</v>
      </c>
      <c r="D198" s="4">
        <f t="shared" si="20"/>
        <v>7875</v>
      </c>
      <c r="E198" s="4">
        <f t="shared" si="21"/>
        <v>7713</v>
      </c>
      <c r="F198" t="str">
        <f t="shared" si="22"/>
        <v>No</v>
      </c>
      <c r="G198" t="str">
        <f t="shared" si="23"/>
        <v>No</v>
      </c>
      <c r="I198" t="str">
        <f t="shared" si="24"/>
        <v>Yes</v>
      </c>
      <c r="J198" t="str">
        <f t="shared" si="18"/>
        <v>No</v>
      </c>
      <c r="K198" t="str">
        <f t="shared" si="19"/>
        <v>No</v>
      </c>
      <c r="L198" s="203">
        <f>IF(AND('Total income package'!$A$16=TRUE,E198&lt;$J$2),$M$2,0)</f>
        <v>0</v>
      </c>
      <c r="M198" s="179">
        <f>IF(AND('Total income package'!$A$16=TRUE,E198&lt;$L$2),$P$2,0)</f>
        <v>0</v>
      </c>
      <c r="N198" s="204">
        <f t="shared" si="25"/>
        <v>0</v>
      </c>
    </row>
    <row r="199" spans="1:14" x14ac:dyDescent="0.3">
      <c r="A199" s="105">
        <v>95000</v>
      </c>
      <c r="B199" s="4">
        <f t="shared" si="26"/>
        <v>7916.666666666667</v>
      </c>
      <c r="C199" s="4">
        <f>'Total income package'!$D$80</f>
        <v>0</v>
      </c>
      <c r="D199" s="4">
        <f t="shared" si="20"/>
        <v>7916.666666666667</v>
      </c>
      <c r="E199" s="4">
        <f t="shared" si="21"/>
        <v>7754.666666666667</v>
      </c>
      <c r="F199" t="str">
        <f t="shared" si="22"/>
        <v>No</v>
      </c>
      <c r="G199" t="str">
        <f t="shared" si="23"/>
        <v>No</v>
      </c>
      <c r="I199" t="str">
        <f t="shared" si="24"/>
        <v>Yes</v>
      </c>
      <c r="J199" t="str">
        <f t="shared" si="18"/>
        <v>No</v>
      </c>
      <c r="K199" t="str">
        <f t="shared" si="19"/>
        <v>No</v>
      </c>
      <c r="L199" s="203">
        <f>IF(AND('Total income package'!$A$16=TRUE,E199&lt;$J$2),$M$2,0)</f>
        <v>0</v>
      </c>
      <c r="M199" s="179">
        <f>IF(AND('Total income package'!$A$16=TRUE,E199&lt;$L$2),$P$2,0)</f>
        <v>0</v>
      </c>
      <c r="N199" s="204">
        <f t="shared" si="25"/>
        <v>0</v>
      </c>
    </row>
    <row r="200" spans="1:14" x14ac:dyDescent="0.3">
      <c r="A200" s="105">
        <v>95500</v>
      </c>
      <c r="B200" s="4">
        <f t="shared" si="26"/>
        <v>7958.333333333333</v>
      </c>
      <c r="C200" s="4">
        <f>'Total income package'!$D$80</f>
        <v>0</v>
      </c>
      <c r="D200" s="4">
        <f t="shared" si="20"/>
        <v>7958.333333333333</v>
      </c>
      <c r="E200" s="4">
        <f t="shared" si="21"/>
        <v>7796.333333333333</v>
      </c>
      <c r="F200" t="str">
        <f t="shared" si="22"/>
        <v>No</v>
      </c>
      <c r="G200" t="str">
        <f t="shared" si="23"/>
        <v>No</v>
      </c>
      <c r="I200" t="str">
        <f t="shared" si="24"/>
        <v>Yes</v>
      </c>
      <c r="J200" t="str">
        <f t="shared" si="18"/>
        <v>No</v>
      </c>
      <c r="K200" t="str">
        <f t="shared" si="19"/>
        <v>No</v>
      </c>
      <c r="L200" s="203">
        <f>IF(AND('Total income package'!$A$16=TRUE,E200&lt;$J$2),$M$2,0)</f>
        <v>0</v>
      </c>
      <c r="M200" s="179">
        <f>IF(AND('Total income package'!$A$16=TRUE,E200&lt;$L$2),$P$2,0)</f>
        <v>0</v>
      </c>
      <c r="N200" s="204">
        <f t="shared" si="25"/>
        <v>0</v>
      </c>
    </row>
    <row r="201" spans="1:14" x14ac:dyDescent="0.3">
      <c r="A201" s="105">
        <v>96000</v>
      </c>
      <c r="B201" s="4">
        <f t="shared" si="26"/>
        <v>8000</v>
      </c>
      <c r="C201" s="4">
        <f>'Total income package'!$D$80</f>
        <v>0</v>
      </c>
      <c r="D201" s="4">
        <f t="shared" si="20"/>
        <v>8000</v>
      </c>
      <c r="E201" s="4">
        <f t="shared" si="21"/>
        <v>7838</v>
      </c>
      <c r="F201" t="str">
        <f t="shared" si="22"/>
        <v>No</v>
      </c>
      <c r="G201" t="str">
        <f t="shared" si="23"/>
        <v>No</v>
      </c>
      <c r="I201" t="str">
        <f t="shared" si="24"/>
        <v>Yes</v>
      </c>
      <c r="J201" t="str">
        <f t="shared" ref="J201:J209" si="27">IF(E201&lt;$K$2,"Yes","No")</f>
        <v>No</v>
      </c>
      <c r="K201" t="str">
        <f t="shared" ref="K201:K209" si="28">IF(E201&lt;$L$2,"Yes","No")</f>
        <v>No</v>
      </c>
      <c r="L201" s="203">
        <f>IF(AND('Total income package'!$A$16=TRUE,E201&lt;$J$2),$M$2,0)</f>
        <v>0</v>
      </c>
      <c r="M201" s="179">
        <f>IF(AND('Total income package'!$A$16=TRUE,E201&lt;$L$2),$P$2,0)</f>
        <v>0</v>
      </c>
      <c r="N201" s="204">
        <f t="shared" si="25"/>
        <v>0</v>
      </c>
    </row>
    <row r="202" spans="1:14" x14ac:dyDescent="0.3">
      <c r="A202" s="105">
        <v>96500</v>
      </c>
      <c r="B202" s="4">
        <f t="shared" si="26"/>
        <v>8041.666666666667</v>
      </c>
      <c r="C202" s="4">
        <f>'Total income package'!$D$80</f>
        <v>0</v>
      </c>
      <c r="D202" s="4">
        <f t="shared" ref="D202:D214" si="29">B202+C202</f>
        <v>8041.666666666667</v>
      </c>
      <c r="E202" s="4">
        <f t="shared" ref="E202:E209" si="30">IF(D202-$H$2&lt;0,0,D202-$H$2)</f>
        <v>7879.666666666667</v>
      </c>
      <c r="F202" t="str">
        <f t="shared" ref="F202:F209" si="31">IF(E202&lt;$I$2,"Yes","No")</f>
        <v>No</v>
      </c>
      <c r="G202" t="str">
        <f t="shared" ref="G202:G209" si="32">IF(E202&lt;$J$2,"Yes","No")</f>
        <v>No</v>
      </c>
      <c r="I202" t="str">
        <f t="shared" ref="I202:I214" si="33">IF($E$2&gt;0,"Yes","No")</f>
        <v>Yes</v>
      </c>
      <c r="J202" t="str">
        <f t="shared" si="27"/>
        <v>No</v>
      </c>
      <c r="K202" t="str">
        <f t="shared" si="28"/>
        <v>No</v>
      </c>
      <c r="L202" s="203">
        <f>IF(AND('Total income package'!$A$16=TRUE,E202&lt;$J$2),$M$2,0)</f>
        <v>0</v>
      </c>
      <c r="M202" s="179">
        <f>IF(AND('Total income package'!$A$16=TRUE,E202&lt;$L$2),$P$2,0)</f>
        <v>0</v>
      </c>
      <c r="N202" s="204">
        <f t="shared" ref="N202:N209" si="34">L202+M202</f>
        <v>0</v>
      </c>
    </row>
    <row r="203" spans="1:14" x14ac:dyDescent="0.3">
      <c r="A203" s="105">
        <v>97000</v>
      </c>
      <c r="B203" s="4">
        <f t="shared" ref="B203:B209" si="35">A203/12</f>
        <v>8083.333333333333</v>
      </c>
      <c r="C203" s="4">
        <f>'Total income package'!$D$80</f>
        <v>0</v>
      </c>
      <c r="D203" s="4">
        <f t="shared" si="29"/>
        <v>8083.333333333333</v>
      </c>
      <c r="E203" s="4">
        <f t="shared" si="30"/>
        <v>7921.333333333333</v>
      </c>
      <c r="F203" t="str">
        <f t="shared" si="31"/>
        <v>No</v>
      </c>
      <c r="G203" t="str">
        <f t="shared" si="32"/>
        <v>No</v>
      </c>
      <c r="I203" t="str">
        <f t="shared" si="33"/>
        <v>Yes</v>
      </c>
      <c r="J203" t="str">
        <f t="shared" si="27"/>
        <v>No</v>
      </c>
      <c r="K203" t="str">
        <f t="shared" si="28"/>
        <v>No</v>
      </c>
      <c r="L203" s="203">
        <f>IF(AND('Total income package'!$A$16=TRUE,E203&lt;$J$2),$M$2,0)</f>
        <v>0</v>
      </c>
      <c r="M203" s="179">
        <f>IF(AND('Total income package'!$A$16=TRUE,E203&lt;$L$2),$P$2,0)</f>
        <v>0</v>
      </c>
      <c r="N203" s="204">
        <f t="shared" si="34"/>
        <v>0</v>
      </c>
    </row>
    <row r="204" spans="1:14" x14ac:dyDescent="0.3">
      <c r="A204" s="105">
        <v>97500</v>
      </c>
      <c r="B204" s="4">
        <f t="shared" si="35"/>
        <v>8125</v>
      </c>
      <c r="C204" s="4">
        <f>'Total income package'!$D$80</f>
        <v>0</v>
      </c>
      <c r="D204" s="4">
        <f t="shared" si="29"/>
        <v>8125</v>
      </c>
      <c r="E204" s="4">
        <f t="shared" si="30"/>
        <v>7963</v>
      </c>
      <c r="F204" t="str">
        <f t="shared" si="31"/>
        <v>No</v>
      </c>
      <c r="G204" t="str">
        <f t="shared" si="32"/>
        <v>No</v>
      </c>
      <c r="I204" t="str">
        <f t="shared" si="33"/>
        <v>Yes</v>
      </c>
      <c r="J204" t="str">
        <f t="shared" si="27"/>
        <v>No</v>
      </c>
      <c r="K204" t="str">
        <f t="shared" si="28"/>
        <v>No</v>
      </c>
      <c r="L204" s="203">
        <f>IF(AND('Total income package'!$A$16=TRUE,E204&lt;$J$2),$M$2,0)</f>
        <v>0</v>
      </c>
      <c r="M204" s="179">
        <f>IF(AND('Total income package'!$A$16=TRUE,E204&lt;$L$2),$P$2,0)</f>
        <v>0</v>
      </c>
      <c r="N204" s="204">
        <f t="shared" si="34"/>
        <v>0</v>
      </c>
    </row>
    <row r="205" spans="1:14" x14ac:dyDescent="0.3">
      <c r="A205" s="105">
        <v>98000</v>
      </c>
      <c r="B205" s="4">
        <f t="shared" si="35"/>
        <v>8166.666666666667</v>
      </c>
      <c r="C205" s="4">
        <f>'Total income package'!$D$80</f>
        <v>0</v>
      </c>
      <c r="D205" s="4">
        <f t="shared" si="29"/>
        <v>8166.666666666667</v>
      </c>
      <c r="E205" s="4">
        <f t="shared" si="30"/>
        <v>8004.666666666667</v>
      </c>
      <c r="F205" t="str">
        <f t="shared" si="31"/>
        <v>No</v>
      </c>
      <c r="G205" t="str">
        <f t="shared" si="32"/>
        <v>No</v>
      </c>
      <c r="I205" t="str">
        <f t="shared" si="33"/>
        <v>Yes</v>
      </c>
      <c r="J205" t="str">
        <f t="shared" si="27"/>
        <v>No</v>
      </c>
      <c r="K205" t="str">
        <f t="shared" si="28"/>
        <v>No</v>
      </c>
      <c r="L205" s="203">
        <f>IF(AND('Total income package'!$A$16=TRUE,E205&lt;$J$2),$M$2,0)</f>
        <v>0</v>
      </c>
      <c r="M205" s="179">
        <f>IF(AND('Total income package'!$A$16=TRUE,E205&lt;$L$2),$P$2,0)</f>
        <v>0</v>
      </c>
      <c r="N205" s="204">
        <f t="shared" si="34"/>
        <v>0</v>
      </c>
    </row>
    <row r="206" spans="1:14" x14ac:dyDescent="0.3">
      <c r="A206" s="105">
        <v>98500</v>
      </c>
      <c r="B206" s="4">
        <f t="shared" si="35"/>
        <v>8208.3333333333339</v>
      </c>
      <c r="C206" s="4">
        <f>'Total income package'!$D$80</f>
        <v>0</v>
      </c>
      <c r="D206" s="4">
        <f t="shared" si="29"/>
        <v>8208.3333333333339</v>
      </c>
      <c r="E206" s="4">
        <f t="shared" si="30"/>
        <v>8046.3333333333339</v>
      </c>
      <c r="F206" t="str">
        <f t="shared" si="31"/>
        <v>No</v>
      </c>
      <c r="G206" t="str">
        <f t="shared" si="32"/>
        <v>No</v>
      </c>
      <c r="I206" t="str">
        <f t="shared" si="33"/>
        <v>Yes</v>
      </c>
      <c r="J206" t="str">
        <f t="shared" si="27"/>
        <v>No</v>
      </c>
      <c r="K206" t="str">
        <f t="shared" si="28"/>
        <v>No</v>
      </c>
      <c r="L206" s="203">
        <f>IF(AND('Total income package'!$A$16=TRUE,E206&lt;$J$2),$M$2,0)</f>
        <v>0</v>
      </c>
      <c r="M206" s="179">
        <f>IF(AND('Total income package'!$A$16=TRUE,E206&lt;$L$2),$P$2,0)</f>
        <v>0</v>
      </c>
      <c r="N206" s="204">
        <f t="shared" si="34"/>
        <v>0</v>
      </c>
    </row>
    <row r="207" spans="1:14" x14ac:dyDescent="0.3">
      <c r="A207" s="105">
        <v>99000</v>
      </c>
      <c r="B207" s="4">
        <f t="shared" si="35"/>
        <v>8250</v>
      </c>
      <c r="C207" s="4">
        <f>'Total income package'!$D$80</f>
        <v>0</v>
      </c>
      <c r="D207" s="4">
        <f t="shared" si="29"/>
        <v>8250</v>
      </c>
      <c r="E207" s="4">
        <f t="shared" si="30"/>
        <v>8088</v>
      </c>
      <c r="F207" t="str">
        <f t="shared" si="31"/>
        <v>No</v>
      </c>
      <c r="G207" t="str">
        <f t="shared" si="32"/>
        <v>No</v>
      </c>
      <c r="I207" t="str">
        <f t="shared" si="33"/>
        <v>Yes</v>
      </c>
      <c r="J207" t="str">
        <f t="shared" si="27"/>
        <v>No</v>
      </c>
      <c r="K207" t="str">
        <f t="shared" si="28"/>
        <v>No</v>
      </c>
      <c r="L207" s="203">
        <f>IF(AND('Total income package'!$A$16=TRUE,E207&lt;$J$2),$M$2,0)</f>
        <v>0</v>
      </c>
      <c r="M207" s="179">
        <f>IF(AND('Total income package'!$A$16=TRUE,E207&lt;$L$2),$P$2,0)</f>
        <v>0</v>
      </c>
      <c r="N207" s="204">
        <f t="shared" si="34"/>
        <v>0</v>
      </c>
    </row>
    <row r="208" spans="1:14" x14ac:dyDescent="0.3">
      <c r="A208" s="105">
        <v>99500</v>
      </c>
      <c r="B208" s="4">
        <f t="shared" si="35"/>
        <v>8291.6666666666661</v>
      </c>
      <c r="C208" s="4">
        <f>'Total income package'!$D$80</f>
        <v>0</v>
      </c>
      <c r="D208" s="4">
        <f t="shared" si="29"/>
        <v>8291.6666666666661</v>
      </c>
      <c r="E208" s="4">
        <f t="shared" si="30"/>
        <v>8129.6666666666661</v>
      </c>
      <c r="F208" t="str">
        <f t="shared" si="31"/>
        <v>No</v>
      </c>
      <c r="G208" t="str">
        <f t="shared" si="32"/>
        <v>No</v>
      </c>
      <c r="I208" t="str">
        <f t="shared" si="33"/>
        <v>Yes</v>
      </c>
      <c r="J208" t="str">
        <f t="shared" si="27"/>
        <v>No</v>
      </c>
      <c r="K208" t="str">
        <f t="shared" si="28"/>
        <v>No</v>
      </c>
      <c r="L208" s="203">
        <f>IF(AND('Total income package'!$A$16=TRUE,E208&lt;$J$2),$M$2,0)</f>
        <v>0</v>
      </c>
      <c r="M208" s="179">
        <f>IF(AND('Total income package'!$A$16=TRUE,E208&lt;$L$2),$P$2,0)</f>
        <v>0</v>
      </c>
      <c r="N208" s="204">
        <f t="shared" si="34"/>
        <v>0</v>
      </c>
    </row>
    <row r="209" spans="1:15" x14ac:dyDescent="0.3">
      <c r="A209" s="105">
        <v>100000</v>
      </c>
      <c r="B209" s="4">
        <f t="shared" si="35"/>
        <v>8333.3333333333339</v>
      </c>
      <c r="C209" s="4">
        <f>'Total income package'!$D$80</f>
        <v>0</v>
      </c>
      <c r="D209" s="4">
        <f t="shared" si="29"/>
        <v>8333.3333333333339</v>
      </c>
      <c r="E209" s="4">
        <f t="shared" si="30"/>
        <v>8171.3333333333339</v>
      </c>
      <c r="F209" t="str">
        <f t="shared" si="31"/>
        <v>No</v>
      </c>
      <c r="G209" t="str">
        <f t="shared" si="32"/>
        <v>No</v>
      </c>
      <c r="I209" t="str">
        <f t="shared" si="33"/>
        <v>Yes</v>
      </c>
      <c r="J209" t="str">
        <f t="shared" si="27"/>
        <v>No</v>
      </c>
      <c r="K209" t="str">
        <f t="shared" si="28"/>
        <v>No</v>
      </c>
      <c r="L209" s="203">
        <f>IF(AND('Total income package'!$A$16=TRUE,E209&lt;$J$2),$M$2,0)</f>
        <v>0</v>
      </c>
      <c r="M209" s="179">
        <f>IF(AND('Total income package'!$A$16=TRUE,E209&lt;$L$2),$P$2,0)</f>
        <v>0</v>
      </c>
      <c r="N209" s="204">
        <f t="shared" si="34"/>
        <v>0</v>
      </c>
    </row>
    <row r="210" spans="1:15" x14ac:dyDescent="0.3">
      <c r="C210" s="4">
        <f>'Total income package'!$D$80</f>
        <v>0</v>
      </c>
      <c r="D210" s="4">
        <f t="shared" si="29"/>
        <v>0</v>
      </c>
      <c r="I210" t="str">
        <f t="shared" si="33"/>
        <v>Yes</v>
      </c>
      <c r="K210"/>
      <c r="O210" s="7"/>
    </row>
    <row r="211" spans="1:15" x14ac:dyDescent="0.3">
      <c r="A211" s="116" t="s">
        <v>302</v>
      </c>
      <c r="C211" s="4">
        <f>'Total income package'!$D$80</f>
        <v>0</v>
      </c>
      <c r="D211" s="4">
        <f t="shared" si="29"/>
        <v>0</v>
      </c>
      <c r="I211" t="str">
        <f t="shared" si="33"/>
        <v>Yes</v>
      </c>
      <c r="K211"/>
      <c r="O211" s="7"/>
    </row>
    <row r="212" spans="1:15" x14ac:dyDescent="0.3">
      <c r="A212"/>
      <c r="B212" s="7">
        <f>'Total income package'!$B$90</f>
        <v>1423</v>
      </c>
      <c r="C212" s="4">
        <f>'Total income package'!$D$80</f>
        <v>0</v>
      </c>
      <c r="D212" s="4">
        <f t="shared" si="29"/>
        <v>1423</v>
      </c>
      <c r="E212" s="4">
        <f>IF(B212-$H$2&lt;0,0,B212-$H$2)</f>
        <v>1261</v>
      </c>
      <c r="F212" t="str">
        <f>IF(E212&lt;$I$2,"Yes","No")</f>
        <v>No</v>
      </c>
      <c r="G212" t="str">
        <f>IF(E212&lt;$J$2,"Yes","No")</f>
        <v>Yes</v>
      </c>
      <c r="I212" t="str">
        <f t="shared" si="33"/>
        <v>Yes</v>
      </c>
      <c r="J212" t="str">
        <f>IF(E212&lt;$K$2,"Yes","No")</f>
        <v>Yes</v>
      </c>
      <c r="K212" t="str">
        <f>IF(E212&lt;$L$2,"Yes","No")</f>
        <v>Yes</v>
      </c>
      <c r="L212" s="203">
        <f>IF(AND('Total income package'!$A$16=TRUE,E212&lt;$J$2),$M$2,0)</f>
        <v>1551.75</v>
      </c>
      <c r="M212" s="179">
        <f>IF(AND('Total income package'!$A$16=TRUE,E212&lt;$L$2),$P$2,0)</f>
        <v>637</v>
      </c>
      <c r="N212" s="204">
        <f>L212+M212</f>
        <v>2188.75</v>
      </c>
      <c r="O212" s="7"/>
    </row>
    <row r="213" spans="1:15" x14ac:dyDescent="0.3">
      <c r="A213" s="116" t="s">
        <v>303</v>
      </c>
      <c r="C213" s="4">
        <f>'Total income package'!$D$80</f>
        <v>0</v>
      </c>
      <c r="D213" s="4">
        <f t="shared" si="29"/>
        <v>0</v>
      </c>
      <c r="I213" t="str">
        <f t="shared" si="33"/>
        <v>Yes</v>
      </c>
      <c r="K213"/>
      <c r="O213" s="7"/>
    </row>
    <row r="214" spans="1:15" x14ac:dyDescent="0.3">
      <c r="A214"/>
      <c r="B214" s="7">
        <f>'Total income package'!$B$91</f>
        <v>3000</v>
      </c>
      <c r="C214" s="4">
        <f>'Total income package'!$D$80</f>
        <v>0</v>
      </c>
      <c r="D214" s="4">
        <f t="shared" si="29"/>
        <v>3000</v>
      </c>
      <c r="E214" s="4">
        <f>IF(B214-$H$2&lt;0,0,B214-$H$2)</f>
        <v>2838</v>
      </c>
      <c r="F214" t="str">
        <f>IF(E214&lt;$I$2,"Yes","No")</f>
        <v>No</v>
      </c>
      <c r="G214" t="str">
        <f>IF(E214&lt;$J$2,"Yes","No")</f>
        <v>Yes</v>
      </c>
      <c r="I214" t="str">
        <f t="shared" si="33"/>
        <v>Yes</v>
      </c>
      <c r="J214" t="str">
        <f>IF(E214&lt;$K$2,"Yes","No")</f>
        <v>Yes</v>
      </c>
      <c r="K214" t="str">
        <f>IF(E214&lt;$L$2,"Yes","No")</f>
        <v>Yes</v>
      </c>
      <c r="L214" s="203">
        <f>IF(AND('Total income package'!$A$16=TRUE,E214&lt;$J$2),$M$2,0)</f>
        <v>1551.75</v>
      </c>
      <c r="M214" s="179">
        <f>IF(AND('Total income package'!$A$16=TRUE,E214&lt;$L$2),$P$2,0)</f>
        <v>637</v>
      </c>
      <c r="N214" s="204">
        <f>L214+M214</f>
        <v>2188.75</v>
      </c>
      <c r="O214" s="7"/>
    </row>
    <row r="215" spans="1:15" x14ac:dyDescent="0.3">
      <c r="K215"/>
      <c r="O215" s="7"/>
    </row>
    <row r="216" spans="1:15" x14ac:dyDescent="0.3">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C196" activePane="bottomRight" state="frozen"/>
      <selection pane="topRight" sqref="A1:XFD1048576"/>
      <selection pane="bottomLeft" sqref="A1:XFD1048576"/>
      <selection pane="bottomRight" activeCell="E211" sqref="E211"/>
    </sheetView>
  </sheetViews>
  <sheetFormatPr defaultRowHeight="15" customHeight="1" x14ac:dyDescent="0.3"/>
  <cols>
    <col min="2" max="2" width="20.5546875" customWidth="1"/>
    <col min="3" max="3" width="16" customWidth="1"/>
    <col min="4" max="4" width="20" customWidth="1"/>
    <col min="5" max="5" width="18.109375" customWidth="1"/>
    <col min="6" max="6" width="16.33203125" customWidth="1"/>
    <col min="7" max="7" width="17" customWidth="1"/>
    <col min="8" max="8" width="19.109375" customWidth="1"/>
    <col min="9" max="9" width="15.88671875" customWidth="1"/>
    <col min="10" max="10" width="18.33203125" customWidth="1"/>
    <col min="11" max="11" width="13.6640625" customWidth="1"/>
    <col min="12" max="15" width="23.44140625" customWidth="1"/>
    <col min="16" max="18" width="17.33203125" customWidth="1"/>
    <col min="19" max="19" width="21.109375" customWidth="1"/>
    <col min="20" max="21" width="21.44140625" customWidth="1"/>
    <col min="22" max="22" width="27.5546875" style="5" customWidth="1"/>
    <col min="23" max="23" width="21.33203125" customWidth="1"/>
  </cols>
  <sheetData>
    <row r="1" spans="2:25" ht="63.75" customHeight="1" x14ac:dyDescent="0.3">
      <c r="B1" s="313" t="s">
        <v>271</v>
      </c>
      <c r="C1" s="313" t="s">
        <v>272</v>
      </c>
      <c r="D1" s="313" t="s">
        <v>400</v>
      </c>
      <c r="E1" s="313" t="s">
        <v>401</v>
      </c>
      <c r="F1" s="109" t="s">
        <v>402</v>
      </c>
      <c r="G1" s="109" t="s">
        <v>403</v>
      </c>
      <c r="H1" s="109" t="s">
        <v>404</v>
      </c>
      <c r="I1" s="198" t="s">
        <v>677</v>
      </c>
      <c r="J1" s="109" t="s">
        <v>405</v>
      </c>
      <c r="K1" s="198" t="s">
        <v>406</v>
      </c>
      <c r="L1" s="198" t="s">
        <v>407</v>
      </c>
      <c r="M1" s="198"/>
      <c r="N1" s="198"/>
      <c r="O1" s="198"/>
      <c r="P1" s="21"/>
      <c r="Q1" s="21">
        <f>869-139</f>
        <v>730</v>
      </c>
      <c r="R1" s="21"/>
      <c r="S1" s="21"/>
      <c r="T1" s="21"/>
      <c r="U1" s="21"/>
      <c r="V1" s="21"/>
      <c r="X1" s="22"/>
      <c r="Y1" s="9"/>
    </row>
    <row r="2" spans="2:25" ht="15" customHeight="1" x14ac:dyDescent="0.3">
      <c r="B2" s="127" t="str">
        <f>'Total income package'!B3</f>
        <v xml:space="preserve">Buckingham </v>
      </c>
      <c r="C2" s="77">
        <f>'Total income package'!B32</f>
        <v>5</v>
      </c>
      <c r="D2" s="77">
        <f>COUNTIF('Total income package'!B37:B44,"&gt;59")</f>
        <v>1</v>
      </c>
      <c r="E2" s="77">
        <f>'Total income package'!F59+'Total income package'!D59+'Total income package'!H59+'Total income package'!D64</f>
        <v>3</v>
      </c>
      <c r="F2" s="78">
        <f>VLOOKUP($C$2,'Program specific data'!$A$85:$D$92,3)</f>
        <v>4079.4</v>
      </c>
      <c r="G2" s="78">
        <f>VLOOKUP($C$2,'Program specific data'!$A$85:$D$92,2)</f>
        <v>6276</v>
      </c>
      <c r="H2" s="78">
        <f>VLOOKUP($C$2,'Program specific data'!$A$72:$B$79,2)</f>
        <v>261</v>
      </c>
      <c r="I2" s="78">
        <f>IF('Total income package'!B70="Standard Utility Allowance (SUA)",VLOOKUP($C$2,'Program specific data'!$A$72:$C$79,3),'Total income package'!D70)</f>
        <v>700</v>
      </c>
      <c r="J2" s="78">
        <f>VLOOKUP($C$2,'Program specific data'!$A$85:$D$92,4)</f>
        <v>3138</v>
      </c>
      <c r="K2" s="78">
        <f>VLOOKUP($C$2,'Program specific data'!A97:B104,2)</f>
        <v>1183</v>
      </c>
      <c r="L2" s="78">
        <v>712</v>
      </c>
      <c r="M2" s="78"/>
      <c r="N2" s="78"/>
      <c r="O2" s="78"/>
      <c r="V2"/>
      <c r="X2" s="22"/>
    </row>
    <row r="3" spans="2:25" ht="15" customHeight="1" x14ac:dyDescent="0.3">
      <c r="V3"/>
      <c r="X3" s="22"/>
    </row>
    <row r="4" spans="2:25" ht="15" customHeight="1" x14ac:dyDescent="0.3">
      <c r="V4" s="22"/>
    </row>
    <row r="5" spans="2:25" ht="72" customHeight="1" x14ac:dyDescent="0.3">
      <c r="B5" s="18" t="s">
        <v>348</v>
      </c>
      <c r="C5" s="18" t="s">
        <v>408</v>
      </c>
      <c r="D5" s="18" t="s">
        <v>105</v>
      </c>
      <c r="E5" s="18" t="s">
        <v>285</v>
      </c>
      <c r="F5" s="18" t="s">
        <v>409</v>
      </c>
      <c r="G5" s="18" t="s">
        <v>410</v>
      </c>
      <c r="H5" s="18" t="s">
        <v>411</v>
      </c>
      <c r="I5" s="18" t="s">
        <v>412</v>
      </c>
      <c r="J5" s="18" t="s">
        <v>404</v>
      </c>
      <c r="K5" s="18" t="s">
        <v>413</v>
      </c>
      <c r="L5" s="18" t="s">
        <v>676</v>
      </c>
      <c r="M5" s="18" t="s">
        <v>669</v>
      </c>
      <c r="N5" s="18" t="s">
        <v>670</v>
      </c>
      <c r="O5" s="18" t="s">
        <v>414</v>
      </c>
      <c r="P5" s="18" t="s">
        <v>415</v>
      </c>
      <c r="Q5" s="18" t="s">
        <v>416</v>
      </c>
      <c r="R5" s="18" t="s">
        <v>417</v>
      </c>
      <c r="S5" s="18" t="s">
        <v>418</v>
      </c>
      <c r="T5" s="18" t="s">
        <v>419</v>
      </c>
      <c r="U5" s="18" t="s">
        <v>420</v>
      </c>
      <c r="V5" s="175" t="s">
        <v>728</v>
      </c>
      <c r="W5" s="23"/>
      <c r="X5" s="24"/>
    </row>
    <row r="6" spans="2:25" ht="14.4" x14ac:dyDescent="0.3">
      <c r="B6" s="72">
        <v>0</v>
      </c>
      <c r="C6" s="19">
        <f>MAX('TANF-VIEW'!L9,'TANF-VIEW'!T9)</f>
        <v>385</v>
      </c>
      <c r="D6" s="20">
        <f>B6/12</f>
        <v>0</v>
      </c>
      <c r="E6" s="20">
        <f>'Total income package'!$D$80</f>
        <v>0</v>
      </c>
      <c r="F6" s="20">
        <f>'Total income package'!$H$61+'Total income package'!$F$66</f>
        <v>250</v>
      </c>
      <c r="G6" s="20">
        <f>D6+C6+E6+F6</f>
        <v>635</v>
      </c>
      <c r="H6" s="20" t="str">
        <f t="shared" ref="H6:H69" si="0">IF(G6&lt;$G$2,"Yes","No")</f>
        <v>Yes</v>
      </c>
      <c r="I6" s="20">
        <f t="shared" ref="I6:I69" si="1">D6*0.2</f>
        <v>0</v>
      </c>
      <c r="J6" s="20">
        <f t="shared" ref="J6:J69" si="2">$H$2</f>
        <v>261</v>
      </c>
      <c r="K6" s="20">
        <f>IF(G6-I6-J6&gt;0,G6-I6-J6,0)</f>
        <v>374</v>
      </c>
      <c r="L6" s="20">
        <f>$I$2</f>
        <v>700</v>
      </c>
      <c r="M6" s="20">
        <f>'Total income package'!$B$69</f>
        <v>500</v>
      </c>
      <c r="N6" s="20">
        <f>L6+M6</f>
        <v>1200</v>
      </c>
      <c r="O6" s="344" t="str">
        <f>IF(AND($D$2+$E$2&gt;0,K6&lt;$J$2),"Yes","No")</f>
        <v>Yes</v>
      </c>
      <c r="P6" s="20">
        <f>K6/2</f>
        <v>187</v>
      </c>
      <c r="Q6" s="346">
        <f>IF(AND(D$2+$E$2=0,N6&lt;$L$2,N6-P6&gt;0),N6-P6,IF(AND(D$2+$E$2=0,N6&gt;$L$2),$L$2,0))</f>
        <v>0</v>
      </c>
      <c r="R6" s="20">
        <f>IF(AND(D$2+$E$2&gt;0,N6-SNAP!P6&gt;0),N6-SNAP!P6,0)</f>
        <v>1013</v>
      </c>
      <c r="S6" s="20">
        <f>IF(AND($D$2+$E$2&gt;0,K6-R6&gt;0),K6-R6,IF(AND($D$2+$E$2=0,K6-Q6&gt;0),K6-Q6,0))</f>
        <v>0</v>
      </c>
      <c r="T6" s="20">
        <f t="shared" ref="T6:T69" si="3">S6*0.3</f>
        <v>0</v>
      </c>
      <c r="U6" s="20">
        <f>IF(AND('Total income package'!$A$18=TRUE,OR(H6="Yes",O6="Yes"),G6&lt;$G$2,$K$2-T6&gt;10),ROUNDDOWN($K$2-T6,0),0)</f>
        <v>1183</v>
      </c>
      <c r="V6" s="176">
        <f>IF(AND(C2&lt;3,U6&gt;10,U6&lt;24),24,U6)</f>
        <v>1183</v>
      </c>
      <c r="W6" s="71"/>
      <c r="X6" s="24"/>
    </row>
    <row r="7" spans="2:25" ht="14.4" x14ac:dyDescent="0.3">
      <c r="B7" s="72">
        <v>500</v>
      </c>
      <c r="C7" s="19">
        <f>MAX('TANF-VIEW'!L10,'TANF-VIEW'!T10)</f>
        <v>385</v>
      </c>
      <c r="D7" s="20">
        <f>B7/12</f>
        <v>41.666666666666664</v>
      </c>
      <c r="E7" s="20">
        <f>'Total income package'!$D$80</f>
        <v>0</v>
      </c>
      <c r="F7" s="20">
        <f>'Total income package'!$H$61+'Total income package'!$F$66</f>
        <v>250</v>
      </c>
      <c r="G7" s="20">
        <f t="shared" ref="G7:G70" si="4">D7+C7+E7+F7</f>
        <v>676.66666666666674</v>
      </c>
      <c r="H7" s="20" t="str">
        <f t="shared" si="0"/>
        <v>Yes</v>
      </c>
      <c r="I7" s="20">
        <f t="shared" si="1"/>
        <v>8.3333333333333339</v>
      </c>
      <c r="J7" s="20">
        <f t="shared" si="2"/>
        <v>261</v>
      </c>
      <c r="K7" s="20">
        <f t="shared" ref="K7:K69" si="5">IF(G7-I7-J7&gt;0,G7-I7-J7,0)</f>
        <v>407.33333333333337</v>
      </c>
      <c r="L7" s="20">
        <f t="shared" ref="L7:L70" si="6">$I$2</f>
        <v>700</v>
      </c>
      <c r="M7" s="20">
        <f>'Total income package'!$B$69</f>
        <v>500</v>
      </c>
      <c r="N7" s="20">
        <f t="shared" ref="N7:N70" si="7">L7+M7</f>
        <v>1200</v>
      </c>
      <c r="O7" s="344" t="str">
        <f t="shared" ref="O7:O70" si="8">IF(AND($D$2+$E$2&gt;0,K7&lt;$J$2),"Yes","No")</f>
        <v>Yes</v>
      </c>
      <c r="P7" s="20">
        <f t="shared" ref="P7:P70" si="9">K7/2</f>
        <v>203.66666666666669</v>
      </c>
      <c r="Q7" s="346">
        <f t="shared" ref="Q7:Q69" si="10">IF(AND(D$2+$E$2=0,N7&lt;$L$2,N7-P7&gt;0),N7-P7,IF(AND(D$2+$E$2=0,N7&gt;$L$2),$L$2,0))</f>
        <v>0</v>
      </c>
      <c r="R7" s="20">
        <f>IF(AND(D$2+$E$2&gt;0,N7-SNAP!P7&gt;0),N7-SNAP!P7,0)</f>
        <v>996.33333333333326</v>
      </c>
      <c r="S7" s="20">
        <f t="shared" ref="S7:S70" si="11">IF(AND($D$2+$E$2&gt;0,K7-R7&gt;0),K7-R7,IF(AND($D$2+$E$2=0,K7-Q7&gt;0),K7-Q7,0))</f>
        <v>0</v>
      </c>
      <c r="T7" s="20">
        <f t="shared" si="3"/>
        <v>0</v>
      </c>
      <c r="U7" s="20">
        <f>IF(AND('Total income package'!$A$18=TRUE,OR(H7="Yes",O7="Yes"),G7&lt;$G$2,$K$2-T7&gt;10),ROUNDDOWN($K$2-T7,0),0)</f>
        <v>1183</v>
      </c>
      <c r="V7" s="176">
        <f t="shared" ref="V7:V70" si="12">IF(AND(C3&lt;3,U7&gt;10,U7&lt;24),24,U7)</f>
        <v>1183</v>
      </c>
      <c r="W7" s="71"/>
      <c r="X7" s="24"/>
    </row>
    <row r="8" spans="2:25" ht="14.4" x14ac:dyDescent="0.3">
      <c r="B8" s="72">
        <v>1000</v>
      </c>
      <c r="C8" s="19">
        <f>MAX('TANF-VIEW'!L11,'TANF-VIEW'!T11)</f>
        <v>385</v>
      </c>
      <c r="D8" s="20">
        <f>B8/12</f>
        <v>83.333333333333329</v>
      </c>
      <c r="E8" s="20">
        <f>'Total income package'!$D$80</f>
        <v>0</v>
      </c>
      <c r="F8" s="20">
        <f>'Total income package'!$H$61+'Total income package'!$F$66</f>
        <v>250</v>
      </c>
      <c r="G8" s="20">
        <f t="shared" si="4"/>
        <v>718.33333333333326</v>
      </c>
      <c r="H8" s="20" t="str">
        <f t="shared" si="0"/>
        <v>Yes</v>
      </c>
      <c r="I8" s="20">
        <f t="shared" si="1"/>
        <v>16.666666666666668</v>
      </c>
      <c r="J8" s="20">
        <f t="shared" si="2"/>
        <v>261</v>
      </c>
      <c r="K8" s="20">
        <f t="shared" si="5"/>
        <v>440.66666666666663</v>
      </c>
      <c r="L8" s="20">
        <f t="shared" si="6"/>
        <v>700</v>
      </c>
      <c r="M8" s="20">
        <f>'Total income package'!$B$69</f>
        <v>500</v>
      </c>
      <c r="N8" s="20">
        <f t="shared" si="7"/>
        <v>1200</v>
      </c>
      <c r="O8" s="344" t="str">
        <f t="shared" si="8"/>
        <v>Yes</v>
      </c>
      <c r="P8" s="20">
        <f t="shared" si="9"/>
        <v>220.33333333333331</v>
      </c>
      <c r="Q8" s="346">
        <f t="shared" si="10"/>
        <v>0</v>
      </c>
      <c r="R8" s="20">
        <f>IF(AND(D$2+$E$2&gt;0,N8-SNAP!P8&gt;0),N8-SNAP!P8,0)</f>
        <v>979.66666666666674</v>
      </c>
      <c r="S8" s="20">
        <f t="shared" si="11"/>
        <v>0</v>
      </c>
      <c r="T8" s="20">
        <f t="shared" si="3"/>
        <v>0</v>
      </c>
      <c r="U8" s="20">
        <f>IF(AND('Total income package'!$A$18=TRUE,OR(H8="Yes",O8="Yes"),G8&lt;$G$2,$K$2-T8&gt;10),ROUNDDOWN($K$2-T8,0),0)</f>
        <v>1183</v>
      </c>
      <c r="V8" s="176">
        <f t="shared" si="12"/>
        <v>1183</v>
      </c>
      <c r="W8" s="5"/>
    </row>
    <row r="9" spans="2:25" ht="14.4" x14ac:dyDescent="0.3">
      <c r="B9" s="72">
        <v>1500</v>
      </c>
      <c r="C9" s="19">
        <f>MAX('TANF-VIEW'!L12,'TANF-VIEW'!T12)</f>
        <v>385</v>
      </c>
      <c r="D9" s="20">
        <f t="shared" ref="D9:D72" si="13">B9/12</f>
        <v>125</v>
      </c>
      <c r="E9" s="20">
        <f>'Total income package'!$D$80</f>
        <v>0</v>
      </c>
      <c r="F9" s="20">
        <f>'Total income package'!$H$61+'Total income package'!$F$66</f>
        <v>250</v>
      </c>
      <c r="G9" s="20">
        <f t="shared" si="4"/>
        <v>760</v>
      </c>
      <c r="H9" s="20" t="str">
        <f t="shared" si="0"/>
        <v>Yes</v>
      </c>
      <c r="I9" s="20">
        <f t="shared" si="1"/>
        <v>25</v>
      </c>
      <c r="J9" s="20">
        <f t="shared" si="2"/>
        <v>261</v>
      </c>
      <c r="K9" s="20">
        <f t="shared" si="5"/>
        <v>474</v>
      </c>
      <c r="L9" s="20">
        <f t="shared" si="6"/>
        <v>700</v>
      </c>
      <c r="M9" s="20">
        <f>'Total income package'!$B$69</f>
        <v>500</v>
      </c>
      <c r="N9" s="20">
        <f t="shared" si="7"/>
        <v>1200</v>
      </c>
      <c r="O9" s="344" t="str">
        <f t="shared" si="8"/>
        <v>Yes</v>
      </c>
      <c r="P9" s="20">
        <f t="shared" si="9"/>
        <v>237</v>
      </c>
      <c r="Q9" s="346">
        <f t="shared" si="10"/>
        <v>0</v>
      </c>
      <c r="R9" s="20">
        <f>IF(AND(D$2+$E$2&gt;0,N9-SNAP!P9&gt;0),N9-SNAP!P9,0)</f>
        <v>963</v>
      </c>
      <c r="S9" s="20">
        <f t="shared" si="11"/>
        <v>0</v>
      </c>
      <c r="T9" s="20">
        <f t="shared" si="3"/>
        <v>0</v>
      </c>
      <c r="U9" s="20">
        <f>IF(AND('Total income package'!$A$18=TRUE,OR(H9="Yes",O9="Yes"),G9&lt;$G$2,$K$2-T9&gt;10),ROUNDDOWN($K$2-T9,0),0)</f>
        <v>1183</v>
      </c>
      <c r="V9" s="176">
        <f t="shared" si="12"/>
        <v>1183</v>
      </c>
      <c r="W9" s="5"/>
    </row>
    <row r="10" spans="2:25" ht="14.4" x14ac:dyDescent="0.3">
      <c r="B10" s="72">
        <v>2000</v>
      </c>
      <c r="C10" s="19">
        <f>MAX('TANF-VIEW'!L13,'TANF-VIEW'!T13)</f>
        <v>385</v>
      </c>
      <c r="D10" s="20">
        <f t="shared" si="13"/>
        <v>166.66666666666666</v>
      </c>
      <c r="E10" s="20">
        <f>'Total income package'!$D$80</f>
        <v>0</v>
      </c>
      <c r="F10" s="20">
        <f>'Total income package'!$H$61+'Total income package'!$F$66</f>
        <v>250</v>
      </c>
      <c r="G10" s="20">
        <f t="shared" si="4"/>
        <v>801.66666666666663</v>
      </c>
      <c r="H10" s="20" t="str">
        <f t="shared" si="0"/>
        <v>Yes</v>
      </c>
      <c r="I10" s="20">
        <f t="shared" si="1"/>
        <v>33.333333333333336</v>
      </c>
      <c r="J10" s="20">
        <f t="shared" si="2"/>
        <v>261</v>
      </c>
      <c r="K10" s="20">
        <f t="shared" si="5"/>
        <v>507.33333333333326</v>
      </c>
      <c r="L10" s="20">
        <f t="shared" si="6"/>
        <v>700</v>
      </c>
      <c r="M10" s="20">
        <f>'Total income package'!$B$69</f>
        <v>500</v>
      </c>
      <c r="N10" s="20">
        <f t="shared" si="7"/>
        <v>1200</v>
      </c>
      <c r="O10" s="344" t="str">
        <f t="shared" si="8"/>
        <v>Yes</v>
      </c>
      <c r="P10" s="20">
        <f t="shared" si="9"/>
        <v>253.66666666666663</v>
      </c>
      <c r="Q10" s="346">
        <f t="shared" si="10"/>
        <v>0</v>
      </c>
      <c r="R10" s="20">
        <f>IF(AND(D$2+$E$2&gt;0,N10-SNAP!P10&gt;0),N10-SNAP!P10,0)</f>
        <v>946.33333333333337</v>
      </c>
      <c r="S10" s="20">
        <f t="shared" si="11"/>
        <v>0</v>
      </c>
      <c r="T10" s="20">
        <f t="shared" si="3"/>
        <v>0</v>
      </c>
      <c r="U10" s="20">
        <f>IF(AND('Total income package'!$A$18=TRUE,OR(H10="Yes",O10="Yes"),G10&lt;$G$2,$K$2-T10&gt;10),ROUNDDOWN($K$2-T10,0),0)</f>
        <v>1183</v>
      </c>
      <c r="V10" s="176">
        <f t="shared" si="12"/>
        <v>1183</v>
      </c>
      <c r="W10" s="5"/>
    </row>
    <row r="11" spans="2:25" ht="14.4" x14ac:dyDescent="0.3">
      <c r="B11" s="72">
        <v>2500</v>
      </c>
      <c r="C11" s="19">
        <f>MAX('TANF-VIEW'!L14,'TANF-VIEW'!T14)</f>
        <v>385</v>
      </c>
      <c r="D11" s="20">
        <f t="shared" si="13"/>
        <v>208.33333333333334</v>
      </c>
      <c r="E11" s="20">
        <f>'Total income package'!$D$80</f>
        <v>0</v>
      </c>
      <c r="F11" s="20">
        <f>'Total income package'!$H$61+'Total income package'!$F$66</f>
        <v>250</v>
      </c>
      <c r="G11" s="20">
        <f t="shared" si="4"/>
        <v>843.33333333333337</v>
      </c>
      <c r="H11" s="20" t="str">
        <f t="shared" si="0"/>
        <v>Yes</v>
      </c>
      <c r="I11" s="20">
        <f t="shared" si="1"/>
        <v>41.666666666666671</v>
      </c>
      <c r="J11" s="20">
        <f t="shared" si="2"/>
        <v>261</v>
      </c>
      <c r="K11" s="20">
        <f t="shared" si="5"/>
        <v>540.66666666666674</v>
      </c>
      <c r="L11" s="20">
        <f t="shared" si="6"/>
        <v>700</v>
      </c>
      <c r="M11" s="20">
        <f>'Total income package'!$B$69</f>
        <v>500</v>
      </c>
      <c r="N11" s="20">
        <f t="shared" si="7"/>
        <v>1200</v>
      </c>
      <c r="O11" s="344" t="str">
        <f t="shared" si="8"/>
        <v>Yes</v>
      </c>
      <c r="P11" s="20">
        <f t="shared" si="9"/>
        <v>270.33333333333337</v>
      </c>
      <c r="Q11" s="346">
        <f t="shared" si="10"/>
        <v>0</v>
      </c>
      <c r="R11" s="20">
        <f>IF(AND(D$2+$E$2&gt;0,N11-SNAP!P11&gt;0),N11-SNAP!P11,0)</f>
        <v>929.66666666666663</v>
      </c>
      <c r="S11" s="20">
        <f t="shared" si="11"/>
        <v>0</v>
      </c>
      <c r="T11" s="20">
        <f t="shared" si="3"/>
        <v>0</v>
      </c>
      <c r="U11" s="20">
        <f>IF(AND('Total income package'!$A$18=TRUE,OR(H11="Yes",O11="Yes"),G11&lt;$G$2,$K$2-T11&gt;10),ROUNDDOWN($K$2-T11,0),0)</f>
        <v>1183</v>
      </c>
      <c r="V11" s="176">
        <f t="shared" si="12"/>
        <v>1183</v>
      </c>
      <c r="W11" s="5"/>
    </row>
    <row r="12" spans="2:25" ht="14.4" x14ac:dyDescent="0.3">
      <c r="B12" s="72">
        <v>3000</v>
      </c>
      <c r="C12" s="19">
        <f>MAX('TANF-VIEW'!L15,'TANF-VIEW'!T15)</f>
        <v>352.2</v>
      </c>
      <c r="D12" s="20">
        <f t="shared" si="13"/>
        <v>250</v>
      </c>
      <c r="E12" s="20">
        <f>'Total income package'!$D$80</f>
        <v>0</v>
      </c>
      <c r="F12" s="20">
        <f>'Total income package'!$H$61+'Total income package'!$F$66</f>
        <v>250</v>
      </c>
      <c r="G12" s="20">
        <f t="shared" si="4"/>
        <v>852.2</v>
      </c>
      <c r="H12" s="20" t="str">
        <f t="shared" si="0"/>
        <v>Yes</v>
      </c>
      <c r="I12" s="20">
        <f t="shared" si="1"/>
        <v>50</v>
      </c>
      <c r="J12" s="20">
        <f t="shared" si="2"/>
        <v>261</v>
      </c>
      <c r="K12" s="20">
        <f t="shared" si="5"/>
        <v>541.20000000000005</v>
      </c>
      <c r="L12" s="20">
        <f t="shared" si="6"/>
        <v>700</v>
      </c>
      <c r="M12" s="20">
        <f>'Total income package'!$B$69</f>
        <v>500</v>
      </c>
      <c r="N12" s="20">
        <f t="shared" si="7"/>
        <v>1200</v>
      </c>
      <c r="O12" s="344" t="str">
        <f t="shared" si="8"/>
        <v>Yes</v>
      </c>
      <c r="P12" s="20">
        <f t="shared" si="9"/>
        <v>270.60000000000002</v>
      </c>
      <c r="Q12" s="346">
        <f t="shared" si="10"/>
        <v>0</v>
      </c>
      <c r="R12" s="20">
        <f>IF(AND(D$2+$E$2&gt;0,N12-SNAP!P12&gt;0),N12-SNAP!P12,0)</f>
        <v>929.4</v>
      </c>
      <c r="S12" s="20">
        <f t="shared" si="11"/>
        <v>0</v>
      </c>
      <c r="T12" s="20">
        <f t="shared" si="3"/>
        <v>0</v>
      </c>
      <c r="U12" s="20">
        <f>IF(AND('Total income package'!$A$18=TRUE,OR(H12="Yes",O12="Yes"),G12&lt;$G$2,$K$2-T12&gt;10),ROUNDDOWN($K$2-T12,0),0)</f>
        <v>1183</v>
      </c>
      <c r="V12" s="176">
        <f t="shared" si="12"/>
        <v>1183</v>
      </c>
      <c r="W12" s="5"/>
    </row>
    <row r="13" spans="2:25" ht="14.4" x14ac:dyDescent="0.3">
      <c r="B13" s="72">
        <v>3500</v>
      </c>
      <c r="C13" s="19">
        <f>MAX('TANF-VIEW'!L16,'TANF-VIEW'!T16)</f>
        <v>318.86666666666667</v>
      </c>
      <c r="D13" s="20">
        <f t="shared" si="13"/>
        <v>291.66666666666669</v>
      </c>
      <c r="E13" s="20">
        <f>'Total income package'!$D$80</f>
        <v>0</v>
      </c>
      <c r="F13" s="20">
        <f>'Total income package'!$H$61+'Total income package'!$F$66</f>
        <v>250</v>
      </c>
      <c r="G13" s="20">
        <f t="shared" si="4"/>
        <v>860.5333333333333</v>
      </c>
      <c r="H13" s="20" t="str">
        <f t="shared" si="0"/>
        <v>Yes</v>
      </c>
      <c r="I13" s="20">
        <f t="shared" si="1"/>
        <v>58.333333333333343</v>
      </c>
      <c r="J13" s="20">
        <f t="shared" si="2"/>
        <v>261</v>
      </c>
      <c r="K13" s="20">
        <f t="shared" si="5"/>
        <v>541.19999999999993</v>
      </c>
      <c r="L13" s="20">
        <f t="shared" si="6"/>
        <v>700</v>
      </c>
      <c r="M13" s="20">
        <f>'Total income package'!$B$69</f>
        <v>500</v>
      </c>
      <c r="N13" s="20">
        <f t="shared" si="7"/>
        <v>1200</v>
      </c>
      <c r="O13" s="344" t="str">
        <f t="shared" si="8"/>
        <v>Yes</v>
      </c>
      <c r="P13" s="20">
        <f t="shared" si="9"/>
        <v>270.59999999999997</v>
      </c>
      <c r="Q13" s="346">
        <f t="shared" si="10"/>
        <v>0</v>
      </c>
      <c r="R13" s="20">
        <f>IF(AND(D$2+$E$2&gt;0,N13-SNAP!P13&gt;0),N13-SNAP!P13,0)</f>
        <v>929.40000000000009</v>
      </c>
      <c r="S13" s="20">
        <f t="shared" si="11"/>
        <v>0</v>
      </c>
      <c r="T13" s="20">
        <f t="shared" si="3"/>
        <v>0</v>
      </c>
      <c r="U13" s="20">
        <f>IF(AND('Total income package'!$A$18=TRUE,OR(H13="Yes",O13="Yes"),G13&lt;$G$2,$K$2-T13&gt;10),ROUNDDOWN($K$2-T13,0),0)</f>
        <v>1183</v>
      </c>
      <c r="V13" s="176">
        <f t="shared" si="12"/>
        <v>1183</v>
      </c>
      <c r="W13" s="5"/>
    </row>
    <row r="14" spans="2:25" ht="14.4" x14ac:dyDescent="0.3">
      <c r="B14" s="72">
        <v>4000</v>
      </c>
      <c r="C14" s="19">
        <f>MAX('TANF-VIEW'!L17,'TANF-VIEW'!T17)</f>
        <v>285.53333333333336</v>
      </c>
      <c r="D14" s="20">
        <f t="shared" si="13"/>
        <v>333.33333333333331</v>
      </c>
      <c r="E14" s="20">
        <f>'Total income package'!$D$80</f>
        <v>0</v>
      </c>
      <c r="F14" s="20">
        <f>'Total income package'!$H$61+'Total income package'!$F$66</f>
        <v>250</v>
      </c>
      <c r="G14" s="20">
        <f t="shared" si="4"/>
        <v>868.86666666666667</v>
      </c>
      <c r="H14" s="20" t="str">
        <f t="shared" si="0"/>
        <v>Yes</v>
      </c>
      <c r="I14" s="20">
        <f t="shared" si="1"/>
        <v>66.666666666666671</v>
      </c>
      <c r="J14" s="20">
        <f t="shared" si="2"/>
        <v>261</v>
      </c>
      <c r="K14" s="20">
        <f t="shared" si="5"/>
        <v>541.20000000000005</v>
      </c>
      <c r="L14" s="20">
        <f t="shared" si="6"/>
        <v>700</v>
      </c>
      <c r="M14" s="20">
        <f>'Total income package'!$B$69</f>
        <v>500</v>
      </c>
      <c r="N14" s="20">
        <f t="shared" si="7"/>
        <v>1200</v>
      </c>
      <c r="O14" s="344" t="str">
        <f t="shared" si="8"/>
        <v>Yes</v>
      </c>
      <c r="P14" s="20">
        <f t="shared" si="9"/>
        <v>270.60000000000002</v>
      </c>
      <c r="Q14" s="346">
        <f t="shared" si="10"/>
        <v>0</v>
      </c>
      <c r="R14" s="20">
        <f>IF(AND(D$2+$E$2&gt;0,N14-SNAP!P14&gt;0),N14-SNAP!P14,0)</f>
        <v>929.4</v>
      </c>
      <c r="S14" s="20">
        <f t="shared" si="11"/>
        <v>0</v>
      </c>
      <c r="T14" s="20">
        <f t="shared" si="3"/>
        <v>0</v>
      </c>
      <c r="U14" s="20">
        <f>IF(AND('Total income package'!$A$18=TRUE,OR(H14="Yes",O14="Yes"),G14&lt;$G$2,$K$2-T14&gt;10),ROUNDDOWN($K$2-T14,0),0)</f>
        <v>1183</v>
      </c>
      <c r="V14" s="176">
        <f t="shared" si="12"/>
        <v>1183</v>
      </c>
      <c r="W14" s="5"/>
    </row>
    <row r="15" spans="2:25" ht="14.4" x14ac:dyDescent="0.3">
      <c r="B15" s="72">
        <v>4500</v>
      </c>
      <c r="C15" s="19">
        <f>MAX('TANF-VIEW'!L18,'TANF-VIEW'!T18)</f>
        <v>252.2</v>
      </c>
      <c r="D15" s="20">
        <f t="shared" si="13"/>
        <v>375</v>
      </c>
      <c r="E15" s="20">
        <f>'Total income package'!$D$80</f>
        <v>0</v>
      </c>
      <c r="F15" s="20">
        <f>'Total income package'!$H$61+'Total income package'!$F$66</f>
        <v>250</v>
      </c>
      <c r="G15" s="20">
        <f t="shared" si="4"/>
        <v>877.2</v>
      </c>
      <c r="H15" s="20" t="str">
        <f t="shared" si="0"/>
        <v>Yes</v>
      </c>
      <c r="I15" s="20">
        <f t="shared" si="1"/>
        <v>75</v>
      </c>
      <c r="J15" s="20">
        <f t="shared" si="2"/>
        <v>261</v>
      </c>
      <c r="K15" s="20">
        <f t="shared" si="5"/>
        <v>541.20000000000005</v>
      </c>
      <c r="L15" s="20">
        <f t="shared" si="6"/>
        <v>700</v>
      </c>
      <c r="M15" s="20">
        <f>'Total income package'!$B$69</f>
        <v>500</v>
      </c>
      <c r="N15" s="20">
        <f t="shared" si="7"/>
        <v>1200</v>
      </c>
      <c r="O15" s="344" t="str">
        <f t="shared" si="8"/>
        <v>Yes</v>
      </c>
      <c r="P15" s="20">
        <f t="shared" si="9"/>
        <v>270.60000000000002</v>
      </c>
      <c r="Q15" s="346">
        <f t="shared" si="10"/>
        <v>0</v>
      </c>
      <c r="R15" s="20">
        <f>IF(AND(D$2+$E$2&gt;0,N15-SNAP!P15&gt;0),N15-SNAP!P15,0)</f>
        <v>929.4</v>
      </c>
      <c r="S15" s="20">
        <f t="shared" si="11"/>
        <v>0</v>
      </c>
      <c r="T15" s="20">
        <f t="shared" si="3"/>
        <v>0</v>
      </c>
      <c r="U15" s="20">
        <f>IF(AND('Total income package'!$A$18=TRUE,OR(H15="Yes",O15="Yes"),G15&lt;$G$2,$K$2-T15&gt;10),ROUNDDOWN($K$2-T15,0),0)</f>
        <v>1183</v>
      </c>
      <c r="V15" s="176">
        <f t="shared" si="12"/>
        <v>1183</v>
      </c>
      <c r="W15" s="5"/>
    </row>
    <row r="16" spans="2:25" ht="14.4" x14ac:dyDescent="0.3">
      <c r="B16" s="72">
        <v>5000</v>
      </c>
      <c r="C16" s="19">
        <f>MAX('TANF-VIEW'!L19,'TANF-VIEW'!T19)</f>
        <v>218.86666666666665</v>
      </c>
      <c r="D16" s="20">
        <f t="shared" si="13"/>
        <v>416.66666666666669</v>
      </c>
      <c r="E16" s="20">
        <f>'Total income package'!$D$80</f>
        <v>0</v>
      </c>
      <c r="F16" s="20">
        <f>'Total income package'!$H$61+'Total income package'!$F$66</f>
        <v>250</v>
      </c>
      <c r="G16" s="20">
        <f t="shared" si="4"/>
        <v>885.5333333333333</v>
      </c>
      <c r="H16" s="20" t="str">
        <f t="shared" si="0"/>
        <v>Yes</v>
      </c>
      <c r="I16" s="20">
        <f t="shared" si="1"/>
        <v>83.333333333333343</v>
      </c>
      <c r="J16" s="20">
        <f t="shared" si="2"/>
        <v>261</v>
      </c>
      <c r="K16" s="20">
        <f t="shared" si="5"/>
        <v>541.19999999999993</v>
      </c>
      <c r="L16" s="20">
        <f t="shared" si="6"/>
        <v>700</v>
      </c>
      <c r="M16" s="20">
        <f>'Total income package'!$B$69</f>
        <v>500</v>
      </c>
      <c r="N16" s="20">
        <f t="shared" si="7"/>
        <v>1200</v>
      </c>
      <c r="O16" s="344" t="str">
        <f t="shared" si="8"/>
        <v>Yes</v>
      </c>
      <c r="P16" s="20">
        <f t="shared" si="9"/>
        <v>270.59999999999997</v>
      </c>
      <c r="Q16" s="346">
        <f t="shared" si="10"/>
        <v>0</v>
      </c>
      <c r="R16" s="20">
        <f>IF(AND(D$2+$E$2&gt;0,N16-SNAP!P16&gt;0),N16-SNAP!P16,0)</f>
        <v>929.40000000000009</v>
      </c>
      <c r="S16" s="20">
        <f t="shared" si="11"/>
        <v>0</v>
      </c>
      <c r="T16" s="20">
        <f t="shared" si="3"/>
        <v>0</v>
      </c>
      <c r="U16" s="20">
        <f>IF(AND('Total income package'!$A$18=TRUE,OR(H16="Yes",O16="Yes"),G16&lt;$G$2,$K$2-T16&gt;10),ROUNDDOWN($K$2-T16,0),0)</f>
        <v>1183</v>
      </c>
      <c r="V16" s="176">
        <f t="shared" si="12"/>
        <v>1183</v>
      </c>
      <c r="W16" s="5"/>
    </row>
    <row r="17" spans="2:23" ht="14.4" x14ac:dyDescent="0.3">
      <c r="B17" s="72">
        <v>5500</v>
      </c>
      <c r="C17" s="19">
        <f>MAX('TANF-VIEW'!L20,'TANF-VIEW'!T20)</f>
        <v>185.53333333333336</v>
      </c>
      <c r="D17" s="20">
        <f t="shared" si="13"/>
        <v>458.33333333333331</v>
      </c>
      <c r="E17" s="20">
        <f>'Total income package'!$D$80</f>
        <v>0</v>
      </c>
      <c r="F17" s="20">
        <f>'Total income package'!$H$61+'Total income package'!$F$66</f>
        <v>250</v>
      </c>
      <c r="G17" s="20">
        <f t="shared" si="4"/>
        <v>893.86666666666667</v>
      </c>
      <c r="H17" s="20" t="str">
        <f t="shared" si="0"/>
        <v>Yes</v>
      </c>
      <c r="I17" s="20">
        <f t="shared" si="1"/>
        <v>91.666666666666671</v>
      </c>
      <c r="J17" s="20">
        <f t="shared" si="2"/>
        <v>261</v>
      </c>
      <c r="K17" s="20">
        <f t="shared" si="5"/>
        <v>541.20000000000005</v>
      </c>
      <c r="L17" s="20">
        <f t="shared" si="6"/>
        <v>700</v>
      </c>
      <c r="M17" s="20">
        <f>'Total income package'!$B$69</f>
        <v>500</v>
      </c>
      <c r="N17" s="20">
        <f t="shared" si="7"/>
        <v>1200</v>
      </c>
      <c r="O17" s="344" t="str">
        <f t="shared" si="8"/>
        <v>Yes</v>
      </c>
      <c r="P17" s="20">
        <f t="shared" si="9"/>
        <v>270.60000000000002</v>
      </c>
      <c r="Q17" s="346">
        <f t="shared" si="10"/>
        <v>0</v>
      </c>
      <c r="R17" s="20">
        <f>IF(AND(D$2+$E$2&gt;0,N17-SNAP!P17&gt;0),N17-SNAP!P17,0)</f>
        <v>929.4</v>
      </c>
      <c r="S17" s="20">
        <f t="shared" si="11"/>
        <v>0</v>
      </c>
      <c r="T17" s="20">
        <f t="shared" si="3"/>
        <v>0</v>
      </c>
      <c r="U17" s="20">
        <f>IF(AND('Total income package'!$A$18=TRUE,OR(H17="Yes",O17="Yes"),G17&lt;$G$2,$K$2-T17&gt;10),ROUNDDOWN($K$2-T17,0),0)</f>
        <v>1183</v>
      </c>
      <c r="V17" s="176">
        <f t="shared" si="12"/>
        <v>1183</v>
      </c>
      <c r="W17" s="5"/>
    </row>
    <row r="18" spans="2:23" ht="14.4" x14ac:dyDescent="0.3">
      <c r="B18" s="72">
        <v>6000</v>
      </c>
      <c r="C18" s="19">
        <f>MAX('TANF-VIEW'!L21,'TANF-VIEW'!T21)</f>
        <v>152.19999999999999</v>
      </c>
      <c r="D18" s="20">
        <f t="shared" si="13"/>
        <v>500</v>
      </c>
      <c r="E18" s="20">
        <f>'Total income package'!$D$80</f>
        <v>0</v>
      </c>
      <c r="F18" s="20">
        <f>'Total income package'!$H$61+'Total income package'!$F$66</f>
        <v>250</v>
      </c>
      <c r="G18" s="20">
        <f t="shared" si="4"/>
        <v>902.2</v>
      </c>
      <c r="H18" s="20" t="str">
        <f t="shared" si="0"/>
        <v>Yes</v>
      </c>
      <c r="I18" s="20">
        <f t="shared" si="1"/>
        <v>100</v>
      </c>
      <c r="J18" s="20">
        <f t="shared" si="2"/>
        <v>261</v>
      </c>
      <c r="K18" s="20">
        <f>IF(G18-I18-J18&gt;0,G18-I18-J18,0)</f>
        <v>541.20000000000005</v>
      </c>
      <c r="L18" s="20">
        <f t="shared" si="6"/>
        <v>700</v>
      </c>
      <c r="M18" s="20">
        <f>'Total income package'!$B$69</f>
        <v>500</v>
      </c>
      <c r="N18" s="20">
        <f t="shared" si="7"/>
        <v>1200</v>
      </c>
      <c r="O18" s="344" t="str">
        <f t="shared" si="8"/>
        <v>Yes</v>
      </c>
      <c r="P18" s="20">
        <f t="shared" si="9"/>
        <v>270.60000000000002</v>
      </c>
      <c r="Q18" s="346">
        <f t="shared" si="10"/>
        <v>0</v>
      </c>
      <c r="R18" s="20">
        <f>IF(AND(D$2+$E$2&gt;0,N18-SNAP!P18&gt;0),N18-SNAP!P18,0)</f>
        <v>929.4</v>
      </c>
      <c r="S18" s="20">
        <f t="shared" si="11"/>
        <v>0</v>
      </c>
      <c r="T18" s="20">
        <f t="shared" si="3"/>
        <v>0</v>
      </c>
      <c r="U18" s="20">
        <f>IF(AND('Total income package'!$A$18=TRUE,OR(H18="Yes",O18="Yes"),G18&lt;$G$2,$K$2-T18&gt;10),ROUNDDOWN($K$2-T18,0),0)</f>
        <v>1183</v>
      </c>
      <c r="V18" s="176">
        <f t="shared" si="12"/>
        <v>1183</v>
      </c>
      <c r="W18" s="5"/>
    </row>
    <row r="19" spans="2:23" ht="14.4" x14ac:dyDescent="0.3">
      <c r="B19" s="72">
        <v>6500</v>
      </c>
      <c r="C19" s="19">
        <f>MAX('TANF-VIEW'!L22,'TANF-VIEW'!T22)</f>
        <v>118.86666666666667</v>
      </c>
      <c r="D19" s="20">
        <f t="shared" si="13"/>
        <v>541.66666666666663</v>
      </c>
      <c r="E19" s="20">
        <f>'Total income package'!$D$80</f>
        <v>0</v>
      </c>
      <c r="F19" s="20">
        <f>'Total income package'!$H$61+'Total income package'!$F$66</f>
        <v>250</v>
      </c>
      <c r="G19" s="20">
        <f t="shared" si="4"/>
        <v>910.5333333333333</v>
      </c>
      <c r="H19" s="20" t="str">
        <f t="shared" si="0"/>
        <v>Yes</v>
      </c>
      <c r="I19" s="20">
        <f t="shared" si="1"/>
        <v>108.33333333333333</v>
      </c>
      <c r="J19" s="20">
        <f t="shared" si="2"/>
        <v>261</v>
      </c>
      <c r="K19" s="20">
        <f t="shared" si="5"/>
        <v>541.19999999999993</v>
      </c>
      <c r="L19" s="20">
        <f t="shared" si="6"/>
        <v>700</v>
      </c>
      <c r="M19" s="20">
        <f>'Total income package'!$B$69</f>
        <v>500</v>
      </c>
      <c r="N19" s="20">
        <f t="shared" si="7"/>
        <v>1200</v>
      </c>
      <c r="O19" s="344" t="str">
        <f t="shared" si="8"/>
        <v>Yes</v>
      </c>
      <c r="P19" s="20">
        <f t="shared" si="9"/>
        <v>270.59999999999997</v>
      </c>
      <c r="Q19" s="346">
        <f t="shared" si="10"/>
        <v>0</v>
      </c>
      <c r="R19" s="20">
        <f>IF(AND(D$2+$E$2&gt;0,N19-SNAP!P19&gt;0),N19-SNAP!P19,0)</f>
        <v>929.40000000000009</v>
      </c>
      <c r="S19" s="20">
        <f t="shared" si="11"/>
        <v>0</v>
      </c>
      <c r="T19" s="20">
        <f t="shared" si="3"/>
        <v>0</v>
      </c>
      <c r="U19" s="20">
        <f>IF(AND('Total income package'!$A$18=TRUE,OR(H19="Yes",O19="Yes"),G19&lt;$G$2,$K$2-T19&gt;10),ROUNDDOWN($K$2-T19,0),0)</f>
        <v>1183</v>
      </c>
      <c r="V19" s="176">
        <f t="shared" si="12"/>
        <v>1183</v>
      </c>
      <c r="W19" s="5"/>
    </row>
    <row r="20" spans="2:23" ht="14.4" x14ac:dyDescent="0.3">
      <c r="B20" s="72">
        <v>7000</v>
      </c>
      <c r="C20" s="19">
        <f>MAX('TANF-VIEW'!L23,'TANF-VIEW'!T23)</f>
        <v>85.533333333333303</v>
      </c>
      <c r="D20" s="20">
        <f t="shared" si="13"/>
        <v>583.33333333333337</v>
      </c>
      <c r="E20" s="20">
        <f>'Total income package'!$D$80</f>
        <v>0</v>
      </c>
      <c r="F20" s="20">
        <f>'Total income package'!$H$61+'Total income package'!$F$66</f>
        <v>250</v>
      </c>
      <c r="G20" s="20">
        <f t="shared" si="4"/>
        <v>918.86666666666667</v>
      </c>
      <c r="H20" s="20" t="str">
        <f t="shared" si="0"/>
        <v>Yes</v>
      </c>
      <c r="I20" s="20">
        <f t="shared" si="1"/>
        <v>116.66666666666669</v>
      </c>
      <c r="J20" s="20">
        <f t="shared" si="2"/>
        <v>261</v>
      </c>
      <c r="K20" s="20">
        <f t="shared" si="5"/>
        <v>541.20000000000005</v>
      </c>
      <c r="L20" s="20">
        <f t="shared" si="6"/>
        <v>700</v>
      </c>
      <c r="M20" s="20">
        <f>'Total income package'!$B$69</f>
        <v>500</v>
      </c>
      <c r="N20" s="20">
        <f t="shared" si="7"/>
        <v>1200</v>
      </c>
      <c r="O20" s="344" t="str">
        <f t="shared" si="8"/>
        <v>Yes</v>
      </c>
      <c r="P20" s="20">
        <f t="shared" si="9"/>
        <v>270.60000000000002</v>
      </c>
      <c r="Q20" s="346">
        <f t="shared" si="10"/>
        <v>0</v>
      </c>
      <c r="R20" s="20">
        <f>IF(AND(D$2+$E$2&gt;0,N20-SNAP!P20&gt;0),N20-SNAP!P20,0)</f>
        <v>929.4</v>
      </c>
      <c r="S20" s="20">
        <f t="shared" si="11"/>
        <v>0</v>
      </c>
      <c r="T20" s="20">
        <f t="shared" si="3"/>
        <v>0</v>
      </c>
      <c r="U20" s="20">
        <f>IF(AND('Total income package'!$A$18=TRUE,OR(H20="Yes",O20="Yes"),G20&lt;$G$2,$K$2-T20&gt;10),ROUNDDOWN($K$2-T20,0),0)</f>
        <v>1183</v>
      </c>
      <c r="V20" s="176">
        <f t="shared" si="12"/>
        <v>1183</v>
      </c>
      <c r="W20" s="5"/>
    </row>
    <row r="21" spans="2:23" ht="14.4" x14ac:dyDescent="0.3">
      <c r="B21" s="72">
        <v>7500</v>
      </c>
      <c r="C21" s="19">
        <f>MAX('TANF-VIEW'!L24,'TANF-VIEW'!T24)</f>
        <v>52.199999999999989</v>
      </c>
      <c r="D21" s="20">
        <f t="shared" si="13"/>
        <v>625</v>
      </c>
      <c r="E21" s="20">
        <f>'Total income package'!$D$80</f>
        <v>0</v>
      </c>
      <c r="F21" s="20">
        <f>'Total income package'!$H$61+'Total income package'!$F$66</f>
        <v>250</v>
      </c>
      <c r="G21" s="20">
        <f t="shared" si="4"/>
        <v>927.2</v>
      </c>
      <c r="H21" s="20" t="str">
        <f t="shared" si="0"/>
        <v>Yes</v>
      </c>
      <c r="I21" s="20">
        <f t="shared" si="1"/>
        <v>125</v>
      </c>
      <c r="J21" s="20">
        <f t="shared" si="2"/>
        <v>261</v>
      </c>
      <c r="K21" s="20">
        <f t="shared" si="5"/>
        <v>541.20000000000005</v>
      </c>
      <c r="L21" s="20">
        <f t="shared" si="6"/>
        <v>700</v>
      </c>
      <c r="M21" s="20">
        <f>'Total income package'!$B$69</f>
        <v>500</v>
      </c>
      <c r="N21" s="20">
        <f t="shared" si="7"/>
        <v>1200</v>
      </c>
      <c r="O21" s="344" t="str">
        <f t="shared" si="8"/>
        <v>Yes</v>
      </c>
      <c r="P21" s="20">
        <f t="shared" si="9"/>
        <v>270.60000000000002</v>
      </c>
      <c r="Q21" s="346">
        <f t="shared" si="10"/>
        <v>0</v>
      </c>
      <c r="R21" s="20">
        <f>IF(AND(D$2+$E$2&gt;0,N21-SNAP!P21&gt;0),N21-SNAP!P21,0)</f>
        <v>929.4</v>
      </c>
      <c r="S21" s="20">
        <f t="shared" si="11"/>
        <v>0</v>
      </c>
      <c r="T21" s="20">
        <f t="shared" si="3"/>
        <v>0</v>
      </c>
      <c r="U21" s="20">
        <f>IF(AND('Total income package'!$A$18=TRUE,OR(H21="Yes",O21="Yes"),G21&lt;$G$2,$K$2-T21&gt;10),ROUNDDOWN($K$2-T21,0),0)</f>
        <v>1183</v>
      </c>
      <c r="V21" s="176">
        <f t="shared" si="12"/>
        <v>1183</v>
      </c>
      <c r="W21" s="5"/>
    </row>
    <row r="22" spans="2:23" ht="14.4" x14ac:dyDescent="0.3">
      <c r="B22" s="72">
        <v>8000</v>
      </c>
      <c r="C22" s="19">
        <f>MAX('TANF-VIEW'!L25,'TANF-VIEW'!T25)</f>
        <v>18.866666666666674</v>
      </c>
      <c r="D22" s="20">
        <f t="shared" si="13"/>
        <v>666.66666666666663</v>
      </c>
      <c r="E22" s="20">
        <f>'Total income package'!$D$80</f>
        <v>0</v>
      </c>
      <c r="F22" s="20">
        <f>'Total income package'!$H$61+'Total income package'!$F$66</f>
        <v>250</v>
      </c>
      <c r="G22" s="20">
        <f t="shared" si="4"/>
        <v>935.5333333333333</v>
      </c>
      <c r="H22" s="20" t="str">
        <f t="shared" si="0"/>
        <v>Yes</v>
      </c>
      <c r="I22" s="20">
        <f t="shared" si="1"/>
        <v>133.33333333333334</v>
      </c>
      <c r="J22" s="20">
        <f t="shared" si="2"/>
        <v>261</v>
      </c>
      <c r="K22" s="20">
        <f t="shared" si="5"/>
        <v>541.19999999999993</v>
      </c>
      <c r="L22" s="20">
        <f t="shared" si="6"/>
        <v>700</v>
      </c>
      <c r="M22" s="20">
        <f>'Total income package'!$B$69</f>
        <v>500</v>
      </c>
      <c r="N22" s="20">
        <f t="shared" si="7"/>
        <v>1200</v>
      </c>
      <c r="O22" s="344" t="str">
        <f t="shared" si="8"/>
        <v>Yes</v>
      </c>
      <c r="P22" s="20">
        <f t="shared" si="9"/>
        <v>270.59999999999997</v>
      </c>
      <c r="Q22" s="346">
        <f t="shared" si="10"/>
        <v>0</v>
      </c>
      <c r="R22" s="20">
        <f>IF(AND(D$2+$E$2&gt;0,N22-SNAP!P22&gt;0),N22-SNAP!P22,0)</f>
        <v>929.40000000000009</v>
      </c>
      <c r="S22" s="20">
        <f t="shared" si="11"/>
        <v>0</v>
      </c>
      <c r="T22" s="20">
        <f t="shared" si="3"/>
        <v>0</v>
      </c>
      <c r="U22" s="20">
        <f>IF(AND('Total income package'!$A$18=TRUE,OR(H22="Yes",O22="Yes"),G22&lt;$G$2,$K$2-T22&gt;10),ROUNDDOWN($K$2-T22,0),0)</f>
        <v>1183</v>
      </c>
      <c r="V22" s="176">
        <f t="shared" si="12"/>
        <v>1183</v>
      </c>
      <c r="W22" s="5"/>
    </row>
    <row r="23" spans="2:23" ht="14.4" x14ac:dyDescent="0.3">
      <c r="B23" s="72">
        <v>8500</v>
      </c>
      <c r="C23" s="19">
        <f>MAX('TANF-VIEW'!L26,'TANF-VIEW'!T26)</f>
        <v>0</v>
      </c>
      <c r="D23" s="20">
        <f t="shared" si="13"/>
        <v>708.33333333333337</v>
      </c>
      <c r="E23" s="20">
        <f>'Total income package'!$D$80</f>
        <v>0</v>
      </c>
      <c r="F23" s="20">
        <f>'Total income package'!$H$61+'Total income package'!$F$66</f>
        <v>250</v>
      </c>
      <c r="G23" s="20">
        <f t="shared" si="4"/>
        <v>958.33333333333337</v>
      </c>
      <c r="H23" s="20" t="str">
        <f t="shared" si="0"/>
        <v>Yes</v>
      </c>
      <c r="I23" s="20">
        <f t="shared" si="1"/>
        <v>141.66666666666669</v>
      </c>
      <c r="J23" s="20">
        <f t="shared" si="2"/>
        <v>261</v>
      </c>
      <c r="K23" s="20">
        <f t="shared" si="5"/>
        <v>555.66666666666674</v>
      </c>
      <c r="L23" s="20">
        <f t="shared" si="6"/>
        <v>700</v>
      </c>
      <c r="M23" s="20">
        <f>'Total income package'!$B$69</f>
        <v>500</v>
      </c>
      <c r="N23" s="20">
        <f t="shared" si="7"/>
        <v>1200</v>
      </c>
      <c r="O23" s="344" t="str">
        <f t="shared" si="8"/>
        <v>Yes</v>
      </c>
      <c r="P23" s="20">
        <f t="shared" si="9"/>
        <v>277.83333333333337</v>
      </c>
      <c r="Q23" s="346">
        <f t="shared" si="10"/>
        <v>0</v>
      </c>
      <c r="R23" s="20">
        <f>IF(AND(D$2+$E$2&gt;0,N23-SNAP!P23&gt;0),N23-SNAP!P23,0)</f>
        <v>922.16666666666663</v>
      </c>
      <c r="S23" s="20">
        <f t="shared" si="11"/>
        <v>0</v>
      </c>
      <c r="T23" s="20">
        <f t="shared" si="3"/>
        <v>0</v>
      </c>
      <c r="U23" s="20">
        <f>IF(AND('Total income package'!$A$18=TRUE,OR(H23="Yes",O23="Yes"),G23&lt;$G$2,$K$2-T23&gt;10),ROUNDDOWN($K$2-T23,0),0)</f>
        <v>1183</v>
      </c>
      <c r="V23" s="176">
        <f t="shared" si="12"/>
        <v>1183</v>
      </c>
      <c r="W23" s="5"/>
    </row>
    <row r="24" spans="2:23" ht="14.4" x14ac:dyDescent="0.3">
      <c r="B24" s="72">
        <v>9000</v>
      </c>
      <c r="C24" s="19">
        <f>MAX('TANF-VIEW'!L27,'TANF-VIEW'!T27)</f>
        <v>0</v>
      </c>
      <c r="D24" s="20">
        <f t="shared" si="13"/>
        <v>750</v>
      </c>
      <c r="E24" s="20">
        <f>'Total income package'!$D$80</f>
        <v>0</v>
      </c>
      <c r="F24" s="20">
        <f>'Total income package'!$H$61+'Total income package'!$F$66</f>
        <v>250</v>
      </c>
      <c r="G24" s="20">
        <f t="shared" si="4"/>
        <v>1000</v>
      </c>
      <c r="H24" s="20" t="str">
        <f t="shared" si="0"/>
        <v>Yes</v>
      </c>
      <c r="I24" s="20">
        <f t="shared" si="1"/>
        <v>150</v>
      </c>
      <c r="J24" s="20">
        <f t="shared" si="2"/>
        <v>261</v>
      </c>
      <c r="K24" s="20">
        <f t="shared" si="5"/>
        <v>589</v>
      </c>
      <c r="L24" s="20">
        <f t="shared" si="6"/>
        <v>700</v>
      </c>
      <c r="M24" s="20">
        <f>'Total income package'!$B$69</f>
        <v>500</v>
      </c>
      <c r="N24" s="20">
        <f t="shared" si="7"/>
        <v>1200</v>
      </c>
      <c r="O24" s="344" t="str">
        <f t="shared" si="8"/>
        <v>Yes</v>
      </c>
      <c r="P24" s="20">
        <f t="shared" si="9"/>
        <v>294.5</v>
      </c>
      <c r="Q24" s="346">
        <f t="shared" si="10"/>
        <v>0</v>
      </c>
      <c r="R24" s="20">
        <f>IF(AND(D$2+$E$2&gt;0,N24-SNAP!P24&gt;0),N24-SNAP!P24,0)</f>
        <v>905.5</v>
      </c>
      <c r="S24" s="20">
        <f t="shared" si="11"/>
        <v>0</v>
      </c>
      <c r="T24" s="20">
        <f t="shared" si="3"/>
        <v>0</v>
      </c>
      <c r="U24" s="20">
        <f>IF(AND('Total income package'!$A$18=TRUE,OR(H24="Yes",O24="Yes"),G24&lt;$G$2,$K$2-T24&gt;10),ROUNDDOWN($K$2-T24,0),0)</f>
        <v>1183</v>
      </c>
      <c r="V24" s="176">
        <f t="shared" si="12"/>
        <v>1183</v>
      </c>
      <c r="W24" s="5"/>
    </row>
    <row r="25" spans="2:23" ht="14.4" x14ac:dyDescent="0.3">
      <c r="B25" s="72">
        <v>9500</v>
      </c>
      <c r="C25" s="19">
        <f>MAX('TANF-VIEW'!L28,'TANF-VIEW'!T28)</f>
        <v>0</v>
      </c>
      <c r="D25" s="20">
        <f t="shared" si="13"/>
        <v>791.66666666666663</v>
      </c>
      <c r="E25" s="20">
        <f>'Total income package'!$D$80</f>
        <v>0</v>
      </c>
      <c r="F25" s="20">
        <f>'Total income package'!$H$61+'Total income package'!$F$66</f>
        <v>250</v>
      </c>
      <c r="G25" s="20">
        <f t="shared" si="4"/>
        <v>1041.6666666666665</v>
      </c>
      <c r="H25" s="20" t="str">
        <f t="shared" si="0"/>
        <v>Yes</v>
      </c>
      <c r="I25" s="20">
        <f t="shared" si="1"/>
        <v>158.33333333333334</v>
      </c>
      <c r="J25" s="20">
        <f t="shared" si="2"/>
        <v>261</v>
      </c>
      <c r="K25" s="20">
        <f t="shared" si="5"/>
        <v>622.33333333333314</v>
      </c>
      <c r="L25" s="20">
        <f t="shared" si="6"/>
        <v>700</v>
      </c>
      <c r="M25" s="20">
        <f>'Total income package'!$B$69</f>
        <v>500</v>
      </c>
      <c r="N25" s="20">
        <f t="shared" si="7"/>
        <v>1200</v>
      </c>
      <c r="O25" s="344" t="str">
        <f t="shared" si="8"/>
        <v>Yes</v>
      </c>
      <c r="P25" s="20">
        <f t="shared" si="9"/>
        <v>311.16666666666657</v>
      </c>
      <c r="Q25" s="346">
        <f t="shared" si="10"/>
        <v>0</v>
      </c>
      <c r="R25" s="20">
        <f>IF(AND(D$2+$E$2&gt;0,N25-SNAP!P25&gt;0),N25-SNAP!P25,0)</f>
        <v>888.83333333333348</v>
      </c>
      <c r="S25" s="20">
        <f t="shared" si="11"/>
        <v>0</v>
      </c>
      <c r="T25" s="20">
        <f t="shared" si="3"/>
        <v>0</v>
      </c>
      <c r="U25" s="20">
        <f>IF(AND('Total income package'!$A$18=TRUE,OR(H25="Yes",O25="Yes"),G25&lt;$G$2,$K$2-T25&gt;10),ROUNDDOWN($K$2-T25,0),0)</f>
        <v>1183</v>
      </c>
      <c r="V25" s="176">
        <f t="shared" si="12"/>
        <v>1183</v>
      </c>
      <c r="W25" s="5"/>
    </row>
    <row r="26" spans="2:23" ht="14.4" x14ac:dyDescent="0.3">
      <c r="B26" s="72">
        <v>10000</v>
      </c>
      <c r="C26" s="19">
        <f>MAX('TANF-VIEW'!L29,'TANF-VIEW'!T29)</f>
        <v>0</v>
      </c>
      <c r="D26" s="20">
        <f t="shared" si="13"/>
        <v>833.33333333333337</v>
      </c>
      <c r="E26" s="20">
        <f>'Total income package'!$D$80</f>
        <v>0</v>
      </c>
      <c r="F26" s="20">
        <f>'Total income package'!$H$61+'Total income package'!$F$66</f>
        <v>250</v>
      </c>
      <c r="G26" s="20">
        <f t="shared" si="4"/>
        <v>1083.3333333333335</v>
      </c>
      <c r="H26" s="20" t="str">
        <f t="shared" si="0"/>
        <v>Yes</v>
      </c>
      <c r="I26" s="20">
        <f t="shared" si="1"/>
        <v>166.66666666666669</v>
      </c>
      <c r="J26" s="20">
        <f t="shared" si="2"/>
        <v>261</v>
      </c>
      <c r="K26" s="20">
        <f t="shared" si="5"/>
        <v>655.66666666666674</v>
      </c>
      <c r="L26" s="20">
        <f t="shared" si="6"/>
        <v>700</v>
      </c>
      <c r="M26" s="20">
        <f>'Total income package'!$B$69</f>
        <v>500</v>
      </c>
      <c r="N26" s="20">
        <f t="shared" si="7"/>
        <v>1200</v>
      </c>
      <c r="O26" s="344" t="str">
        <f t="shared" si="8"/>
        <v>Yes</v>
      </c>
      <c r="P26" s="20">
        <f t="shared" si="9"/>
        <v>327.83333333333337</v>
      </c>
      <c r="Q26" s="346">
        <f t="shared" si="10"/>
        <v>0</v>
      </c>
      <c r="R26" s="20">
        <f>IF(AND(D$2+$E$2&gt;0,N26-SNAP!P26&gt;0),N26-SNAP!P26,0)</f>
        <v>872.16666666666663</v>
      </c>
      <c r="S26" s="20">
        <f t="shared" si="11"/>
        <v>0</v>
      </c>
      <c r="T26" s="20">
        <f t="shared" si="3"/>
        <v>0</v>
      </c>
      <c r="U26" s="20">
        <f>IF(AND('Total income package'!$A$18=TRUE,OR(H26="Yes",O26="Yes"),G26&lt;$G$2,$K$2-T26&gt;10),ROUNDDOWN($K$2-T26,0),0)</f>
        <v>1183</v>
      </c>
      <c r="V26" s="176">
        <f t="shared" si="12"/>
        <v>1183</v>
      </c>
      <c r="W26" s="5"/>
    </row>
    <row r="27" spans="2:23" ht="14.4" x14ac:dyDescent="0.3">
      <c r="B27" s="72">
        <v>10500</v>
      </c>
      <c r="C27" s="19">
        <f>MAX('TANF-VIEW'!L30,'TANF-VIEW'!T30)</f>
        <v>0</v>
      </c>
      <c r="D27" s="20">
        <f t="shared" si="13"/>
        <v>875</v>
      </c>
      <c r="E27" s="20">
        <f>'Total income package'!$D$80</f>
        <v>0</v>
      </c>
      <c r="F27" s="20">
        <f>'Total income package'!$H$61+'Total income package'!$F$66</f>
        <v>250</v>
      </c>
      <c r="G27" s="20">
        <f t="shared" si="4"/>
        <v>1125</v>
      </c>
      <c r="H27" s="20" t="str">
        <f t="shared" si="0"/>
        <v>Yes</v>
      </c>
      <c r="I27" s="20">
        <f t="shared" si="1"/>
        <v>175</v>
      </c>
      <c r="J27" s="20">
        <f t="shared" si="2"/>
        <v>261</v>
      </c>
      <c r="K27" s="20">
        <f t="shared" si="5"/>
        <v>689</v>
      </c>
      <c r="L27" s="20">
        <f t="shared" si="6"/>
        <v>700</v>
      </c>
      <c r="M27" s="20">
        <f>'Total income package'!$B$69</f>
        <v>500</v>
      </c>
      <c r="N27" s="20">
        <f t="shared" si="7"/>
        <v>1200</v>
      </c>
      <c r="O27" s="344" t="str">
        <f t="shared" si="8"/>
        <v>Yes</v>
      </c>
      <c r="P27" s="20">
        <f t="shared" si="9"/>
        <v>344.5</v>
      </c>
      <c r="Q27" s="346">
        <f t="shared" si="10"/>
        <v>0</v>
      </c>
      <c r="R27" s="20">
        <f>IF(AND(D$2+$E$2&gt;0,N27-SNAP!P27&gt;0),N27-SNAP!P27,0)</f>
        <v>855.5</v>
      </c>
      <c r="S27" s="20">
        <f t="shared" si="11"/>
        <v>0</v>
      </c>
      <c r="T27" s="20">
        <f t="shared" si="3"/>
        <v>0</v>
      </c>
      <c r="U27" s="20">
        <f>IF(AND('Total income package'!$A$18=TRUE,OR(H27="Yes",O27="Yes"),G27&lt;$G$2,$K$2-T27&gt;10),ROUNDDOWN($K$2-T27,0),0)</f>
        <v>1183</v>
      </c>
      <c r="V27" s="176">
        <f t="shared" si="12"/>
        <v>1183</v>
      </c>
      <c r="W27" s="5"/>
    </row>
    <row r="28" spans="2:23" ht="14.4" x14ac:dyDescent="0.3">
      <c r="B28" s="72">
        <v>11000</v>
      </c>
      <c r="C28" s="19">
        <f>MAX('TANF-VIEW'!L31,'TANF-VIEW'!T31)</f>
        <v>0</v>
      </c>
      <c r="D28" s="20">
        <f t="shared" si="13"/>
        <v>916.66666666666663</v>
      </c>
      <c r="E28" s="20">
        <f>'Total income package'!$D$80</f>
        <v>0</v>
      </c>
      <c r="F28" s="20">
        <f>'Total income package'!$H$61+'Total income package'!$F$66</f>
        <v>250</v>
      </c>
      <c r="G28" s="20">
        <f t="shared" si="4"/>
        <v>1166.6666666666665</v>
      </c>
      <c r="H28" s="20" t="str">
        <f t="shared" si="0"/>
        <v>Yes</v>
      </c>
      <c r="I28" s="20">
        <f t="shared" si="1"/>
        <v>183.33333333333334</v>
      </c>
      <c r="J28" s="20">
        <f t="shared" si="2"/>
        <v>261</v>
      </c>
      <c r="K28" s="20">
        <f t="shared" si="5"/>
        <v>722.33333333333314</v>
      </c>
      <c r="L28" s="20">
        <f t="shared" si="6"/>
        <v>700</v>
      </c>
      <c r="M28" s="20">
        <f>'Total income package'!$B$69</f>
        <v>500</v>
      </c>
      <c r="N28" s="20">
        <f t="shared" si="7"/>
        <v>1200</v>
      </c>
      <c r="O28" s="344" t="str">
        <f t="shared" si="8"/>
        <v>Yes</v>
      </c>
      <c r="P28" s="20">
        <f t="shared" si="9"/>
        <v>361.16666666666657</v>
      </c>
      <c r="Q28" s="346">
        <f t="shared" si="10"/>
        <v>0</v>
      </c>
      <c r="R28" s="20">
        <f>IF(AND(D$2+$E$2&gt;0,N28-SNAP!P28&gt;0),N28-SNAP!P28,0)</f>
        <v>838.83333333333348</v>
      </c>
      <c r="S28" s="20">
        <f t="shared" si="11"/>
        <v>0</v>
      </c>
      <c r="T28" s="20">
        <f t="shared" si="3"/>
        <v>0</v>
      </c>
      <c r="U28" s="20">
        <f>IF(AND('Total income package'!$A$18=TRUE,OR(H28="Yes",O28="Yes"),G28&lt;$G$2,$K$2-T28&gt;10),ROUNDDOWN($K$2-T28,0),0)</f>
        <v>1183</v>
      </c>
      <c r="V28" s="176">
        <f t="shared" si="12"/>
        <v>1183</v>
      </c>
      <c r="W28" s="5"/>
    </row>
    <row r="29" spans="2:23" ht="14.4" x14ac:dyDescent="0.3">
      <c r="B29" s="72">
        <v>11500</v>
      </c>
      <c r="C29" s="19">
        <f>MAX('TANF-VIEW'!L32,'TANF-VIEW'!T32)</f>
        <v>0</v>
      </c>
      <c r="D29" s="20">
        <f t="shared" si="13"/>
        <v>958.33333333333337</v>
      </c>
      <c r="E29" s="20">
        <f>'Total income package'!$D$80</f>
        <v>0</v>
      </c>
      <c r="F29" s="20">
        <f>'Total income package'!$H$61+'Total income package'!$F$66</f>
        <v>250</v>
      </c>
      <c r="G29" s="20">
        <f t="shared" si="4"/>
        <v>1208.3333333333335</v>
      </c>
      <c r="H29" s="20" t="str">
        <f t="shared" si="0"/>
        <v>Yes</v>
      </c>
      <c r="I29" s="20">
        <f t="shared" si="1"/>
        <v>191.66666666666669</v>
      </c>
      <c r="J29" s="20">
        <f t="shared" si="2"/>
        <v>261</v>
      </c>
      <c r="K29" s="20">
        <f t="shared" si="5"/>
        <v>755.66666666666674</v>
      </c>
      <c r="L29" s="20">
        <f t="shared" si="6"/>
        <v>700</v>
      </c>
      <c r="M29" s="20">
        <f>'Total income package'!$B$69</f>
        <v>500</v>
      </c>
      <c r="N29" s="20">
        <f t="shared" si="7"/>
        <v>1200</v>
      </c>
      <c r="O29" s="344" t="str">
        <f t="shared" si="8"/>
        <v>Yes</v>
      </c>
      <c r="P29" s="20">
        <f t="shared" si="9"/>
        <v>377.83333333333337</v>
      </c>
      <c r="Q29" s="346">
        <f t="shared" si="10"/>
        <v>0</v>
      </c>
      <c r="R29" s="20">
        <f>IF(AND(D$2+$E$2&gt;0,N29-SNAP!P29&gt;0),N29-SNAP!P29,0)</f>
        <v>822.16666666666663</v>
      </c>
      <c r="S29" s="20">
        <f t="shared" si="11"/>
        <v>0</v>
      </c>
      <c r="T29" s="20">
        <f t="shared" si="3"/>
        <v>0</v>
      </c>
      <c r="U29" s="20">
        <f>IF(AND('Total income package'!$A$18=TRUE,OR(H29="Yes",O29="Yes"),G29&lt;$G$2,$K$2-T29&gt;10),ROUNDDOWN($K$2-T29,0),0)</f>
        <v>1183</v>
      </c>
      <c r="V29" s="176">
        <f t="shared" si="12"/>
        <v>1183</v>
      </c>
      <c r="W29" s="5"/>
    </row>
    <row r="30" spans="2:23" ht="14.4" x14ac:dyDescent="0.3">
      <c r="B30" s="72">
        <v>12000</v>
      </c>
      <c r="C30" s="19">
        <f>MAX('TANF-VIEW'!L33,'TANF-VIEW'!T33)</f>
        <v>0</v>
      </c>
      <c r="D30" s="20">
        <f t="shared" si="13"/>
        <v>1000</v>
      </c>
      <c r="E30" s="20">
        <f>'Total income package'!$D$80</f>
        <v>0</v>
      </c>
      <c r="F30" s="20">
        <f>'Total income package'!$H$61+'Total income package'!$F$66</f>
        <v>250</v>
      </c>
      <c r="G30" s="20">
        <f t="shared" si="4"/>
        <v>1250</v>
      </c>
      <c r="H30" s="20" t="str">
        <f t="shared" si="0"/>
        <v>Yes</v>
      </c>
      <c r="I30" s="20">
        <f t="shared" si="1"/>
        <v>200</v>
      </c>
      <c r="J30" s="20">
        <f t="shared" si="2"/>
        <v>261</v>
      </c>
      <c r="K30" s="20">
        <f t="shared" si="5"/>
        <v>789</v>
      </c>
      <c r="L30" s="20">
        <f t="shared" si="6"/>
        <v>700</v>
      </c>
      <c r="M30" s="20">
        <f>'Total income package'!$B$69</f>
        <v>500</v>
      </c>
      <c r="N30" s="20">
        <f t="shared" si="7"/>
        <v>1200</v>
      </c>
      <c r="O30" s="344" t="str">
        <f t="shared" si="8"/>
        <v>Yes</v>
      </c>
      <c r="P30" s="20">
        <f t="shared" si="9"/>
        <v>394.5</v>
      </c>
      <c r="Q30" s="346">
        <f t="shared" si="10"/>
        <v>0</v>
      </c>
      <c r="R30" s="20">
        <f>IF(AND(D$2+$E$2&gt;0,N30-SNAP!P30&gt;0),N30-SNAP!P30,0)</f>
        <v>805.5</v>
      </c>
      <c r="S30" s="20">
        <f t="shared" si="11"/>
        <v>0</v>
      </c>
      <c r="T30" s="20">
        <f t="shared" si="3"/>
        <v>0</v>
      </c>
      <c r="U30" s="20">
        <f>IF(AND('Total income package'!$A$18=TRUE,OR(H30="Yes",O30="Yes"),G30&lt;$G$2,$K$2-T30&gt;10),ROUNDDOWN($K$2-T30,0),0)</f>
        <v>1183</v>
      </c>
      <c r="V30" s="176">
        <f t="shared" si="12"/>
        <v>1183</v>
      </c>
      <c r="W30" s="5"/>
    </row>
    <row r="31" spans="2:23" ht="14.4" x14ac:dyDescent="0.3">
      <c r="B31" s="72">
        <v>12500</v>
      </c>
      <c r="C31" s="19">
        <f>MAX('TANF-VIEW'!L34,'TANF-VIEW'!T34)</f>
        <v>0</v>
      </c>
      <c r="D31" s="20">
        <f t="shared" si="13"/>
        <v>1041.6666666666667</v>
      </c>
      <c r="E31" s="20">
        <f>'Total income package'!$D$80</f>
        <v>0</v>
      </c>
      <c r="F31" s="20">
        <f>'Total income package'!$H$61+'Total income package'!$F$66</f>
        <v>250</v>
      </c>
      <c r="G31" s="20">
        <f t="shared" si="4"/>
        <v>1291.6666666666667</v>
      </c>
      <c r="H31" s="20" t="str">
        <f t="shared" si="0"/>
        <v>Yes</v>
      </c>
      <c r="I31" s="20">
        <f t="shared" si="1"/>
        <v>208.33333333333337</v>
      </c>
      <c r="J31" s="20">
        <f t="shared" si="2"/>
        <v>261</v>
      </c>
      <c r="K31" s="20">
        <f t="shared" si="5"/>
        <v>822.33333333333348</v>
      </c>
      <c r="L31" s="20">
        <f t="shared" si="6"/>
        <v>700</v>
      </c>
      <c r="M31" s="20">
        <f>'Total income package'!$B$69</f>
        <v>500</v>
      </c>
      <c r="N31" s="20">
        <f t="shared" si="7"/>
        <v>1200</v>
      </c>
      <c r="O31" s="344" t="str">
        <f t="shared" si="8"/>
        <v>Yes</v>
      </c>
      <c r="P31" s="20">
        <f t="shared" si="9"/>
        <v>411.16666666666674</v>
      </c>
      <c r="Q31" s="346">
        <f t="shared" si="10"/>
        <v>0</v>
      </c>
      <c r="R31" s="20">
        <f>IF(AND(D$2+$E$2&gt;0,N31-SNAP!P31&gt;0),N31-SNAP!P31,0)</f>
        <v>788.83333333333326</v>
      </c>
      <c r="S31" s="20">
        <f t="shared" si="11"/>
        <v>33.500000000000227</v>
      </c>
      <c r="T31" s="20">
        <f t="shared" si="3"/>
        <v>10.050000000000068</v>
      </c>
      <c r="U31" s="20">
        <f>IF(AND('Total income package'!$A$18=TRUE,OR(H31="Yes",O31="Yes"),G31&lt;$G$2,$K$2-T31&gt;10),ROUNDDOWN($K$2-T31,0),0)</f>
        <v>1172</v>
      </c>
      <c r="V31" s="176">
        <f t="shared" si="12"/>
        <v>1172</v>
      </c>
      <c r="W31" s="5"/>
    </row>
    <row r="32" spans="2:23" ht="14.4" x14ac:dyDescent="0.3">
      <c r="B32" s="72">
        <v>13000</v>
      </c>
      <c r="C32" s="19">
        <f>MAX('TANF-VIEW'!L35,'TANF-VIEW'!T35)</f>
        <v>0</v>
      </c>
      <c r="D32" s="20">
        <f t="shared" si="13"/>
        <v>1083.3333333333333</v>
      </c>
      <c r="E32" s="20">
        <f>'Total income package'!$D$80</f>
        <v>0</v>
      </c>
      <c r="F32" s="20">
        <f>'Total income package'!$H$61+'Total income package'!$F$66</f>
        <v>250</v>
      </c>
      <c r="G32" s="20">
        <f t="shared" si="4"/>
        <v>1333.3333333333333</v>
      </c>
      <c r="H32" s="20" t="str">
        <f t="shared" si="0"/>
        <v>Yes</v>
      </c>
      <c r="I32" s="20">
        <f t="shared" si="1"/>
        <v>216.66666666666666</v>
      </c>
      <c r="J32" s="20">
        <f t="shared" si="2"/>
        <v>261</v>
      </c>
      <c r="K32" s="20">
        <f t="shared" si="5"/>
        <v>855.66666666666652</v>
      </c>
      <c r="L32" s="20">
        <f t="shared" si="6"/>
        <v>700</v>
      </c>
      <c r="M32" s="20">
        <f>'Total income package'!$B$69</f>
        <v>500</v>
      </c>
      <c r="N32" s="20">
        <f t="shared" si="7"/>
        <v>1200</v>
      </c>
      <c r="O32" s="344" t="str">
        <f t="shared" si="8"/>
        <v>Yes</v>
      </c>
      <c r="P32" s="20">
        <f t="shared" si="9"/>
        <v>427.83333333333326</v>
      </c>
      <c r="Q32" s="346">
        <f t="shared" si="10"/>
        <v>0</v>
      </c>
      <c r="R32" s="20">
        <f>IF(AND(D$2+$E$2&gt;0,N32-SNAP!P32&gt;0),N32-SNAP!P32,0)</f>
        <v>772.16666666666674</v>
      </c>
      <c r="S32" s="20">
        <f t="shared" si="11"/>
        <v>83.499999999999773</v>
      </c>
      <c r="T32" s="20">
        <f t="shared" si="3"/>
        <v>25.04999999999993</v>
      </c>
      <c r="U32" s="20">
        <f>IF(AND('Total income package'!$A$18=TRUE,OR(H32="Yes",O32="Yes"),G32&lt;$G$2,$K$2-T32&gt;10),ROUNDDOWN($K$2-T32,0),0)</f>
        <v>1157</v>
      </c>
      <c r="V32" s="176">
        <f t="shared" si="12"/>
        <v>1157</v>
      </c>
      <c r="W32" s="5"/>
    </row>
    <row r="33" spans="2:23" ht="14.4" x14ac:dyDescent="0.3">
      <c r="B33" s="72">
        <v>13500</v>
      </c>
      <c r="C33" s="19">
        <f>MAX('TANF-VIEW'!L36,'TANF-VIEW'!T36)</f>
        <v>0</v>
      </c>
      <c r="D33" s="20">
        <f t="shared" si="13"/>
        <v>1125</v>
      </c>
      <c r="E33" s="20">
        <f>'Total income package'!$D$80</f>
        <v>0</v>
      </c>
      <c r="F33" s="20">
        <f>'Total income package'!$H$61+'Total income package'!$F$66</f>
        <v>250</v>
      </c>
      <c r="G33" s="20">
        <f t="shared" si="4"/>
        <v>1375</v>
      </c>
      <c r="H33" s="20" t="str">
        <f t="shared" si="0"/>
        <v>Yes</v>
      </c>
      <c r="I33" s="20">
        <f t="shared" si="1"/>
        <v>225</v>
      </c>
      <c r="J33" s="20">
        <f t="shared" si="2"/>
        <v>261</v>
      </c>
      <c r="K33" s="20">
        <f t="shared" si="5"/>
        <v>889</v>
      </c>
      <c r="L33" s="20">
        <f t="shared" si="6"/>
        <v>700</v>
      </c>
      <c r="M33" s="20">
        <f>'Total income package'!$B$69</f>
        <v>500</v>
      </c>
      <c r="N33" s="20">
        <f t="shared" si="7"/>
        <v>1200</v>
      </c>
      <c r="O33" s="344" t="str">
        <f t="shared" si="8"/>
        <v>Yes</v>
      </c>
      <c r="P33" s="20">
        <f t="shared" si="9"/>
        <v>444.5</v>
      </c>
      <c r="Q33" s="346">
        <f t="shared" si="10"/>
        <v>0</v>
      </c>
      <c r="R33" s="20">
        <f>IF(AND(D$2+$E$2&gt;0,N33-SNAP!P33&gt;0),N33-SNAP!P33,0)</f>
        <v>755.5</v>
      </c>
      <c r="S33" s="20">
        <f t="shared" si="11"/>
        <v>133.5</v>
      </c>
      <c r="T33" s="20">
        <f t="shared" si="3"/>
        <v>40.049999999999997</v>
      </c>
      <c r="U33" s="20">
        <f>IF(AND('Total income package'!$A$18=TRUE,OR(H33="Yes",O33="Yes"),G33&lt;$G$2,$K$2-T33&gt;10),ROUNDDOWN($K$2-T33,0),0)</f>
        <v>1142</v>
      </c>
      <c r="V33" s="176">
        <f t="shared" si="12"/>
        <v>1142</v>
      </c>
      <c r="W33" s="5"/>
    </row>
    <row r="34" spans="2:23" ht="14.4" x14ac:dyDescent="0.3">
      <c r="B34" s="72">
        <v>14000</v>
      </c>
      <c r="C34" s="19">
        <f>MAX('TANF-VIEW'!L37,'TANF-VIEW'!T37)</f>
        <v>0</v>
      </c>
      <c r="D34" s="20">
        <f t="shared" si="13"/>
        <v>1166.6666666666667</v>
      </c>
      <c r="E34" s="20">
        <f>'Total income package'!$D$80</f>
        <v>0</v>
      </c>
      <c r="F34" s="20">
        <f>'Total income package'!$H$61+'Total income package'!$F$66</f>
        <v>250</v>
      </c>
      <c r="G34" s="20">
        <f t="shared" si="4"/>
        <v>1416.6666666666667</v>
      </c>
      <c r="H34" s="20" t="str">
        <f t="shared" si="0"/>
        <v>Yes</v>
      </c>
      <c r="I34" s="20">
        <f t="shared" si="1"/>
        <v>233.33333333333337</v>
      </c>
      <c r="J34" s="20">
        <f t="shared" si="2"/>
        <v>261</v>
      </c>
      <c r="K34" s="20">
        <f t="shared" si="5"/>
        <v>922.33333333333348</v>
      </c>
      <c r="L34" s="20">
        <f t="shared" si="6"/>
        <v>700</v>
      </c>
      <c r="M34" s="20">
        <f>'Total income package'!$B$69</f>
        <v>500</v>
      </c>
      <c r="N34" s="20">
        <f t="shared" si="7"/>
        <v>1200</v>
      </c>
      <c r="O34" s="344" t="str">
        <f t="shared" si="8"/>
        <v>Yes</v>
      </c>
      <c r="P34" s="20">
        <f t="shared" si="9"/>
        <v>461.16666666666674</v>
      </c>
      <c r="Q34" s="346">
        <f t="shared" si="10"/>
        <v>0</v>
      </c>
      <c r="R34" s="20">
        <f>IF(AND(D$2+$E$2&gt;0,N34-SNAP!P34&gt;0),N34-SNAP!P34,0)</f>
        <v>738.83333333333326</v>
      </c>
      <c r="S34" s="20">
        <f t="shared" si="11"/>
        <v>183.50000000000023</v>
      </c>
      <c r="T34" s="20">
        <f t="shared" si="3"/>
        <v>55.050000000000068</v>
      </c>
      <c r="U34" s="20">
        <f>IF(AND('Total income package'!$A$18=TRUE,OR(H34="Yes",O34="Yes"),G34&lt;$G$2,$K$2-T34&gt;10),ROUNDDOWN($K$2-T34,0),0)</f>
        <v>1127</v>
      </c>
      <c r="V34" s="176">
        <f t="shared" si="12"/>
        <v>1127</v>
      </c>
      <c r="W34" s="5"/>
    </row>
    <row r="35" spans="2:23" ht="14.4" x14ac:dyDescent="0.3">
      <c r="B35" s="72">
        <v>14500</v>
      </c>
      <c r="C35" s="19">
        <f>MAX('TANF-VIEW'!L38,'TANF-VIEW'!T38)</f>
        <v>0</v>
      </c>
      <c r="D35" s="20">
        <f t="shared" si="13"/>
        <v>1208.3333333333333</v>
      </c>
      <c r="E35" s="20">
        <f>'Total income package'!$D$80</f>
        <v>0</v>
      </c>
      <c r="F35" s="20">
        <f>'Total income package'!$H$61+'Total income package'!$F$66</f>
        <v>250</v>
      </c>
      <c r="G35" s="20">
        <f t="shared" si="4"/>
        <v>1458.3333333333333</v>
      </c>
      <c r="H35" s="20" t="str">
        <f t="shared" si="0"/>
        <v>Yes</v>
      </c>
      <c r="I35" s="20">
        <f t="shared" si="1"/>
        <v>241.66666666666666</v>
      </c>
      <c r="J35" s="20">
        <f t="shared" si="2"/>
        <v>261</v>
      </c>
      <c r="K35" s="20">
        <f t="shared" si="5"/>
        <v>955.66666666666652</v>
      </c>
      <c r="L35" s="20">
        <f t="shared" si="6"/>
        <v>700</v>
      </c>
      <c r="M35" s="20">
        <f>'Total income package'!$B$69</f>
        <v>500</v>
      </c>
      <c r="N35" s="20">
        <f t="shared" si="7"/>
        <v>1200</v>
      </c>
      <c r="O35" s="344" t="str">
        <f t="shared" si="8"/>
        <v>Yes</v>
      </c>
      <c r="P35" s="20">
        <f t="shared" si="9"/>
        <v>477.83333333333326</v>
      </c>
      <c r="Q35" s="346">
        <f t="shared" si="10"/>
        <v>0</v>
      </c>
      <c r="R35" s="20">
        <f>IF(AND(D$2+$E$2&gt;0,N35-SNAP!P35&gt;0),N35-SNAP!P35,0)</f>
        <v>722.16666666666674</v>
      </c>
      <c r="S35" s="20">
        <f t="shared" si="11"/>
        <v>233.49999999999977</v>
      </c>
      <c r="T35" s="20">
        <f t="shared" si="3"/>
        <v>70.049999999999926</v>
      </c>
      <c r="U35" s="20">
        <f>IF(AND('Total income package'!$A$18=TRUE,OR(H35="Yes",O35="Yes"),G35&lt;$G$2,$K$2-T35&gt;10),ROUNDDOWN($K$2-T35,0),0)</f>
        <v>1112</v>
      </c>
      <c r="V35" s="176">
        <f t="shared" si="12"/>
        <v>1112</v>
      </c>
      <c r="W35" s="5"/>
    </row>
    <row r="36" spans="2:23" ht="14.4" x14ac:dyDescent="0.3">
      <c r="B36" s="72">
        <v>15000</v>
      </c>
      <c r="C36" s="19">
        <f>MAX('TANF-VIEW'!L39,'TANF-VIEW'!T39)</f>
        <v>0</v>
      </c>
      <c r="D36" s="20">
        <f t="shared" si="13"/>
        <v>1250</v>
      </c>
      <c r="E36" s="20">
        <f>'Total income package'!$D$80</f>
        <v>0</v>
      </c>
      <c r="F36" s="20">
        <f>'Total income package'!$H$61+'Total income package'!$F$66</f>
        <v>250</v>
      </c>
      <c r="G36" s="20">
        <f t="shared" si="4"/>
        <v>1500</v>
      </c>
      <c r="H36" s="20" t="str">
        <f t="shared" si="0"/>
        <v>Yes</v>
      </c>
      <c r="I36" s="20">
        <f t="shared" si="1"/>
        <v>250</v>
      </c>
      <c r="J36" s="20">
        <f t="shared" si="2"/>
        <v>261</v>
      </c>
      <c r="K36" s="20">
        <f t="shared" si="5"/>
        <v>989</v>
      </c>
      <c r="L36" s="20">
        <f t="shared" si="6"/>
        <v>700</v>
      </c>
      <c r="M36" s="20">
        <f>'Total income package'!$B$69</f>
        <v>500</v>
      </c>
      <c r="N36" s="20">
        <f t="shared" si="7"/>
        <v>1200</v>
      </c>
      <c r="O36" s="344" t="str">
        <f t="shared" si="8"/>
        <v>Yes</v>
      </c>
      <c r="P36" s="20">
        <f t="shared" si="9"/>
        <v>494.5</v>
      </c>
      <c r="Q36" s="346">
        <f t="shared" si="10"/>
        <v>0</v>
      </c>
      <c r="R36" s="20">
        <f>IF(AND(D$2+$E$2&gt;0,N36-SNAP!P36&gt;0),N36-SNAP!P36,0)</f>
        <v>705.5</v>
      </c>
      <c r="S36" s="20">
        <f t="shared" si="11"/>
        <v>283.5</v>
      </c>
      <c r="T36" s="20">
        <f t="shared" si="3"/>
        <v>85.05</v>
      </c>
      <c r="U36" s="20">
        <f>IF(AND('Total income package'!$A$18=TRUE,OR(H36="Yes",O36="Yes"),G36&lt;$G$2,$K$2-T36&gt;10),ROUNDDOWN($K$2-T36,0),0)</f>
        <v>1097</v>
      </c>
      <c r="V36" s="176">
        <f t="shared" si="12"/>
        <v>1097</v>
      </c>
      <c r="W36" s="5"/>
    </row>
    <row r="37" spans="2:23" ht="14.4" x14ac:dyDescent="0.3">
      <c r="B37" s="72">
        <v>15500</v>
      </c>
      <c r="C37" s="19">
        <f>MAX('TANF-VIEW'!L40,'TANF-VIEW'!T40)</f>
        <v>0</v>
      </c>
      <c r="D37" s="20">
        <f t="shared" si="13"/>
        <v>1291.6666666666667</v>
      </c>
      <c r="E37" s="20">
        <f>'Total income package'!$D$80</f>
        <v>0</v>
      </c>
      <c r="F37" s="20">
        <f>'Total income package'!$H$61+'Total income package'!$F$66</f>
        <v>250</v>
      </c>
      <c r="G37" s="20">
        <f t="shared" si="4"/>
        <v>1541.6666666666667</v>
      </c>
      <c r="H37" s="20" t="str">
        <f t="shared" si="0"/>
        <v>Yes</v>
      </c>
      <c r="I37" s="20">
        <f t="shared" si="1"/>
        <v>258.33333333333337</v>
      </c>
      <c r="J37" s="20">
        <f t="shared" si="2"/>
        <v>261</v>
      </c>
      <c r="K37" s="20">
        <f t="shared" si="5"/>
        <v>1022.3333333333335</v>
      </c>
      <c r="L37" s="20">
        <f t="shared" si="6"/>
        <v>700</v>
      </c>
      <c r="M37" s="20">
        <f>'Total income package'!$B$69</f>
        <v>500</v>
      </c>
      <c r="N37" s="20">
        <f t="shared" si="7"/>
        <v>1200</v>
      </c>
      <c r="O37" s="344" t="str">
        <f t="shared" si="8"/>
        <v>Yes</v>
      </c>
      <c r="P37" s="20">
        <f t="shared" si="9"/>
        <v>511.16666666666674</v>
      </c>
      <c r="Q37" s="346">
        <f t="shared" si="10"/>
        <v>0</v>
      </c>
      <c r="R37" s="20">
        <f>IF(AND(D$2+$E$2&gt;0,N37-SNAP!P37&gt;0),N37-SNAP!P37,0)</f>
        <v>688.83333333333326</v>
      </c>
      <c r="S37" s="20">
        <f t="shared" si="11"/>
        <v>333.50000000000023</v>
      </c>
      <c r="T37" s="20">
        <f t="shared" si="3"/>
        <v>100.05000000000007</v>
      </c>
      <c r="U37" s="20">
        <f>IF(AND('Total income package'!$A$18=TRUE,OR(H37="Yes",O37="Yes"),G37&lt;$G$2,$K$2-T37&gt;10),ROUNDDOWN($K$2-T37,0),0)</f>
        <v>1082</v>
      </c>
      <c r="V37" s="176">
        <f t="shared" si="12"/>
        <v>1082</v>
      </c>
      <c r="W37" s="5"/>
    </row>
    <row r="38" spans="2:23" ht="14.4" x14ac:dyDescent="0.3">
      <c r="B38" s="72">
        <v>16000</v>
      </c>
      <c r="C38" s="19">
        <f>MAX('TANF-VIEW'!L41,'TANF-VIEW'!T41)</f>
        <v>0</v>
      </c>
      <c r="D38" s="20">
        <f t="shared" si="13"/>
        <v>1333.3333333333333</v>
      </c>
      <c r="E38" s="20">
        <f>'Total income package'!$D$80</f>
        <v>0</v>
      </c>
      <c r="F38" s="20">
        <f>'Total income package'!$H$61+'Total income package'!$F$66</f>
        <v>250</v>
      </c>
      <c r="G38" s="20">
        <f t="shared" si="4"/>
        <v>1583.3333333333333</v>
      </c>
      <c r="H38" s="20" t="str">
        <f t="shared" si="0"/>
        <v>Yes</v>
      </c>
      <c r="I38" s="20">
        <f t="shared" si="1"/>
        <v>266.66666666666669</v>
      </c>
      <c r="J38" s="20">
        <f t="shared" si="2"/>
        <v>261</v>
      </c>
      <c r="K38" s="20">
        <f t="shared" si="5"/>
        <v>1055.6666666666665</v>
      </c>
      <c r="L38" s="20">
        <f t="shared" si="6"/>
        <v>700</v>
      </c>
      <c r="M38" s="20">
        <f>'Total income package'!$B$69</f>
        <v>500</v>
      </c>
      <c r="N38" s="20">
        <f t="shared" si="7"/>
        <v>1200</v>
      </c>
      <c r="O38" s="344" t="str">
        <f t="shared" si="8"/>
        <v>Yes</v>
      </c>
      <c r="P38" s="20">
        <f t="shared" si="9"/>
        <v>527.83333333333326</v>
      </c>
      <c r="Q38" s="346">
        <f t="shared" si="10"/>
        <v>0</v>
      </c>
      <c r="R38" s="20">
        <f>IF(AND(D$2+$E$2&gt;0,N38-SNAP!P38&gt;0),N38-SNAP!P38,0)</f>
        <v>672.16666666666674</v>
      </c>
      <c r="S38" s="20">
        <f t="shared" si="11"/>
        <v>383.49999999999977</v>
      </c>
      <c r="T38" s="20">
        <f t="shared" si="3"/>
        <v>115.04999999999993</v>
      </c>
      <c r="U38" s="20">
        <f>IF(AND('Total income package'!$A$18=TRUE,OR(H38="Yes",O38="Yes"),G38&lt;$G$2,$K$2-T38&gt;10),ROUNDDOWN($K$2-T38,0),0)</f>
        <v>1067</v>
      </c>
      <c r="V38" s="176">
        <f t="shared" si="12"/>
        <v>1067</v>
      </c>
      <c r="W38" s="5"/>
    </row>
    <row r="39" spans="2:23" ht="14.4" x14ac:dyDescent="0.3">
      <c r="B39" s="72">
        <v>16500</v>
      </c>
      <c r="C39" s="19">
        <f>MAX('TANF-VIEW'!L42,'TANF-VIEW'!T42)</f>
        <v>0</v>
      </c>
      <c r="D39" s="20">
        <f t="shared" si="13"/>
        <v>1375</v>
      </c>
      <c r="E39" s="20">
        <f>'Total income package'!$D$80</f>
        <v>0</v>
      </c>
      <c r="F39" s="20">
        <f>'Total income package'!$H$61+'Total income package'!$F$66</f>
        <v>250</v>
      </c>
      <c r="G39" s="20">
        <f t="shared" si="4"/>
        <v>1625</v>
      </c>
      <c r="H39" s="20" t="str">
        <f t="shared" si="0"/>
        <v>Yes</v>
      </c>
      <c r="I39" s="20">
        <f t="shared" si="1"/>
        <v>275</v>
      </c>
      <c r="J39" s="20">
        <f t="shared" si="2"/>
        <v>261</v>
      </c>
      <c r="K39" s="20">
        <f t="shared" si="5"/>
        <v>1089</v>
      </c>
      <c r="L39" s="20">
        <f t="shared" si="6"/>
        <v>700</v>
      </c>
      <c r="M39" s="20">
        <f>'Total income package'!$B$69</f>
        <v>500</v>
      </c>
      <c r="N39" s="20">
        <f t="shared" si="7"/>
        <v>1200</v>
      </c>
      <c r="O39" s="344" t="str">
        <f t="shared" si="8"/>
        <v>Yes</v>
      </c>
      <c r="P39" s="20">
        <f t="shared" si="9"/>
        <v>544.5</v>
      </c>
      <c r="Q39" s="346">
        <f t="shared" si="10"/>
        <v>0</v>
      </c>
      <c r="R39" s="20">
        <f>IF(AND(D$2+$E$2&gt;0,N39-SNAP!P39&gt;0),N39-SNAP!P39,0)</f>
        <v>655.5</v>
      </c>
      <c r="S39" s="20">
        <f t="shared" si="11"/>
        <v>433.5</v>
      </c>
      <c r="T39" s="20">
        <f t="shared" si="3"/>
        <v>130.04999999999998</v>
      </c>
      <c r="U39" s="20">
        <f>IF(AND('Total income package'!$A$18=TRUE,OR(H39="Yes",O39="Yes"),G39&lt;$G$2,$K$2-T39&gt;10),ROUNDDOWN($K$2-T39,0),0)</f>
        <v>1052</v>
      </c>
      <c r="V39" s="176">
        <f t="shared" si="12"/>
        <v>1052</v>
      </c>
      <c r="W39" s="5"/>
    </row>
    <row r="40" spans="2:23" ht="14.4" x14ac:dyDescent="0.3">
      <c r="B40" s="72">
        <v>17000</v>
      </c>
      <c r="C40" s="19">
        <f>MAX('TANF-VIEW'!L43,'TANF-VIEW'!T43)</f>
        <v>0</v>
      </c>
      <c r="D40" s="20">
        <f t="shared" si="13"/>
        <v>1416.6666666666667</v>
      </c>
      <c r="E40" s="20">
        <f>'Total income package'!$D$80</f>
        <v>0</v>
      </c>
      <c r="F40" s="20">
        <f>'Total income package'!$H$61+'Total income package'!$F$66</f>
        <v>250</v>
      </c>
      <c r="G40" s="20">
        <f t="shared" si="4"/>
        <v>1666.6666666666667</v>
      </c>
      <c r="H40" s="20" t="str">
        <f t="shared" si="0"/>
        <v>Yes</v>
      </c>
      <c r="I40" s="20">
        <f t="shared" si="1"/>
        <v>283.33333333333337</v>
      </c>
      <c r="J40" s="20">
        <f t="shared" si="2"/>
        <v>261</v>
      </c>
      <c r="K40" s="20">
        <f t="shared" si="5"/>
        <v>1122.3333333333335</v>
      </c>
      <c r="L40" s="20">
        <f t="shared" si="6"/>
        <v>700</v>
      </c>
      <c r="M40" s="20">
        <f>'Total income package'!$B$69</f>
        <v>500</v>
      </c>
      <c r="N40" s="20">
        <f t="shared" si="7"/>
        <v>1200</v>
      </c>
      <c r="O40" s="344" t="str">
        <f t="shared" si="8"/>
        <v>Yes</v>
      </c>
      <c r="P40" s="20">
        <f t="shared" si="9"/>
        <v>561.16666666666674</v>
      </c>
      <c r="Q40" s="346">
        <f t="shared" si="10"/>
        <v>0</v>
      </c>
      <c r="R40" s="20">
        <f>IF(AND(D$2+$E$2&gt;0,N40-SNAP!P40&gt;0),N40-SNAP!P40,0)</f>
        <v>638.83333333333326</v>
      </c>
      <c r="S40" s="20">
        <f t="shared" si="11"/>
        <v>483.50000000000023</v>
      </c>
      <c r="T40" s="20">
        <f t="shared" si="3"/>
        <v>145.05000000000007</v>
      </c>
      <c r="U40" s="20">
        <f>IF(AND('Total income package'!$A$18=TRUE,OR(H40="Yes",O40="Yes"),G40&lt;$G$2,$K$2-T40&gt;10),ROUNDDOWN($K$2-T40,0),0)</f>
        <v>1037</v>
      </c>
      <c r="V40" s="176">
        <f t="shared" si="12"/>
        <v>1037</v>
      </c>
      <c r="W40" s="5"/>
    </row>
    <row r="41" spans="2:23" ht="14.4" x14ac:dyDescent="0.3">
      <c r="B41" s="72">
        <v>17500</v>
      </c>
      <c r="C41" s="19">
        <f>MAX('TANF-VIEW'!L44,'TANF-VIEW'!T44)</f>
        <v>0</v>
      </c>
      <c r="D41" s="20">
        <f t="shared" si="13"/>
        <v>1458.3333333333333</v>
      </c>
      <c r="E41" s="20">
        <f>'Total income package'!$D$80</f>
        <v>0</v>
      </c>
      <c r="F41" s="20">
        <f>'Total income package'!$H$61+'Total income package'!$F$66</f>
        <v>250</v>
      </c>
      <c r="G41" s="20">
        <f t="shared" si="4"/>
        <v>1708.3333333333333</v>
      </c>
      <c r="H41" s="20" t="str">
        <f t="shared" si="0"/>
        <v>Yes</v>
      </c>
      <c r="I41" s="20">
        <f t="shared" si="1"/>
        <v>291.66666666666669</v>
      </c>
      <c r="J41" s="20">
        <f t="shared" si="2"/>
        <v>261</v>
      </c>
      <c r="K41" s="20">
        <f t="shared" si="5"/>
        <v>1155.6666666666665</v>
      </c>
      <c r="L41" s="20">
        <f t="shared" si="6"/>
        <v>700</v>
      </c>
      <c r="M41" s="20">
        <f>'Total income package'!$B$69</f>
        <v>500</v>
      </c>
      <c r="N41" s="20">
        <f t="shared" si="7"/>
        <v>1200</v>
      </c>
      <c r="O41" s="344" t="str">
        <f t="shared" si="8"/>
        <v>Yes</v>
      </c>
      <c r="P41" s="20">
        <f t="shared" si="9"/>
        <v>577.83333333333326</v>
      </c>
      <c r="Q41" s="346">
        <f t="shared" si="10"/>
        <v>0</v>
      </c>
      <c r="R41" s="20">
        <f>IF(AND(D$2+$E$2&gt;0,N41-SNAP!P41&gt;0),N41-SNAP!P41,0)</f>
        <v>622.16666666666674</v>
      </c>
      <c r="S41" s="20">
        <f t="shared" si="11"/>
        <v>533.49999999999977</v>
      </c>
      <c r="T41" s="20">
        <f t="shared" si="3"/>
        <v>160.04999999999993</v>
      </c>
      <c r="U41" s="20">
        <f>IF(AND('Total income package'!$A$18=TRUE,OR(H41="Yes",O41="Yes"),G41&lt;$G$2,$K$2-T41&gt;10),ROUNDDOWN($K$2-T41,0),0)</f>
        <v>1022</v>
      </c>
      <c r="V41" s="176">
        <f t="shared" si="12"/>
        <v>1022</v>
      </c>
      <c r="W41" s="5"/>
    </row>
    <row r="42" spans="2:23" ht="14.4" x14ac:dyDescent="0.3">
      <c r="B42" s="72">
        <v>18000</v>
      </c>
      <c r="C42" s="19">
        <f>MAX('TANF-VIEW'!L45,'TANF-VIEW'!T45)</f>
        <v>0</v>
      </c>
      <c r="D42" s="20">
        <f t="shared" si="13"/>
        <v>1500</v>
      </c>
      <c r="E42" s="20">
        <f>'Total income package'!$D$80</f>
        <v>0</v>
      </c>
      <c r="F42" s="20">
        <f>'Total income package'!$H$61+'Total income package'!$F$66</f>
        <v>250</v>
      </c>
      <c r="G42" s="20">
        <f t="shared" si="4"/>
        <v>1750</v>
      </c>
      <c r="H42" s="20" t="str">
        <f t="shared" si="0"/>
        <v>Yes</v>
      </c>
      <c r="I42" s="20">
        <f t="shared" si="1"/>
        <v>300</v>
      </c>
      <c r="J42" s="20">
        <f t="shared" si="2"/>
        <v>261</v>
      </c>
      <c r="K42" s="20">
        <f t="shared" si="5"/>
        <v>1189</v>
      </c>
      <c r="L42" s="20">
        <f t="shared" si="6"/>
        <v>700</v>
      </c>
      <c r="M42" s="20">
        <f>'Total income package'!$B$69</f>
        <v>500</v>
      </c>
      <c r="N42" s="20">
        <f t="shared" si="7"/>
        <v>1200</v>
      </c>
      <c r="O42" s="344" t="str">
        <f t="shared" si="8"/>
        <v>Yes</v>
      </c>
      <c r="P42" s="20">
        <f t="shared" si="9"/>
        <v>594.5</v>
      </c>
      <c r="Q42" s="346">
        <f t="shared" si="10"/>
        <v>0</v>
      </c>
      <c r="R42" s="20">
        <f>IF(AND(D$2+$E$2&gt;0,N42-SNAP!P42&gt;0),N42-SNAP!P42,0)</f>
        <v>605.5</v>
      </c>
      <c r="S42" s="20">
        <f t="shared" si="11"/>
        <v>583.5</v>
      </c>
      <c r="T42" s="20">
        <f t="shared" si="3"/>
        <v>175.04999999999998</v>
      </c>
      <c r="U42" s="20">
        <f>IF(AND('Total income package'!$A$18=TRUE,OR(H42="Yes",O42="Yes"),G42&lt;$G$2,$K$2-T42&gt;10),ROUNDDOWN($K$2-T42,0),0)</f>
        <v>1007</v>
      </c>
      <c r="V42" s="176">
        <f t="shared" si="12"/>
        <v>1007</v>
      </c>
      <c r="W42" s="5"/>
    </row>
    <row r="43" spans="2:23" ht="14.4" x14ac:dyDescent="0.3">
      <c r="B43" s="72">
        <v>18500</v>
      </c>
      <c r="C43" s="19">
        <f>MAX('TANF-VIEW'!L46,'TANF-VIEW'!T46)</f>
        <v>0</v>
      </c>
      <c r="D43" s="20">
        <f t="shared" si="13"/>
        <v>1541.6666666666667</v>
      </c>
      <c r="E43" s="20">
        <f>'Total income package'!$D$80</f>
        <v>0</v>
      </c>
      <c r="F43" s="20">
        <f>'Total income package'!$H$61+'Total income package'!$F$66</f>
        <v>250</v>
      </c>
      <c r="G43" s="20">
        <f t="shared" si="4"/>
        <v>1791.6666666666667</v>
      </c>
      <c r="H43" s="20" t="str">
        <f t="shared" si="0"/>
        <v>Yes</v>
      </c>
      <c r="I43" s="20">
        <f t="shared" si="1"/>
        <v>308.33333333333337</v>
      </c>
      <c r="J43" s="20">
        <f t="shared" si="2"/>
        <v>261</v>
      </c>
      <c r="K43" s="20">
        <f t="shared" si="5"/>
        <v>1222.3333333333335</v>
      </c>
      <c r="L43" s="20">
        <f t="shared" si="6"/>
        <v>700</v>
      </c>
      <c r="M43" s="20">
        <f>'Total income package'!$B$69</f>
        <v>500</v>
      </c>
      <c r="N43" s="20">
        <f t="shared" si="7"/>
        <v>1200</v>
      </c>
      <c r="O43" s="344" t="str">
        <f t="shared" si="8"/>
        <v>Yes</v>
      </c>
      <c r="P43" s="20">
        <f t="shared" si="9"/>
        <v>611.16666666666674</v>
      </c>
      <c r="Q43" s="346">
        <f t="shared" si="10"/>
        <v>0</v>
      </c>
      <c r="R43" s="20">
        <f>IF(AND(D$2+$E$2&gt;0,N43-SNAP!P43&gt;0),N43-SNAP!P43,0)</f>
        <v>588.83333333333326</v>
      </c>
      <c r="S43" s="20">
        <f t="shared" si="11"/>
        <v>633.50000000000023</v>
      </c>
      <c r="T43" s="20">
        <f t="shared" si="3"/>
        <v>190.05000000000007</v>
      </c>
      <c r="U43" s="20">
        <f>IF(AND('Total income package'!$A$18=TRUE,OR(H43="Yes",O43="Yes"),G43&lt;$G$2,$K$2-T43&gt;10),ROUNDDOWN($K$2-T43,0),0)</f>
        <v>992</v>
      </c>
      <c r="V43" s="176">
        <f t="shared" si="12"/>
        <v>992</v>
      </c>
      <c r="W43" s="5"/>
    </row>
    <row r="44" spans="2:23" ht="14.4" x14ac:dyDescent="0.3">
      <c r="B44" s="72">
        <v>19000</v>
      </c>
      <c r="C44" s="19">
        <f>MAX('TANF-VIEW'!L47,'TANF-VIEW'!T47)</f>
        <v>0</v>
      </c>
      <c r="D44" s="20">
        <f t="shared" si="13"/>
        <v>1583.3333333333333</v>
      </c>
      <c r="E44" s="20">
        <f>'Total income package'!$D$80</f>
        <v>0</v>
      </c>
      <c r="F44" s="20">
        <f>'Total income package'!$H$61+'Total income package'!$F$66</f>
        <v>250</v>
      </c>
      <c r="G44" s="20">
        <f t="shared" si="4"/>
        <v>1833.3333333333333</v>
      </c>
      <c r="H44" s="20" t="str">
        <f t="shared" si="0"/>
        <v>Yes</v>
      </c>
      <c r="I44" s="20">
        <f t="shared" si="1"/>
        <v>316.66666666666669</v>
      </c>
      <c r="J44" s="20">
        <f t="shared" si="2"/>
        <v>261</v>
      </c>
      <c r="K44" s="20">
        <f t="shared" si="5"/>
        <v>1255.6666666666665</v>
      </c>
      <c r="L44" s="20">
        <f t="shared" si="6"/>
        <v>700</v>
      </c>
      <c r="M44" s="20">
        <f>'Total income package'!$B$69</f>
        <v>500</v>
      </c>
      <c r="N44" s="20">
        <f t="shared" si="7"/>
        <v>1200</v>
      </c>
      <c r="O44" s="344" t="str">
        <f t="shared" si="8"/>
        <v>Yes</v>
      </c>
      <c r="P44" s="20">
        <f t="shared" si="9"/>
        <v>627.83333333333326</v>
      </c>
      <c r="Q44" s="346">
        <f t="shared" si="10"/>
        <v>0</v>
      </c>
      <c r="R44" s="20">
        <f>IF(AND(D$2+$E$2&gt;0,N44-SNAP!P44&gt;0),N44-SNAP!P44,0)</f>
        <v>572.16666666666674</v>
      </c>
      <c r="S44" s="20">
        <f t="shared" si="11"/>
        <v>683.49999999999977</v>
      </c>
      <c r="T44" s="20">
        <f t="shared" si="3"/>
        <v>205.04999999999993</v>
      </c>
      <c r="U44" s="20">
        <f>IF(AND('Total income package'!$A$18=TRUE,OR(H44="Yes",O44="Yes"),G44&lt;$G$2,$K$2-T44&gt;10),ROUNDDOWN($K$2-T44,0),0)</f>
        <v>977</v>
      </c>
      <c r="V44" s="176">
        <f t="shared" si="12"/>
        <v>977</v>
      </c>
      <c r="W44" s="5"/>
    </row>
    <row r="45" spans="2:23" ht="14.4" x14ac:dyDescent="0.3">
      <c r="B45" s="72">
        <v>19500</v>
      </c>
      <c r="C45" s="19">
        <f>MAX('TANF-VIEW'!L48,'TANF-VIEW'!T48)</f>
        <v>0</v>
      </c>
      <c r="D45" s="20">
        <f t="shared" si="13"/>
        <v>1625</v>
      </c>
      <c r="E45" s="20">
        <f>'Total income package'!$D$80</f>
        <v>0</v>
      </c>
      <c r="F45" s="20">
        <f>'Total income package'!$H$61+'Total income package'!$F$66</f>
        <v>250</v>
      </c>
      <c r="G45" s="20">
        <f t="shared" si="4"/>
        <v>1875</v>
      </c>
      <c r="H45" s="20" t="str">
        <f t="shared" si="0"/>
        <v>Yes</v>
      </c>
      <c r="I45" s="20">
        <f t="shared" si="1"/>
        <v>325</v>
      </c>
      <c r="J45" s="20">
        <f t="shared" si="2"/>
        <v>261</v>
      </c>
      <c r="K45" s="20">
        <f t="shared" si="5"/>
        <v>1289</v>
      </c>
      <c r="L45" s="20">
        <f t="shared" si="6"/>
        <v>700</v>
      </c>
      <c r="M45" s="20">
        <f>'Total income package'!$B$69</f>
        <v>500</v>
      </c>
      <c r="N45" s="20">
        <f t="shared" si="7"/>
        <v>1200</v>
      </c>
      <c r="O45" s="344" t="str">
        <f t="shared" si="8"/>
        <v>Yes</v>
      </c>
      <c r="P45" s="20">
        <f t="shared" si="9"/>
        <v>644.5</v>
      </c>
      <c r="Q45" s="346">
        <f t="shared" si="10"/>
        <v>0</v>
      </c>
      <c r="R45" s="20">
        <f>IF(AND(D$2+$E$2&gt;0,N45-SNAP!P45&gt;0),N45-SNAP!P45,0)</f>
        <v>555.5</v>
      </c>
      <c r="S45" s="20">
        <f t="shared" si="11"/>
        <v>733.5</v>
      </c>
      <c r="T45" s="20">
        <f t="shared" si="3"/>
        <v>220.04999999999998</v>
      </c>
      <c r="U45" s="20">
        <f>IF(AND('Total income package'!$A$18=TRUE,OR(H45="Yes",O45="Yes"),G45&lt;$G$2,$K$2-T45&gt;10),ROUNDDOWN($K$2-T45,0),0)</f>
        <v>962</v>
      </c>
      <c r="V45" s="176">
        <f t="shared" si="12"/>
        <v>962</v>
      </c>
      <c r="W45" s="5"/>
    </row>
    <row r="46" spans="2:23" ht="14.4" x14ac:dyDescent="0.3">
      <c r="B46" s="72">
        <v>20000</v>
      </c>
      <c r="C46" s="19">
        <f>MAX('TANF-VIEW'!L49,'TANF-VIEW'!T49)</f>
        <v>0</v>
      </c>
      <c r="D46" s="20">
        <f t="shared" si="13"/>
        <v>1666.6666666666667</v>
      </c>
      <c r="E46" s="20">
        <f>'Total income package'!$D$80</f>
        <v>0</v>
      </c>
      <c r="F46" s="20">
        <f>'Total income package'!$H$61+'Total income package'!$F$66</f>
        <v>250</v>
      </c>
      <c r="G46" s="20">
        <f t="shared" si="4"/>
        <v>1916.6666666666667</v>
      </c>
      <c r="H46" s="20" t="str">
        <f t="shared" si="0"/>
        <v>Yes</v>
      </c>
      <c r="I46" s="20">
        <f t="shared" si="1"/>
        <v>333.33333333333337</v>
      </c>
      <c r="J46" s="20">
        <f t="shared" si="2"/>
        <v>261</v>
      </c>
      <c r="K46" s="20">
        <f t="shared" si="5"/>
        <v>1322.3333333333335</v>
      </c>
      <c r="L46" s="20">
        <f t="shared" si="6"/>
        <v>700</v>
      </c>
      <c r="M46" s="20">
        <f>'Total income package'!$B$69</f>
        <v>500</v>
      </c>
      <c r="N46" s="20">
        <f t="shared" si="7"/>
        <v>1200</v>
      </c>
      <c r="O46" s="344" t="str">
        <f t="shared" si="8"/>
        <v>Yes</v>
      </c>
      <c r="P46" s="20">
        <f t="shared" si="9"/>
        <v>661.16666666666674</v>
      </c>
      <c r="Q46" s="346">
        <f t="shared" si="10"/>
        <v>0</v>
      </c>
      <c r="R46" s="20">
        <f>IF(AND(D$2+$E$2&gt;0,N46-SNAP!P46&gt;0),N46-SNAP!P46,0)</f>
        <v>538.83333333333326</v>
      </c>
      <c r="S46" s="20">
        <f t="shared" si="11"/>
        <v>783.50000000000023</v>
      </c>
      <c r="T46" s="20">
        <f t="shared" si="3"/>
        <v>235.05000000000007</v>
      </c>
      <c r="U46" s="20">
        <f>IF(AND('Total income package'!$A$18=TRUE,OR(H46="Yes",O46="Yes"),G46&lt;$G$2,$K$2-T46&gt;10),ROUNDDOWN($K$2-T46,0),0)</f>
        <v>947</v>
      </c>
      <c r="V46" s="176">
        <f t="shared" si="12"/>
        <v>947</v>
      </c>
      <c r="W46" s="5"/>
    </row>
    <row r="47" spans="2:23" ht="14.4" x14ac:dyDescent="0.3">
      <c r="B47" s="72">
        <v>20500</v>
      </c>
      <c r="C47" s="19">
        <f>MAX('TANF-VIEW'!L50,'TANF-VIEW'!T50)</f>
        <v>0</v>
      </c>
      <c r="D47" s="20">
        <f t="shared" si="13"/>
        <v>1708.3333333333333</v>
      </c>
      <c r="E47" s="20">
        <f>'Total income package'!$D$80</f>
        <v>0</v>
      </c>
      <c r="F47" s="20">
        <f>'Total income package'!$H$61+'Total income package'!$F$66</f>
        <v>250</v>
      </c>
      <c r="G47" s="20">
        <f t="shared" si="4"/>
        <v>1958.3333333333333</v>
      </c>
      <c r="H47" s="20" t="str">
        <f t="shared" si="0"/>
        <v>Yes</v>
      </c>
      <c r="I47" s="20">
        <f t="shared" si="1"/>
        <v>341.66666666666669</v>
      </c>
      <c r="J47" s="20">
        <f t="shared" si="2"/>
        <v>261</v>
      </c>
      <c r="K47" s="20">
        <f t="shared" si="5"/>
        <v>1355.6666666666665</v>
      </c>
      <c r="L47" s="20">
        <f t="shared" si="6"/>
        <v>700</v>
      </c>
      <c r="M47" s="20">
        <f>'Total income package'!$B$69</f>
        <v>500</v>
      </c>
      <c r="N47" s="20">
        <f t="shared" si="7"/>
        <v>1200</v>
      </c>
      <c r="O47" s="344" t="str">
        <f t="shared" si="8"/>
        <v>Yes</v>
      </c>
      <c r="P47" s="20">
        <f t="shared" si="9"/>
        <v>677.83333333333326</v>
      </c>
      <c r="Q47" s="346">
        <f t="shared" si="10"/>
        <v>0</v>
      </c>
      <c r="R47" s="20">
        <f>IF(AND(D$2+$E$2&gt;0,N47-SNAP!P47&gt;0),N47-SNAP!P47,0)</f>
        <v>522.16666666666674</v>
      </c>
      <c r="S47" s="20">
        <f t="shared" si="11"/>
        <v>833.49999999999977</v>
      </c>
      <c r="T47" s="20">
        <f t="shared" si="3"/>
        <v>250.04999999999993</v>
      </c>
      <c r="U47" s="20">
        <f>IF(AND('Total income package'!$A$18=TRUE,OR(H47="Yes",O47="Yes"),G47&lt;$G$2,$K$2-T47&gt;10),ROUNDDOWN($K$2-T47,0),0)</f>
        <v>932</v>
      </c>
      <c r="V47" s="176">
        <f t="shared" si="12"/>
        <v>932</v>
      </c>
      <c r="W47" s="5"/>
    </row>
    <row r="48" spans="2:23" ht="14.4" x14ac:dyDescent="0.3">
      <c r="B48" s="72">
        <v>21000</v>
      </c>
      <c r="C48" s="19">
        <f>MAX('TANF-VIEW'!L51,'TANF-VIEW'!T51)</f>
        <v>0</v>
      </c>
      <c r="D48" s="20">
        <f t="shared" si="13"/>
        <v>1750</v>
      </c>
      <c r="E48" s="20">
        <f>'Total income package'!$D$80</f>
        <v>0</v>
      </c>
      <c r="F48" s="20">
        <f>'Total income package'!$H$61+'Total income package'!$F$66</f>
        <v>250</v>
      </c>
      <c r="G48" s="20">
        <f t="shared" si="4"/>
        <v>2000</v>
      </c>
      <c r="H48" s="20" t="str">
        <f t="shared" si="0"/>
        <v>Yes</v>
      </c>
      <c r="I48" s="20">
        <f t="shared" si="1"/>
        <v>350</v>
      </c>
      <c r="J48" s="20">
        <f t="shared" si="2"/>
        <v>261</v>
      </c>
      <c r="K48" s="20">
        <f t="shared" si="5"/>
        <v>1389</v>
      </c>
      <c r="L48" s="20">
        <f t="shared" si="6"/>
        <v>700</v>
      </c>
      <c r="M48" s="20">
        <f>'Total income package'!$B$69</f>
        <v>500</v>
      </c>
      <c r="N48" s="20">
        <f t="shared" si="7"/>
        <v>1200</v>
      </c>
      <c r="O48" s="344" t="str">
        <f t="shared" si="8"/>
        <v>Yes</v>
      </c>
      <c r="P48" s="20">
        <f t="shared" si="9"/>
        <v>694.5</v>
      </c>
      <c r="Q48" s="346">
        <f t="shared" si="10"/>
        <v>0</v>
      </c>
      <c r="R48" s="20">
        <f>IF(AND(D$2+$E$2&gt;0,N48-SNAP!P48&gt;0),N48-SNAP!P48,0)</f>
        <v>505.5</v>
      </c>
      <c r="S48" s="20">
        <f t="shared" si="11"/>
        <v>883.5</v>
      </c>
      <c r="T48" s="20">
        <f t="shared" si="3"/>
        <v>265.05</v>
      </c>
      <c r="U48" s="20">
        <f>IF(AND('Total income package'!$A$18=TRUE,OR(H48="Yes",O48="Yes"),G48&lt;$G$2,$K$2-T48&gt;10),ROUNDDOWN($K$2-T48,0),0)</f>
        <v>917</v>
      </c>
      <c r="V48" s="176">
        <f t="shared" si="12"/>
        <v>917</v>
      </c>
      <c r="W48" s="25"/>
    </row>
    <row r="49" spans="2:23" ht="14.4" x14ac:dyDescent="0.3">
      <c r="B49" s="72">
        <v>21500</v>
      </c>
      <c r="C49" s="19">
        <f>MAX('TANF-VIEW'!L52,'TANF-VIEW'!T52)</f>
        <v>0</v>
      </c>
      <c r="D49" s="20">
        <f t="shared" si="13"/>
        <v>1791.6666666666667</v>
      </c>
      <c r="E49" s="20">
        <f>'Total income package'!$D$80</f>
        <v>0</v>
      </c>
      <c r="F49" s="20">
        <f>'Total income package'!$H$61+'Total income package'!$F$66</f>
        <v>250</v>
      </c>
      <c r="G49" s="20">
        <f t="shared" si="4"/>
        <v>2041.6666666666667</v>
      </c>
      <c r="H49" s="20" t="str">
        <f t="shared" si="0"/>
        <v>Yes</v>
      </c>
      <c r="I49" s="20">
        <f t="shared" si="1"/>
        <v>358.33333333333337</v>
      </c>
      <c r="J49" s="20">
        <f t="shared" si="2"/>
        <v>261</v>
      </c>
      <c r="K49" s="20">
        <f t="shared" si="5"/>
        <v>1422.3333333333335</v>
      </c>
      <c r="L49" s="20">
        <f t="shared" si="6"/>
        <v>700</v>
      </c>
      <c r="M49" s="20">
        <f>'Total income package'!$B$69</f>
        <v>500</v>
      </c>
      <c r="N49" s="20">
        <f t="shared" si="7"/>
        <v>1200</v>
      </c>
      <c r="O49" s="344" t="str">
        <f t="shared" si="8"/>
        <v>Yes</v>
      </c>
      <c r="P49" s="20">
        <f t="shared" si="9"/>
        <v>711.16666666666674</v>
      </c>
      <c r="Q49" s="346">
        <f t="shared" si="10"/>
        <v>0</v>
      </c>
      <c r="R49" s="20">
        <f>IF(AND(D$2+$E$2&gt;0,N49-SNAP!P49&gt;0),N49-SNAP!P49,0)</f>
        <v>488.83333333333326</v>
      </c>
      <c r="S49" s="20">
        <f t="shared" si="11"/>
        <v>933.50000000000023</v>
      </c>
      <c r="T49" s="20">
        <f t="shared" si="3"/>
        <v>280.05000000000007</v>
      </c>
      <c r="U49" s="20">
        <f>IF(AND('Total income package'!$A$18=TRUE,OR(H49="Yes",O49="Yes"),G49&lt;$G$2,$K$2-T49&gt;10),ROUNDDOWN($K$2-T49,0),0)</f>
        <v>902</v>
      </c>
      <c r="V49" s="176">
        <f t="shared" si="12"/>
        <v>902</v>
      </c>
      <c r="W49" s="5"/>
    </row>
    <row r="50" spans="2:23" ht="14.4" x14ac:dyDescent="0.3">
      <c r="B50" s="72">
        <v>22000</v>
      </c>
      <c r="C50" s="19">
        <f>MAX('TANF-VIEW'!L53,'TANF-VIEW'!T53)</f>
        <v>0</v>
      </c>
      <c r="D50" s="20">
        <f t="shared" si="13"/>
        <v>1833.3333333333333</v>
      </c>
      <c r="E50" s="20">
        <f>'Total income package'!$D$80</f>
        <v>0</v>
      </c>
      <c r="F50" s="20">
        <f>'Total income package'!$H$61+'Total income package'!$F$66</f>
        <v>250</v>
      </c>
      <c r="G50" s="20">
        <f t="shared" si="4"/>
        <v>2083.333333333333</v>
      </c>
      <c r="H50" s="20" t="str">
        <f t="shared" si="0"/>
        <v>Yes</v>
      </c>
      <c r="I50" s="20">
        <f t="shared" si="1"/>
        <v>366.66666666666669</v>
      </c>
      <c r="J50" s="20">
        <f t="shared" si="2"/>
        <v>261</v>
      </c>
      <c r="K50" s="20">
        <f t="shared" si="5"/>
        <v>1455.6666666666663</v>
      </c>
      <c r="L50" s="20">
        <f t="shared" si="6"/>
        <v>700</v>
      </c>
      <c r="M50" s="20">
        <f>'Total income package'!$B$69</f>
        <v>500</v>
      </c>
      <c r="N50" s="20">
        <f t="shared" si="7"/>
        <v>1200</v>
      </c>
      <c r="O50" s="344" t="str">
        <f t="shared" si="8"/>
        <v>Yes</v>
      </c>
      <c r="P50" s="20">
        <f t="shared" si="9"/>
        <v>727.83333333333314</v>
      </c>
      <c r="Q50" s="346">
        <f t="shared" si="10"/>
        <v>0</v>
      </c>
      <c r="R50" s="20">
        <f>IF(AND(D$2+$E$2&gt;0,N50-SNAP!P50&gt;0),N50-SNAP!P50,0)</f>
        <v>472.16666666666686</v>
      </c>
      <c r="S50" s="20">
        <f t="shared" si="11"/>
        <v>983.49999999999943</v>
      </c>
      <c r="T50" s="20">
        <f t="shared" si="3"/>
        <v>295.04999999999984</v>
      </c>
      <c r="U50" s="20">
        <f>IF(AND('Total income package'!$A$18=TRUE,OR(H50="Yes",O50="Yes"),G50&lt;$G$2,$K$2-T50&gt;10),ROUNDDOWN($K$2-T50,0),0)</f>
        <v>887</v>
      </c>
      <c r="V50" s="176">
        <f t="shared" si="12"/>
        <v>887</v>
      </c>
      <c r="W50" s="5"/>
    </row>
    <row r="51" spans="2:23" ht="14.4" x14ac:dyDescent="0.3">
      <c r="B51" s="72">
        <v>22500</v>
      </c>
      <c r="C51" s="19">
        <f>MAX('TANF-VIEW'!L54,'TANF-VIEW'!T54)</f>
        <v>0</v>
      </c>
      <c r="D51" s="20">
        <f t="shared" si="13"/>
        <v>1875</v>
      </c>
      <c r="E51" s="20">
        <f>'Total income package'!$D$80</f>
        <v>0</v>
      </c>
      <c r="F51" s="20">
        <f>'Total income package'!$H$61+'Total income package'!$F$66</f>
        <v>250</v>
      </c>
      <c r="G51" s="20">
        <f t="shared" si="4"/>
        <v>2125</v>
      </c>
      <c r="H51" s="20" t="str">
        <f t="shared" si="0"/>
        <v>Yes</v>
      </c>
      <c r="I51" s="20">
        <f t="shared" si="1"/>
        <v>375</v>
      </c>
      <c r="J51" s="20">
        <f t="shared" si="2"/>
        <v>261</v>
      </c>
      <c r="K51" s="20">
        <f t="shared" si="5"/>
        <v>1489</v>
      </c>
      <c r="L51" s="20">
        <f t="shared" si="6"/>
        <v>700</v>
      </c>
      <c r="M51" s="20">
        <f>'Total income package'!$B$69</f>
        <v>500</v>
      </c>
      <c r="N51" s="20">
        <f t="shared" si="7"/>
        <v>1200</v>
      </c>
      <c r="O51" s="344" t="str">
        <f t="shared" si="8"/>
        <v>Yes</v>
      </c>
      <c r="P51" s="20">
        <f t="shared" si="9"/>
        <v>744.5</v>
      </c>
      <c r="Q51" s="346">
        <f t="shared" si="10"/>
        <v>0</v>
      </c>
      <c r="R51" s="20">
        <f>IF(AND(D$2+$E$2&gt;0,N51-SNAP!P51&gt;0),N51-SNAP!P51,0)</f>
        <v>455.5</v>
      </c>
      <c r="S51" s="20">
        <f t="shared" si="11"/>
        <v>1033.5</v>
      </c>
      <c r="T51" s="20">
        <f t="shared" si="3"/>
        <v>310.05</v>
      </c>
      <c r="U51" s="20">
        <f>IF(AND('Total income package'!$A$18=TRUE,OR(H51="Yes",O51="Yes"),G51&lt;$G$2,$K$2-T51&gt;10),ROUNDDOWN($K$2-T51,0),0)</f>
        <v>872</v>
      </c>
      <c r="V51" s="176">
        <f t="shared" si="12"/>
        <v>872</v>
      </c>
      <c r="W51" s="5"/>
    </row>
    <row r="52" spans="2:23" ht="14.4" x14ac:dyDescent="0.3">
      <c r="B52" s="72">
        <v>23000</v>
      </c>
      <c r="C52" s="19">
        <f>MAX('TANF-VIEW'!L55,'TANF-VIEW'!T55)</f>
        <v>0</v>
      </c>
      <c r="D52" s="20">
        <f t="shared" si="13"/>
        <v>1916.6666666666667</v>
      </c>
      <c r="E52" s="20">
        <f>'Total income package'!$D$80</f>
        <v>0</v>
      </c>
      <c r="F52" s="20">
        <f>'Total income package'!$H$61+'Total income package'!$F$66</f>
        <v>250</v>
      </c>
      <c r="G52" s="20">
        <f t="shared" si="4"/>
        <v>2166.666666666667</v>
      </c>
      <c r="H52" s="20" t="str">
        <f t="shared" si="0"/>
        <v>Yes</v>
      </c>
      <c r="I52" s="20">
        <f t="shared" si="1"/>
        <v>383.33333333333337</v>
      </c>
      <c r="J52" s="20">
        <f t="shared" si="2"/>
        <v>261</v>
      </c>
      <c r="K52" s="20">
        <f t="shared" si="5"/>
        <v>1522.3333333333335</v>
      </c>
      <c r="L52" s="20">
        <f t="shared" si="6"/>
        <v>700</v>
      </c>
      <c r="M52" s="20">
        <f>'Total income package'!$B$69</f>
        <v>500</v>
      </c>
      <c r="N52" s="20">
        <f t="shared" si="7"/>
        <v>1200</v>
      </c>
      <c r="O52" s="344" t="str">
        <f t="shared" si="8"/>
        <v>Yes</v>
      </c>
      <c r="P52" s="20">
        <f t="shared" si="9"/>
        <v>761.16666666666674</v>
      </c>
      <c r="Q52" s="346">
        <f t="shared" si="10"/>
        <v>0</v>
      </c>
      <c r="R52" s="20">
        <f>IF(AND(D$2+$E$2&gt;0,N52-SNAP!P52&gt;0),N52-SNAP!P52,0)</f>
        <v>438.83333333333326</v>
      </c>
      <c r="S52" s="20">
        <f t="shared" si="11"/>
        <v>1083.5000000000002</v>
      </c>
      <c r="T52" s="20">
        <f t="shared" si="3"/>
        <v>325.05000000000007</v>
      </c>
      <c r="U52" s="20">
        <f>IF(AND('Total income package'!$A$18=TRUE,OR(H52="Yes",O52="Yes"),G52&lt;$G$2,$K$2-T52&gt;10),ROUNDDOWN($K$2-T52,0),0)</f>
        <v>857</v>
      </c>
      <c r="V52" s="176">
        <f t="shared" si="12"/>
        <v>857</v>
      </c>
      <c r="W52" s="5"/>
    </row>
    <row r="53" spans="2:23" ht="14.4" x14ac:dyDescent="0.3">
      <c r="B53" s="72">
        <v>23500</v>
      </c>
      <c r="C53" s="19">
        <f>MAX('TANF-VIEW'!L56,'TANF-VIEW'!T56)</f>
        <v>0</v>
      </c>
      <c r="D53" s="20">
        <f t="shared" si="13"/>
        <v>1958.3333333333333</v>
      </c>
      <c r="E53" s="20">
        <f>'Total income package'!$D$80</f>
        <v>0</v>
      </c>
      <c r="F53" s="20">
        <f>'Total income package'!$H$61+'Total income package'!$F$66</f>
        <v>250</v>
      </c>
      <c r="G53" s="20">
        <f t="shared" si="4"/>
        <v>2208.333333333333</v>
      </c>
      <c r="H53" s="20" t="str">
        <f t="shared" si="0"/>
        <v>Yes</v>
      </c>
      <c r="I53" s="20">
        <f t="shared" si="1"/>
        <v>391.66666666666669</v>
      </c>
      <c r="J53" s="20">
        <f t="shared" si="2"/>
        <v>261</v>
      </c>
      <c r="K53" s="20">
        <f t="shared" si="5"/>
        <v>1555.6666666666663</v>
      </c>
      <c r="L53" s="20">
        <f t="shared" si="6"/>
        <v>700</v>
      </c>
      <c r="M53" s="20">
        <f>'Total income package'!$B$69</f>
        <v>500</v>
      </c>
      <c r="N53" s="20">
        <f t="shared" si="7"/>
        <v>1200</v>
      </c>
      <c r="O53" s="344" t="str">
        <f t="shared" si="8"/>
        <v>Yes</v>
      </c>
      <c r="P53" s="20">
        <f t="shared" si="9"/>
        <v>777.83333333333314</v>
      </c>
      <c r="Q53" s="346">
        <f t="shared" si="10"/>
        <v>0</v>
      </c>
      <c r="R53" s="20">
        <f>IF(AND(D$2+$E$2&gt;0,N53-SNAP!P53&gt;0),N53-SNAP!P53,0)</f>
        <v>422.16666666666686</v>
      </c>
      <c r="S53" s="20">
        <f t="shared" si="11"/>
        <v>1133.4999999999995</v>
      </c>
      <c r="T53" s="20">
        <f t="shared" si="3"/>
        <v>340.04999999999984</v>
      </c>
      <c r="U53" s="20">
        <f>IF(AND('Total income package'!$A$18=TRUE,OR(H53="Yes",O53="Yes"),G53&lt;$G$2,$K$2-T53&gt;10),ROUNDDOWN($K$2-T53,0),0)</f>
        <v>842</v>
      </c>
      <c r="V53" s="176">
        <f t="shared" si="12"/>
        <v>842</v>
      </c>
      <c r="W53" s="5"/>
    </row>
    <row r="54" spans="2:23" ht="14.4" x14ac:dyDescent="0.3">
      <c r="B54" s="72">
        <v>24000</v>
      </c>
      <c r="C54" s="19">
        <f>MAX('TANF-VIEW'!L57,'TANF-VIEW'!T57)</f>
        <v>0</v>
      </c>
      <c r="D54" s="20">
        <f t="shared" si="13"/>
        <v>2000</v>
      </c>
      <c r="E54" s="20">
        <f>'Total income package'!$D$80</f>
        <v>0</v>
      </c>
      <c r="F54" s="20">
        <f>'Total income package'!$H$61+'Total income package'!$F$66</f>
        <v>250</v>
      </c>
      <c r="G54" s="20">
        <f t="shared" si="4"/>
        <v>2250</v>
      </c>
      <c r="H54" s="20" t="str">
        <f t="shared" si="0"/>
        <v>Yes</v>
      </c>
      <c r="I54" s="20">
        <f t="shared" si="1"/>
        <v>400</v>
      </c>
      <c r="J54" s="20">
        <f t="shared" si="2"/>
        <v>261</v>
      </c>
      <c r="K54" s="20">
        <f t="shared" si="5"/>
        <v>1589</v>
      </c>
      <c r="L54" s="20">
        <f t="shared" si="6"/>
        <v>700</v>
      </c>
      <c r="M54" s="20">
        <f>'Total income package'!$B$69</f>
        <v>500</v>
      </c>
      <c r="N54" s="20">
        <f t="shared" si="7"/>
        <v>1200</v>
      </c>
      <c r="O54" s="344" t="str">
        <f t="shared" si="8"/>
        <v>Yes</v>
      </c>
      <c r="P54" s="20">
        <f t="shared" si="9"/>
        <v>794.5</v>
      </c>
      <c r="Q54" s="346">
        <f t="shared" si="10"/>
        <v>0</v>
      </c>
      <c r="R54" s="20">
        <f>IF(AND(D$2+$E$2&gt;0,N54-SNAP!P54&gt;0),N54-SNAP!P54,0)</f>
        <v>405.5</v>
      </c>
      <c r="S54" s="20">
        <f t="shared" si="11"/>
        <v>1183.5</v>
      </c>
      <c r="T54" s="20">
        <f t="shared" si="3"/>
        <v>355.05</v>
      </c>
      <c r="U54" s="20">
        <f>IF(AND('Total income package'!$A$18=TRUE,OR(H54="Yes",O54="Yes"),G54&lt;$G$2,$K$2-T54&gt;10),ROUNDDOWN($K$2-T54,0),0)</f>
        <v>827</v>
      </c>
      <c r="V54" s="176">
        <f t="shared" si="12"/>
        <v>827</v>
      </c>
      <c r="W54" s="5"/>
    </row>
    <row r="55" spans="2:23" ht="14.4" x14ac:dyDescent="0.3">
      <c r="B55" s="72">
        <v>24500</v>
      </c>
      <c r="C55" s="19">
        <f>MAX('TANF-VIEW'!L58,'TANF-VIEW'!T58)</f>
        <v>0</v>
      </c>
      <c r="D55" s="20">
        <f t="shared" si="13"/>
        <v>2041.6666666666667</v>
      </c>
      <c r="E55" s="20">
        <f>'Total income package'!$D$80</f>
        <v>0</v>
      </c>
      <c r="F55" s="20">
        <f>'Total income package'!$H$61+'Total income package'!$F$66</f>
        <v>250</v>
      </c>
      <c r="G55" s="20">
        <f t="shared" si="4"/>
        <v>2291.666666666667</v>
      </c>
      <c r="H55" s="20" t="str">
        <f t="shared" si="0"/>
        <v>Yes</v>
      </c>
      <c r="I55" s="20">
        <f t="shared" si="1"/>
        <v>408.33333333333337</v>
      </c>
      <c r="J55" s="20">
        <f t="shared" si="2"/>
        <v>261</v>
      </c>
      <c r="K55" s="20">
        <f t="shared" si="5"/>
        <v>1622.3333333333335</v>
      </c>
      <c r="L55" s="20">
        <f t="shared" si="6"/>
        <v>700</v>
      </c>
      <c r="M55" s="20">
        <f>'Total income package'!$B$69</f>
        <v>500</v>
      </c>
      <c r="N55" s="20">
        <f t="shared" si="7"/>
        <v>1200</v>
      </c>
      <c r="O55" s="344" t="str">
        <f t="shared" si="8"/>
        <v>Yes</v>
      </c>
      <c r="P55" s="20">
        <f t="shared" si="9"/>
        <v>811.16666666666674</v>
      </c>
      <c r="Q55" s="346">
        <f t="shared" si="10"/>
        <v>0</v>
      </c>
      <c r="R55" s="20">
        <f>IF(AND(D$2+$E$2&gt;0,N55-SNAP!P55&gt;0),N55-SNAP!P55,0)</f>
        <v>388.83333333333326</v>
      </c>
      <c r="S55" s="20">
        <f t="shared" si="11"/>
        <v>1233.5000000000002</v>
      </c>
      <c r="T55" s="20">
        <f t="shared" si="3"/>
        <v>370.05000000000007</v>
      </c>
      <c r="U55" s="20">
        <f>IF(AND('Total income package'!$A$18=TRUE,OR(H55="Yes",O55="Yes"),G55&lt;$G$2,$K$2-T55&gt;10),ROUNDDOWN($K$2-T55,0),0)</f>
        <v>812</v>
      </c>
      <c r="V55" s="176">
        <f t="shared" si="12"/>
        <v>812</v>
      </c>
      <c r="W55" s="5"/>
    </row>
    <row r="56" spans="2:23" ht="14.4" x14ac:dyDescent="0.3">
      <c r="B56" s="72">
        <v>25000</v>
      </c>
      <c r="C56" s="19">
        <f>MAX('TANF-VIEW'!L59,'TANF-VIEW'!T59)</f>
        <v>0</v>
      </c>
      <c r="D56" s="20">
        <f t="shared" si="13"/>
        <v>2083.3333333333335</v>
      </c>
      <c r="E56" s="20">
        <f>'Total income package'!$D$80</f>
        <v>0</v>
      </c>
      <c r="F56" s="20">
        <f>'Total income package'!$H$61+'Total income package'!$F$66</f>
        <v>250</v>
      </c>
      <c r="G56" s="20">
        <f t="shared" si="4"/>
        <v>2333.3333333333335</v>
      </c>
      <c r="H56" s="20" t="str">
        <f t="shared" si="0"/>
        <v>Yes</v>
      </c>
      <c r="I56" s="20">
        <f t="shared" si="1"/>
        <v>416.66666666666674</v>
      </c>
      <c r="J56" s="20">
        <f t="shared" si="2"/>
        <v>261</v>
      </c>
      <c r="K56" s="20">
        <f t="shared" si="5"/>
        <v>1655.6666666666667</v>
      </c>
      <c r="L56" s="20">
        <f t="shared" si="6"/>
        <v>700</v>
      </c>
      <c r="M56" s="20">
        <f>'Total income package'!$B$69</f>
        <v>500</v>
      </c>
      <c r="N56" s="20">
        <f t="shared" si="7"/>
        <v>1200</v>
      </c>
      <c r="O56" s="344" t="str">
        <f t="shared" si="8"/>
        <v>Yes</v>
      </c>
      <c r="P56" s="20">
        <f t="shared" si="9"/>
        <v>827.83333333333337</v>
      </c>
      <c r="Q56" s="346">
        <f t="shared" si="10"/>
        <v>0</v>
      </c>
      <c r="R56" s="20">
        <f>IF(AND(D$2+$E$2&gt;0,N56-SNAP!P56&gt;0),N56-SNAP!P56,0)</f>
        <v>372.16666666666663</v>
      </c>
      <c r="S56" s="20">
        <f t="shared" si="11"/>
        <v>1283.5</v>
      </c>
      <c r="T56" s="20">
        <f t="shared" si="3"/>
        <v>385.05</v>
      </c>
      <c r="U56" s="20">
        <f>IF(AND('Total income package'!$A$18=TRUE,OR(H56="Yes",O56="Yes"),G56&lt;$G$2,$K$2-T56&gt;10),ROUNDDOWN($K$2-T56,0),0)</f>
        <v>797</v>
      </c>
      <c r="V56" s="176">
        <f t="shared" si="12"/>
        <v>797</v>
      </c>
      <c r="W56" s="5"/>
    </row>
    <row r="57" spans="2:23" ht="14.4" x14ac:dyDescent="0.3">
      <c r="B57" s="72">
        <v>25500</v>
      </c>
      <c r="C57" s="19">
        <f>MAX('TANF-VIEW'!L60,'TANF-VIEW'!T60)</f>
        <v>0</v>
      </c>
      <c r="D57" s="20">
        <f t="shared" si="13"/>
        <v>2125</v>
      </c>
      <c r="E57" s="20">
        <f>'Total income package'!$D$80</f>
        <v>0</v>
      </c>
      <c r="F57" s="20">
        <f>'Total income package'!$H$61+'Total income package'!$F$66</f>
        <v>250</v>
      </c>
      <c r="G57" s="20">
        <f t="shared" si="4"/>
        <v>2375</v>
      </c>
      <c r="H57" s="20" t="str">
        <f t="shared" si="0"/>
        <v>Yes</v>
      </c>
      <c r="I57" s="20">
        <f t="shared" si="1"/>
        <v>425</v>
      </c>
      <c r="J57" s="20">
        <f t="shared" si="2"/>
        <v>261</v>
      </c>
      <c r="K57" s="20">
        <f t="shared" si="5"/>
        <v>1689</v>
      </c>
      <c r="L57" s="20">
        <f t="shared" si="6"/>
        <v>700</v>
      </c>
      <c r="M57" s="20">
        <f>'Total income package'!$B$69</f>
        <v>500</v>
      </c>
      <c r="N57" s="20">
        <f t="shared" si="7"/>
        <v>1200</v>
      </c>
      <c r="O57" s="344" t="str">
        <f t="shared" si="8"/>
        <v>Yes</v>
      </c>
      <c r="P57" s="20">
        <f t="shared" si="9"/>
        <v>844.5</v>
      </c>
      <c r="Q57" s="346">
        <f t="shared" si="10"/>
        <v>0</v>
      </c>
      <c r="R57" s="20">
        <f>IF(AND(D$2+$E$2&gt;0,N57-SNAP!P57&gt;0),N57-SNAP!P57,0)</f>
        <v>355.5</v>
      </c>
      <c r="S57" s="20">
        <f t="shared" si="11"/>
        <v>1333.5</v>
      </c>
      <c r="T57" s="20">
        <f t="shared" si="3"/>
        <v>400.05</v>
      </c>
      <c r="U57" s="20">
        <f>IF(AND('Total income package'!$A$18=TRUE,OR(H57="Yes",O57="Yes"),G57&lt;$G$2,$K$2-T57&gt;10),ROUNDDOWN($K$2-T57,0),0)</f>
        <v>782</v>
      </c>
      <c r="V57" s="176">
        <f t="shared" si="12"/>
        <v>782</v>
      </c>
      <c r="W57" s="5"/>
    </row>
    <row r="58" spans="2:23" ht="14.4" x14ac:dyDescent="0.3">
      <c r="B58" s="72">
        <v>26000</v>
      </c>
      <c r="C58" s="19">
        <f>MAX('TANF-VIEW'!L61,'TANF-VIEW'!T61)</f>
        <v>0</v>
      </c>
      <c r="D58" s="20">
        <f t="shared" si="13"/>
        <v>2166.6666666666665</v>
      </c>
      <c r="E58" s="20">
        <f>'Total income package'!$D$80</f>
        <v>0</v>
      </c>
      <c r="F58" s="20">
        <f>'Total income package'!$H$61+'Total income package'!$F$66</f>
        <v>250</v>
      </c>
      <c r="G58" s="20">
        <f t="shared" si="4"/>
        <v>2416.6666666666665</v>
      </c>
      <c r="H58" s="20" t="str">
        <f t="shared" si="0"/>
        <v>Yes</v>
      </c>
      <c r="I58" s="20">
        <f t="shared" si="1"/>
        <v>433.33333333333331</v>
      </c>
      <c r="J58" s="20">
        <f t="shared" si="2"/>
        <v>261</v>
      </c>
      <c r="K58" s="20">
        <f t="shared" si="5"/>
        <v>1722.3333333333333</v>
      </c>
      <c r="L58" s="20">
        <f t="shared" si="6"/>
        <v>700</v>
      </c>
      <c r="M58" s="20">
        <f>'Total income package'!$B$69</f>
        <v>500</v>
      </c>
      <c r="N58" s="20">
        <f t="shared" si="7"/>
        <v>1200</v>
      </c>
      <c r="O58" s="344" t="str">
        <f t="shared" si="8"/>
        <v>Yes</v>
      </c>
      <c r="P58" s="20">
        <f t="shared" si="9"/>
        <v>861.16666666666663</v>
      </c>
      <c r="Q58" s="346">
        <f t="shared" si="10"/>
        <v>0</v>
      </c>
      <c r="R58" s="20">
        <f>IF(AND(D$2+$E$2&gt;0,N58-SNAP!P58&gt;0),N58-SNAP!P58,0)</f>
        <v>338.83333333333337</v>
      </c>
      <c r="S58" s="20">
        <f t="shared" si="11"/>
        <v>1383.5</v>
      </c>
      <c r="T58" s="20">
        <f t="shared" si="3"/>
        <v>415.05</v>
      </c>
      <c r="U58" s="20">
        <f>IF(AND('Total income package'!$A$18=TRUE,OR(H58="Yes",O58="Yes"),G58&lt;$G$2,$K$2-T58&gt;10),ROUNDDOWN($K$2-T58,0),0)</f>
        <v>767</v>
      </c>
      <c r="V58" s="176">
        <f t="shared" si="12"/>
        <v>767</v>
      </c>
      <c r="W58" s="5"/>
    </row>
    <row r="59" spans="2:23" ht="14.4" x14ac:dyDescent="0.3">
      <c r="B59" s="72">
        <v>26500</v>
      </c>
      <c r="C59" s="19">
        <f>MAX('TANF-VIEW'!L62,'TANF-VIEW'!T62)</f>
        <v>0</v>
      </c>
      <c r="D59" s="20">
        <f t="shared" si="13"/>
        <v>2208.3333333333335</v>
      </c>
      <c r="E59" s="20">
        <f>'Total income package'!$D$80</f>
        <v>0</v>
      </c>
      <c r="F59" s="20">
        <f>'Total income package'!$H$61+'Total income package'!$F$66</f>
        <v>250</v>
      </c>
      <c r="G59" s="20">
        <f t="shared" si="4"/>
        <v>2458.3333333333335</v>
      </c>
      <c r="H59" s="20" t="str">
        <f t="shared" si="0"/>
        <v>Yes</v>
      </c>
      <c r="I59" s="20">
        <f t="shared" si="1"/>
        <v>441.66666666666674</v>
      </c>
      <c r="J59" s="20">
        <f t="shared" si="2"/>
        <v>261</v>
      </c>
      <c r="K59" s="20">
        <f t="shared" si="5"/>
        <v>1755.6666666666667</v>
      </c>
      <c r="L59" s="20">
        <f t="shared" si="6"/>
        <v>700</v>
      </c>
      <c r="M59" s="20">
        <f>'Total income package'!$B$69</f>
        <v>500</v>
      </c>
      <c r="N59" s="20">
        <f t="shared" si="7"/>
        <v>1200</v>
      </c>
      <c r="O59" s="344" t="str">
        <f t="shared" si="8"/>
        <v>Yes</v>
      </c>
      <c r="P59" s="20">
        <f t="shared" si="9"/>
        <v>877.83333333333337</v>
      </c>
      <c r="Q59" s="346">
        <f t="shared" si="10"/>
        <v>0</v>
      </c>
      <c r="R59" s="20">
        <f>IF(AND(D$2+$E$2&gt;0,N59-SNAP!P59&gt;0),N59-SNAP!P59,0)</f>
        <v>322.16666666666663</v>
      </c>
      <c r="S59" s="20">
        <f t="shared" si="11"/>
        <v>1433.5</v>
      </c>
      <c r="T59" s="20">
        <f t="shared" si="3"/>
        <v>430.05</v>
      </c>
      <c r="U59" s="20">
        <f>IF(AND('Total income package'!$A$18=TRUE,OR(H59="Yes",O59="Yes"),G59&lt;$G$2,$K$2-T59&gt;10),ROUNDDOWN($K$2-T59,0),0)</f>
        <v>752</v>
      </c>
      <c r="V59" s="176">
        <f t="shared" si="12"/>
        <v>752</v>
      </c>
      <c r="W59" s="5"/>
    </row>
    <row r="60" spans="2:23" ht="14.4" x14ac:dyDescent="0.3">
      <c r="B60" s="72">
        <v>27000</v>
      </c>
      <c r="C60" s="19">
        <f>MAX('TANF-VIEW'!L63,'TANF-VIEW'!T63)</f>
        <v>0</v>
      </c>
      <c r="D60" s="20">
        <f t="shared" si="13"/>
        <v>2250</v>
      </c>
      <c r="E60" s="20">
        <f>'Total income package'!$D$80</f>
        <v>0</v>
      </c>
      <c r="F60" s="20">
        <f>'Total income package'!$H$61+'Total income package'!$F$66</f>
        <v>250</v>
      </c>
      <c r="G60" s="20">
        <f t="shared" si="4"/>
        <v>2500</v>
      </c>
      <c r="H60" s="20" t="str">
        <f t="shared" si="0"/>
        <v>Yes</v>
      </c>
      <c r="I60" s="20">
        <f t="shared" si="1"/>
        <v>450</v>
      </c>
      <c r="J60" s="20">
        <f t="shared" si="2"/>
        <v>261</v>
      </c>
      <c r="K60" s="20">
        <f t="shared" si="5"/>
        <v>1789</v>
      </c>
      <c r="L60" s="20">
        <f t="shared" si="6"/>
        <v>700</v>
      </c>
      <c r="M60" s="20">
        <f>'Total income package'!$B$69</f>
        <v>500</v>
      </c>
      <c r="N60" s="20">
        <f t="shared" si="7"/>
        <v>1200</v>
      </c>
      <c r="O60" s="344" t="str">
        <f t="shared" si="8"/>
        <v>Yes</v>
      </c>
      <c r="P60" s="20">
        <f t="shared" si="9"/>
        <v>894.5</v>
      </c>
      <c r="Q60" s="346">
        <f t="shared" si="10"/>
        <v>0</v>
      </c>
      <c r="R60" s="20">
        <f>IF(AND(D$2+$E$2&gt;0,N60-SNAP!P60&gt;0),N60-SNAP!P60,0)</f>
        <v>305.5</v>
      </c>
      <c r="S60" s="20">
        <f t="shared" si="11"/>
        <v>1483.5</v>
      </c>
      <c r="T60" s="20">
        <f t="shared" si="3"/>
        <v>445.05</v>
      </c>
      <c r="U60" s="20">
        <f>IF(AND('Total income package'!$A$18=TRUE,OR(H60="Yes",O60="Yes"),G60&lt;$G$2,$K$2-T60&gt;10),ROUNDDOWN($K$2-T60,0),0)</f>
        <v>737</v>
      </c>
      <c r="V60" s="176">
        <f t="shared" si="12"/>
        <v>737</v>
      </c>
      <c r="W60" s="5"/>
    </row>
    <row r="61" spans="2:23" ht="14.4" x14ac:dyDescent="0.3">
      <c r="B61" s="72">
        <v>27500</v>
      </c>
      <c r="C61" s="19">
        <f>MAX('TANF-VIEW'!L64,'TANF-VIEW'!T64)</f>
        <v>0</v>
      </c>
      <c r="D61" s="20">
        <f t="shared" si="13"/>
        <v>2291.6666666666665</v>
      </c>
      <c r="E61" s="20">
        <f>'Total income package'!$D$80</f>
        <v>0</v>
      </c>
      <c r="F61" s="20">
        <f>'Total income package'!$H$61+'Total income package'!$F$66</f>
        <v>250</v>
      </c>
      <c r="G61" s="20">
        <f t="shared" si="4"/>
        <v>2541.6666666666665</v>
      </c>
      <c r="H61" s="20" t="str">
        <f t="shared" si="0"/>
        <v>Yes</v>
      </c>
      <c r="I61" s="20">
        <f t="shared" si="1"/>
        <v>458.33333333333331</v>
      </c>
      <c r="J61" s="20">
        <f t="shared" si="2"/>
        <v>261</v>
      </c>
      <c r="K61" s="20">
        <f t="shared" si="5"/>
        <v>1822.333333333333</v>
      </c>
      <c r="L61" s="20">
        <f t="shared" si="6"/>
        <v>700</v>
      </c>
      <c r="M61" s="20">
        <f>'Total income package'!$B$69</f>
        <v>500</v>
      </c>
      <c r="N61" s="20">
        <f t="shared" si="7"/>
        <v>1200</v>
      </c>
      <c r="O61" s="344" t="str">
        <f t="shared" si="8"/>
        <v>Yes</v>
      </c>
      <c r="P61" s="20">
        <f t="shared" si="9"/>
        <v>911.16666666666652</v>
      </c>
      <c r="Q61" s="346">
        <f t="shared" si="10"/>
        <v>0</v>
      </c>
      <c r="R61" s="20">
        <f>IF(AND(D$2+$E$2&gt;0,N61-SNAP!P61&gt;0),N61-SNAP!P61,0)</f>
        <v>288.83333333333348</v>
      </c>
      <c r="S61" s="20">
        <f t="shared" si="11"/>
        <v>1533.4999999999995</v>
      </c>
      <c r="T61" s="20">
        <f t="shared" si="3"/>
        <v>460.04999999999984</v>
      </c>
      <c r="U61" s="20">
        <f>IF(AND('Total income package'!$A$18=TRUE,OR(H61="Yes",O61="Yes"),G61&lt;$G$2,$K$2-T61&gt;10),ROUNDDOWN($K$2-T61,0),0)</f>
        <v>722</v>
      </c>
      <c r="V61" s="176">
        <f t="shared" si="12"/>
        <v>722</v>
      </c>
      <c r="W61" s="5"/>
    </row>
    <row r="62" spans="2:23" ht="14.4" x14ac:dyDescent="0.3">
      <c r="B62" s="72">
        <v>28000</v>
      </c>
      <c r="C62" s="19">
        <f>MAX('TANF-VIEW'!L65,'TANF-VIEW'!T65)</f>
        <v>0</v>
      </c>
      <c r="D62" s="20">
        <f t="shared" si="13"/>
        <v>2333.3333333333335</v>
      </c>
      <c r="E62" s="20">
        <f>'Total income package'!$D$80</f>
        <v>0</v>
      </c>
      <c r="F62" s="20">
        <f>'Total income package'!$H$61+'Total income package'!$F$66</f>
        <v>250</v>
      </c>
      <c r="G62" s="20">
        <f t="shared" si="4"/>
        <v>2583.3333333333335</v>
      </c>
      <c r="H62" s="20" t="str">
        <f t="shared" si="0"/>
        <v>Yes</v>
      </c>
      <c r="I62" s="20">
        <f t="shared" si="1"/>
        <v>466.66666666666674</v>
      </c>
      <c r="J62" s="20">
        <f t="shared" si="2"/>
        <v>261</v>
      </c>
      <c r="K62" s="20">
        <f t="shared" si="5"/>
        <v>1855.666666666667</v>
      </c>
      <c r="L62" s="20">
        <f t="shared" si="6"/>
        <v>700</v>
      </c>
      <c r="M62" s="20">
        <f>'Total income package'!$B$69</f>
        <v>500</v>
      </c>
      <c r="N62" s="20">
        <f t="shared" si="7"/>
        <v>1200</v>
      </c>
      <c r="O62" s="344" t="str">
        <f t="shared" si="8"/>
        <v>Yes</v>
      </c>
      <c r="P62" s="20">
        <f t="shared" si="9"/>
        <v>927.83333333333348</v>
      </c>
      <c r="Q62" s="346">
        <f t="shared" si="10"/>
        <v>0</v>
      </c>
      <c r="R62" s="20">
        <f>IF(AND(D$2+$E$2&gt;0,N62-SNAP!P62&gt;0),N62-SNAP!P62,0)</f>
        <v>272.16666666666652</v>
      </c>
      <c r="S62" s="20">
        <f t="shared" si="11"/>
        <v>1583.5000000000005</v>
      </c>
      <c r="T62" s="20">
        <f t="shared" si="3"/>
        <v>475.05000000000013</v>
      </c>
      <c r="U62" s="20">
        <f>IF(AND('Total income package'!$A$18=TRUE,OR(H62="Yes",O62="Yes"),G62&lt;$G$2,$K$2-T62&gt;10),ROUNDDOWN($K$2-T62,0),0)</f>
        <v>707</v>
      </c>
      <c r="V62" s="176">
        <f t="shared" si="12"/>
        <v>707</v>
      </c>
      <c r="W62" s="5"/>
    </row>
    <row r="63" spans="2:23" ht="14.4" x14ac:dyDescent="0.3">
      <c r="B63" s="72">
        <v>28500</v>
      </c>
      <c r="C63" s="19">
        <f>MAX('TANF-VIEW'!L66,'TANF-VIEW'!T66)</f>
        <v>0</v>
      </c>
      <c r="D63" s="20">
        <f t="shared" si="13"/>
        <v>2375</v>
      </c>
      <c r="E63" s="20">
        <f>'Total income package'!$D$80</f>
        <v>0</v>
      </c>
      <c r="F63" s="20">
        <f>'Total income package'!$H$61+'Total income package'!$F$66</f>
        <v>250</v>
      </c>
      <c r="G63" s="20">
        <f t="shared" si="4"/>
        <v>2625</v>
      </c>
      <c r="H63" s="20" t="str">
        <f t="shared" si="0"/>
        <v>Yes</v>
      </c>
      <c r="I63" s="20">
        <f t="shared" si="1"/>
        <v>475</v>
      </c>
      <c r="J63" s="20">
        <f t="shared" si="2"/>
        <v>261</v>
      </c>
      <c r="K63" s="20">
        <f t="shared" si="5"/>
        <v>1889</v>
      </c>
      <c r="L63" s="20">
        <f t="shared" si="6"/>
        <v>700</v>
      </c>
      <c r="M63" s="20">
        <f>'Total income package'!$B$69</f>
        <v>500</v>
      </c>
      <c r="N63" s="20">
        <f t="shared" si="7"/>
        <v>1200</v>
      </c>
      <c r="O63" s="344" t="str">
        <f t="shared" si="8"/>
        <v>Yes</v>
      </c>
      <c r="P63" s="20">
        <f t="shared" si="9"/>
        <v>944.5</v>
      </c>
      <c r="Q63" s="346">
        <f t="shared" si="10"/>
        <v>0</v>
      </c>
      <c r="R63" s="20">
        <f>IF(AND(D$2+$E$2&gt;0,N63-SNAP!P63&gt;0),N63-SNAP!P63,0)</f>
        <v>255.5</v>
      </c>
      <c r="S63" s="20">
        <f t="shared" si="11"/>
        <v>1633.5</v>
      </c>
      <c r="T63" s="20">
        <f t="shared" si="3"/>
        <v>490.04999999999995</v>
      </c>
      <c r="U63" s="20">
        <f>IF(AND('Total income package'!$A$18=TRUE,OR(H63="Yes",O63="Yes"),G63&lt;$G$2,$K$2-T63&gt;10),ROUNDDOWN($K$2-T63,0),0)</f>
        <v>692</v>
      </c>
      <c r="V63" s="176">
        <f t="shared" si="12"/>
        <v>692</v>
      </c>
      <c r="W63" s="5"/>
    </row>
    <row r="64" spans="2:23" ht="14.4" x14ac:dyDescent="0.3">
      <c r="B64" s="72">
        <v>29000</v>
      </c>
      <c r="C64" s="19">
        <f>MAX('TANF-VIEW'!L67,'TANF-VIEW'!T67)</f>
        <v>0</v>
      </c>
      <c r="D64" s="20">
        <f t="shared" si="13"/>
        <v>2416.6666666666665</v>
      </c>
      <c r="E64" s="20">
        <f>'Total income package'!$D$80</f>
        <v>0</v>
      </c>
      <c r="F64" s="20">
        <f>'Total income package'!$H$61+'Total income package'!$F$66</f>
        <v>250</v>
      </c>
      <c r="G64" s="20">
        <f t="shared" si="4"/>
        <v>2666.6666666666665</v>
      </c>
      <c r="H64" s="20" t="str">
        <f t="shared" si="0"/>
        <v>Yes</v>
      </c>
      <c r="I64" s="20">
        <f t="shared" si="1"/>
        <v>483.33333333333331</v>
      </c>
      <c r="J64" s="20">
        <f t="shared" si="2"/>
        <v>261</v>
      </c>
      <c r="K64" s="20">
        <f t="shared" si="5"/>
        <v>1922.333333333333</v>
      </c>
      <c r="L64" s="20">
        <f t="shared" si="6"/>
        <v>700</v>
      </c>
      <c r="M64" s="20">
        <f>'Total income package'!$B$69</f>
        <v>500</v>
      </c>
      <c r="N64" s="20">
        <f t="shared" si="7"/>
        <v>1200</v>
      </c>
      <c r="O64" s="344" t="str">
        <f t="shared" si="8"/>
        <v>Yes</v>
      </c>
      <c r="P64" s="20">
        <f t="shared" si="9"/>
        <v>961.16666666666652</v>
      </c>
      <c r="Q64" s="346">
        <f t="shared" si="10"/>
        <v>0</v>
      </c>
      <c r="R64" s="20">
        <f>IF(AND(D$2+$E$2&gt;0,N64-SNAP!P64&gt;0),N64-SNAP!P64,0)</f>
        <v>238.83333333333348</v>
      </c>
      <c r="S64" s="20">
        <f t="shared" si="11"/>
        <v>1683.4999999999995</v>
      </c>
      <c r="T64" s="20">
        <f t="shared" si="3"/>
        <v>505.04999999999984</v>
      </c>
      <c r="U64" s="20">
        <f>IF(AND('Total income package'!$A$18=TRUE,OR(H64="Yes",O64="Yes"),G64&lt;$G$2,$K$2-T64&gt;10),ROUNDDOWN($K$2-T64,0),0)</f>
        <v>677</v>
      </c>
      <c r="V64" s="176">
        <f t="shared" si="12"/>
        <v>677</v>
      </c>
      <c r="W64" s="5"/>
    </row>
    <row r="65" spans="2:23" ht="14.4" x14ac:dyDescent="0.3">
      <c r="B65" s="72">
        <v>29500</v>
      </c>
      <c r="C65" s="19">
        <f>MAX('TANF-VIEW'!L68,'TANF-VIEW'!T68)</f>
        <v>0</v>
      </c>
      <c r="D65" s="20">
        <f t="shared" si="13"/>
        <v>2458.3333333333335</v>
      </c>
      <c r="E65" s="20">
        <f>'Total income package'!$D$80</f>
        <v>0</v>
      </c>
      <c r="F65" s="20">
        <f>'Total income package'!$H$61+'Total income package'!$F$66</f>
        <v>250</v>
      </c>
      <c r="G65" s="20">
        <f t="shared" si="4"/>
        <v>2708.3333333333335</v>
      </c>
      <c r="H65" s="20" t="str">
        <f t="shared" si="0"/>
        <v>Yes</v>
      </c>
      <c r="I65" s="20">
        <f t="shared" si="1"/>
        <v>491.66666666666674</v>
      </c>
      <c r="J65" s="20">
        <f t="shared" si="2"/>
        <v>261</v>
      </c>
      <c r="K65" s="20">
        <f t="shared" si="5"/>
        <v>1955.666666666667</v>
      </c>
      <c r="L65" s="20">
        <f t="shared" si="6"/>
        <v>700</v>
      </c>
      <c r="M65" s="20">
        <f>'Total income package'!$B$69</f>
        <v>500</v>
      </c>
      <c r="N65" s="20">
        <f t="shared" si="7"/>
        <v>1200</v>
      </c>
      <c r="O65" s="344" t="str">
        <f t="shared" si="8"/>
        <v>Yes</v>
      </c>
      <c r="P65" s="20">
        <f t="shared" si="9"/>
        <v>977.83333333333348</v>
      </c>
      <c r="Q65" s="346">
        <f t="shared" si="10"/>
        <v>0</v>
      </c>
      <c r="R65" s="20">
        <f>IF(AND(D$2+$E$2&gt;0,N65-SNAP!P65&gt;0),N65-SNAP!P65,0)</f>
        <v>222.16666666666652</v>
      </c>
      <c r="S65" s="20">
        <f t="shared" si="11"/>
        <v>1733.5000000000005</v>
      </c>
      <c r="T65" s="20">
        <f t="shared" si="3"/>
        <v>520.05000000000007</v>
      </c>
      <c r="U65" s="20">
        <f>IF(AND('Total income package'!$A$18=TRUE,OR(H65="Yes",O65="Yes"),G65&lt;$G$2,$K$2-T65&gt;10),ROUNDDOWN($K$2-T65,0),0)</f>
        <v>662</v>
      </c>
      <c r="V65" s="176">
        <f t="shared" si="12"/>
        <v>662</v>
      </c>
      <c r="W65" s="5"/>
    </row>
    <row r="66" spans="2:23" ht="14.4" x14ac:dyDescent="0.3">
      <c r="B66" s="72">
        <v>30000</v>
      </c>
      <c r="C66" s="19">
        <f>MAX('TANF-VIEW'!L69,'TANF-VIEW'!T69)</f>
        <v>0</v>
      </c>
      <c r="D66" s="20">
        <f t="shared" si="13"/>
        <v>2500</v>
      </c>
      <c r="E66" s="20">
        <f>'Total income package'!$D$80</f>
        <v>0</v>
      </c>
      <c r="F66" s="20">
        <f>'Total income package'!$H$61+'Total income package'!$F$66</f>
        <v>250</v>
      </c>
      <c r="G66" s="20">
        <f t="shared" si="4"/>
        <v>2750</v>
      </c>
      <c r="H66" s="20" t="str">
        <f t="shared" si="0"/>
        <v>Yes</v>
      </c>
      <c r="I66" s="20">
        <f t="shared" si="1"/>
        <v>500</v>
      </c>
      <c r="J66" s="20">
        <f t="shared" si="2"/>
        <v>261</v>
      </c>
      <c r="K66" s="20">
        <f t="shared" si="5"/>
        <v>1989</v>
      </c>
      <c r="L66" s="20">
        <f t="shared" si="6"/>
        <v>700</v>
      </c>
      <c r="M66" s="20">
        <f>'Total income package'!$B$69</f>
        <v>500</v>
      </c>
      <c r="N66" s="20">
        <f t="shared" si="7"/>
        <v>1200</v>
      </c>
      <c r="O66" s="344" t="str">
        <f t="shared" si="8"/>
        <v>Yes</v>
      </c>
      <c r="P66" s="20">
        <f t="shared" si="9"/>
        <v>994.5</v>
      </c>
      <c r="Q66" s="346">
        <f t="shared" si="10"/>
        <v>0</v>
      </c>
      <c r="R66" s="20">
        <f>IF(AND(D$2+$E$2&gt;0,N66-SNAP!P66&gt;0),N66-SNAP!P66,0)</f>
        <v>205.5</v>
      </c>
      <c r="S66" s="20">
        <f t="shared" si="11"/>
        <v>1783.5</v>
      </c>
      <c r="T66" s="20">
        <f t="shared" si="3"/>
        <v>535.04999999999995</v>
      </c>
      <c r="U66" s="20">
        <f>IF(AND('Total income package'!$A$18=TRUE,OR(H66="Yes",O66="Yes"),G66&lt;$G$2,$K$2-T66&gt;10),ROUNDDOWN($K$2-T66,0),0)</f>
        <v>647</v>
      </c>
      <c r="V66" s="176">
        <f>IF(AND(C62&lt;3,U66&gt;10,U66&lt;24),24,U66)</f>
        <v>647</v>
      </c>
      <c r="W66" s="5"/>
    </row>
    <row r="67" spans="2:23" ht="14.4" x14ac:dyDescent="0.3">
      <c r="B67" s="72">
        <v>30500</v>
      </c>
      <c r="C67" s="19">
        <f>MAX('TANF-VIEW'!L70,'TANF-VIEW'!T70)</f>
        <v>0</v>
      </c>
      <c r="D67" s="20">
        <f t="shared" si="13"/>
        <v>2541.6666666666665</v>
      </c>
      <c r="E67" s="20">
        <f>'Total income package'!$D$80</f>
        <v>0</v>
      </c>
      <c r="F67" s="20">
        <f>'Total income package'!$H$61+'Total income package'!$F$66</f>
        <v>250</v>
      </c>
      <c r="G67" s="20">
        <f t="shared" si="4"/>
        <v>2791.6666666666665</v>
      </c>
      <c r="H67" s="20" t="str">
        <f t="shared" si="0"/>
        <v>Yes</v>
      </c>
      <c r="I67" s="20">
        <f t="shared" si="1"/>
        <v>508.33333333333331</v>
      </c>
      <c r="J67" s="20">
        <f t="shared" si="2"/>
        <v>261</v>
      </c>
      <c r="K67" s="20">
        <f t="shared" si="5"/>
        <v>2022.333333333333</v>
      </c>
      <c r="L67" s="20">
        <f t="shared" si="6"/>
        <v>700</v>
      </c>
      <c r="M67" s="20">
        <f>'Total income package'!$B$69</f>
        <v>500</v>
      </c>
      <c r="N67" s="20">
        <f t="shared" si="7"/>
        <v>1200</v>
      </c>
      <c r="O67" s="344" t="str">
        <f t="shared" si="8"/>
        <v>Yes</v>
      </c>
      <c r="P67" s="20">
        <f t="shared" si="9"/>
        <v>1011.1666666666665</v>
      </c>
      <c r="Q67" s="346">
        <f t="shared" si="10"/>
        <v>0</v>
      </c>
      <c r="R67" s="20">
        <f>IF(AND(D$2+$E$2&gt;0,N67-SNAP!P67&gt;0),N67-SNAP!P67,0)</f>
        <v>188.83333333333348</v>
      </c>
      <c r="S67" s="20">
        <f t="shared" si="11"/>
        <v>1833.4999999999995</v>
      </c>
      <c r="T67" s="20">
        <f t="shared" si="3"/>
        <v>550.04999999999984</v>
      </c>
      <c r="U67" s="20">
        <f>IF(AND('Total income package'!$A$18=TRUE,OR(H67="Yes",O67="Yes"),G67&lt;$G$2,$K$2-T67&gt;10),ROUNDDOWN($K$2-T67,0),0)</f>
        <v>632</v>
      </c>
      <c r="V67" s="176">
        <f t="shared" si="12"/>
        <v>632</v>
      </c>
      <c r="W67" s="5"/>
    </row>
    <row r="68" spans="2:23" ht="14.4" x14ac:dyDescent="0.3">
      <c r="B68" s="72">
        <v>31000</v>
      </c>
      <c r="C68" s="19">
        <f>MAX('TANF-VIEW'!L71,'TANF-VIEW'!T71)</f>
        <v>0</v>
      </c>
      <c r="D68" s="20">
        <f t="shared" si="13"/>
        <v>2583.3333333333335</v>
      </c>
      <c r="E68" s="20">
        <f>'Total income package'!$D$80</f>
        <v>0</v>
      </c>
      <c r="F68" s="20">
        <f>'Total income package'!$H$61+'Total income package'!$F$66</f>
        <v>250</v>
      </c>
      <c r="G68" s="20">
        <f t="shared" si="4"/>
        <v>2833.3333333333335</v>
      </c>
      <c r="H68" s="20" t="str">
        <f t="shared" si="0"/>
        <v>Yes</v>
      </c>
      <c r="I68" s="20">
        <f t="shared" si="1"/>
        <v>516.66666666666674</v>
      </c>
      <c r="J68" s="20">
        <f t="shared" si="2"/>
        <v>261</v>
      </c>
      <c r="K68" s="20">
        <f t="shared" si="5"/>
        <v>2055.666666666667</v>
      </c>
      <c r="L68" s="20">
        <f t="shared" si="6"/>
        <v>700</v>
      </c>
      <c r="M68" s="20">
        <f>'Total income package'!$B$69</f>
        <v>500</v>
      </c>
      <c r="N68" s="20">
        <f t="shared" si="7"/>
        <v>1200</v>
      </c>
      <c r="O68" s="344" t="str">
        <f t="shared" si="8"/>
        <v>Yes</v>
      </c>
      <c r="P68" s="20">
        <f t="shared" si="9"/>
        <v>1027.8333333333335</v>
      </c>
      <c r="Q68" s="346">
        <f t="shared" si="10"/>
        <v>0</v>
      </c>
      <c r="R68" s="20">
        <f>IF(AND(D$2+$E$2&gt;0,N68-SNAP!P68&gt;0),N68-SNAP!P68,0)</f>
        <v>172.16666666666652</v>
      </c>
      <c r="S68" s="20">
        <f t="shared" si="11"/>
        <v>1883.5000000000005</v>
      </c>
      <c r="T68" s="20">
        <f t="shared" si="3"/>
        <v>565.05000000000007</v>
      </c>
      <c r="U68" s="20">
        <f>IF(AND('Total income package'!$A$18=TRUE,OR(H68="Yes",O68="Yes"),G68&lt;$G$2,$K$2-T68&gt;10),ROUNDDOWN($K$2-T68,0),0)</f>
        <v>617</v>
      </c>
      <c r="V68" s="176">
        <f t="shared" si="12"/>
        <v>617</v>
      </c>
      <c r="W68" s="5"/>
    </row>
    <row r="69" spans="2:23" ht="14.4" x14ac:dyDescent="0.3">
      <c r="B69" s="72">
        <v>31500</v>
      </c>
      <c r="C69" s="19">
        <f>MAX('TANF-VIEW'!L72,'TANF-VIEW'!T72)</f>
        <v>0</v>
      </c>
      <c r="D69" s="20">
        <f t="shared" si="13"/>
        <v>2625</v>
      </c>
      <c r="E69" s="20">
        <f>'Total income package'!$D$80</f>
        <v>0</v>
      </c>
      <c r="F69" s="20">
        <f>'Total income package'!$H$61+'Total income package'!$F$66</f>
        <v>250</v>
      </c>
      <c r="G69" s="20">
        <f t="shared" si="4"/>
        <v>2875</v>
      </c>
      <c r="H69" s="20" t="str">
        <f t="shared" si="0"/>
        <v>Yes</v>
      </c>
      <c r="I69" s="20">
        <f t="shared" si="1"/>
        <v>525</v>
      </c>
      <c r="J69" s="20">
        <f t="shared" si="2"/>
        <v>261</v>
      </c>
      <c r="K69" s="20">
        <f t="shared" si="5"/>
        <v>2089</v>
      </c>
      <c r="L69" s="20">
        <f t="shared" si="6"/>
        <v>700</v>
      </c>
      <c r="M69" s="20">
        <f>'Total income package'!$B$69</f>
        <v>500</v>
      </c>
      <c r="N69" s="20">
        <f t="shared" si="7"/>
        <v>1200</v>
      </c>
      <c r="O69" s="344" t="str">
        <f t="shared" si="8"/>
        <v>Yes</v>
      </c>
      <c r="P69" s="20">
        <f t="shared" si="9"/>
        <v>1044.5</v>
      </c>
      <c r="Q69" s="346">
        <f t="shared" si="10"/>
        <v>0</v>
      </c>
      <c r="R69" s="20">
        <f>IF(AND(D$2+$E$2&gt;0,N69-SNAP!P69&gt;0),N69-SNAP!P69,0)</f>
        <v>155.5</v>
      </c>
      <c r="S69" s="20">
        <f t="shared" si="11"/>
        <v>1933.5</v>
      </c>
      <c r="T69" s="20">
        <f t="shared" si="3"/>
        <v>580.04999999999995</v>
      </c>
      <c r="U69" s="20">
        <f>IF(AND('Total income package'!$A$18=TRUE,OR(H69="Yes",O69="Yes"),G69&lt;$G$2,$K$2-T69&gt;10),ROUNDDOWN($K$2-T69,0),0)</f>
        <v>602</v>
      </c>
      <c r="V69" s="176">
        <f t="shared" si="12"/>
        <v>602</v>
      </c>
      <c r="W69" s="5"/>
    </row>
    <row r="70" spans="2:23" ht="14.4" x14ac:dyDescent="0.3">
      <c r="B70" s="72">
        <v>32000</v>
      </c>
      <c r="C70" s="19">
        <f>MAX('TANF-VIEW'!L73,'TANF-VIEW'!T73)</f>
        <v>0</v>
      </c>
      <c r="D70" s="20">
        <f t="shared" si="13"/>
        <v>2666.6666666666665</v>
      </c>
      <c r="E70" s="20">
        <f>'Total income package'!$D$80</f>
        <v>0</v>
      </c>
      <c r="F70" s="20">
        <f>'Total income package'!$H$61+'Total income package'!$F$66</f>
        <v>250</v>
      </c>
      <c r="G70" s="20">
        <f t="shared" si="4"/>
        <v>2916.6666666666665</v>
      </c>
      <c r="H70" s="20" t="str">
        <f t="shared" ref="H70:H133" si="14">IF(G70&lt;$G$2,"Yes","No")</f>
        <v>Yes</v>
      </c>
      <c r="I70" s="20">
        <f t="shared" ref="I70:I133" si="15">D70*0.2</f>
        <v>533.33333333333337</v>
      </c>
      <c r="J70" s="20">
        <f t="shared" ref="J70:J133" si="16">$H$2</f>
        <v>261</v>
      </c>
      <c r="K70" s="20">
        <f t="shared" ref="K70:K133" si="17">IF(G70-I70-J70&gt;0,G70-I70-J70,0)</f>
        <v>2122.333333333333</v>
      </c>
      <c r="L70" s="20">
        <f t="shared" si="6"/>
        <v>700</v>
      </c>
      <c r="M70" s="20">
        <f>'Total income package'!$B$69</f>
        <v>500</v>
      </c>
      <c r="N70" s="20">
        <f t="shared" si="7"/>
        <v>1200</v>
      </c>
      <c r="O70" s="344" t="str">
        <f t="shared" si="8"/>
        <v>Yes</v>
      </c>
      <c r="P70" s="20">
        <f t="shared" si="9"/>
        <v>1061.1666666666665</v>
      </c>
      <c r="Q70" s="346">
        <f t="shared" ref="Q70:Q133" si="18">IF(AND(D$2+$E$2=0,N70&lt;$L$2,N70-P70&gt;0),N70-P70,IF(AND(D$2+$E$2=0,N70&gt;$L$2),$L$2,0))</f>
        <v>0</v>
      </c>
      <c r="R70" s="20">
        <f>IF(AND(D$2+$E$2&gt;0,N70-SNAP!P70&gt;0),N70-SNAP!P70,0)</f>
        <v>138.83333333333348</v>
      </c>
      <c r="S70" s="20">
        <f t="shared" si="11"/>
        <v>1983.4999999999995</v>
      </c>
      <c r="T70" s="20">
        <f t="shared" ref="T70:T133" si="19">S70*0.3</f>
        <v>595.04999999999984</v>
      </c>
      <c r="U70" s="20">
        <f>IF(AND('Total income package'!$A$18=TRUE,OR(H70="Yes",O70="Yes"),G70&lt;$G$2,$K$2-T70&gt;10),ROUNDDOWN($K$2-T70,0),0)</f>
        <v>587</v>
      </c>
      <c r="V70" s="176">
        <f t="shared" si="12"/>
        <v>587</v>
      </c>
      <c r="W70" s="5"/>
    </row>
    <row r="71" spans="2:23" ht="14.4" x14ac:dyDescent="0.3">
      <c r="B71" s="72">
        <v>32500</v>
      </c>
      <c r="C71" s="19">
        <f>MAX('TANF-VIEW'!L74,'TANF-VIEW'!T74)</f>
        <v>0</v>
      </c>
      <c r="D71" s="20">
        <f t="shared" si="13"/>
        <v>2708.3333333333335</v>
      </c>
      <c r="E71" s="20">
        <f>'Total income package'!$D$80</f>
        <v>0</v>
      </c>
      <c r="F71" s="20">
        <f>'Total income package'!$H$61+'Total income package'!$F$66</f>
        <v>250</v>
      </c>
      <c r="G71" s="20">
        <f t="shared" ref="G71:G134" si="20">D71+C71+E71+F71</f>
        <v>2958.3333333333335</v>
      </c>
      <c r="H71" s="20" t="str">
        <f t="shared" si="14"/>
        <v>Yes</v>
      </c>
      <c r="I71" s="20">
        <f t="shared" si="15"/>
        <v>541.66666666666674</v>
      </c>
      <c r="J71" s="20">
        <f t="shared" si="16"/>
        <v>261</v>
      </c>
      <c r="K71" s="20">
        <f t="shared" si="17"/>
        <v>2155.666666666667</v>
      </c>
      <c r="L71" s="20">
        <f t="shared" ref="L71:L134" si="21">$I$2</f>
        <v>700</v>
      </c>
      <c r="M71" s="20">
        <f>'Total income package'!$B$69</f>
        <v>500</v>
      </c>
      <c r="N71" s="20">
        <f t="shared" ref="N71:N134" si="22">L71+M71</f>
        <v>1200</v>
      </c>
      <c r="O71" s="344" t="str">
        <f t="shared" ref="O71:O134" si="23">IF(AND($D$2+$E$2&gt;0,K71&lt;$J$2),"Yes","No")</f>
        <v>Yes</v>
      </c>
      <c r="P71" s="20">
        <f t="shared" ref="P71:P134" si="24">K71/2</f>
        <v>1077.8333333333335</v>
      </c>
      <c r="Q71" s="346">
        <f t="shared" si="18"/>
        <v>0</v>
      </c>
      <c r="R71" s="20">
        <f>IF(AND(D$2+$E$2&gt;0,N71-SNAP!P71&gt;0),N71-SNAP!P71,0)</f>
        <v>122.16666666666652</v>
      </c>
      <c r="S71" s="20">
        <f t="shared" ref="S71:S134" si="25">IF(AND($D$2+$E$2&gt;0,K71-R71&gt;0),K71-R71,IF(AND($D$2+$E$2=0,K71-Q71&gt;0),K71-Q71,0))</f>
        <v>2033.5000000000005</v>
      </c>
      <c r="T71" s="20">
        <f t="shared" si="19"/>
        <v>610.05000000000007</v>
      </c>
      <c r="U71" s="20">
        <f>IF(AND('Total income package'!$A$18=TRUE,OR(H71="Yes",O71="Yes"),G71&lt;$G$2,$K$2-T71&gt;10),ROUNDDOWN($K$2-T71,0),0)</f>
        <v>572</v>
      </c>
      <c r="V71" s="176">
        <f t="shared" ref="V71:V134" si="26">IF(AND(C67&lt;3,U71&gt;10,U71&lt;24),24,U71)</f>
        <v>572</v>
      </c>
      <c r="W71" s="5"/>
    </row>
    <row r="72" spans="2:23" ht="14.4" x14ac:dyDescent="0.3">
      <c r="B72" s="72">
        <v>33000</v>
      </c>
      <c r="C72" s="19">
        <f>MAX('TANF-VIEW'!L75,'TANF-VIEW'!T75)</f>
        <v>0</v>
      </c>
      <c r="D72" s="20">
        <f t="shared" si="13"/>
        <v>2750</v>
      </c>
      <c r="E72" s="20">
        <f>'Total income package'!$D$80</f>
        <v>0</v>
      </c>
      <c r="F72" s="20">
        <f>'Total income package'!$H$61+'Total income package'!$F$66</f>
        <v>250</v>
      </c>
      <c r="G72" s="20">
        <f t="shared" si="20"/>
        <v>3000</v>
      </c>
      <c r="H72" s="20" t="str">
        <f t="shared" si="14"/>
        <v>Yes</v>
      </c>
      <c r="I72" s="20">
        <f t="shared" si="15"/>
        <v>550</v>
      </c>
      <c r="J72" s="20">
        <f t="shared" si="16"/>
        <v>261</v>
      </c>
      <c r="K72" s="20">
        <f t="shared" si="17"/>
        <v>2189</v>
      </c>
      <c r="L72" s="20">
        <f t="shared" si="21"/>
        <v>700</v>
      </c>
      <c r="M72" s="20">
        <f>'Total income package'!$B$69</f>
        <v>500</v>
      </c>
      <c r="N72" s="20">
        <f t="shared" si="22"/>
        <v>1200</v>
      </c>
      <c r="O72" s="344" t="str">
        <f t="shared" si="23"/>
        <v>Yes</v>
      </c>
      <c r="P72" s="20">
        <f t="shared" si="24"/>
        <v>1094.5</v>
      </c>
      <c r="Q72" s="346">
        <f t="shared" si="18"/>
        <v>0</v>
      </c>
      <c r="R72" s="20">
        <f>IF(AND(D$2+$E$2&gt;0,N72-SNAP!P72&gt;0),N72-SNAP!P72,0)</f>
        <v>105.5</v>
      </c>
      <c r="S72" s="20">
        <f t="shared" si="25"/>
        <v>2083.5</v>
      </c>
      <c r="T72" s="20">
        <f t="shared" si="19"/>
        <v>625.04999999999995</v>
      </c>
      <c r="U72" s="20">
        <f>IF(AND('Total income package'!$A$18=TRUE,OR(H72="Yes",O72="Yes"),G72&lt;$G$2,$K$2-T72&gt;10),ROUNDDOWN($K$2-T72,0),0)</f>
        <v>557</v>
      </c>
      <c r="V72" s="176">
        <f t="shared" si="26"/>
        <v>557</v>
      </c>
      <c r="W72" s="5"/>
    </row>
    <row r="73" spans="2:23" ht="14.4" x14ac:dyDescent="0.3">
      <c r="B73" s="72">
        <v>33500</v>
      </c>
      <c r="C73" s="19">
        <f>MAX('TANF-VIEW'!L76,'TANF-VIEW'!T76)</f>
        <v>0</v>
      </c>
      <c r="D73" s="20">
        <f t="shared" ref="D73:D136" si="27">B73/12</f>
        <v>2791.6666666666665</v>
      </c>
      <c r="E73" s="20">
        <f>'Total income package'!$D$80</f>
        <v>0</v>
      </c>
      <c r="F73" s="20">
        <f>'Total income package'!$H$61+'Total income package'!$F$66</f>
        <v>250</v>
      </c>
      <c r="G73" s="20">
        <f t="shared" si="20"/>
        <v>3041.6666666666665</v>
      </c>
      <c r="H73" s="20" t="str">
        <f t="shared" si="14"/>
        <v>Yes</v>
      </c>
      <c r="I73" s="20">
        <f t="shared" si="15"/>
        <v>558.33333333333337</v>
      </c>
      <c r="J73" s="20">
        <f t="shared" si="16"/>
        <v>261</v>
      </c>
      <c r="K73" s="20">
        <f t="shared" si="17"/>
        <v>2222.333333333333</v>
      </c>
      <c r="L73" s="20">
        <f t="shared" si="21"/>
        <v>700</v>
      </c>
      <c r="M73" s="20">
        <f>'Total income package'!$B$69</f>
        <v>500</v>
      </c>
      <c r="N73" s="20">
        <f t="shared" si="22"/>
        <v>1200</v>
      </c>
      <c r="O73" s="344" t="str">
        <f t="shared" si="23"/>
        <v>Yes</v>
      </c>
      <c r="P73" s="20">
        <f t="shared" si="24"/>
        <v>1111.1666666666665</v>
      </c>
      <c r="Q73" s="346">
        <f t="shared" si="18"/>
        <v>0</v>
      </c>
      <c r="R73" s="20">
        <f>IF(AND(D$2+$E$2&gt;0,N73-SNAP!P73&gt;0),N73-SNAP!P73,0)</f>
        <v>88.833333333333485</v>
      </c>
      <c r="S73" s="20">
        <f t="shared" si="25"/>
        <v>2133.4999999999995</v>
      </c>
      <c r="T73" s="20">
        <f t="shared" si="19"/>
        <v>640.04999999999984</v>
      </c>
      <c r="U73" s="20">
        <f>IF(AND('Total income package'!$A$18=TRUE,OR(H73="Yes",O73="Yes"),G73&lt;$G$2,$K$2-T73&gt;10),ROUNDDOWN($K$2-T73,0),0)</f>
        <v>542</v>
      </c>
      <c r="V73" s="176">
        <f t="shared" si="26"/>
        <v>542</v>
      </c>
      <c r="W73" s="5"/>
    </row>
    <row r="74" spans="2:23" ht="14.4" x14ac:dyDescent="0.3">
      <c r="B74" s="72">
        <v>34000</v>
      </c>
      <c r="C74" s="19">
        <f>MAX('TANF-VIEW'!L77,'TANF-VIEW'!T77)</f>
        <v>0</v>
      </c>
      <c r="D74" s="20">
        <f t="shared" si="27"/>
        <v>2833.3333333333335</v>
      </c>
      <c r="E74" s="20">
        <f>'Total income package'!$D$80</f>
        <v>0</v>
      </c>
      <c r="F74" s="20">
        <f>'Total income package'!$H$61+'Total income package'!$F$66</f>
        <v>250</v>
      </c>
      <c r="G74" s="20">
        <f t="shared" si="20"/>
        <v>3083.3333333333335</v>
      </c>
      <c r="H74" s="20" t="str">
        <f t="shared" si="14"/>
        <v>Yes</v>
      </c>
      <c r="I74" s="20">
        <f t="shared" si="15"/>
        <v>566.66666666666674</v>
      </c>
      <c r="J74" s="20">
        <f t="shared" si="16"/>
        <v>261</v>
      </c>
      <c r="K74" s="20">
        <f t="shared" si="17"/>
        <v>2255.666666666667</v>
      </c>
      <c r="L74" s="20">
        <f t="shared" si="21"/>
        <v>700</v>
      </c>
      <c r="M74" s="20">
        <f>'Total income package'!$B$69</f>
        <v>500</v>
      </c>
      <c r="N74" s="20">
        <f t="shared" si="22"/>
        <v>1200</v>
      </c>
      <c r="O74" s="344" t="str">
        <f t="shared" si="23"/>
        <v>Yes</v>
      </c>
      <c r="P74" s="20">
        <f t="shared" si="24"/>
        <v>1127.8333333333335</v>
      </c>
      <c r="Q74" s="346">
        <f t="shared" si="18"/>
        <v>0</v>
      </c>
      <c r="R74" s="20">
        <f>IF(AND(D$2+$E$2&gt;0,N74-SNAP!P74&gt;0),N74-SNAP!P74,0)</f>
        <v>72.166666666666515</v>
      </c>
      <c r="S74" s="20">
        <f t="shared" si="25"/>
        <v>2183.5000000000005</v>
      </c>
      <c r="T74" s="20">
        <f t="shared" si="19"/>
        <v>655.05000000000007</v>
      </c>
      <c r="U74" s="20">
        <f>IF(AND('Total income package'!$A$18=TRUE,OR(H74="Yes",O74="Yes"),G74&lt;$G$2,$K$2-T74&gt;10),ROUNDDOWN($K$2-T74,0),0)</f>
        <v>527</v>
      </c>
      <c r="V74" s="176">
        <f t="shared" si="26"/>
        <v>527</v>
      </c>
      <c r="W74" s="5"/>
    </row>
    <row r="75" spans="2:23" ht="14.4" x14ac:dyDescent="0.3">
      <c r="B75" s="72">
        <v>34500</v>
      </c>
      <c r="C75" s="19">
        <f>MAX('TANF-VIEW'!L78,'TANF-VIEW'!T78)</f>
        <v>0</v>
      </c>
      <c r="D75" s="20">
        <f t="shared" si="27"/>
        <v>2875</v>
      </c>
      <c r="E75" s="20">
        <f>'Total income package'!$D$80</f>
        <v>0</v>
      </c>
      <c r="F75" s="20">
        <f>'Total income package'!$H$61+'Total income package'!$F$66</f>
        <v>250</v>
      </c>
      <c r="G75" s="20">
        <f t="shared" si="20"/>
        <v>3125</v>
      </c>
      <c r="H75" s="20" t="str">
        <f t="shared" si="14"/>
        <v>Yes</v>
      </c>
      <c r="I75" s="20">
        <f t="shared" si="15"/>
        <v>575</v>
      </c>
      <c r="J75" s="20">
        <f t="shared" si="16"/>
        <v>261</v>
      </c>
      <c r="K75" s="20">
        <f t="shared" si="17"/>
        <v>2289</v>
      </c>
      <c r="L75" s="20">
        <f t="shared" si="21"/>
        <v>700</v>
      </c>
      <c r="M75" s="20">
        <f>'Total income package'!$B$69</f>
        <v>500</v>
      </c>
      <c r="N75" s="20">
        <f t="shared" si="22"/>
        <v>1200</v>
      </c>
      <c r="O75" s="344" t="str">
        <f t="shared" si="23"/>
        <v>Yes</v>
      </c>
      <c r="P75" s="20">
        <f t="shared" si="24"/>
        <v>1144.5</v>
      </c>
      <c r="Q75" s="346">
        <f t="shared" si="18"/>
        <v>0</v>
      </c>
      <c r="R75" s="20">
        <f>IF(AND(D$2+$E$2&gt;0,N75-SNAP!P75&gt;0),N75-SNAP!P75,0)</f>
        <v>55.5</v>
      </c>
      <c r="S75" s="20">
        <f t="shared" si="25"/>
        <v>2233.5</v>
      </c>
      <c r="T75" s="20">
        <f t="shared" si="19"/>
        <v>670.05</v>
      </c>
      <c r="U75" s="20">
        <f>IF(AND('Total income package'!$A$18=TRUE,OR(H75="Yes",O75="Yes"),G75&lt;$G$2,$K$2-T75&gt;10),ROUNDDOWN($K$2-T75,0),0)</f>
        <v>512</v>
      </c>
      <c r="V75" s="176">
        <f t="shared" si="26"/>
        <v>512</v>
      </c>
      <c r="W75" s="5"/>
    </row>
    <row r="76" spans="2:23" ht="14.4" x14ac:dyDescent="0.3">
      <c r="B76" s="72">
        <v>35000</v>
      </c>
      <c r="C76" s="19">
        <f>MAX('TANF-VIEW'!L79,'TANF-VIEW'!T79)</f>
        <v>0</v>
      </c>
      <c r="D76" s="20">
        <f t="shared" si="27"/>
        <v>2916.6666666666665</v>
      </c>
      <c r="E76" s="20">
        <f>'Total income package'!$D$80</f>
        <v>0</v>
      </c>
      <c r="F76" s="20">
        <f>'Total income package'!$H$61+'Total income package'!$F$66</f>
        <v>250</v>
      </c>
      <c r="G76" s="20">
        <f t="shared" si="20"/>
        <v>3166.6666666666665</v>
      </c>
      <c r="H76" s="20" t="str">
        <f t="shared" si="14"/>
        <v>Yes</v>
      </c>
      <c r="I76" s="20">
        <f t="shared" si="15"/>
        <v>583.33333333333337</v>
      </c>
      <c r="J76" s="20">
        <f t="shared" si="16"/>
        <v>261</v>
      </c>
      <c r="K76" s="20">
        <f t="shared" si="17"/>
        <v>2322.333333333333</v>
      </c>
      <c r="L76" s="20">
        <f t="shared" si="21"/>
        <v>700</v>
      </c>
      <c r="M76" s="20">
        <f>'Total income package'!$B$69</f>
        <v>500</v>
      </c>
      <c r="N76" s="20">
        <f t="shared" si="22"/>
        <v>1200</v>
      </c>
      <c r="O76" s="344" t="str">
        <f t="shared" si="23"/>
        <v>Yes</v>
      </c>
      <c r="P76" s="20">
        <f t="shared" si="24"/>
        <v>1161.1666666666665</v>
      </c>
      <c r="Q76" s="346">
        <f t="shared" si="18"/>
        <v>0</v>
      </c>
      <c r="R76" s="20">
        <f>IF(AND(D$2+$E$2&gt;0,N76-SNAP!P76&gt;0),N76-SNAP!P76,0)</f>
        <v>38.833333333333485</v>
      </c>
      <c r="S76" s="20">
        <f t="shared" si="25"/>
        <v>2283.4999999999995</v>
      </c>
      <c r="T76" s="20">
        <f t="shared" si="19"/>
        <v>685.04999999999984</v>
      </c>
      <c r="U76" s="20">
        <f>IF(AND('Total income package'!$A$18=TRUE,OR(H76="Yes",O76="Yes"),G76&lt;$G$2,$K$2-T76&gt;10),ROUNDDOWN($K$2-T76,0),0)</f>
        <v>497</v>
      </c>
      <c r="V76" s="176">
        <f t="shared" si="26"/>
        <v>497</v>
      </c>
      <c r="W76" s="5"/>
    </row>
    <row r="77" spans="2:23" ht="14.4" x14ac:dyDescent="0.3">
      <c r="B77" s="72">
        <v>35500</v>
      </c>
      <c r="C77" s="19">
        <f>MAX('TANF-VIEW'!L80,'TANF-VIEW'!T80)</f>
        <v>0</v>
      </c>
      <c r="D77" s="20">
        <f t="shared" si="27"/>
        <v>2958.3333333333335</v>
      </c>
      <c r="E77" s="20">
        <f>'Total income package'!$D$80</f>
        <v>0</v>
      </c>
      <c r="F77" s="20">
        <f>'Total income package'!$H$61+'Total income package'!$F$66</f>
        <v>250</v>
      </c>
      <c r="G77" s="20">
        <f t="shared" si="20"/>
        <v>3208.3333333333335</v>
      </c>
      <c r="H77" s="20" t="str">
        <f t="shared" si="14"/>
        <v>Yes</v>
      </c>
      <c r="I77" s="20">
        <f t="shared" si="15"/>
        <v>591.66666666666674</v>
      </c>
      <c r="J77" s="20">
        <f t="shared" si="16"/>
        <v>261</v>
      </c>
      <c r="K77" s="20">
        <f t="shared" si="17"/>
        <v>2355.666666666667</v>
      </c>
      <c r="L77" s="20">
        <f t="shared" si="21"/>
        <v>700</v>
      </c>
      <c r="M77" s="20">
        <f>'Total income package'!$B$69</f>
        <v>500</v>
      </c>
      <c r="N77" s="20">
        <f t="shared" si="22"/>
        <v>1200</v>
      </c>
      <c r="O77" s="344" t="str">
        <f t="shared" si="23"/>
        <v>Yes</v>
      </c>
      <c r="P77" s="20">
        <f t="shared" si="24"/>
        <v>1177.8333333333335</v>
      </c>
      <c r="Q77" s="346">
        <f t="shared" si="18"/>
        <v>0</v>
      </c>
      <c r="R77" s="20">
        <f>IF(AND(D$2+$E$2&gt;0,N77-SNAP!P77&gt;0),N77-SNAP!P77,0)</f>
        <v>22.166666666666515</v>
      </c>
      <c r="S77" s="20">
        <f t="shared" si="25"/>
        <v>2333.5000000000005</v>
      </c>
      <c r="T77" s="20">
        <f t="shared" si="19"/>
        <v>700.05000000000007</v>
      </c>
      <c r="U77" s="20">
        <f>IF(AND('Total income package'!$A$18=TRUE,OR(H77="Yes",O77="Yes"),G77&lt;$G$2,$K$2-T77&gt;10),ROUNDDOWN($K$2-T77,0),0)</f>
        <v>482</v>
      </c>
      <c r="V77" s="176">
        <f t="shared" si="26"/>
        <v>482</v>
      </c>
      <c r="W77" s="5"/>
    </row>
    <row r="78" spans="2:23" ht="14.4" x14ac:dyDescent="0.3">
      <c r="B78" s="72">
        <v>36000</v>
      </c>
      <c r="C78" s="19">
        <f>MAX('TANF-VIEW'!L81,'TANF-VIEW'!T81)</f>
        <v>0</v>
      </c>
      <c r="D78" s="20">
        <f t="shared" si="27"/>
        <v>3000</v>
      </c>
      <c r="E78" s="20">
        <f>'Total income package'!$D$80</f>
        <v>0</v>
      </c>
      <c r="F78" s="20">
        <f>'Total income package'!$H$61+'Total income package'!$F$66</f>
        <v>250</v>
      </c>
      <c r="G78" s="20">
        <f t="shared" si="20"/>
        <v>3250</v>
      </c>
      <c r="H78" s="20" t="str">
        <f t="shared" si="14"/>
        <v>Yes</v>
      </c>
      <c r="I78" s="20">
        <f t="shared" si="15"/>
        <v>600</v>
      </c>
      <c r="J78" s="20">
        <f t="shared" si="16"/>
        <v>261</v>
      </c>
      <c r="K78" s="20">
        <f t="shared" si="17"/>
        <v>2389</v>
      </c>
      <c r="L78" s="20">
        <f t="shared" si="21"/>
        <v>700</v>
      </c>
      <c r="M78" s="20">
        <f>'Total income package'!$B$69</f>
        <v>500</v>
      </c>
      <c r="N78" s="20">
        <f t="shared" si="22"/>
        <v>1200</v>
      </c>
      <c r="O78" s="344" t="str">
        <f t="shared" si="23"/>
        <v>Yes</v>
      </c>
      <c r="P78" s="20">
        <f t="shared" si="24"/>
        <v>1194.5</v>
      </c>
      <c r="Q78" s="346">
        <f t="shared" si="18"/>
        <v>0</v>
      </c>
      <c r="R78" s="20">
        <f>IF(AND(D$2+$E$2&gt;0,N78-SNAP!P78&gt;0),N78-SNAP!P78,0)</f>
        <v>5.5</v>
      </c>
      <c r="S78" s="20">
        <f t="shared" si="25"/>
        <v>2383.5</v>
      </c>
      <c r="T78" s="20">
        <f t="shared" si="19"/>
        <v>715.05</v>
      </c>
      <c r="U78" s="20">
        <f>IF(AND('Total income package'!$A$18=TRUE,OR(H78="Yes",O78="Yes"),G78&lt;$G$2,$K$2-T78&gt;10),ROUNDDOWN($K$2-T78,0),0)</f>
        <v>467</v>
      </c>
      <c r="V78" s="176">
        <f t="shared" si="26"/>
        <v>467</v>
      </c>
      <c r="W78" s="5"/>
    </row>
    <row r="79" spans="2:23" ht="14.4" x14ac:dyDescent="0.3">
      <c r="B79" s="72">
        <v>36500</v>
      </c>
      <c r="C79" s="19">
        <f>MAX('TANF-VIEW'!L82,'TANF-VIEW'!T82)</f>
        <v>0</v>
      </c>
      <c r="D79" s="20">
        <f t="shared" si="27"/>
        <v>3041.6666666666665</v>
      </c>
      <c r="E79" s="20">
        <f>'Total income package'!$D$80</f>
        <v>0</v>
      </c>
      <c r="F79" s="20">
        <f>'Total income package'!$H$61+'Total income package'!$F$66</f>
        <v>250</v>
      </c>
      <c r="G79" s="20">
        <f t="shared" si="20"/>
        <v>3291.6666666666665</v>
      </c>
      <c r="H79" s="20" t="str">
        <f t="shared" si="14"/>
        <v>Yes</v>
      </c>
      <c r="I79" s="20">
        <f t="shared" si="15"/>
        <v>608.33333333333337</v>
      </c>
      <c r="J79" s="20">
        <f t="shared" si="16"/>
        <v>261</v>
      </c>
      <c r="K79" s="20">
        <f t="shared" si="17"/>
        <v>2422.333333333333</v>
      </c>
      <c r="L79" s="20">
        <f t="shared" si="21"/>
        <v>700</v>
      </c>
      <c r="M79" s="20">
        <f>'Total income package'!$B$69</f>
        <v>500</v>
      </c>
      <c r="N79" s="20">
        <f t="shared" si="22"/>
        <v>1200</v>
      </c>
      <c r="O79" s="344" t="str">
        <f t="shared" si="23"/>
        <v>Yes</v>
      </c>
      <c r="P79" s="20">
        <f t="shared" si="24"/>
        <v>1211.1666666666665</v>
      </c>
      <c r="Q79" s="346">
        <f t="shared" si="18"/>
        <v>0</v>
      </c>
      <c r="R79" s="20">
        <f>IF(AND(D$2+$E$2&gt;0,N79-SNAP!P79&gt;0),N79-SNAP!P79,0)</f>
        <v>0</v>
      </c>
      <c r="S79" s="20">
        <f t="shared" si="25"/>
        <v>2422.333333333333</v>
      </c>
      <c r="T79" s="20">
        <f t="shared" si="19"/>
        <v>726.69999999999993</v>
      </c>
      <c r="U79" s="20">
        <f>IF(AND('Total income package'!$A$18=TRUE,OR(H79="Yes",O79="Yes"),G79&lt;$G$2,$K$2-T79&gt;10),ROUNDDOWN($K$2-T79,0),0)</f>
        <v>456</v>
      </c>
      <c r="V79" s="176">
        <f t="shared" si="26"/>
        <v>456</v>
      </c>
      <c r="W79" s="5"/>
    </row>
    <row r="80" spans="2:23" ht="14.4" x14ac:dyDescent="0.3">
      <c r="B80" s="72">
        <v>37000</v>
      </c>
      <c r="C80" s="19">
        <f>MAX('TANF-VIEW'!L83,'TANF-VIEW'!T83)</f>
        <v>0</v>
      </c>
      <c r="D80" s="20">
        <f t="shared" si="27"/>
        <v>3083.3333333333335</v>
      </c>
      <c r="E80" s="20">
        <f>'Total income package'!$D$80</f>
        <v>0</v>
      </c>
      <c r="F80" s="20">
        <f>'Total income package'!$H$61+'Total income package'!$F$66</f>
        <v>250</v>
      </c>
      <c r="G80" s="20">
        <f t="shared" si="20"/>
        <v>3333.3333333333335</v>
      </c>
      <c r="H80" s="20" t="str">
        <f t="shared" si="14"/>
        <v>Yes</v>
      </c>
      <c r="I80" s="20">
        <f t="shared" si="15"/>
        <v>616.66666666666674</v>
      </c>
      <c r="J80" s="20">
        <f t="shared" si="16"/>
        <v>261</v>
      </c>
      <c r="K80" s="20">
        <f t="shared" si="17"/>
        <v>2455.666666666667</v>
      </c>
      <c r="L80" s="20">
        <f t="shared" si="21"/>
        <v>700</v>
      </c>
      <c r="M80" s="20">
        <f>'Total income package'!$B$69</f>
        <v>500</v>
      </c>
      <c r="N80" s="20">
        <f t="shared" si="22"/>
        <v>1200</v>
      </c>
      <c r="O80" s="344" t="str">
        <f t="shared" si="23"/>
        <v>Yes</v>
      </c>
      <c r="P80" s="20">
        <f t="shared" si="24"/>
        <v>1227.8333333333335</v>
      </c>
      <c r="Q80" s="346">
        <f t="shared" si="18"/>
        <v>0</v>
      </c>
      <c r="R80" s="20">
        <f>IF(AND(D$2+$E$2&gt;0,N80-SNAP!P80&gt;0),N80-SNAP!P80,0)</f>
        <v>0</v>
      </c>
      <c r="S80" s="20">
        <f t="shared" si="25"/>
        <v>2455.666666666667</v>
      </c>
      <c r="T80" s="20">
        <f t="shared" si="19"/>
        <v>736.7</v>
      </c>
      <c r="U80" s="20">
        <f>IF(AND('Total income package'!$A$18=TRUE,OR(H80="Yes",O80="Yes"),G80&lt;$G$2,$K$2-T80&gt;10),ROUNDDOWN($K$2-T80,0),0)</f>
        <v>446</v>
      </c>
      <c r="V80" s="176">
        <f t="shared" si="26"/>
        <v>446</v>
      </c>
      <c r="W80" s="5"/>
    </row>
    <row r="81" spans="2:23" ht="14.4" x14ac:dyDescent="0.3">
      <c r="B81" s="72">
        <v>37500</v>
      </c>
      <c r="C81" s="19">
        <f>MAX('TANF-VIEW'!L84,'TANF-VIEW'!T84)</f>
        <v>0</v>
      </c>
      <c r="D81" s="20">
        <f t="shared" si="27"/>
        <v>3125</v>
      </c>
      <c r="E81" s="20">
        <f>'Total income package'!$D$80</f>
        <v>0</v>
      </c>
      <c r="F81" s="20">
        <f>'Total income package'!$H$61+'Total income package'!$F$66</f>
        <v>250</v>
      </c>
      <c r="G81" s="20">
        <f t="shared" si="20"/>
        <v>3375</v>
      </c>
      <c r="H81" s="20" t="str">
        <f t="shared" si="14"/>
        <v>Yes</v>
      </c>
      <c r="I81" s="20">
        <f t="shared" si="15"/>
        <v>625</v>
      </c>
      <c r="J81" s="20">
        <f t="shared" si="16"/>
        <v>261</v>
      </c>
      <c r="K81" s="20">
        <f t="shared" si="17"/>
        <v>2489</v>
      </c>
      <c r="L81" s="20">
        <f t="shared" si="21"/>
        <v>700</v>
      </c>
      <c r="M81" s="20">
        <f>'Total income package'!$B$69</f>
        <v>500</v>
      </c>
      <c r="N81" s="20">
        <f t="shared" si="22"/>
        <v>1200</v>
      </c>
      <c r="O81" s="344" t="str">
        <f t="shared" si="23"/>
        <v>Yes</v>
      </c>
      <c r="P81" s="20">
        <f t="shared" si="24"/>
        <v>1244.5</v>
      </c>
      <c r="Q81" s="346">
        <f t="shared" si="18"/>
        <v>0</v>
      </c>
      <c r="R81" s="20">
        <f>IF(AND(D$2+$E$2&gt;0,N81-SNAP!P81&gt;0),N81-SNAP!P81,0)</f>
        <v>0</v>
      </c>
      <c r="S81" s="20">
        <f t="shared" si="25"/>
        <v>2489</v>
      </c>
      <c r="T81" s="20">
        <f t="shared" si="19"/>
        <v>746.69999999999993</v>
      </c>
      <c r="U81" s="20">
        <f>IF(AND('Total income package'!$A$18=TRUE,OR(H81="Yes",O81="Yes"),G81&lt;$G$2,$K$2-T81&gt;10),ROUNDDOWN($K$2-T81,0),0)</f>
        <v>436</v>
      </c>
      <c r="V81" s="176">
        <f t="shared" si="26"/>
        <v>436</v>
      </c>
      <c r="W81" s="5"/>
    </row>
    <row r="82" spans="2:23" ht="14.4" x14ac:dyDescent="0.3">
      <c r="B82" s="72">
        <v>38000</v>
      </c>
      <c r="C82" s="19">
        <f>MAX('TANF-VIEW'!L85,'TANF-VIEW'!T85)</f>
        <v>0</v>
      </c>
      <c r="D82" s="20">
        <f t="shared" si="27"/>
        <v>3166.6666666666665</v>
      </c>
      <c r="E82" s="20">
        <f>'Total income package'!$D$80</f>
        <v>0</v>
      </c>
      <c r="F82" s="20">
        <f>'Total income package'!$H$61+'Total income package'!$F$66</f>
        <v>250</v>
      </c>
      <c r="G82" s="20">
        <f t="shared" si="20"/>
        <v>3416.6666666666665</v>
      </c>
      <c r="H82" s="20" t="str">
        <f t="shared" si="14"/>
        <v>Yes</v>
      </c>
      <c r="I82" s="20">
        <f t="shared" si="15"/>
        <v>633.33333333333337</v>
      </c>
      <c r="J82" s="20">
        <f t="shared" si="16"/>
        <v>261</v>
      </c>
      <c r="K82" s="20">
        <f t="shared" si="17"/>
        <v>2522.333333333333</v>
      </c>
      <c r="L82" s="20">
        <f t="shared" si="21"/>
        <v>700</v>
      </c>
      <c r="M82" s="20">
        <f>'Total income package'!$B$69</f>
        <v>500</v>
      </c>
      <c r="N82" s="20">
        <f t="shared" si="22"/>
        <v>1200</v>
      </c>
      <c r="O82" s="344" t="str">
        <f t="shared" si="23"/>
        <v>Yes</v>
      </c>
      <c r="P82" s="20">
        <f t="shared" si="24"/>
        <v>1261.1666666666665</v>
      </c>
      <c r="Q82" s="346">
        <f t="shared" si="18"/>
        <v>0</v>
      </c>
      <c r="R82" s="20">
        <f>IF(AND(D$2+$E$2&gt;0,N82-SNAP!P82&gt;0),N82-SNAP!P82,0)</f>
        <v>0</v>
      </c>
      <c r="S82" s="20">
        <f t="shared" si="25"/>
        <v>2522.333333333333</v>
      </c>
      <c r="T82" s="20">
        <f t="shared" si="19"/>
        <v>756.69999999999993</v>
      </c>
      <c r="U82" s="20">
        <f>IF(AND('Total income package'!$A$18=TRUE,OR(H82="Yes",O82="Yes"),G82&lt;$G$2,$K$2-T82&gt;10),ROUNDDOWN($K$2-T82,0),0)</f>
        <v>426</v>
      </c>
      <c r="V82" s="176">
        <f t="shared" si="26"/>
        <v>426</v>
      </c>
      <c r="W82" s="5"/>
    </row>
    <row r="83" spans="2:23" ht="14.4" x14ac:dyDescent="0.3">
      <c r="B83" s="72">
        <v>38500</v>
      </c>
      <c r="C83" s="19">
        <f>MAX('TANF-VIEW'!L86,'TANF-VIEW'!T86)</f>
        <v>0</v>
      </c>
      <c r="D83" s="20">
        <f t="shared" si="27"/>
        <v>3208.3333333333335</v>
      </c>
      <c r="E83" s="20">
        <f>'Total income package'!$D$80</f>
        <v>0</v>
      </c>
      <c r="F83" s="20">
        <f>'Total income package'!$H$61+'Total income package'!$F$66</f>
        <v>250</v>
      </c>
      <c r="G83" s="20">
        <f t="shared" si="20"/>
        <v>3458.3333333333335</v>
      </c>
      <c r="H83" s="20" t="str">
        <f t="shared" si="14"/>
        <v>Yes</v>
      </c>
      <c r="I83" s="20">
        <f t="shared" si="15"/>
        <v>641.66666666666674</v>
      </c>
      <c r="J83" s="20">
        <f t="shared" si="16"/>
        <v>261</v>
      </c>
      <c r="K83" s="20">
        <f t="shared" si="17"/>
        <v>2555.666666666667</v>
      </c>
      <c r="L83" s="20">
        <f t="shared" si="21"/>
        <v>700</v>
      </c>
      <c r="M83" s="20">
        <f>'Total income package'!$B$69</f>
        <v>500</v>
      </c>
      <c r="N83" s="20">
        <f t="shared" si="22"/>
        <v>1200</v>
      </c>
      <c r="O83" s="344" t="str">
        <f t="shared" si="23"/>
        <v>Yes</v>
      </c>
      <c r="P83" s="20">
        <f t="shared" si="24"/>
        <v>1277.8333333333335</v>
      </c>
      <c r="Q83" s="346">
        <f t="shared" si="18"/>
        <v>0</v>
      </c>
      <c r="R83" s="20">
        <f>IF(AND(D$2+$E$2&gt;0,N83-SNAP!P83&gt;0),N83-SNAP!P83,0)</f>
        <v>0</v>
      </c>
      <c r="S83" s="20">
        <f t="shared" si="25"/>
        <v>2555.666666666667</v>
      </c>
      <c r="T83" s="20">
        <f t="shared" si="19"/>
        <v>766.7</v>
      </c>
      <c r="U83" s="20">
        <f>IF(AND('Total income package'!$A$18=TRUE,OR(H83="Yes",O83="Yes"),G83&lt;$G$2,$K$2-T83&gt;10),ROUNDDOWN($K$2-T83,0),0)</f>
        <v>416</v>
      </c>
      <c r="V83" s="176">
        <f t="shared" si="26"/>
        <v>416</v>
      </c>
      <c r="W83" s="5"/>
    </row>
    <row r="84" spans="2:23" ht="14.4" x14ac:dyDescent="0.3">
      <c r="B84" s="72">
        <v>39000</v>
      </c>
      <c r="C84" s="19">
        <f>MAX('TANF-VIEW'!L87,'TANF-VIEW'!T87)</f>
        <v>0</v>
      </c>
      <c r="D84" s="20">
        <f t="shared" si="27"/>
        <v>3250</v>
      </c>
      <c r="E84" s="20">
        <f>'Total income package'!$D$80</f>
        <v>0</v>
      </c>
      <c r="F84" s="20">
        <f>'Total income package'!$H$61+'Total income package'!$F$66</f>
        <v>250</v>
      </c>
      <c r="G84" s="20">
        <f t="shared" si="20"/>
        <v>3500</v>
      </c>
      <c r="H84" s="20" t="str">
        <f t="shared" si="14"/>
        <v>Yes</v>
      </c>
      <c r="I84" s="20">
        <f t="shared" si="15"/>
        <v>650</v>
      </c>
      <c r="J84" s="20">
        <f t="shared" si="16"/>
        <v>261</v>
      </c>
      <c r="K84" s="20">
        <f t="shared" si="17"/>
        <v>2589</v>
      </c>
      <c r="L84" s="20">
        <f t="shared" si="21"/>
        <v>700</v>
      </c>
      <c r="M84" s="20">
        <f>'Total income package'!$B$69</f>
        <v>500</v>
      </c>
      <c r="N84" s="20">
        <f t="shared" si="22"/>
        <v>1200</v>
      </c>
      <c r="O84" s="344" t="str">
        <f t="shared" si="23"/>
        <v>Yes</v>
      </c>
      <c r="P84" s="20">
        <f t="shared" si="24"/>
        <v>1294.5</v>
      </c>
      <c r="Q84" s="346">
        <f t="shared" si="18"/>
        <v>0</v>
      </c>
      <c r="R84" s="20">
        <f>IF(AND(D$2+$E$2&gt;0,N84-SNAP!P84&gt;0),N84-SNAP!P84,0)</f>
        <v>0</v>
      </c>
      <c r="S84" s="20">
        <f t="shared" si="25"/>
        <v>2589</v>
      </c>
      <c r="T84" s="20">
        <f t="shared" si="19"/>
        <v>776.69999999999993</v>
      </c>
      <c r="U84" s="20">
        <f>IF(AND('Total income package'!$A$18=TRUE,OR(H84="Yes",O84="Yes"),G84&lt;$G$2,$K$2-T84&gt;10),ROUNDDOWN($K$2-T84,0),0)</f>
        <v>406</v>
      </c>
      <c r="V84" s="176">
        <f t="shared" si="26"/>
        <v>406</v>
      </c>
      <c r="W84" s="5"/>
    </row>
    <row r="85" spans="2:23" ht="14.4" x14ac:dyDescent="0.3">
      <c r="B85" s="72">
        <v>39500</v>
      </c>
      <c r="C85" s="19">
        <f>MAX('TANF-VIEW'!L88,'TANF-VIEW'!T88)</f>
        <v>0</v>
      </c>
      <c r="D85" s="20">
        <f t="shared" si="27"/>
        <v>3291.6666666666665</v>
      </c>
      <c r="E85" s="20">
        <f>'Total income package'!$D$80</f>
        <v>0</v>
      </c>
      <c r="F85" s="20">
        <f>'Total income package'!$H$61+'Total income package'!$F$66</f>
        <v>250</v>
      </c>
      <c r="G85" s="20">
        <f t="shared" si="20"/>
        <v>3541.6666666666665</v>
      </c>
      <c r="H85" s="20" t="str">
        <f t="shared" si="14"/>
        <v>Yes</v>
      </c>
      <c r="I85" s="20">
        <f t="shared" si="15"/>
        <v>658.33333333333337</v>
      </c>
      <c r="J85" s="20">
        <f t="shared" si="16"/>
        <v>261</v>
      </c>
      <c r="K85" s="20">
        <f t="shared" si="17"/>
        <v>2622.333333333333</v>
      </c>
      <c r="L85" s="20">
        <f t="shared" si="21"/>
        <v>700</v>
      </c>
      <c r="M85" s="20">
        <f>'Total income package'!$B$69</f>
        <v>500</v>
      </c>
      <c r="N85" s="20">
        <f t="shared" si="22"/>
        <v>1200</v>
      </c>
      <c r="O85" s="344" t="str">
        <f t="shared" si="23"/>
        <v>Yes</v>
      </c>
      <c r="P85" s="20">
        <f t="shared" si="24"/>
        <v>1311.1666666666665</v>
      </c>
      <c r="Q85" s="346">
        <f t="shared" si="18"/>
        <v>0</v>
      </c>
      <c r="R85" s="20">
        <f>IF(AND(D$2+$E$2&gt;0,N85-SNAP!P85&gt;0),N85-SNAP!P85,0)</f>
        <v>0</v>
      </c>
      <c r="S85" s="20">
        <f t="shared" si="25"/>
        <v>2622.333333333333</v>
      </c>
      <c r="T85" s="20">
        <f t="shared" si="19"/>
        <v>786.69999999999993</v>
      </c>
      <c r="U85" s="20">
        <f>IF(AND('Total income package'!$A$18=TRUE,OR(H85="Yes",O85="Yes"),G85&lt;$G$2,$K$2-T85&gt;10),ROUNDDOWN($K$2-T85,0),0)</f>
        <v>396</v>
      </c>
      <c r="V85" s="176">
        <f t="shared" si="26"/>
        <v>396</v>
      </c>
      <c r="W85" s="5"/>
    </row>
    <row r="86" spans="2:23" ht="14.4" x14ac:dyDescent="0.3">
      <c r="B86" s="72">
        <v>40000</v>
      </c>
      <c r="C86" s="19">
        <f>MAX('TANF-VIEW'!L89,'TANF-VIEW'!T89)</f>
        <v>0</v>
      </c>
      <c r="D86" s="20">
        <f t="shared" si="27"/>
        <v>3333.3333333333335</v>
      </c>
      <c r="E86" s="20">
        <f>'Total income package'!$D$80</f>
        <v>0</v>
      </c>
      <c r="F86" s="20">
        <f>'Total income package'!$H$61+'Total income package'!$F$66</f>
        <v>250</v>
      </c>
      <c r="G86" s="20">
        <f t="shared" si="20"/>
        <v>3583.3333333333335</v>
      </c>
      <c r="H86" s="20" t="str">
        <f t="shared" si="14"/>
        <v>Yes</v>
      </c>
      <c r="I86" s="20">
        <f t="shared" si="15"/>
        <v>666.66666666666674</v>
      </c>
      <c r="J86" s="20">
        <f t="shared" si="16"/>
        <v>261</v>
      </c>
      <c r="K86" s="20">
        <f t="shared" si="17"/>
        <v>2655.666666666667</v>
      </c>
      <c r="L86" s="20">
        <f t="shared" si="21"/>
        <v>700</v>
      </c>
      <c r="M86" s="20">
        <f>'Total income package'!$B$69</f>
        <v>500</v>
      </c>
      <c r="N86" s="20">
        <f t="shared" si="22"/>
        <v>1200</v>
      </c>
      <c r="O86" s="344" t="str">
        <f t="shared" si="23"/>
        <v>Yes</v>
      </c>
      <c r="P86" s="20">
        <f t="shared" si="24"/>
        <v>1327.8333333333335</v>
      </c>
      <c r="Q86" s="346">
        <f t="shared" si="18"/>
        <v>0</v>
      </c>
      <c r="R86" s="20">
        <f>IF(AND(D$2+$E$2&gt;0,N86-SNAP!P86&gt;0),N86-SNAP!P86,0)</f>
        <v>0</v>
      </c>
      <c r="S86" s="20">
        <f t="shared" si="25"/>
        <v>2655.666666666667</v>
      </c>
      <c r="T86" s="20">
        <f t="shared" si="19"/>
        <v>796.7</v>
      </c>
      <c r="U86" s="20">
        <f>IF(AND('Total income package'!$A$18=TRUE,OR(H86="Yes",O86="Yes"),G86&lt;$G$2,$K$2-T86&gt;10),ROUNDDOWN($K$2-T86,0),0)</f>
        <v>386</v>
      </c>
      <c r="V86" s="176">
        <f t="shared" si="26"/>
        <v>386</v>
      </c>
      <c r="W86" s="5"/>
    </row>
    <row r="87" spans="2:23" ht="14.4" x14ac:dyDescent="0.3">
      <c r="B87" s="72">
        <v>40500</v>
      </c>
      <c r="C87" s="19">
        <f>MAX('TANF-VIEW'!L90,'TANF-VIEW'!T90)</f>
        <v>0</v>
      </c>
      <c r="D87" s="20">
        <f t="shared" si="27"/>
        <v>3375</v>
      </c>
      <c r="E87" s="20">
        <f>'Total income package'!$D$80</f>
        <v>0</v>
      </c>
      <c r="F87" s="20">
        <f>'Total income package'!$H$61+'Total income package'!$F$66</f>
        <v>250</v>
      </c>
      <c r="G87" s="20">
        <f t="shared" si="20"/>
        <v>3625</v>
      </c>
      <c r="H87" s="20" t="str">
        <f t="shared" si="14"/>
        <v>Yes</v>
      </c>
      <c r="I87" s="20">
        <f t="shared" si="15"/>
        <v>675</v>
      </c>
      <c r="J87" s="20">
        <f t="shared" si="16"/>
        <v>261</v>
      </c>
      <c r="K87" s="20">
        <f t="shared" si="17"/>
        <v>2689</v>
      </c>
      <c r="L87" s="20">
        <f t="shared" si="21"/>
        <v>700</v>
      </c>
      <c r="M87" s="20">
        <f>'Total income package'!$B$69</f>
        <v>500</v>
      </c>
      <c r="N87" s="20">
        <f t="shared" si="22"/>
        <v>1200</v>
      </c>
      <c r="O87" s="344" t="str">
        <f t="shared" si="23"/>
        <v>Yes</v>
      </c>
      <c r="P87" s="20">
        <f t="shared" si="24"/>
        <v>1344.5</v>
      </c>
      <c r="Q87" s="346">
        <f t="shared" si="18"/>
        <v>0</v>
      </c>
      <c r="R87" s="20">
        <f>IF(AND(D$2+$E$2&gt;0,N87-SNAP!P87&gt;0),N87-SNAP!P87,0)</f>
        <v>0</v>
      </c>
      <c r="S87" s="20">
        <f t="shared" si="25"/>
        <v>2689</v>
      </c>
      <c r="T87" s="20">
        <f t="shared" si="19"/>
        <v>806.69999999999993</v>
      </c>
      <c r="U87" s="20">
        <f>IF(AND('Total income package'!$A$18=TRUE,OR(H87="Yes",O87="Yes"),G87&lt;$G$2,$K$2-T87&gt;10),ROUNDDOWN($K$2-T87,0),0)</f>
        <v>376</v>
      </c>
      <c r="V87" s="176">
        <f t="shared" si="26"/>
        <v>376</v>
      </c>
      <c r="W87" s="5"/>
    </row>
    <row r="88" spans="2:23" ht="14.4" x14ac:dyDescent="0.3">
      <c r="B88" s="72">
        <v>41000</v>
      </c>
      <c r="C88" s="19">
        <f>MAX('TANF-VIEW'!L91,'TANF-VIEW'!T91)</f>
        <v>0</v>
      </c>
      <c r="D88" s="20">
        <f t="shared" si="27"/>
        <v>3416.6666666666665</v>
      </c>
      <c r="E88" s="20">
        <f>'Total income package'!$D$80</f>
        <v>0</v>
      </c>
      <c r="F88" s="20">
        <f>'Total income package'!$H$61+'Total income package'!$F$66</f>
        <v>250</v>
      </c>
      <c r="G88" s="20">
        <f t="shared" si="20"/>
        <v>3666.6666666666665</v>
      </c>
      <c r="H88" s="20" t="str">
        <f t="shared" si="14"/>
        <v>Yes</v>
      </c>
      <c r="I88" s="20">
        <f t="shared" si="15"/>
        <v>683.33333333333337</v>
      </c>
      <c r="J88" s="20">
        <f t="shared" si="16"/>
        <v>261</v>
      </c>
      <c r="K88" s="20">
        <f t="shared" si="17"/>
        <v>2722.333333333333</v>
      </c>
      <c r="L88" s="20">
        <f t="shared" si="21"/>
        <v>700</v>
      </c>
      <c r="M88" s="20">
        <f>'Total income package'!$B$69</f>
        <v>500</v>
      </c>
      <c r="N88" s="20">
        <f t="shared" si="22"/>
        <v>1200</v>
      </c>
      <c r="O88" s="344" t="str">
        <f t="shared" si="23"/>
        <v>Yes</v>
      </c>
      <c r="P88" s="20">
        <f t="shared" si="24"/>
        <v>1361.1666666666665</v>
      </c>
      <c r="Q88" s="346">
        <f t="shared" si="18"/>
        <v>0</v>
      </c>
      <c r="R88" s="20">
        <f>IF(AND(D$2+$E$2&gt;0,N88-SNAP!P88&gt;0),N88-SNAP!P88,0)</f>
        <v>0</v>
      </c>
      <c r="S88" s="20">
        <f t="shared" si="25"/>
        <v>2722.333333333333</v>
      </c>
      <c r="T88" s="20">
        <f t="shared" si="19"/>
        <v>816.69999999999993</v>
      </c>
      <c r="U88" s="20">
        <f>IF(AND('Total income package'!$A$18=TRUE,OR(H88="Yes",O88="Yes"),G88&lt;$G$2,$K$2-T88&gt;10),ROUNDDOWN($K$2-T88,0),0)</f>
        <v>366</v>
      </c>
      <c r="V88" s="176">
        <f t="shared" si="26"/>
        <v>366</v>
      </c>
      <c r="W88" s="5"/>
    </row>
    <row r="89" spans="2:23" ht="14.4" x14ac:dyDescent="0.3">
      <c r="B89" s="72">
        <v>41500</v>
      </c>
      <c r="C89" s="19">
        <f>MAX('TANF-VIEW'!L92,'TANF-VIEW'!T92)</f>
        <v>0</v>
      </c>
      <c r="D89" s="20">
        <f t="shared" si="27"/>
        <v>3458.3333333333335</v>
      </c>
      <c r="E89" s="20">
        <f>'Total income package'!$D$80</f>
        <v>0</v>
      </c>
      <c r="F89" s="20">
        <f>'Total income package'!$H$61+'Total income package'!$F$66</f>
        <v>250</v>
      </c>
      <c r="G89" s="20">
        <f t="shared" si="20"/>
        <v>3708.3333333333335</v>
      </c>
      <c r="H89" s="20" t="str">
        <f t="shared" si="14"/>
        <v>Yes</v>
      </c>
      <c r="I89" s="20">
        <f t="shared" si="15"/>
        <v>691.66666666666674</v>
      </c>
      <c r="J89" s="20">
        <f t="shared" si="16"/>
        <v>261</v>
      </c>
      <c r="K89" s="20">
        <f t="shared" si="17"/>
        <v>2755.666666666667</v>
      </c>
      <c r="L89" s="20">
        <f t="shared" si="21"/>
        <v>700</v>
      </c>
      <c r="M89" s="20">
        <f>'Total income package'!$B$69</f>
        <v>500</v>
      </c>
      <c r="N89" s="20">
        <f t="shared" si="22"/>
        <v>1200</v>
      </c>
      <c r="O89" s="344" t="str">
        <f t="shared" si="23"/>
        <v>Yes</v>
      </c>
      <c r="P89" s="20">
        <f t="shared" si="24"/>
        <v>1377.8333333333335</v>
      </c>
      <c r="Q89" s="346">
        <f t="shared" si="18"/>
        <v>0</v>
      </c>
      <c r="R89" s="20">
        <f>IF(AND(D$2+$E$2&gt;0,N89-SNAP!P89&gt;0),N89-SNAP!P89,0)</f>
        <v>0</v>
      </c>
      <c r="S89" s="20">
        <f t="shared" si="25"/>
        <v>2755.666666666667</v>
      </c>
      <c r="T89" s="20">
        <f t="shared" si="19"/>
        <v>826.7</v>
      </c>
      <c r="U89" s="20">
        <f>IF(AND('Total income package'!$A$18=TRUE,OR(H89="Yes",O89="Yes"),G89&lt;$G$2,$K$2-T89&gt;10),ROUNDDOWN($K$2-T89,0),0)</f>
        <v>356</v>
      </c>
      <c r="V89" s="176">
        <f t="shared" si="26"/>
        <v>356</v>
      </c>
      <c r="W89" s="5"/>
    </row>
    <row r="90" spans="2:23" ht="14.4" x14ac:dyDescent="0.3">
      <c r="B90" s="72">
        <v>42000</v>
      </c>
      <c r="C90" s="19">
        <f>MAX('TANF-VIEW'!L93,'TANF-VIEW'!T93)</f>
        <v>0</v>
      </c>
      <c r="D90" s="20">
        <f t="shared" si="27"/>
        <v>3500</v>
      </c>
      <c r="E90" s="20">
        <f>'Total income package'!$D$80</f>
        <v>0</v>
      </c>
      <c r="F90" s="20">
        <f>'Total income package'!$H$61+'Total income package'!$F$66</f>
        <v>250</v>
      </c>
      <c r="G90" s="20">
        <f t="shared" si="20"/>
        <v>3750</v>
      </c>
      <c r="H90" s="20" t="str">
        <f t="shared" si="14"/>
        <v>Yes</v>
      </c>
      <c r="I90" s="20">
        <f t="shared" si="15"/>
        <v>700</v>
      </c>
      <c r="J90" s="20">
        <f t="shared" si="16"/>
        <v>261</v>
      </c>
      <c r="K90" s="20">
        <f t="shared" si="17"/>
        <v>2789</v>
      </c>
      <c r="L90" s="20">
        <f t="shared" si="21"/>
        <v>700</v>
      </c>
      <c r="M90" s="20">
        <f>'Total income package'!$B$69</f>
        <v>500</v>
      </c>
      <c r="N90" s="20">
        <f t="shared" si="22"/>
        <v>1200</v>
      </c>
      <c r="O90" s="344" t="str">
        <f t="shared" si="23"/>
        <v>Yes</v>
      </c>
      <c r="P90" s="20">
        <f t="shared" si="24"/>
        <v>1394.5</v>
      </c>
      <c r="Q90" s="346">
        <f t="shared" si="18"/>
        <v>0</v>
      </c>
      <c r="R90" s="20">
        <f>IF(AND(D$2+$E$2&gt;0,N90-SNAP!P90&gt;0),N90-SNAP!P90,0)</f>
        <v>0</v>
      </c>
      <c r="S90" s="20">
        <f t="shared" si="25"/>
        <v>2789</v>
      </c>
      <c r="T90" s="20">
        <f t="shared" si="19"/>
        <v>836.69999999999993</v>
      </c>
      <c r="U90" s="20">
        <f>IF(AND('Total income package'!$A$18=TRUE,OR(H90="Yes",O90="Yes"),G90&lt;$G$2,$K$2-T90&gt;10),ROUNDDOWN($K$2-T90,0),0)</f>
        <v>346</v>
      </c>
      <c r="V90" s="176">
        <f t="shared" si="26"/>
        <v>346</v>
      </c>
      <c r="W90" s="5"/>
    </row>
    <row r="91" spans="2:23" ht="14.4" x14ac:dyDescent="0.3">
      <c r="B91" s="72">
        <v>42500</v>
      </c>
      <c r="C91" s="19">
        <f>MAX('TANF-VIEW'!L94,'TANF-VIEW'!T94)</f>
        <v>0</v>
      </c>
      <c r="D91" s="20">
        <f t="shared" si="27"/>
        <v>3541.6666666666665</v>
      </c>
      <c r="E91" s="20">
        <f>'Total income package'!$D$80</f>
        <v>0</v>
      </c>
      <c r="F91" s="20">
        <f>'Total income package'!$H$61+'Total income package'!$F$66</f>
        <v>250</v>
      </c>
      <c r="G91" s="20">
        <f t="shared" si="20"/>
        <v>3791.6666666666665</v>
      </c>
      <c r="H91" s="20" t="str">
        <f t="shared" si="14"/>
        <v>Yes</v>
      </c>
      <c r="I91" s="20">
        <f t="shared" si="15"/>
        <v>708.33333333333337</v>
      </c>
      <c r="J91" s="20">
        <f t="shared" si="16"/>
        <v>261</v>
      </c>
      <c r="K91" s="20">
        <f t="shared" si="17"/>
        <v>2822.333333333333</v>
      </c>
      <c r="L91" s="20">
        <f t="shared" si="21"/>
        <v>700</v>
      </c>
      <c r="M91" s="20">
        <f>'Total income package'!$B$69</f>
        <v>500</v>
      </c>
      <c r="N91" s="20">
        <f t="shared" si="22"/>
        <v>1200</v>
      </c>
      <c r="O91" s="344" t="str">
        <f t="shared" si="23"/>
        <v>Yes</v>
      </c>
      <c r="P91" s="20">
        <f t="shared" si="24"/>
        <v>1411.1666666666665</v>
      </c>
      <c r="Q91" s="346">
        <f t="shared" si="18"/>
        <v>0</v>
      </c>
      <c r="R91" s="20">
        <f>IF(AND(D$2+$E$2&gt;0,N91-SNAP!P91&gt;0),N91-SNAP!P91,0)</f>
        <v>0</v>
      </c>
      <c r="S91" s="20">
        <f t="shared" si="25"/>
        <v>2822.333333333333</v>
      </c>
      <c r="T91" s="20">
        <f t="shared" si="19"/>
        <v>846.69999999999993</v>
      </c>
      <c r="U91" s="20">
        <f>IF(AND('Total income package'!$A$18=TRUE,OR(H91="Yes",O91="Yes"),G91&lt;$G$2,$K$2-T91&gt;10),ROUNDDOWN($K$2-T91,0),0)</f>
        <v>336</v>
      </c>
      <c r="V91" s="176">
        <f t="shared" si="26"/>
        <v>336</v>
      </c>
      <c r="W91" s="5"/>
    </row>
    <row r="92" spans="2:23" ht="14.4" x14ac:dyDescent="0.3">
      <c r="B92" s="72">
        <v>43000</v>
      </c>
      <c r="C92" s="19">
        <f>MAX('TANF-VIEW'!L95,'TANF-VIEW'!T95)</f>
        <v>0</v>
      </c>
      <c r="D92" s="20">
        <f t="shared" si="27"/>
        <v>3583.3333333333335</v>
      </c>
      <c r="E92" s="20">
        <f>'Total income package'!$D$80</f>
        <v>0</v>
      </c>
      <c r="F92" s="20">
        <f>'Total income package'!$H$61+'Total income package'!$F$66</f>
        <v>250</v>
      </c>
      <c r="G92" s="20">
        <f t="shared" si="20"/>
        <v>3833.3333333333335</v>
      </c>
      <c r="H92" s="20" t="str">
        <f t="shared" si="14"/>
        <v>Yes</v>
      </c>
      <c r="I92" s="20">
        <f t="shared" si="15"/>
        <v>716.66666666666674</v>
      </c>
      <c r="J92" s="20">
        <f t="shared" si="16"/>
        <v>261</v>
      </c>
      <c r="K92" s="20">
        <f t="shared" si="17"/>
        <v>2855.666666666667</v>
      </c>
      <c r="L92" s="20">
        <f t="shared" si="21"/>
        <v>700</v>
      </c>
      <c r="M92" s="20">
        <f>'Total income package'!$B$69</f>
        <v>500</v>
      </c>
      <c r="N92" s="20">
        <f t="shared" si="22"/>
        <v>1200</v>
      </c>
      <c r="O92" s="344" t="str">
        <f t="shared" si="23"/>
        <v>Yes</v>
      </c>
      <c r="P92" s="20">
        <f t="shared" si="24"/>
        <v>1427.8333333333335</v>
      </c>
      <c r="Q92" s="346">
        <f t="shared" si="18"/>
        <v>0</v>
      </c>
      <c r="R92" s="20">
        <f>IF(AND(D$2+$E$2&gt;0,N92-SNAP!P92&gt;0),N92-SNAP!P92,0)</f>
        <v>0</v>
      </c>
      <c r="S92" s="20">
        <f t="shared" si="25"/>
        <v>2855.666666666667</v>
      </c>
      <c r="T92" s="20">
        <f t="shared" si="19"/>
        <v>856.7</v>
      </c>
      <c r="U92" s="20">
        <f>IF(AND('Total income package'!$A$18=TRUE,OR(H92="Yes",O92="Yes"),G92&lt;$G$2,$K$2-T92&gt;10),ROUNDDOWN($K$2-T92,0),0)</f>
        <v>326</v>
      </c>
      <c r="V92" s="176">
        <f t="shared" si="26"/>
        <v>326</v>
      </c>
      <c r="W92" s="5"/>
    </row>
    <row r="93" spans="2:23" ht="14.4" x14ac:dyDescent="0.3">
      <c r="B93" s="72">
        <v>43500</v>
      </c>
      <c r="C93" s="19">
        <f>MAX('TANF-VIEW'!L96,'TANF-VIEW'!T96)</f>
        <v>0</v>
      </c>
      <c r="D93" s="20">
        <f t="shared" si="27"/>
        <v>3625</v>
      </c>
      <c r="E93" s="20">
        <f>'Total income package'!$D$80</f>
        <v>0</v>
      </c>
      <c r="F93" s="20">
        <f>'Total income package'!$H$61+'Total income package'!$F$66</f>
        <v>250</v>
      </c>
      <c r="G93" s="20">
        <f t="shared" si="20"/>
        <v>3875</v>
      </c>
      <c r="H93" s="20" t="str">
        <f t="shared" si="14"/>
        <v>Yes</v>
      </c>
      <c r="I93" s="20">
        <f t="shared" si="15"/>
        <v>725</v>
      </c>
      <c r="J93" s="20">
        <f t="shared" si="16"/>
        <v>261</v>
      </c>
      <c r="K93" s="20">
        <f t="shared" si="17"/>
        <v>2889</v>
      </c>
      <c r="L93" s="20">
        <f t="shared" si="21"/>
        <v>700</v>
      </c>
      <c r="M93" s="20">
        <f>'Total income package'!$B$69</f>
        <v>500</v>
      </c>
      <c r="N93" s="20">
        <f t="shared" si="22"/>
        <v>1200</v>
      </c>
      <c r="O93" s="344" t="str">
        <f t="shared" si="23"/>
        <v>Yes</v>
      </c>
      <c r="P93" s="20">
        <f t="shared" si="24"/>
        <v>1444.5</v>
      </c>
      <c r="Q93" s="346">
        <f t="shared" si="18"/>
        <v>0</v>
      </c>
      <c r="R93" s="20">
        <f>IF(AND(D$2+$E$2&gt;0,N93-SNAP!P93&gt;0),N93-SNAP!P93,0)</f>
        <v>0</v>
      </c>
      <c r="S93" s="20">
        <f t="shared" si="25"/>
        <v>2889</v>
      </c>
      <c r="T93" s="20">
        <f t="shared" si="19"/>
        <v>866.69999999999993</v>
      </c>
      <c r="U93" s="20">
        <f>IF(AND('Total income package'!$A$18=TRUE,OR(H93="Yes",O93="Yes"),G93&lt;$G$2,$K$2-T93&gt;10),ROUNDDOWN($K$2-T93,0),0)</f>
        <v>316</v>
      </c>
      <c r="V93" s="176">
        <f t="shared" si="26"/>
        <v>316</v>
      </c>
      <c r="W93" s="5"/>
    </row>
    <row r="94" spans="2:23" ht="14.4" x14ac:dyDescent="0.3">
      <c r="B94" s="72">
        <v>44000</v>
      </c>
      <c r="C94" s="19">
        <f>MAX('TANF-VIEW'!L97,'TANF-VIEW'!T97)</f>
        <v>0</v>
      </c>
      <c r="D94" s="20">
        <f t="shared" si="27"/>
        <v>3666.6666666666665</v>
      </c>
      <c r="E94" s="20">
        <f>'Total income package'!$D$80</f>
        <v>0</v>
      </c>
      <c r="F94" s="20">
        <f>'Total income package'!$H$61+'Total income package'!$F$66</f>
        <v>250</v>
      </c>
      <c r="G94" s="20">
        <f t="shared" si="20"/>
        <v>3916.6666666666665</v>
      </c>
      <c r="H94" s="20" t="str">
        <f t="shared" si="14"/>
        <v>Yes</v>
      </c>
      <c r="I94" s="20">
        <f t="shared" si="15"/>
        <v>733.33333333333337</v>
      </c>
      <c r="J94" s="20">
        <f t="shared" si="16"/>
        <v>261</v>
      </c>
      <c r="K94" s="20">
        <f t="shared" si="17"/>
        <v>2922.333333333333</v>
      </c>
      <c r="L94" s="20">
        <f t="shared" si="21"/>
        <v>700</v>
      </c>
      <c r="M94" s="20">
        <f>'Total income package'!$B$69</f>
        <v>500</v>
      </c>
      <c r="N94" s="20">
        <f t="shared" si="22"/>
        <v>1200</v>
      </c>
      <c r="O94" s="344" t="str">
        <f t="shared" si="23"/>
        <v>Yes</v>
      </c>
      <c r="P94" s="20">
        <f t="shared" si="24"/>
        <v>1461.1666666666665</v>
      </c>
      <c r="Q94" s="346">
        <f t="shared" si="18"/>
        <v>0</v>
      </c>
      <c r="R94" s="20">
        <f>IF(AND(D$2+$E$2&gt;0,N94-SNAP!P94&gt;0),N94-SNAP!P94,0)</f>
        <v>0</v>
      </c>
      <c r="S94" s="20">
        <f t="shared" si="25"/>
        <v>2922.333333333333</v>
      </c>
      <c r="T94" s="20">
        <f t="shared" si="19"/>
        <v>876.69999999999993</v>
      </c>
      <c r="U94" s="20">
        <f>IF(AND('Total income package'!$A$18=TRUE,OR(H94="Yes",O94="Yes"),G94&lt;$G$2,$K$2-T94&gt;10),ROUNDDOWN($K$2-T94,0),0)</f>
        <v>306</v>
      </c>
      <c r="V94" s="176">
        <f t="shared" si="26"/>
        <v>306</v>
      </c>
      <c r="W94" s="5"/>
    </row>
    <row r="95" spans="2:23" ht="14.4" x14ac:dyDescent="0.3">
      <c r="B95" s="72">
        <v>44500</v>
      </c>
      <c r="C95" s="19">
        <f>MAX('TANF-VIEW'!L98,'TANF-VIEW'!T98)</f>
        <v>0</v>
      </c>
      <c r="D95" s="20">
        <f t="shared" si="27"/>
        <v>3708.3333333333335</v>
      </c>
      <c r="E95" s="20">
        <f>'Total income package'!$D$80</f>
        <v>0</v>
      </c>
      <c r="F95" s="20">
        <f>'Total income package'!$H$61+'Total income package'!$F$66</f>
        <v>250</v>
      </c>
      <c r="G95" s="20">
        <f t="shared" si="20"/>
        <v>3958.3333333333335</v>
      </c>
      <c r="H95" s="20" t="str">
        <f t="shared" si="14"/>
        <v>Yes</v>
      </c>
      <c r="I95" s="20">
        <f t="shared" si="15"/>
        <v>741.66666666666674</v>
      </c>
      <c r="J95" s="20">
        <f t="shared" si="16"/>
        <v>261</v>
      </c>
      <c r="K95" s="20">
        <f t="shared" si="17"/>
        <v>2955.666666666667</v>
      </c>
      <c r="L95" s="20">
        <f t="shared" si="21"/>
        <v>700</v>
      </c>
      <c r="M95" s="20">
        <f>'Total income package'!$B$69</f>
        <v>500</v>
      </c>
      <c r="N95" s="20">
        <f t="shared" si="22"/>
        <v>1200</v>
      </c>
      <c r="O95" s="344" t="str">
        <f t="shared" si="23"/>
        <v>Yes</v>
      </c>
      <c r="P95" s="20">
        <f t="shared" si="24"/>
        <v>1477.8333333333335</v>
      </c>
      <c r="Q95" s="346">
        <f t="shared" si="18"/>
        <v>0</v>
      </c>
      <c r="R95" s="20">
        <f>IF(AND(D$2+$E$2&gt;0,N95-SNAP!P95&gt;0),N95-SNAP!P95,0)</f>
        <v>0</v>
      </c>
      <c r="S95" s="20">
        <f t="shared" si="25"/>
        <v>2955.666666666667</v>
      </c>
      <c r="T95" s="20">
        <f t="shared" si="19"/>
        <v>886.7</v>
      </c>
      <c r="U95" s="20">
        <f>IF(AND('Total income package'!$A$18=TRUE,OR(H95="Yes",O95="Yes"),G95&lt;$G$2,$K$2-T95&gt;10),ROUNDDOWN($K$2-T95,0),0)</f>
        <v>296</v>
      </c>
      <c r="V95" s="176">
        <f t="shared" si="26"/>
        <v>296</v>
      </c>
      <c r="W95" s="5"/>
    </row>
    <row r="96" spans="2:23" ht="14.4" x14ac:dyDescent="0.3">
      <c r="B96" s="72">
        <v>45000</v>
      </c>
      <c r="C96" s="19">
        <f>MAX('TANF-VIEW'!L99,'TANF-VIEW'!T99)</f>
        <v>0</v>
      </c>
      <c r="D96" s="20">
        <f t="shared" si="27"/>
        <v>3750</v>
      </c>
      <c r="E96" s="20">
        <f>'Total income package'!$D$80</f>
        <v>0</v>
      </c>
      <c r="F96" s="20">
        <f>'Total income package'!$H$61+'Total income package'!$F$66</f>
        <v>250</v>
      </c>
      <c r="G96" s="20">
        <f t="shared" si="20"/>
        <v>4000</v>
      </c>
      <c r="H96" s="20" t="str">
        <f t="shared" si="14"/>
        <v>Yes</v>
      </c>
      <c r="I96" s="20">
        <f t="shared" si="15"/>
        <v>750</v>
      </c>
      <c r="J96" s="20">
        <f t="shared" si="16"/>
        <v>261</v>
      </c>
      <c r="K96" s="20">
        <f t="shared" si="17"/>
        <v>2989</v>
      </c>
      <c r="L96" s="20">
        <f t="shared" si="21"/>
        <v>700</v>
      </c>
      <c r="M96" s="20">
        <f>'Total income package'!$B$69</f>
        <v>500</v>
      </c>
      <c r="N96" s="20">
        <f t="shared" si="22"/>
        <v>1200</v>
      </c>
      <c r="O96" s="344" t="str">
        <f t="shared" si="23"/>
        <v>Yes</v>
      </c>
      <c r="P96" s="20">
        <f t="shared" si="24"/>
        <v>1494.5</v>
      </c>
      <c r="Q96" s="346">
        <f t="shared" si="18"/>
        <v>0</v>
      </c>
      <c r="R96" s="20">
        <f>IF(AND(D$2+$E$2&gt;0,N96-SNAP!P96&gt;0),N96-SNAP!P96,0)</f>
        <v>0</v>
      </c>
      <c r="S96" s="20">
        <f t="shared" si="25"/>
        <v>2989</v>
      </c>
      <c r="T96" s="20">
        <f t="shared" si="19"/>
        <v>896.69999999999993</v>
      </c>
      <c r="U96" s="20">
        <f>IF(AND('Total income package'!$A$18=TRUE,OR(H96="Yes",O96="Yes"),G96&lt;$G$2,$K$2-T96&gt;10),ROUNDDOWN($K$2-T96,0),0)</f>
        <v>286</v>
      </c>
      <c r="V96" s="176">
        <f t="shared" si="26"/>
        <v>286</v>
      </c>
      <c r="W96" s="5"/>
    </row>
    <row r="97" spans="2:23" ht="14.4" x14ac:dyDescent="0.3">
      <c r="B97" s="72">
        <v>45500</v>
      </c>
      <c r="C97" s="19">
        <f>MAX('TANF-VIEW'!L100,'TANF-VIEW'!T100)</f>
        <v>0</v>
      </c>
      <c r="D97" s="20">
        <f t="shared" si="27"/>
        <v>3791.6666666666665</v>
      </c>
      <c r="E97" s="20">
        <f>'Total income package'!$D$80</f>
        <v>0</v>
      </c>
      <c r="F97" s="20">
        <f>'Total income package'!$H$61+'Total income package'!$F$66</f>
        <v>250</v>
      </c>
      <c r="G97" s="20">
        <f t="shared" si="20"/>
        <v>4041.6666666666665</v>
      </c>
      <c r="H97" s="20" t="str">
        <f t="shared" si="14"/>
        <v>Yes</v>
      </c>
      <c r="I97" s="20">
        <f t="shared" si="15"/>
        <v>758.33333333333337</v>
      </c>
      <c r="J97" s="20">
        <f t="shared" si="16"/>
        <v>261</v>
      </c>
      <c r="K97" s="20">
        <f t="shared" si="17"/>
        <v>3022.333333333333</v>
      </c>
      <c r="L97" s="20">
        <f t="shared" si="21"/>
        <v>700</v>
      </c>
      <c r="M97" s="20">
        <f>'Total income package'!$B$69</f>
        <v>500</v>
      </c>
      <c r="N97" s="20">
        <f t="shared" si="22"/>
        <v>1200</v>
      </c>
      <c r="O97" s="344" t="str">
        <f t="shared" si="23"/>
        <v>Yes</v>
      </c>
      <c r="P97" s="20">
        <f t="shared" si="24"/>
        <v>1511.1666666666665</v>
      </c>
      <c r="Q97" s="346">
        <f t="shared" si="18"/>
        <v>0</v>
      </c>
      <c r="R97" s="20">
        <f>IF(AND(D$2+$E$2&gt;0,N97-SNAP!P97&gt;0),N97-SNAP!P97,0)</f>
        <v>0</v>
      </c>
      <c r="S97" s="20">
        <f t="shared" si="25"/>
        <v>3022.333333333333</v>
      </c>
      <c r="T97" s="20">
        <f t="shared" si="19"/>
        <v>906.69999999999993</v>
      </c>
      <c r="U97" s="20">
        <f>IF(AND('Total income package'!$A$18=TRUE,OR(H97="Yes",O97="Yes"),G97&lt;$G$2,$K$2-T97&gt;10),ROUNDDOWN($K$2-T97,0),0)</f>
        <v>276</v>
      </c>
      <c r="V97" s="176">
        <f t="shared" si="26"/>
        <v>276</v>
      </c>
      <c r="W97" s="5"/>
    </row>
    <row r="98" spans="2:23" ht="14.4" x14ac:dyDescent="0.3">
      <c r="B98" s="72">
        <v>46000</v>
      </c>
      <c r="C98" s="19">
        <f>MAX('TANF-VIEW'!L101,'TANF-VIEW'!T101)</f>
        <v>0</v>
      </c>
      <c r="D98" s="20">
        <f t="shared" si="27"/>
        <v>3833.3333333333335</v>
      </c>
      <c r="E98" s="20">
        <f>'Total income package'!$D$80</f>
        <v>0</v>
      </c>
      <c r="F98" s="20">
        <f>'Total income package'!$H$61+'Total income package'!$F$66</f>
        <v>250</v>
      </c>
      <c r="G98" s="20">
        <f t="shared" si="20"/>
        <v>4083.3333333333335</v>
      </c>
      <c r="H98" s="20" t="str">
        <f t="shared" si="14"/>
        <v>Yes</v>
      </c>
      <c r="I98" s="20">
        <f t="shared" si="15"/>
        <v>766.66666666666674</v>
      </c>
      <c r="J98" s="20">
        <f t="shared" si="16"/>
        <v>261</v>
      </c>
      <c r="K98" s="20">
        <f t="shared" si="17"/>
        <v>3055.666666666667</v>
      </c>
      <c r="L98" s="20">
        <f t="shared" si="21"/>
        <v>700</v>
      </c>
      <c r="M98" s="20">
        <f>'Total income package'!$B$69</f>
        <v>500</v>
      </c>
      <c r="N98" s="20">
        <f t="shared" si="22"/>
        <v>1200</v>
      </c>
      <c r="O98" s="344" t="str">
        <f t="shared" si="23"/>
        <v>Yes</v>
      </c>
      <c r="P98" s="20">
        <f t="shared" si="24"/>
        <v>1527.8333333333335</v>
      </c>
      <c r="Q98" s="346">
        <f t="shared" si="18"/>
        <v>0</v>
      </c>
      <c r="R98" s="20">
        <f>IF(AND(D$2+$E$2&gt;0,N98-SNAP!P98&gt;0),N98-SNAP!P98,0)</f>
        <v>0</v>
      </c>
      <c r="S98" s="20">
        <f t="shared" si="25"/>
        <v>3055.666666666667</v>
      </c>
      <c r="T98" s="20">
        <f t="shared" si="19"/>
        <v>916.7</v>
      </c>
      <c r="U98" s="20">
        <f>IF(AND('Total income package'!$A$18=TRUE,OR(H98="Yes",O98="Yes"),G98&lt;$G$2,$K$2-T98&gt;10),ROUNDDOWN($K$2-T98,0),0)</f>
        <v>266</v>
      </c>
      <c r="V98" s="176">
        <f t="shared" si="26"/>
        <v>266</v>
      </c>
      <c r="W98" s="5"/>
    </row>
    <row r="99" spans="2:23" ht="14.4" x14ac:dyDescent="0.3">
      <c r="B99" s="72">
        <v>46500</v>
      </c>
      <c r="C99" s="19">
        <f>MAX('TANF-VIEW'!L102,'TANF-VIEW'!T102)</f>
        <v>0</v>
      </c>
      <c r="D99" s="20">
        <f t="shared" si="27"/>
        <v>3875</v>
      </c>
      <c r="E99" s="20">
        <f>'Total income package'!$D$80</f>
        <v>0</v>
      </c>
      <c r="F99" s="20">
        <f>'Total income package'!$H$61+'Total income package'!$F$66</f>
        <v>250</v>
      </c>
      <c r="G99" s="20">
        <f t="shared" si="20"/>
        <v>4125</v>
      </c>
      <c r="H99" s="20" t="str">
        <f t="shared" si="14"/>
        <v>Yes</v>
      </c>
      <c r="I99" s="20">
        <f t="shared" si="15"/>
        <v>775</v>
      </c>
      <c r="J99" s="20">
        <f t="shared" si="16"/>
        <v>261</v>
      </c>
      <c r="K99" s="20">
        <f t="shared" si="17"/>
        <v>3089</v>
      </c>
      <c r="L99" s="20">
        <f t="shared" si="21"/>
        <v>700</v>
      </c>
      <c r="M99" s="20">
        <f>'Total income package'!$B$69</f>
        <v>500</v>
      </c>
      <c r="N99" s="20">
        <f t="shared" si="22"/>
        <v>1200</v>
      </c>
      <c r="O99" s="344" t="str">
        <f t="shared" si="23"/>
        <v>Yes</v>
      </c>
      <c r="P99" s="20">
        <f t="shared" si="24"/>
        <v>1544.5</v>
      </c>
      <c r="Q99" s="346">
        <f t="shared" si="18"/>
        <v>0</v>
      </c>
      <c r="R99" s="20">
        <f>IF(AND(D$2+$E$2&gt;0,N99-SNAP!P99&gt;0),N99-SNAP!P99,0)</f>
        <v>0</v>
      </c>
      <c r="S99" s="20">
        <f t="shared" si="25"/>
        <v>3089</v>
      </c>
      <c r="T99" s="20">
        <f t="shared" si="19"/>
        <v>926.69999999999993</v>
      </c>
      <c r="U99" s="20">
        <f>IF(AND('Total income package'!$A$18=TRUE,OR(H99="Yes",O99="Yes"),G99&lt;$G$2,$K$2-T99&gt;10),ROUNDDOWN($K$2-T99,0),0)</f>
        <v>256</v>
      </c>
      <c r="V99" s="176">
        <f t="shared" si="26"/>
        <v>256</v>
      </c>
      <c r="W99" s="5"/>
    </row>
    <row r="100" spans="2:23" ht="14.4" x14ac:dyDescent="0.3">
      <c r="B100" s="72">
        <v>47000</v>
      </c>
      <c r="C100" s="19">
        <f>MAX('TANF-VIEW'!L103,'TANF-VIEW'!T103)</f>
        <v>0</v>
      </c>
      <c r="D100" s="20">
        <f t="shared" si="27"/>
        <v>3916.6666666666665</v>
      </c>
      <c r="E100" s="20">
        <f>'Total income package'!$D$80</f>
        <v>0</v>
      </c>
      <c r="F100" s="20">
        <f>'Total income package'!$H$61+'Total income package'!$F$66</f>
        <v>250</v>
      </c>
      <c r="G100" s="20">
        <f t="shared" si="20"/>
        <v>4166.6666666666661</v>
      </c>
      <c r="H100" s="20" t="str">
        <f t="shared" si="14"/>
        <v>Yes</v>
      </c>
      <c r="I100" s="20">
        <f t="shared" si="15"/>
        <v>783.33333333333337</v>
      </c>
      <c r="J100" s="20">
        <f t="shared" si="16"/>
        <v>261</v>
      </c>
      <c r="K100" s="20">
        <f t="shared" si="17"/>
        <v>3122.3333333333326</v>
      </c>
      <c r="L100" s="20">
        <f t="shared" si="21"/>
        <v>700</v>
      </c>
      <c r="M100" s="20">
        <f>'Total income package'!$B$69</f>
        <v>500</v>
      </c>
      <c r="N100" s="20">
        <f t="shared" si="22"/>
        <v>1200</v>
      </c>
      <c r="O100" s="344" t="str">
        <f t="shared" si="23"/>
        <v>Yes</v>
      </c>
      <c r="P100" s="20">
        <f t="shared" si="24"/>
        <v>1561.1666666666663</v>
      </c>
      <c r="Q100" s="346">
        <f t="shared" si="18"/>
        <v>0</v>
      </c>
      <c r="R100" s="20">
        <f>IF(AND(D$2+$E$2&gt;0,N100-SNAP!P100&gt;0),N100-SNAP!P100,0)</f>
        <v>0</v>
      </c>
      <c r="S100" s="20">
        <f t="shared" si="25"/>
        <v>3122.3333333333326</v>
      </c>
      <c r="T100" s="20">
        <f t="shared" si="19"/>
        <v>936.6999999999997</v>
      </c>
      <c r="U100" s="20">
        <f>IF(AND('Total income package'!$A$18=TRUE,OR(H100="Yes",O100="Yes"),G100&lt;$G$2,$K$2-T100&gt;10),ROUNDDOWN($K$2-T100,0),0)</f>
        <v>246</v>
      </c>
      <c r="V100" s="176">
        <f t="shared" si="26"/>
        <v>246</v>
      </c>
      <c r="W100" s="5"/>
    </row>
    <row r="101" spans="2:23" ht="14.4" x14ac:dyDescent="0.3">
      <c r="B101" s="72">
        <v>47500</v>
      </c>
      <c r="C101" s="19">
        <f>MAX('TANF-VIEW'!L104,'TANF-VIEW'!T104)</f>
        <v>0</v>
      </c>
      <c r="D101" s="20">
        <f t="shared" si="27"/>
        <v>3958.3333333333335</v>
      </c>
      <c r="E101" s="20">
        <f>'Total income package'!$D$80</f>
        <v>0</v>
      </c>
      <c r="F101" s="20">
        <f>'Total income package'!$H$61+'Total income package'!$F$66</f>
        <v>250</v>
      </c>
      <c r="G101" s="20">
        <f t="shared" si="20"/>
        <v>4208.3333333333339</v>
      </c>
      <c r="H101" s="20" t="str">
        <f t="shared" si="14"/>
        <v>Yes</v>
      </c>
      <c r="I101" s="20">
        <f t="shared" si="15"/>
        <v>791.66666666666674</v>
      </c>
      <c r="J101" s="20">
        <f t="shared" si="16"/>
        <v>261</v>
      </c>
      <c r="K101" s="20">
        <f t="shared" si="17"/>
        <v>3155.666666666667</v>
      </c>
      <c r="L101" s="20">
        <f t="shared" si="21"/>
        <v>700</v>
      </c>
      <c r="M101" s="20">
        <f>'Total income package'!$B$69</f>
        <v>500</v>
      </c>
      <c r="N101" s="20">
        <f t="shared" si="22"/>
        <v>1200</v>
      </c>
      <c r="O101" s="344" t="str">
        <f t="shared" si="23"/>
        <v>No</v>
      </c>
      <c r="P101" s="20">
        <f t="shared" si="24"/>
        <v>1577.8333333333335</v>
      </c>
      <c r="Q101" s="346">
        <f t="shared" si="18"/>
        <v>0</v>
      </c>
      <c r="R101" s="20">
        <f>IF(AND(D$2+$E$2&gt;0,N101-SNAP!P101&gt;0),N101-SNAP!P101,0)</f>
        <v>0</v>
      </c>
      <c r="S101" s="20">
        <f t="shared" si="25"/>
        <v>3155.666666666667</v>
      </c>
      <c r="T101" s="20">
        <f t="shared" si="19"/>
        <v>946.7</v>
      </c>
      <c r="U101" s="20">
        <f>IF(AND('Total income package'!$A$18=TRUE,OR(H101="Yes",O101="Yes"),G101&lt;$G$2,$K$2-T101&gt;10),ROUNDDOWN($K$2-T101,0),0)</f>
        <v>236</v>
      </c>
      <c r="V101" s="176">
        <f t="shared" si="26"/>
        <v>236</v>
      </c>
      <c r="W101" s="5"/>
    </row>
    <row r="102" spans="2:23" ht="14.4" x14ac:dyDescent="0.3">
      <c r="B102" s="72">
        <v>48000</v>
      </c>
      <c r="C102" s="19">
        <f>MAX('TANF-VIEW'!L105,'TANF-VIEW'!T105)</f>
        <v>0</v>
      </c>
      <c r="D102" s="20">
        <f t="shared" si="27"/>
        <v>4000</v>
      </c>
      <c r="E102" s="20">
        <f>'Total income package'!$D$80</f>
        <v>0</v>
      </c>
      <c r="F102" s="20">
        <f>'Total income package'!$H$61+'Total income package'!$F$66</f>
        <v>250</v>
      </c>
      <c r="G102" s="20">
        <f t="shared" si="20"/>
        <v>4250</v>
      </c>
      <c r="H102" s="20" t="str">
        <f t="shared" si="14"/>
        <v>Yes</v>
      </c>
      <c r="I102" s="20">
        <f t="shared" si="15"/>
        <v>800</v>
      </c>
      <c r="J102" s="20">
        <f t="shared" si="16"/>
        <v>261</v>
      </c>
      <c r="K102" s="20">
        <f t="shared" si="17"/>
        <v>3189</v>
      </c>
      <c r="L102" s="20">
        <f t="shared" si="21"/>
        <v>700</v>
      </c>
      <c r="M102" s="20">
        <f>'Total income package'!$B$69</f>
        <v>500</v>
      </c>
      <c r="N102" s="20">
        <f t="shared" si="22"/>
        <v>1200</v>
      </c>
      <c r="O102" s="344" t="str">
        <f t="shared" si="23"/>
        <v>No</v>
      </c>
      <c r="P102" s="20">
        <f t="shared" si="24"/>
        <v>1594.5</v>
      </c>
      <c r="Q102" s="346">
        <f t="shared" si="18"/>
        <v>0</v>
      </c>
      <c r="R102" s="20">
        <f>IF(AND(D$2+$E$2&gt;0,N102-SNAP!P102&gt;0),N102-SNAP!P102,0)</f>
        <v>0</v>
      </c>
      <c r="S102" s="20">
        <f t="shared" si="25"/>
        <v>3189</v>
      </c>
      <c r="T102" s="20">
        <f t="shared" si="19"/>
        <v>956.69999999999993</v>
      </c>
      <c r="U102" s="20">
        <f>IF(AND('Total income package'!$A$18=TRUE,OR(H102="Yes",O102="Yes"),G102&lt;$G$2,$K$2-T102&gt;10),ROUNDDOWN($K$2-T102,0),0)</f>
        <v>226</v>
      </c>
      <c r="V102" s="176">
        <f t="shared" si="26"/>
        <v>226</v>
      </c>
      <c r="W102" s="5"/>
    </row>
    <row r="103" spans="2:23" ht="14.4" x14ac:dyDescent="0.3">
      <c r="B103" s="72">
        <v>48500</v>
      </c>
      <c r="C103" s="19">
        <f>MAX('TANF-VIEW'!L106,'TANF-VIEW'!T106)</f>
        <v>0</v>
      </c>
      <c r="D103" s="20">
        <f t="shared" si="27"/>
        <v>4041.6666666666665</v>
      </c>
      <c r="E103" s="20">
        <f>'Total income package'!$D$80</f>
        <v>0</v>
      </c>
      <c r="F103" s="20">
        <f>'Total income package'!$H$61+'Total income package'!$F$66</f>
        <v>250</v>
      </c>
      <c r="G103" s="20">
        <f t="shared" si="20"/>
        <v>4291.6666666666661</v>
      </c>
      <c r="H103" s="20" t="str">
        <f t="shared" si="14"/>
        <v>Yes</v>
      </c>
      <c r="I103" s="20">
        <f t="shared" si="15"/>
        <v>808.33333333333337</v>
      </c>
      <c r="J103" s="20">
        <f t="shared" si="16"/>
        <v>261</v>
      </c>
      <c r="K103" s="20">
        <f t="shared" si="17"/>
        <v>3222.3333333333326</v>
      </c>
      <c r="L103" s="20">
        <f t="shared" si="21"/>
        <v>700</v>
      </c>
      <c r="M103" s="20">
        <f>'Total income package'!$B$69</f>
        <v>500</v>
      </c>
      <c r="N103" s="20">
        <f t="shared" si="22"/>
        <v>1200</v>
      </c>
      <c r="O103" s="344" t="str">
        <f t="shared" si="23"/>
        <v>No</v>
      </c>
      <c r="P103" s="20">
        <f t="shared" si="24"/>
        <v>1611.1666666666663</v>
      </c>
      <c r="Q103" s="346">
        <f t="shared" si="18"/>
        <v>0</v>
      </c>
      <c r="R103" s="20">
        <f>IF(AND(D$2+$E$2&gt;0,N103-SNAP!P103&gt;0),N103-SNAP!P103,0)</f>
        <v>0</v>
      </c>
      <c r="S103" s="20">
        <f t="shared" si="25"/>
        <v>3222.3333333333326</v>
      </c>
      <c r="T103" s="20">
        <f t="shared" si="19"/>
        <v>966.6999999999997</v>
      </c>
      <c r="U103" s="20">
        <f>IF(AND('Total income package'!$A$18=TRUE,OR(H103="Yes",O103="Yes"),G103&lt;$G$2,$K$2-T103&gt;10),ROUNDDOWN($K$2-T103,0),0)</f>
        <v>216</v>
      </c>
      <c r="V103" s="176">
        <f t="shared" si="26"/>
        <v>216</v>
      </c>
      <c r="W103" s="5"/>
    </row>
    <row r="104" spans="2:23" ht="14.4" x14ac:dyDescent="0.3">
      <c r="B104" s="72">
        <v>49000</v>
      </c>
      <c r="C104" s="19">
        <f>MAX('TANF-VIEW'!L107,'TANF-VIEW'!T107)</f>
        <v>0</v>
      </c>
      <c r="D104" s="20">
        <f t="shared" si="27"/>
        <v>4083.3333333333335</v>
      </c>
      <c r="E104" s="20">
        <f>'Total income package'!$D$80</f>
        <v>0</v>
      </c>
      <c r="F104" s="20">
        <f>'Total income package'!$H$61+'Total income package'!$F$66</f>
        <v>250</v>
      </c>
      <c r="G104" s="20">
        <f t="shared" si="20"/>
        <v>4333.3333333333339</v>
      </c>
      <c r="H104" s="20" t="str">
        <f t="shared" si="14"/>
        <v>Yes</v>
      </c>
      <c r="I104" s="20">
        <f t="shared" si="15"/>
        <v>816.66666666666674</v>
      </c>
      <c r="J104" s="20">
        <f t="shared" si="16"/>
        <v>261</v>
      </c>
      <c r="K104" s="20">
        <f t="shared" si="17"/>
        <v>3255.666666666667</v>
      </c>
      <c r="L104" s="20">
        <f t="shared" si="21"/>
        <v>700</v>
      </c>
      <c r="M104" s="20">
        <f>'Total income package'!$B$69</f>
        <v>500</v>
      </c>
      <c r="N104" s="20">
        <f t="shared" si="22"/>
        <v>1200</v>
      </c>
      <c r="O104" s="344" t="str">
        <f t="shared" si="23"/>
        <v>No</v>
      </c>
      <c r="P104" s="20">
        <f t="shared" si="24"/>
        <v>1627.8333333333335</v>
      </c>
      <c r="Q104" s="346">
        <f t="shared" si="18"/>
        <v>0</v>
      </c>
      <c r="R104" s="20">
        <f>IF(AND(D$2+$E$2&gt;0,N104-SNAP!P104&gt;0),N104-SNAP!P104,0)</f>
        <v>0</v>
      </c>
      <c r="S104" s="20">
        <f t="shared" si="25"/>
        <v>3255.666666666667</v>
      </c>
      <c r="T104" s="20">
        <f t="shared" si="19"/>
        <v>976.7</v>
      </c>
      <c r="U104" s="20">
        <f>IF(AND('Total income package'!$A$18=TRUE,OR(H104="Yes",O104="Yes"),G104&lt;$G$2,$K$2-T104&gt;10),ROUNDDOWN($K$2-T104,0),0)</f>
        <v>206</v>
      </c>
      <c r="V104" s="176">
        <f t="shared" si="26"/>
        <v>206</v>
      </c>
      <c r="W104" s="5"/>
    </row>
    <row r="105" spans="2:23" ht="14.4" x14ac:dyDescent="0.3">
      <c r="B105" s="72">
        <v>49500</v>
      </c>
      <c r="C105" s="19">
        <f>MAX('TANF-VIEW'!L108,'TANF-VIEW'!T108)</f>
        <v>0</v>
      </c>
      <c r="D105" s="20">
        <f t="shared" si="27"/>
        <v>4125</v>
      </c>
      <c r="E105" s="20">
        <f>'Total income package'!$D$80</f>
        <v>0</v>
      </c>
      <c r="F105" s="20">
        <f>'Total income package'!$H$61+'Total income package'!$F$66</f>
        <v>250</v>
      </c>
      <c r="G105" s="20">
        <f t="shared" si="20"/>
        <v>4375</v>
      </c>
      <c r="H105" s="20" t="str">
        <f t="shared" si="14"/>
        <v>Yes</v>
      </c>
      <c r="I105" s="20">
        <f t="shared" si="15"/>
        <v>825</v>
      </c>
      <c r="J105" s="20">
        <f t="shared" si="16"/>
        <v>261</v>
      </c>
      <c r="K105" s="20">
        <f t="shared" si="17"/>
        <v>3289</v>
      </c>
      <c r="L105" s="20">
        <f t="shared" si="21"/>
        <v>700</v>
      </c>
      <c r="M105" s="20">
        <f>'Total income package'!$B$69</f>
        <v>500</v>
      </c>
      <c r="N105" s="20">
        <f t="shared" si="22"/>
        <v>1200</v>
      </c>
      <c r="O105" s="344" t="str">
        <f t="shared" si="23"/>
        <v>No</v>
      </c>
      <c r="P105" s="20">
        <f t="shared" si="24"/>
        <v>1644.5</v>
      </c>
      <c r="Q105" s="346">
        <f t="shared" si="18"/>
        <v>0</v>
      </c>
      <c r="R105" s="20">
        <f>IF(AND(D$2+$E$2&gt;0,N105-SNAP!P105&gt;0),N105-SNAP!P105,0)</f>
        <v>0</v>
      </c>
      <c r="S105" s="20">
        <f t="shared" si="25"/>
        <v>3289</v>
      </c>
      <c r="T105" s="20">
        <f t="shared" si="19"/>
        <v>986.69999999999993</v>
      </c>
      <c r="U105" s="20">
        <f>IF(AND('Total income package'!$A$18=TRUE,OR(H105="Yes",O105="Yes"),G105&lt;$G$2,$K$2-T105&gt;10),ROUNDDOWN($K$2-T105,0),0)</f>
        <v>196</v>
      </c>
      <c r="V105" s="176">
        <f t="shared" si="26"/>
        <v>196</v>
      </c>
      <c r="W105" s="5"/>
    </row>
    <row r="106" spans="2:23" ht="14.4" x14ac:dyDescent="0.3">
      <c r="B106" s="72">
        <v>50000</v>
      </c>
      <c r="C106" s="19">
        <f>MAX('TANF-VIEW'!L109,'TANF-VIEW'!T109)</f>
        <v>0</v>
      </c>
      <c r="D106" s="20">
        <f t="shared" si="27"/>
        <v>4166.666666666667</v>
      </c>
      <c r="E106" s="20">
        <f>'Total income package'!$D$80</f>
        <v>0</v>
      </c>
      <c r="F106" s="20">
        <f>'Total income package'!$H$61+'Total income package'!$F$66</f>
        <v>250</v>
      </c>
      <c r="G106" s="20">
        <f t="shared" si="20"/>
        <v>4416.666666666667</v>
      </c>
      <c r="H106" s="20" t="str">
        <f t="shared" si="14"/>
        <v>Yes</v>
      </c>
      <c r="I106" s="20">
        <f t="shared" si="15"/>
        <v>833.33333333333348</v>
      </c>
      <c r="J106" s="20">
        <f t="shared" si="16"/>
        <v>261</v>
      </c>
      <c r="K106" s="20">
        <f t="shared" si="17"/>
        <v>3322.3333333333335</v>
      </c>
      <c r="L106" s="20">
        <f t="shared" si="21"/>
        <v>700</v>
      </c>
      <c r="M106" s="20">
        <f>'Total income package'!$B$69</f>
        <v>500</v>
      </c>
      <c r="N106" s="20">
        <f t="shared" si="22"/>
        <v>1200</v>
      </c>
      <c r="O106" s="344" t="str">
        <f t="shared" si="23"/>
        <v>No</v>
      </c>
      <c r="P106" s="20">
        <f t="shared" si="24"/>
        <v>1661.1666666666667</v>
      </c>
      <c r="Q106" s="346">
        <f t="shared" si="18"/>
        <v>0</v>
      </c>
      <c r="R106" s="20">
        <f>IF(AND(D$2+$E$2&gt;0,N106-SNAP!P106&gt;0),N106-SNAP!P106,0)</f>
        <v>0</v>
      </c>
      <c r="S106" s="20">
        <f t="shared" si="25"/>
        <v>3322.3333333333335</v>
      </c>
      <c r="T106" s="20">
        <f t="shared" si="19"/>
        <v>996.7</v>
      </c>
      <c r="U106" s="20">
        <f>IF(AND('Total income package'!$A$18=TRUE,OR(H106="Yes",O106="Yes"),G106&lt;$G$2,$K$2-T106&gt;10),ROUNDDOWN($K$2-T106,0),0)</f>
        <v>186</v>
      </c>
      <c r="V106" s="176">
        <f t="shared" si="26"/>
        <v>186</v>
      </c>
      <c r="W106" s="5"/>
    </row>
    <row r="107" spans="2:23" ht="14.4" x14ac:dyDescent="0.3">
      <c r="B107" s="72">
        <v>50500</v>
      </c>
      <c r="C107" s="19">
        <f>MAX('TANF-VIEW'!L110,'TANF-VIEW'!T110)</f>
        <v>0</v>
      </c>
      <c r="D107" s="20">
        <f t="shared" si="27"/>
        <v>4208.333333333333</v>
      </c>
      <c r="E107" s="20">
        <f>'Total income package'!$D$80</f>
        <v>0</v>
      </c>
      <c r="F107" s="20">
        <f>'Total income package'!$H$61+'Total income package'!$F$66</f>
        <v>250</v>
      </c>
      <c r="G107" s="20">
        <f t="shared" si="20"/>
        <v>4458.333333333333</v>
      </c>
      <c r="H107" s="20" t="str">
        <f t="shared" si="14"/>
        <v>Yes</v>
      </c>
      <c r="I107" s="20">
        <f t="shared" si="15"/>
        <v>841.66666666666663</v>
      </c>
      <c r="J107" s="20">
        <f t="shared" si="16"/>
        <v>261</v>
      </c>
      <c r="K107" s="20">
        <f t="shared" si="17"/>
        <v>3355.6666666666665</v>
      </c>
      <c r="L107" s="20">
        <f t="shared" si="21"/>
        <v>700</v>
      </c>
      <c r="M107" s="20">
        <f>'Total income package'!$B$69</f>
        <v>500</v>
      </c>
      <c r="N107" s="20">
        <f t="shared" si="22"/>
        <v>1200</v>
      </c>
      <c r="O107" s="344" t="str">
        <f t="shared" si="23"/>
        <v>No</v>
      </c>
      <c r="P107" s="20">
        <f t="shared" si="24"/>
        <v>1677.8333333333333</v>
      </c>
      <c r="Q107" s="346">
        <f t="shared" si="18"/>
        <v>0</v>
      </c>
      <c r="R107" s="20">
        <f>IF(AND(D$2+$E$2&gt;0,N107-SNAP!P107&gt;0),N107-SNAP!P107,0)</f>
        <v>0</v>
      </c>
      <c r="S107" s="20">
        <f t="shared" si="25"/>
        <v>3355.6666666666665</v>
      </c>
      <c r="T107" s="20">
        <f t="shared" si="19"/>
        <v>1006.6999999999999</v>
      </c>
      <c r="U107" s="20">
        <f>IF(AND('Total income package'!$A$18=TRUE,OR(H107="Yes",O107="Yes"),G107&lt;$G$2,$K$2-T107&gt;10),ROUNDDOWN($K$2-T107,0),0)</f>
        <v>176</v>
      </c>
      <c r="V107" s="176">
        <f t="shared" si="26"/>
        <v>176</v>
      </c>
      <c r="W107" s="5"/>
    </row>
    <row r="108" spans="2:23" ht="15" customHeight="1" x14ac:dyDescent="0.3">
      <c r="B108" s="72">
        <v>51000</v>
      </c>
      <c r="C108" s="19">
        <f>MAX('TANF-VIEW'!L111,'TANF-VIEW'!T111)</f>
        <v>0</v>
      </c>
      <c r="D108" s="20">
        <f t="shared" si="27"/>
        <v>4250</v>
      </c>
      <c r="E108" s="20">
        <f>'Total income package'!$D$80</f>
        <v>0</v>
      </c>
      <c r="F108" s="20">
        <f>'Total income package'!$H$61+'Total income package'!$F$66</f>
        <v>250</v>
      </c>
      <c r="G108" s="20">
        <f t="shared" si="20"/>
        <v>4500</v>
      </c>
      <c r="H108" s="20" t="str">
        <f t="shared" si="14"/>
        <v>Yes</v>
      </c>
      <c r="I108" s="20">
        <f t="shared" si="15"/>
        <v>850</v>
      </c>
      <c r="J108" s="20">
        <f t="shared" si="16"/>
        <v>261</v>
      </c>
      <c r="K108" s="20">
        <f t="shared" si="17"/>
        <v>3389</v>
      </c>
      <c r="L108" s="20">
        <f t="shared" si="21"/>
        <v>700</v>
      </c>
      <c r="M108" s="20">
        <f>'Total income package'!$B$69</f>
        <v>500</v>
      </c>
      <c r="N108" s="20">
        <f t="shared" si="22"/>
        <v>1200</v>
      </c>
      <c r="O108" s="344" t="str">
        <f t="shared" si="23"/>
        <v>No</v>
      </c>
      <c r="P108" s="20">
        <f t="shared" si="24"/>
        <v>1694.5</v>
      </c>
      <c r="Q108" s="346">
        <f t="shared" si="18"/>
        <v>0</v>
      </c>
      <c r="R108" s="20">
        <f>IF(AND(D$2+$E$2&gt;0,N108-SNAP!P108&gt;0),N108-SNAP!P108,0)</f>
        <v>0</v>
      </c>
      <c r="S108" s="20">
        <f t="shared" si="25"/>
        <v>3389</v>
      </c>
      <c r="T108" s="20">
        <f t="shared" si="19"/>
        <v>1016.6999999999999</v>
      </c>
      <c r="U108" s="20">
        <f>IF(AND('Total income package'!$A$18=TRUE,OR(H108="Yes",O108="Yes"),G108&lt;$G$2,$K$2-T108&gt;10),ROUNDDOWN($K$2-T108,0),0)</f>
        <v>166</v>
      </c>
      <c r="V108" s="176">
        <f t="shared" si="26"/>
        <v>166</v>
      </c>
      <c r="W108" s="5"/>
    </row>
    <row r="109" spans="2:23" ht="15" customHeight="1" x14ac:dyDescent="0.3">
      <c r="B109" s="72">
        <v>51500</v>
      </c>
      <c r="C109" s="19">
        <f>MAX('TANF-VIEW'!L112,'TANF-VIEW'!T112)</f>
        <v>0</v>
      </c>
      <c r="D109" s="20">
        <f t="shared" si="27"/>
        <v>4291.666666666667</v>
      </c>
      <c r="E109" s="20">
        <f>'Total income package'!$D$80</f>
        <v>0</v>
      </c>
      <c r="F109" s="20">
        <f>'Total income package'!$H$61+'Total income package'!$F$66</f>
        <v>250</v>
      </c>
      <c r="G109" s="20">
        <f t="shared" si="20"/>
        <v>4541.666666666667</v>
      </c>
      <c r="H109" s="20" t="str">
        <f t="shared" si="14"/>
        <v>Yes</v>
      </c>
      <c r="I109" s="20">
        <f t="shared" si="15"/>
        <v>858.33333333333348</v>
      </c>
      <c r="J109" s="20">
        <f t="shared" si="16"/>
        <v>261</v>
      </c>
      <c r="K109" s="20">
        <f t="shared" si="17"/>
        <v>3422.3333333333335</v>
      </c>
      <c r="L109" s="20">
        <f t="shared" si="21"/>
        <v>700</v>
      </c>
      <c r="M109" s="20">
        <f>'Total income package'!$B$69</f>
        <v>500</v>
      </c>
      <c r="N109" s="20">
        <f t="shared" si="22"/>
        <v>1200</v>
      </c>
      <c r="O109" s="344" t="str">
        <f t="shared" si="23"/>
        <v>No</v>
      </c>
      <c r="P109" s="20">
        <f t="shared" si="24"/>
        <v>1711.1666666666667</v>
      </c>
      <c r="Q109" s="346">
        <f t="shared" si="18"/>
        <v>0</v>
      </c>
      <c r="R109" s="20">
        <f>IF(AND(D$2+$E$2&gt;0,N109-SNAP!P109&gt;0),N109-SNAP!P109,0)</f>
        <v>0</v>
      </c>
      <c r="S109" s="20">
        <f t="shared" si="25"/>
        <v>3422.3333333333335</v>
      </c>
      <c r="T109" s="20">
        <f t="shared" si="19"/>
        <v>1026.7</v>
      </c>
      <c r="U109" s="20">
        <f>IF(AND('Total income package'!$A$18=TRUE,OR(H109="Yes",O109="Yes"),G109&lt;$G$2,$K$2-T109&gt;10),ROUNDDOWN($K$2-T109,0),0)</f>
        <v>156</v>
      </c>
      <c r="V109" s="176">
        <f t="shared" si="26"/>
        <v>156</v>
      </c>
      <c r="W109" s="5"/>
    </row>
    <row r="110" spans="2:23" ht="15" customHeight="1" x14ac:dyDescent="0.3">
      <c r="B110" s="72">
        <v>52000</v>
      </c>
      <c r="C110" s="19">
        <f>MAX('TANF-VIEW'!L113,'TANF-VIEW'!T113)</f>
        <v>0</v>
      </c>
      <c r="D110" s="20">
        <f t="shared" si="27"/>
        <v>4333.333333333333</v>
      </c>
      <c r="E110" s="20">
        <f>'Total income package'!$D$80</f>
        <v>0</v>
      </c>
      <c r="F110" s="20">
        <f>'Total income package'!$H$61+'Total income package'!$F$66</f>
        <v>250</v>
      </c>
      <c r="G110" s="20">
        <f t="shared" si="20"/>
        <v>4583.333333333333</v>
      </c>
      <c r="H110" s="20" t="str">
        <f t="shared" si="14"/>
        <v>Yes</v>
      </c>
      <c r="I110" s="20">
        <f t="shared" si="15"/>
        <v>866.66666666666663</v>
      </c>
      <c r="J110" s="20">
        <f t="shared" si="16"/>
        <v>261</v>
      </c>
      <c r="K110" s="20">
        <f t="shared" si="17"/>
        <v>3455.6666666666665</v>
      </c>
      <c r="L110" s="20">
        <f t="shared" si="21"/>
        <v>700</v>
      </c>
      <c r="M110" s="20">
        <f>'Total income package'!$B$69</f>
        <v>500</v>
      </c>
      <c r="N110" s="20">
        <f t="shared" si="22"/>
        <v>1200</v>
      </c>
      <c r="O110" s="344" t="str">
        <f t="shared" si="23"/>
        <v>No</v>
      </c>
      <c r="P110" s="20">
        <f t="shared" si="24"/>
        <v>1727.8333333333333</v>
      </c>
      <c r="Q110" s="346">
        <f t="shared" si="18"/>
        <v>0</v>
      </c>
      <c r="R110" s="20">
        <f>IF(AND(D$2+$E$2&gt;0,N110-SNAP!P110&gt;0),N110-SNAP!P110,0)</f>
        <v>0</v>
      </c>
      <c r="S110" s="20">
        <f t="shared" si="25"/>
        <v>3455.6666666666665</v>
      </c>
      <c r="T110" s="20">
        <f t="shared" si="19"/>
        <v>1036.6999999999998</v>
      </c>
      <c r="U110" s="20">
        <f>IF(AND('Total income package'!$A$18=TRUE,OR(H110="Yes",O110="Yes"),G110&lt;$G$2,$K$2-T110&gt;10),ROUNDDOWN($K$2-T110,0),0)</f>
        <v>146</v>
      </c>
      <c r="V110" s="176">
        <f>IF(AND(C106&lt;3,U110&gt;10,U110&lt;24),24,U110)</f>
        <v>146</v>
      </c>
      <c r="W110" s="5"/>
    </row>
    <row r="111" spans="2:23" ht="15" customHeight="1" x14ac:dyDescent="0.3">
      <c r="B111" s="72">
        <v>52500</v>
      </c>
      <c r="C111" s="19">
        <f>MAX('TANF-VIEW'!L114,'TANF-VIEW'!T114)</f>
        <v>0</v>
      </c>
      <c r="D111" s="20">
        <f t="shared" si="27"/>
        <v>4375</v>
      </c>
      <c r="E111" s="20">
        <f>'Total income package'!$D$80</f>
        <v>0</v>
      </c>
      <c r="F111" s="20">
        <f>'Total income package'!$H$61+'Total income package'!$F$66</f>
        <v>250</v>
      </c>
      <c r="G111" s="20">
        <f t="shared" si="20"/>
        <v>4625</v>
      </c>
      <c r="H111" s="20" t="str">
        <f t="shared" si="14"/>
        <v>Yes</v>
      </c>
      <c r="I111" s="20">
        <f t="shared" si="15"/>
        <v>875</v>
      </c>
      <c r="J111" s="20">
        <f t="shared" si="16"/>
        <v>261</v>
      </c>
      <c r="K111" s="20">
        <f t="shared" si="17"/>
        <v>3489</v>
      </c>
      <c r="L111" s="20">
        <f t="shared" si="21"/>
        <v>700</v>
      </c>
      <c r="M111" s="20">
        <f>'Total income package'!$B$69</f>
        <v>500</v>
      </c>
      <c r="N111" s="20">
        <f t="shared" si="22"/>
        <v>1200</v>
      </c>
      <c r="O111" s="344" t="str">
        <f t="shared" si="23"/>
        <v>No</v>
      </c>
      <c r="P111" s="20">
        <f t="shared" si="24"/>
        <v>1744.5</v>
      </c>
      <c r="Q111" s="346">
        <f t="shared" si="18"/>
        <v>0</v>
      </c>
      <c r="R111" s="20">
        <f>IF(AND(D$2+$E$2&gt;0,N111-SNAP!P111&gt;0),N111-SNAP!P111,0)</f>
        <v>0</v>
      </c>
      <c r="S111" s="20">
        <f t="shared" si="25"/>
        <v>3489</v>
      </c>
      <c r="T111" s="20">
        <f t="shared" si="19"/>
        <v>1046.7</v>
      </c>
      <c r="U111" s="20">
        <f>IF(AND('Total income package'!$A$18=TRUE,OR(H111="Yes",O111="Yes"),G111&lt;$G$2,$K$2-T111&gt;10),ROUNDDOWN($K$2-T111,0),0)</f>
        <v>136</v>
      </c>
      <c r="V111" s="176">
        <f t="shared" si="26"/>
        <v>136</v>
      </c>
      <c r="W111" s="5"/>
    </row>
    <row r="112" spans="2:23" ht="15" customHeight="1" x14ac:dyDescent="0.3">
      <c r="B112" s="72">
        <v>53000</v>
      </c>
      <c r="C112" s="19">
        <f>MAX('TANF-VIEW'!L115,'TANF-VIEW'!T115)</f>
        <v>0</v>
      </c>
      <c r="D112" s="20">
        <f t="shared" si="27"/>
        <v>4416.666666666667</v>
      </c>
      <c r="E112" s="20">
        <f>'Total income package'!$D$80</f>
        <v>0</v>
      </c>
      <c r="F112" s="20">
        <f>'Total income package'!$H$61+'Total income package'!$F$66</f>
        <v>250</v>
      </c>
      <c r="G112" s="20">
        <f t="shared" si="20"/>
        <v>4666.666666666667</v>
      </c>
      <c r="H112" s="20" t="str">
        <f t="shared" si="14"/>
        <v>Yes</v>
      </c>
      <c r="I112" s="20">
        <f t="shared" si="15"/>
        <v>883.33333333333348</v>
      </c>
      <c r="J112" s="20">
        <f t="shared" si="16"/>
        <v>261</v>
      </c>
      <c r="K112" s="20">
        <f t="shared" si="17"/>
        <v>3522.3333333333335</v>
      </c>
      <c r="L112" s="20">
        <f t="shared" si="21"/>
        <v>700</v>
      </c>
      <c r="M112" s="20">
        <f>'Total income package'!$B$69</f>
        <v>500</v>
      </c>
      <c r="N112" s="20">
        <f t="shared" si="22"/>
        <v>1200</v>
      </c>
      <c r="O112" s="344" t="str">
        <f t="shared" si="23"/>
        <v>No</v>
      </c>
      <c r="P112" s="20">
        <f t="shared" si="24"/>
        <v>1761.1666666666667</v>
      </c>
      <c r="Q112" s="346">
        <f t="shared" si="18"/>
        <v>0</v>
      </c>
      <c r="R112" s="20">
        <f>IF(AND(D$2+$E$2&gt;0,N112-SNAP!P112&gt;0),N112-SNAP!P112,0)</f>
        <v>0</v>
      </c>
      <c r="S112" s="20">
        <f t="shared" si="25"/>
        <v>3522.3333333333335</v>
      </c>
      <c r="T112" s="20">
        <f t="shared" si="19"/>
        <v>1056.7</v>
      </c>
      <c r="U112" s="20">
        <f>IF(AND('Total income package'!$A$18=TRUE,OR(H112="Yes",O112="Yes"),G112&lt;$G$2,$K$2-T112&gt;10),ROUNDDOWN($K$2-T112,0),0)</f>
        <v>126</v>
      </c>
      <c r="V112" s="176">
        <f t="shared" si="26"/>
        <v>126</v>
      </c>
      <c r="W112" s="5"/>
    </row>
    <row r="113" spans="2:23" ht="15" customHeight="1" x14ac:dyDescent="0.3">
      <c r="B113" s="72">
        <v>53500</v>
      </c>
      <c r="C113" s="19">
        <f>MAX('TANF-VIEW'!L116,'TANF-VIEW'!T116)</f>
        <v>0</v>
      </c>
      <c r="D113" s="20">
        <f t="shared" si="27"/>
        <v>4458.333333333333</v>
      </c>
      <c r="E113" s="20">
        <f>'Total income package'!$D$80</f>
        <v>0</v>
      </c>
      <c r="F113" s="20">
        <f>'Total income package'!$H$61+'Total income package'!$F$66</f>
        <v>250</v>
      </c>
      <c r="G113" s="20">
        <f t="shared" si="20"/>
        <v>4708.333333333333</v>
      </c>
      <c r="H113" s="20" t="str">
        <f t="shared" si="14"/>
        <v>Yes</v>
      </c>
      <c r="I113" s="20">
        <f t="shared" si="15"/>
        <v>891.66666666666663</v>
      </c>
      <c r="J113" s="20">
        <f t="shared" si="16"/>
        <v>261</v>
      </c>
      <c r="K113" s="20">
        <f t="shared" si="17"/>
        <v>3555.6666666666665</v>
      </c>
      <c r="L113" s="20">
        <f t="shared" si="21"/>
        <v>700</v>
      </c>
      <c r="M113" s="20">
        <f>'Total income package'!$B$69</f>
        <v>500</v>
      </c>
      <c r="N113" s="20">
        <f t="shared" si="22"/>
        <v>1200</v>
      </c>
      <c r="O113" s="344" t="str">
        <f t="shared" si="23"/>
        <v>No</v>
      </c>
      <c r="P113" s="20">
        <f t="shared" si="24"/>
        <v>1777.8333333333333</v>
      </c>
      <c r="Q113" s="346">
        <f t="shared" si="18"/>
        <v>0</v>
      </c>
      <c r="R113" s="20">
        <f>IF(AND(D$2+$E$2&gt;0,N113-SNAP!P113&gt;0),N113-SNAP!P113,0)</f>
        <v>0</v>
      </c>
      <c r="S113" s="20">
        <f t="shared" si="25"/>
        <v>3555.6666666666665</v>
      </c>
      <c r="T113" s="20">
        <f t="shared" si="19"/>
        <v>1066.6999999999998</v>
      </c>
      <c r="U113" s="20">
        <f>IF(AND('Total income package'!$A$18=TRUE,OR(H113="Yes",O113="Yes"),G113&lt;$G$2,$K$2-T113&gt;10),ROUNDDOWN($K$2-T113,0),0)</f>
        <v>116</v>
      </c>
      <c r="V113" s="176">
        <f t="shared" si="26"/>
        <v>116</v>
      </c>
      <c r="W113" s="5"/>
    </row>
    <row r="114" spans="2:23" ht="15" customHeight="1" x14ac:dyDescent="0.3">
      <c r="B114" s="72">
        <v>54000</v>
      </c>
      <c r="C114" s="19">
        <f>MAX('TANF-VIEW'!L117,'TANF-VIEW'!T117)</f>
        <v>0</v>
      </c>
      <c r="D114" s="20">
        <f t="shared" si="27"/>
        <v>4500</v>
      </c>
      <c r="E114" s="20">
        <f>'Total income package'!$D$80</f>
        <v>0</v>
      </c>
      <c r="F114" s="20">
        <f>'Total income package'!$H$61+'Total income package'!$F$66</f>
        <v>250</v>
      </c>
      <c r="G114" s="20">
        <f t="shared" si="20"/>
        <v>4750</v>
      </c>
      <c r="H114" s="20" t="str">
        <f t="shared" si="14"/>
        <v>Yes</v>
      </c>
      <c r="I114" s="20">
        <f t="shared" si="15"/>
        <v>900</v>
      </c>
      <c r="J114" s="20">
        <f t="shared" si="16"/>
        <v>261</v>
      </c>
      <c r="K114" s="20">
        <f t="shared" si="17"/>
        <v>3589</v>
      </c>
      <c r="L114" s="20">
        <f t="shared" si="21"/>
        <v>700</v>
      </c>
      <c r="M114" s="20">
        <f>'Total income package'!$B$69</f>
        <v>500</v>
      </c>
      <c r="N114" s="20">
        <f t="shared" si="22"/>
        <v>1200</v>
      </c>
      <c r="O114" s="344" t="str">
        <f t="shared" si="23"/>
        <v>No</v>
      </c>
      <c r="P114" s="20">
        <f t="shared" si="24"/>
        <v>1794.5</v>
      </c>
      <c r="Q114" s="346">
        <f t="shared" si="18"/>
        <v>0</v>
      </c>
      <c r="R114" s="20">
        <f>IF(AND(D$2+$E$2&gt;0,N114-SNAP!P114&gt;0),N114-SNAP!P114,0)</f>
        <v>0</v>
      </c>
      <c r="S114" s="20">
        <f t="shared" si="25"/>
        <v>3589</v>
      </c>
      <c r="T114" s="20">
        <f t="shared" si="19"/>
        <v>1076.7</v>
      </c>
      <c r="U114" s="20">
        <f>IF(AND('Total income package'!$A$18=TRUE,OR(H114="Yes",O114="Yes"),G114&lt;$G$2,$K$2-T114&gt;10),ROUNDDOWN($K$2-T114,0),0)</f>
        <v>106</v>
      </c>
      <c r="V114" s="176">
        <f t="shared" si="26"/>
        <v>106</v>
      </c>
      <c r="W114" s="5"/>
    </row>
    <row r="115" spans="2:23" ht="15" customHeight="1" x14ac:dyDescent="0.3">
      <c r="B115" s="72">
        <v>54500</v>
      </c>
      <c r="C115" s="19">
        <f>MAX('TANF-VIEW'!L118,'TANF-VIEW'!T118)</f>
        <v>0</v>
      </c>
      <c r="D115" s="20">
        <f t="shared" si="27"/>
        <v>4541.666666666667</v>
      </c>
      <c r="E115" s="20">
        <f>'Total income package'!$D$80</f>
        <v>0</v>
      </c>
      <c r="F115" s="20">
        <f>'Total income package'!$H$61+'Total income package'!$F$66</f>
        <v>250</v>
      </c>
      <c r="G115" s="20">
        <f t="shared" si="20"/>
        <v>4791.666666666667</v>
      </c>
      <c r="H115" s="20" t="str">
        <f t="shared" si="14"/>
        <v>Yes</v>
      </c>
      <c r="I115" s="20">
        <f t="shared" si="15"/>
        <v>908.33333333333348</v>
      </c>
      <c r="J115" s="20">
        <f t="shared" si="16"/>
        <v>261</v>
      </c>
      <c r="K115" s="20">
        <f t="shared" si="17"/>
        <v>3622.3333333333335</v>
      </c>
      <c r="L115" s="20">
        <f t="shared" si="21"/>
        <v>700</v>
      </c>
      <c r="M115" s="20">
        <f>'Total income package'!$B$69</f>
        <v>500</v>
      </c>
      <c r="N115" s="20">
        <f t="shared" si="22"/>
        <v>1200</v>
      </c>
      <c r="O115" s="344" t="str">
        <f t="shared" si="23"/>
        <v>No</v>
      </c>
      <c r="P115" s="20">
        <f t="shared" si="24"/>
        <v>1811.1666666666667</v>
      </c>
      <c r="Q115" s="346">
        <f t="shared" si="18"/>
        <v>0</v>
      </c>
      <c r="R115" s="20">
        <f>IF(AND(D$2+$E$2&gt;0,N115-SNAP!P115&gt;0),N115-SNAP!P115,0)</f>
        <v>0</v>
      </c>
      <c r="S115" s="20">
        <f t="shared" si="25"/>
        <v>3622.3333333333335</v>
      </c>
      <c r="T115" s="20">
        <f t="shared" si="19"/>
        <v>1086.7</v>
      </c>
      <c r="U115" s="20">
        <f>IF(AND('Total income package'!$A$18=TRUE,OR(H115="Yes",O115="Yes"),G115&lt;$G$2,$K$2-T115&gt;10),ROUNDDOWN($K$2-T115,0),0)</f>
        <v>96</v>
      </c>
      <c r="V115" s="176">
        <f t="shared" si="26"/>
        <v>96</v>
      </c>
      <c r="W115" s="5"/>
    </row>
    <row r="116" spans="2:23" ht="15" customHeight="1" x14ac:dyDescent="0.3">
      <c r="B116" s="72">
        <v>55000</v>
      </c>
      <c r="C116" s="19">
        <f>MAX('TANF-VIEW'!L119,'TANF-VIEW'!T119)</f>
        <v>0</v>
      </c>
      <c r="D116" s="20">
        <f t="shared" si="27"/>
        <v>4583.333333333333</v>
      </c>
      <c r="E116" s="20">
        <f>'Total income package'!$D$80</f>
        <v>0</v>
      </c>
      <c r="F116" s="20">
        <f>'Total income package'!$H$61+'Total income package'!$F$66</f>
        <v>250</v>
      </c>
      <c r="G116" s="20">
        <f t="shared" si="20"/>
        <v>4833.333333333333</v>
      </c>
      <c r="H116" s="20" t="str">
        <f t="shared" si="14"/>
        <v>Yes</v>
      </c>
      <c r="I116" s="20">
        <f t="shared" si="15"/>
        <v>916.66666666666663</v>
      </c>
      <c r="J116" s="20">
        <f t="shared" si="16"/>
        <v>261</v>
      </c>
      <c r="K116" s="20">
        <f t="shared" si="17"/>
        <v>3655.6666666666665</v>
      </c>
      <c r="L116" s="20">
        <f t="shared" si="21"/>
        <v>700</v>
      </c>
      <c r="M116" s="20">
        <f>'Total income package'!$B$69</f>
        <v>500</v>
      </c>
      <c r="N116" s="20">
        <f t="shared" si="22"/>
        <v>1200</v>
      </c>
      <c r="O116" s="344" t="str">
        <f t="shared" si="23"/>
        <v>No</v>
      </c>
      <c r="P116" s="20">
        <f t="shared" si="24"/>
        <v>1827.8333333333333</v>
      </c>
      <c r="Q116" s="346">
        <f t="shared" si="18"/>
        <v>0</v>
      </c>
      <c r="R116" s="20">
        <f>IF(AND(D$2+$E$2&gt;0,N116-SNAP!P116&gt;0),N116-SNAP!P116,0)</f>
        <v>0</v>
      </c>
      <c r="S116" s="20">
        <f t="shared" si="25"/>
        <v>3655.6666666666665</v>
      </c>
      <c r="T116" s="20">
        <f t="shared" si="19"/>
        <v>1096.6999999999998</v>
      </c>
      <c r="U116" s="20">
        <f>IF(AND('Total income package'!$A$18=TRUE,OR(H116="Yes",O116="Yes"),G116&lt;$G$2,$K$2-T116&gt;10),ROUNDDOWN($K$2-T116,0),0)</f>
        <v>86</v>
      </c>
      <c r="V116" s="176">
        <f t="shared" si="26"/>
        <v>86</v>
      </c>
      <c r="W116" s="5"/>
    </row>
    <row r="117" spans="2:23" ht="15" customHeight="1" x14ac:dyDescent="0.3">
      <c r="B117" s="72">
        <v>55500</v>
      </c>
      <c r="C117" s="19">
        <f>MAX('TANF-VIEW'!L120,'TANF-VIEW'!T120)</f>
        <v>0</v>
      </c>
      <c r="D117" s="20">
        <f t="shared" si="27"/>
        <v>4625</v>
      </c>
      <c r="E117" s="20">
        <f>'Total income package'!$D$80</f>
        <v>0</v>
      </c>
      <c r="F117" s="20">
        <f>'Total income package'!$H$61+'Total income package'!$F$66</f>
        <v>250</v>
      </c>
      <c r="G117" s="20">
        <f t="shared" si="20"/>
        <v>4875</v>
      </c>
      <c r="H117" s="20" t="str">
        <f t="shared" si="14"/>
        <v>Yes</v>
      </c>
      <c r="I117" s="20">
        <f t="shared" si="15"/>
        <v>925</v>
      </c>
      <c r="J117" s="20">
        <f t="shared" si="16"/>
        <v>261</v>
      </c>
      <c r="K117" s="20">
        <f t="shared" si="17"/>
        <v>3689</v>
      </c>
      <c r="L117" s="20">
        <f t="shared" si="21"/>
        <v>700</v>
      </c>
      <c r="M117" s="20">
        <f>'Total income package'!$B$69</f>
        <v>500</v>
      </c>
      <c r="N117" s="20">
        <f t="shared" si="22"/>
        <v>1200</v>
      </c>
      <c r="O117" s="344" t="str">
        <f t="shared" si="23"/>
        <v>No</v>
      </c>
      <c r="P117" s="20">
        <f t="shared" si="24"/>
        <v>1844.5</v>
      </c>
      <c r="Q117" s="346">
        <f t="shared" si="18"/>
        <v>0</v>
      </c>
      <c r="R117" s="20">
        <f>IF(AND(D$2+$E$2&gt;0,N117-SNAP!P117&gt;0),N117-SNAP!P117,0)</f>
        <v>0</v>
      </c>
      <c r="S117" s="20">
        <f t="shared" si="25"/>
        <v>3689</v>
      </c>
      <c r="T117" s="20">
        <f t="shared" si="19"/>
        <v>1106.7</v>
      </c>
      <c r="U117" s="20">
        <f>IF(AND('Total income package'!$A$18=TRUE,OR(H117="Yes",O117="Yes"),G117&lt;$G$2,$K$2-T117&gt;10),ROUNDDOWN($K$2-T117,0),0)</f>
        <v>76</v>
      </c>
      <c r="V117" s="176">
        <f t="shared" si="26"/>
        <v>76</v>
      </c>
      <c r="W117" s="5"/>
    </row>
    <row r="118" spans="2:23" ht="15" customHeight="1" x14ac:dyDescent="0.3">
      <c r="B118" s="72">
        <v>56000</v>
      </c>
      <c r="C118" s="19">
        <f>MAX('TANF-VIEW'!L121,'TANF-VIEW'!T121)</f>
        <v>0</v>
      </c>
      <c r="D118" s="20">
        <f t="shared" si="27"/>
        <v>4666.666666666667</v>
      </c>
      <c r="E118" s="20">
        <f>'Total income package'!$D$80</f>
        <v>0</v>
      </c>
      <c r="F118" s="20">
        <f>'Total income package'!$H$61+'Total income package'!$F$66</f>
        <v>250</v>
      </c>
      <c r="G118" s="20">
        <f t="shared" si="20"/>
        <v>4916.666666666667</v>
      </c>
      <c r="H118" s="20" t="str">
        <f t="shared" si="14"/>
        <v>Yes</v>
      </c>
      <c r="I118" s="20">
        <f t="shared" si="15"/>
        <v>933.33333333333348</v>
      </c>
      <c r="J118" s="20">
        <f t="shared" si="16"/>
        <v>261</v>
      </c>
      <c r="K118" s="20">
        <f t="shared" si="17"/>
        <v>3722.3333333333335</v>
      </c>
      <c r="L118" s="20">
        <f t="shared" si="21"/>
        <v>700</v>
      </c>
      <c r="M118" s="20">
        <f>'Total income package'!$B$69</f>
        <v>500</v>
      </c>
      <c r="N118" s="20">
        <f t="shared" si="22"/>
        <v>1200</v>
      </c>
      <c r="O118" s="344" t="str">
        <f t="shared" si="23"/>
        <v>No</v>
      </c>
      <c r="P118" s="20">
        <f t="shared" si="24"/>
        <v>1861.1666666666667</v>
      </c>
      <c r="Q118" s="346">
        <f t="shared" si="18"/>
        <v>0</v>
      </c>
      <c r="R118" s="20">
        <f>IF(AND(D$2+$E$2&gt;0,N118-SNAP!P118&gt;0),N118-SNAP!P118,0)</f>
        <v>0</v>
      </c>
      <c r="S118" s="20">
        <f t="shared" si="25"/>
        <v>3722.3333333333335</v>
      </c>
      <c r="T118" s="20">
        <f t="shared" si="19"/>
        <v>1116.7</v>
      </c>
      <c r="U118" s="20">
        <f>IF(AND('Total income package'!$A$18=TRUE,OR(H118="Yes",O118="Yes"),G118&lt;$G$2,$K$2-T118&gt;10),ROUNDDOWN($K$2-T118,0),0)</f>
        <v>66</v>
      </c>
      <c r="V118" s="176">
        <f t="shared" si="26"/>
        <v>66</v>
      </c>
      <c r="W118" s="5"/>
    </row>
    <row r="119" spans="2:23" ht="15" customHeight="1" x14ac:dyDescent="0.3">
      <c r="B119" s="72">
        <v>56500</v>
      </c>
      <c r="C119" s="19">
        <f>MAX('TANF-VIEW'!L122,'TANF-VIEW'!T122)</f>
        <v>0</v>
      </c>
      <c r="D119" s="20">
        <f t="shared" si="27"/>
        <v>4708.333333333333</v>
      </c>
      <c r="E119" s="20">
        <f>'Total income package'!$D$80</f>
        <v>0</v>
      </c>
      <c r="F119" s="20">
        <f>'Total income package'!$H$61+'Total income package'!$F$66</f>
        <v>250</v>
      </c>
      <c r="G119" s="20">
        <f t="shared" si="20"/>
        <v>4958.333333333333</v>
      </c>
      <c r="H119" s="20" t="str">
        <f t="shared" si="14"/>
        <v>Yes</v>
      </c>
      <c r="I119" s="20">
        <f t="shared" si="15"/>
        <v>941.66666666666663</v>
      </c>
      <c r="J119" s="20">
        <f t="shared" si="16"/>
        <v>261</v>
      </c>
      <c r="K119" s="20">
        <f t="shared" si="17"/>
        <v>3755.6666666666665</v>
      </c>
      <c r="L119" s="20">
        <f t="shared" si="21"/>
        <v>700</v>
      </c>
      <c r="M119" s="20">
        <f>'Total income package'!$B$69</f>
        <v>500</v>
      </c>
      <c r="N119" s="20">
        <f t="shared" si="22"/>
        <v>1200</v>
      </c>
      <c r="O119" s="344" t="str">
        <f t="shared" si="23"/>
        <v>No</v>
      </c>
      <c r="P119" s="20">
        <f t="shared" si="24"/>
        <v>1877.8333333333333</v>
      </c>
      <c r="Q119" s="346">
        <f t="shared" si="18"/>
        <v>0</v>
      </c>
      <c r="R119" s="20">
        <f>IF(AND(D$2+$E$2&gt;0,N119-SNAP!P119&gt;0),N119-SNAP!P119,0)</f>
        <v>0</v>
      </c>
      <c r="S119" s="20">
        <f t="shared" si="25"/>
        <v>3755.6666666666665</v>
      </c>
      <c r="T119" s="20">
        <f t="shared" si="19"/>
        <v>1126.6999999999998</v>
      </c>
      <c r="U119" s="20">
        <f>IF(AND('Total income package'!$A$18=TRUE,OR(H119="Yes",O119="Yes"),G119&lt;$G$2,$K$2-T119&gt;10),ROUNDDOWN($K$2-T119,0),0)</f>
        <v>56</v>
      </c>
      <c r="V119" s="176">
        <f t="shared" si="26"/>
        <v>56</v>
      </c>
      <c r="W119" s="5"/>
    </row>
    <row r="120" spans="2:23" ht="15" customHeight="1" x14ac:dyDescent="0.3">
      <c r="B120" s="72">
        <v>57000</v>
      </c>
      <c r="C120" s="19">
        <f>MAX('TANF-VIEW'!L123,'TANF-VIEW'!T123)</f>
        <v>0</v>
      </c>
      <c r="D120" s="20">
        <f t="shared" si="27"/>
        <v>4750</v>
      </c>
      <c r="E120" s="20">
        <f>'Total income package'!$D$80</f>
        <v>0</v>
      </c>
      <c r="F120" s="20">
        <f>'Total income package'!$H$61+'Total income package'!$F$66</f>
        <v>250</v>
      </c>
      <c r="G120" s="20">
        <f t="shared" si="20"/>
        <v>5000</v>
      </c>
      <c r="H120" s="20" t="str">
        <f t="shared" si="14"/>
        <v>Yes</v>
      </c>
      <c r="I120" s="20">
        <f t="shared" si="15"/>
        <v>950</v>
      </c>
      <c r="J120" s="20">
        <f t="shared" si="16"/>
        <v>261</v>
      </c>
      <c r="K120" s="20">
        <f t="shared" si="17"/>
        <v>3789</v>
      </c>
      <c r="L120" s="20">
        <f t="shared" si="21"/>
        <v>700</v>
      </c>
      <c r="M120" s="20">
        <f>'Total income package'!$B$69</f>
        <v>500</v>
      </c>
      <c r="N120" s="20">
        <f t="shared" si="22"/>
        <v>1200</v>
      </c>
      <c r="O120" s="344" t="str">
        <f t="shared" si="23"/>
        <v>No</v>
      </c>
      <c r="P120" s="20">
        <f t="shared" si="24"/>
        <v>1894.5</v>
      </c>
      <c r="Q120" s="346">
        <f t="shared" si="18"/>
        <v>0</v>
      </c>
      <c r="R120" s="20">
        <f>IF(AND(D$2+$E$2&gt;0,N120-SNAP!P120&gt;0),N120-SNAP!P120,0)</f>
        <v>0</v>
      </c>
      <c r="S120" s="20">
        <f t="shared" si="25"/>
        <v>3789</v>
      </c>
      <c r="T120" s="20">
        <f t="shared" si="19"/>
        <v>1136.7</v>
      </c>
      <c r="U120" s="20">
        <f>IF(AND('Total income package'!$A$18=TRUE,OR(H120="Yes",O120="Yes"),G120&lt;$G$2,$K$2-T120&gt;10),ROUNDDOWN($K$2-T120,0),0)</f>
        <v>46</v>
      </c>
      <c r="V120" s="176">
        <f t="shared" si="26"/>
        <v>46</v>
      </c>
      <c r="W120" s="5"/>
    </row>
    <row r="121" spans="2:23" ht="15" customHeight="1" x14ac:dyDescent="0.3">
      <c r="B121" s="72">
        <v>57500</v>
      </c>
      <c r="C121" s="19">
        <f>MAX('TANF-VIEW'!L124,'TANF-VIEW'!T124)</f>
        <v>0</v>
      </c>
      <c r="D121" s="20">
        <f t="shared" si="27"/>
        <v>4791.666666666667</v>
      </c>
      <c r="E121" s="20">
        <f>'Total income package'!$D$80</f>
        <v>0</v>
      </c>
      <c r="F121" s="20">
        <f>'Total income package'!$H$61+'Total income package'!$F$66</f>
        <v>250</v>
      </c>
      <c r="G121" s="20">
        <f t="shared" si="20"/>
        <v>5041.666666666667</v>
      </c>
      <c r="H121" s="20" t="str">
        <f t="shared" si="14"/>
        <v>Yes</v>
      </c>
      <c r="I121" s="20">
        <f t="shared" si="15"/>
        <v>958.33333333333348</v>
      </c>
      <c r="J121" s="20">
        <f t="shared" si="16"/>
        <v>261</v>
      </c>
      <c r="K121" s="20">
        <f t="shared" si="17"/>
        <v>3822.3333333333335</v>
      </c>
      <c r="L121" s="20">
        <f t="shared" si="21"/>
        <v>700</v>
      </c>
      <c r="M121" s="20">
        <f>'Total income package'!$B$69</f>
        <v>500</v>
      </c>
      <c r="N121" s="20">
        <f t="shared" si="22"/>
        <v>1200</v>
      </c>
      <c r="O121" s="344" t="str">
        <f t="shared" si="23"/>
        <v>No</v>
      </c>
      <c r="P121" s="20">
        <f t="shared" si="24"/>
        <v>1911.1666666666667</v>
      </c>
      <c r="Q121" s="346">
        <f t="shared" si="18"/>
        <v>0</v>
      </c>
      <c r="R121" s="20">
        <f>IF(AND(D$2+$E$2&gt;0,N121-SNAP!P121&gt;0),N121-SNAP!P121,0)</f>
        <v>0</v>
      </c>
      <c r="S121" s="20">
        <f t="shared" si="25"/>
        <v>3822.3333333333335</v>
      </c>
      <c r="T121" s="20">
        <f t="shared" si="19"/>
        <v>1146.7</v>
      </c>
      <c r="U121" s="20">
        <f>IF(AND('Total income package'!$A$18=TRUE,OR(H121="Yes",O121="Yes"),G121&lt;$G$2,$K$2-T121&gt;10),ROUNDDOWN($K$2-T121,0),0)</f>
        <v>36</v>
      </c>
      <c r="V121" s="176">
        <f t="shared" si="26"/>
        <v>36</v>
      </c>
      <c r="W121" s="5"/>
    </row>
    <row r="122" spans="2:23" ht="15" customHeight="1" x14ac:dyDescent="0.3">
      <c r="B122" s="72">
        <v>58000</v>
      </c>
      <c r="C122" s="19">
        <f>MAX('TANF-VIEW'!L125,'TANF-VIEW'!T125)</f>
        <v>0</v>
      </c>
      <c r="D122" s="20">
        <f t="shared" si="27"/>
        <v>4833.333333333333</v>
      </c>
      <c r="E122" s="20">
        <f>'Total income package'!$D$80</f>
        <v>0</v>
      </c>
      <c r="F122" s="20">
        <f>'Total income package'!$H$61+'Total income package'!$F$66</f>
        <v>250</v>
      </c>
      <c r="G122" s="20">
        <f t="shared" si="20"/>
        <v>5083.333333333333</v>
      </c>
      <c r="H122" s="20" t="str">
        <f t="shared" si="14"/>
        <v>Yes</v>
      </c>
      <c r="I122" s="20">
        <f t="shared" si="15"/>
        <v>966.66666666666663</v>
      </c>
      <c r="J122" s="20">
        <f t="shared" si="16"/>
        <v>261</v>
      </c>
      <c r="K122" s="20">
        <f t="shared" si="17"/>
        <v>3855.6666666666661</v>
      </c>
      <c r="L122" s="20">
        <f t="shared" si="21"/>
        <v>700</v>
      </c>
      <c r="M122" s="20">
        <f>'Total income package'!$B$69</f>
        <v>500</v>
      </c>
      <c r="N122" s="20">
        <f t="shared" si="22"/>
        <v>1200</v>
      </c>
      <c r="O122" s="344" t="str">
        <f t="shared" si="23"/>
        <v>No</v>
      </c>
      <c r="P122" s="20">
        <f t="shared" si="24"/>
        <v>1927.833333333333</v>
      </c>
      <c r="Q122" s="346">
        <f t="shared" si="18"/>
        <v>0</v>
      </c>
      <c r="R122" s="20">
        <f>IF(AND(D$2+$E$2&gt;0,N122-SNAP!P122&gt;0),N122-SNAP!P122,0)</f>
        <v>0</v>
      </c>
      <c r="S122" s="20">
        <f t="shared" si="25"/>
        <v>3855.6666666666661</v>
      </c>
      <c r="T122" s="20">
        <f t="shared" si="19"/>
        <v>1156.6999999999998</v>
      </c>
      <c r="U122" s="20">
        <f>IF(AND('Total income package'!$A$18=TRUE,OR(H122="Yes",O122="Yes"),G122&lt;$G$2,$K$2-T122&gt;10),ROUNDDOWN($K$2-T122,0),0)</f>
        <v>26</v>
      </c>
      <c r="V122" s="176">
        <f t="shared" si="26"/>
        <v>26</v>
      </c>
      <c r="W122" s="5"/>
    </row>
    <row r="123" spans="2:23" ht="15" customHeight="1" x14ac:dyDescent="0.3">
      <c r="B123" s="72">
        <v>58500</v>
      </c>
      <c r="C123" s="19">
        <f>MAX('TANF-VIEW'!L126,'TANF-VIEW'!T126)</f>
        <v>0</v>
      </c>
      <c r="D123" s="20">
        <f t="shared" si="27"/>
        <v>4875</v>
      </c>
      <c r="E123" s="20">
        <f>'Total income package'!$D$80</f>
        <v>0</v>
      </c>
      <c r="F123" s="20">
        <f>'Total income package'!$H$61+'Total income package'!$F$66</f>
        <v>250</v>
      </c>
      <c r="G123" s="20">
        <f t="shared" si="20"/>
        <v>5125</v>
      </c>
      <c r="H123" s="20" t="str">
        <f t="shared" si="14"/>
        <v>Yes</v>
      </c>
      <c r="I123" s="20">
        <f t="shared" si="15"/>
        <v>975</v>
      </c>
      <c r="J123" s="20">
        <f t="shared" si="16"/>
        <v>261</v>
      </c>
      <c r="K123" s="20">
        <f t="shared" si="17"/>
        <v>3889</v>
      </c>
      <c r="L123" s="20">
        <f t="shared" si="21"/>
        <v>700</v>
      </c>
      <c r="M123" s="20">
        <f>'Total income package'!$B$69</f>
        <v>500</v>
      </c>
      <c r="N123" s="20">
        <f t="shared" si="22"/>
        <v>1200</v>
      </c>
      <c r="O123" s="344" t="str">
        <f t="shared" si="23"/>
        <v>No</v>
      </c>
      <c r="P123" s="20">
        <f t="shared" si="24"/>
        <v>1944.5</v>
      </c>
      <c r="Q123" s="346">
        <f t="shared" si="18"/>
        <v>0</v>
      </c>
      <c r="R123" s="20">
        <f>IF(AND(D$2+$E$2&gt;0,N123-SNAP!P123&gt;0),N123-SNAP!P123,0)</f>
        <v>0</v>
      </c>
      <c r="S123" s="20">
        <f t="shared" si="25"/>
        <v>3889</v>
      </c>
      <c r="T123" s="20">
        <f t="shared" si="19"/>
        <v>1166.7</v>
      </c>
      <c r="U123" s="20">
        <f>IF(AND('Total income package'!$A$18=TRUE,OR(H123="Yes",O123="Yes"),G123&lt;$G$2,$K$2-T123&gt;10),ROUNDDOWN($K$2-T123,0),0)</f>
        <v>16</v>
      </c>
      <c r="V123" s="176">
        <f t="shared" si="26"/>
        <v>24</v>
      </c>
      <c r="W123" s="5"/>
    </row>
    <row r="124" spans="2:23" ht="15" customHeight="1" x14ac:dyDescent="0.3">
      <c r="B124" s="72">
        <v>59000</v>
      </c>
      <c r="C124" s="19">
        <f>MAX('TANF-VIEW'!L127,'TANF-VIEW'!T127)</f>
        <v>0</v>
      </c>
      <c r="D124" s="20">
        <f t="shared" si="27"/>
        <v>4916.666666666667</v>
      </c>
      <c r="E124" s="20">
        <f>'Total income package'!$D$80</f>
        <v>0</v>
      </c>
      <c r="F124" s="20">
        <f>'Total income package'!$H$61+'Total income package'!$F$66</f>
        <v>250</v>
      </c>
      <c r="G124" s="20">
        <f t="shared" si="20"/>
        <v>5166.666666666667</v>
      </c>
      <c r="H124" s="20" t="str">
        <f t="shared" si="14"/>
        <v>Yes</v>
      </c>
      <c r="I124" s="20">
        <f t="shared" si="15"/>
        <v>983.33333333333348</v>
      </c>
      <c r="J124" s="20">
        <f t="shared" si="16"/>
        <v>261</v>
      </c>
      <c r="K124" s="20">
        <f t="shared" si="17"/>
        <v>3922.3333333333339</v>
      </c>
      <c r="L124" s="20">
        <f t="shared" si="21"/>
        <v>700</v>
      </c>
      <c r="M124" s="20">
        <f>'Total income package'!$B$69</f>
        <v>500</v>
      </c>
      <c r="N124" s="20">
        <f t="shared" si="22"/>
        <v>1200</v>
      </c>
      <c r="O124" s="344" t="str">
        <f t="shared" si="23"/>
        <v>No</v>
      </c>
      <c r="P124" s="20">
        <f t="shared" si="24"/>
        <v>1961.166666666667</v>
      </c>
      <c r="Q124" s="346">
        <f t="shared" si="18"/>
        <v>0</v>
      </c>
      <c r="R124" s="20">
        <f>IF(AND(D$2+$E$2&gt;0,N124-SNAP!P124&gt;0),N124-SNAP!P124,0)</f>
        <v>0</v>
      </c>
      <c r="S124" s="20">
        <f t="shared" si="25"/>
        <v>3922.3333333333339</v>
      </c>
      <c r="T124" s="20">
        <f t="shared" si="19"/>
        <v>1176.7</v>
      </c>
      <c r="U124" s="20">
        <f>IF(AND('Total income package'!$A$18=TRUE,OR(H124="Yes",O124="Yes"),G124&lt;$G$2,$K$2-T124&gt;10),ROUNDDOWN($K$2-T124,0),0)</f>
        <v>0</v>
      </c>
      <c r="V124" s="176">
        <f t="shared" si="26"/>
        <v>0</v>
      </c>
      <c r="W124" s="5"/>
    </row>
    <row r="125" spans="2:23" ht="15" customHeight="1" x14ac:dyDescent="0.3">
      <c r="B125" s="72">
        <v>59500</v>
      </c>
      <c r="C125" s="19">
        <f>MAX('TANF-VIEW'!L128,'TANF-VIEW'!T128)</f>
        <v>0</v>
      </c>
      <c r="D125" s="20">
        <f t="shared" si="27"/>
        <v>4958.333333333333</v>
      </c>
      <c r="E125" s="20">
        <f>'Total income package'!$D$80</f>
        <v>0</v>
      </c>
      <c r="F125" s="20">
        <f>'Total income package'!$H$61+'Total income package'!$F$66</f>
        <v>250</v>
      </c>
      <c r="G125" s="20">
        <f t="shared" si="20"/>
        <v>5208.333333333333</v>
      </c>
      <c r="H125" s="20" t="str">
        <f t="shared" si="14"/>
        <v>Yes</v>
      </c>
      <c r="I125" s="20">
        <f t="shared" si="15"/>
        <v>991.66666666666663</v>
      </c>
      <c r="J125" s="20">
        <f t="shared" si="16"/>
        <v>261</v>
      </c>
      <c r="K125" s="20">
        <f t="shared" si="17"/>
        <v>3955.6666666666661</v>
      </c>
      <c r="L125" s="20">
        <f t="shared" si="21"/>
        <v>700</v>
      </c>
      <c r="M125" s="20">
        <f>'Total income package'!$B$69</f>
        <v>500</v>
      </c>
      <c r="N125" s="20">
        <f t="shared" si="22"/>
        <v>1200</v>
      </c>
      <c r="O125" s="344" t="str">
        <f t="shared" si="23"/>
        <v>No</v>
      </c>
      <c r="P125" s="20">
        <f t="shared" si="24"/>
        <v>1977.833333333333</v>
      </c>
      <c r="Q125" s="346">
        <f t="shared" si="18"/>
        <v>0</v>
      </c>
      <c r="R125" s="20">
        <f>IF(AND(D$2+$E$2&gt;0,N125-SNAP!P125&gt;0),N125-SNAP!P125,0)</f>
        <v>0</v>
      </c>
      <c r="S125" s="20">
        <f t="shared" si="25"/>
        <v>3955.6666666666661</v>
      </c>
      <c r="T125" s="20">
        <f t="shared" si="19"/>
        <v>1186.6999999999998</v>
      </c>
      <c r="U125" s="20">
        <f>IF(AND('Total income package'!$A$18=TRUE,OR(H125="Yes",O125="Yes"),G125&lt;$G$2,$K$2-T125&gt;10),ROUNDDOWN($K$2-T125,0),0)</f>
        <v>0</v>
      </c>
      <c r="V125" s="176">
        <f t="shared" si="26"/>
        <v>0</v>
      </c>
      <c r="W125" s="5"/>
    </row>
    <row r="126" spans="2:23" ht="15" customHeight="1" x14ac:dyDescent="0.3">
      <c r="B126" s="72">
        <v>60000</v>
      </c>
      <c r="C126" s="19">
        <f>MAX('TANF-VIEW'!L129,'TANF-VIEW'!T129)</f>
        <v>0</v>
      </c>
      <c r="D126" s="20">
        <f t="shared" si="27"/>
        <v>5000</v>
      </c>
      <c r="E126" s="20">
        <f>'Total income package'!$D$80</f>
        <v>0</v>
      </c>
      <c r="F126" s="20">
        <f>'Total income package'!$H$61+'Total income package'!$F$66</f>
        <v>250</v>
      </c>
      <c r="G126" s="20">
        <f t="shared" si="20"/>
        <v>5250</v>
      </c>
      <c r="H126" s="20" t="str">
        <f t="shared" si="14"/>
        <v>Yes</v>
      </c>
      <c r="I126" s="20">
        <f t="shared" si="15"/>
        <v>1000</v>
      </c>
      <c r="J126" s="20">
        <f t="shared" si="16"/>
        <v>261</v>
      </c>
      <c r="K126" s="20">
        <f t="shared" si="17"/>
        <v>3989</v>
      </c>
      <c r="L126" s="20">
        <f t="shared" si="21"/>
        <v>700</v>
      </c>
      <c r="M126" s="20">
        <f>'Total income package'!$B$69</f>
        <v>500</v>
      </c>
      <c r="N126" s="20">
        <f t="shared" si="22"/>
        <v>1200</v>
      </c>
      <c r="O126" s="344" t="str">
        <f t="shared" si="23"/>
        <v>No</v>
      </c>
      <c r="P126" s="20">
        <f t="shared" si="24"/>
        <v>1994.5</v>
      </c>
      <c r="Q126" s="346">
        <f t="shared" si="18"/>
        <v>0</v>
      </c>
      <c r="R126" s="20">
        <f>IF(AND(D$2+$E$2&gt;0,N126-SNAP!P126&gt;0),N126-SNAP!P126,0)</f>
        <v>0</v>
      </c>
      <c r="S126" s="20">
        <f t="shared" si="25"/>
        <v>3989</v>
      </c>
      <c r="T126" s="20">
        <f t="shared" si="19"/>
        <v>1196.7</v>
      </c>
      <c r="U126" s="20">
        <f>IF(AND('Total income package'!$A$18=TRUE,OR(H126="Yes",O126="Yes"),G126&lt;$G$2,$K$2-T126&gt;10),ROUNDDOWN($K$2-T126,0),0)</f>
        <v>0</v>
      </c>
      <c r="V126" s="176">
        <f t="shared" si="26"/>
        <v>0</v>
      </c>
      <c r="W126" s="5"/>
    </row>
    <row r="127" spans="2:23" ht="15" customHeight="1" x14ac:dyDescent="0.3">
      <c r="B127" s="72">
        <v>60500</v>
      </c>
      <c r="C127" s="19">
        <f>MAX('TANF-VIEW'!L130,'TANF-VIEW'!T130)</f>
        <v>0</v>
      </c>
      <c r="D127" s="20">
        <f t="shared" si="27"/>
        <v>5041.666666666667</v>
      </c>
      <c r="E127" s="20">
        <f>'Total income package'!$D$80</f>
        <v>0</v>
      </c>
      <c r="F127" s="20">
        <f>'Total income package'!$H$61+'Total income package'!$F$66</f>
        <v>250</v>
      </c>
      <c r="G127" s="20">
        <f t="shared" si="20"/>
        <v>5291.666666666667</v>
      </c>
      <c r="H127" s="20" t="str">
        <f t="shared" si="14"/>
        <v>Yes</v>
      </c>
      <c r="I127" s="20">
        <f t="shared" si="15"/>
        <v>1008.3333333333335</v>
      </c>
      <c r="J127" s="20">
        <f t="shared" si="16"/>
        <v>261</v>
      </c>
      <c r="K127" s="20">
        <f t="shared" si="17"/>
        <v>4022.3333333333339</v>
      </c>
      <c r="L127" s="20">
        <f t="shared" si="21"/>
        <v>700</v>
      </c>
      <c r="M127" s="20">
        <f>'Total income package'!$B$69</f>
        <v>500</v>
      </c>
      <c r="N127" s="20">
        <f t="shared" si="22"/>
        <v>1200</v>
      </c>
      <c r="O127" s="344" t="str">
        <f t="shared" si="23"/>
        <v>No</v>
      </c>
      <c r="P127" s="20">
        <f t="shared" si="24"/>
        <v>2011.166666666667</v>
      </c>
      <c r="Q127" s="346">
        <f t="shared" si="18"/>
        <v>0</v>
      </c>
      <c r="R127" s="20">
        <f>IF(AND(D$2+$E$2&gt;0,N127-SNAP!P127&gt;0),N127-SNAP!P127,0)</f>
        <v>0</v>
      </c>
      <c r="S127" s="20">
        <f t="shared" si="25"/>
        <v>4022.3333333333339</v>
      </c>
      <c r="T127" s="20">
        <f t="shared" si="19"/>
        <v>1206.7</v>
      </c>
      <c r="U127" s="20">
        <f>IF(AND('Total income package'!$A$18=TRUE,OR(H127="Yes",O127="Yes"),G127&lt;$G$2,$K$2-T127&gt;10),ROUNDDOWN($K$2-T127,0),0)</f>
        <v>0</v>
      </c>
      <c r="V127" s="176">
        <f t="shared" si="26"/>
        <v>0</v>
      </c>
      <c r="W127" s="5"/>
    </row>
    <row r="128" spans="2:23" ht="15" customHeight="1" x14ac:dyDescent="0.3">
      <c r="B128" s="72">
        <v>61000</v>
      </c>
      <c r="C128" s="19">
        <f>MAX('TANF-VIEW'!L131,'TANF-VIEW'!T131)</f>
        <v>0</v>
      </c>
      <c r="D128" s="20">
        <f t="shared" si="27"/>
        <v>5083.333333333333</v>
      </c>
      <c r="E128" s="20">
        <f>'Total income package'!$D$80</f>
        <v>0</v>
      </c>
      <c r="F128" s="20">
        <f>'Total income package'!$H$61+'Total income package'!$F$66</f>
        <v>250</v>
      </c>
      <c r="G128" s="20">
        <f t="shared" si="20"/>
        <v>5333.333333333333</v>
      </c>
      <c r="H128" s="20" t="str">
        <f t="shared" si="14"/>
        <v>Yes</v>
      </c>
      <c r="I128" s="20">
        <f t="shared" si="15"/>
        <v>1016.6666666666666</v>
      </c>
      <c r="J128" s="20">
        <f t="shared" si="16"/>
        <v>261</v>
      </c>
      <c r="K128" s="20">
        <f t="shared" si="17"/>
        <v>4055.6666666666661</v>
      </c>
      <c r="L128" s="20">
        <f t="shared" si="21"/>
        <v>700</v>
      </c>
      <c r="M128" s="20">
        <f>'Total income package'!$B$69</f>
        <v>500</v>
      </c>
      <c r="N128" s="20">
        <f t="shared" si="22"/>
        <v>1200</v>
      </c>
      <c r="O128" s="344" t="str">
        <f t="shared" si="23"/>
        <v>No</v>
      </c>
      <c r="P128" s="20">
        <f t="shared" si="24"/>
        <v>2027.833333333333</v>
      </c>
      <c r="Q128" s="346">
        <f t="shared" si="18"/>
        <v>0</v>
      </c>
      <c r="R128" s="20">
        <f>IF(AND(D$2+$E$2&gt;0,N128-SNAP!P128&gt;0),N128-SNAP!P128,0)</f>
        <v>0</v>
      </c>
      <c r="S128" s="20">
        <f t="shared" si="25"/>
        <v>4055.6666666666661</v>
      </c>
      <c r="T128" s="20">
        <f t="shared" si="19"/>
        <v>1216.6999999999998</v>
      </c>
      <c r="U128" s="20">
        <f>IF(AND('Total income package'!$A$18=TRUE,OR(H128="Yes",O128="Yes"),G128&lt;$G$2,$K$2-T128&gt;10),ROUNDDOWN($K$2-T128,0),0)</f>
        <v>0</v>
      </c>
      <c r="V128" s="176">
        <f t="shared" si="26"/>
        <v>0</v>
      </c>
      <c r="W128" s="5"/>
    </row>
    <row r="129" spans="2:23" ht="15" customHeight="1" x14ac:dyDescent="0.3">
      <c r="B129" s="72">
        <v>61500</v>
      </c>
      <c r="C129" s="19">
        <f>MAX('TANF-VIEW'!L132,'TANF-VIEW'!T132)</f>
        <v>0</v>
      </c>
      <c r="D129" s="20">
        <f t="shared" si="27"/>
        <v>5125</v>
      </c>
      <c r="E129" s="20">
        <f>'Total income package'!$D$80</f>
        <v>0</v>
      </c>
      <c r="F129" s="20">
        <f>'Total income package'!$H$61+'Total income package'!$F$66</f>
        <v>250</v>
      </c>
      <c r="G129" s="20">
        <f t="shared" si="20"/>
        <v>5375</v>
      </c>
      <c r="H129" s="20" t="str">
        <f t="shared" si="14"/>
        <v>Yes</v>
      </c>
      <c r="I129" s="20">
        <f t="shared" si="15"/>
        <v>1025</v>
      </c>
      <c r="J129" s="20">
        <f t="shared" si="16"/>
        <v>261</v>
      </c>
      <c r="K129" s="20">
        <f t="shared" si="17"/>
        <v>4089</v>
      </c>
      <c r="L129" s="20">
        <f t="shared" si="21"/>
        <v>700</v>
      </c>
      <c r="M129" s="20">
        <f>'Total income package'!$B$69</f>
        <v>500</v>
      </c>
      <c r="N129" s="20">
        <f t="shared" si="22"/>
        <v>1200</v>
      </c>
      <c r="O129" s="344" t="str">
        <f t="shared" si="23"/>
        <v>No</v>
      </c>
      <c r="P129" s="20">
        <f t="shared" si="24"/>
        <v>2044.5</v>
      </c>
      <c r="Q129" s="346">
        <f t="shared" si="18"/>
        <v>0</v>
      </c>
      <c r="R129" s="20">
        <f>IF(AND(D$2+$E$2&gt;0,N129-SNAP!P129&gt;0),N129-SNAP!P129,0)</f>
        <v>0</v>
      </c>
      <c r="S129" s="20">
        <f t="shared" si="25"/>
        <v>4089</v>
      </c>
      <c r="T129" s="20">
        <f t="shared" si="19"/>
        <v>1226.7</v>
      </c>
      <c r="U129" s="20">
        <f>IF(AND('Total income package'!$A$18=TRUE,OR(H129="Yes",O129="Yes"),G129&lt;$G$2,$K$2-T129&gt;10),ROUNDDOWN($K$2-T129,0),0)</f>
        <v>0</v>
      </c>
      <c r="V129" s="176">
        <f t="shared" si="26"/>
        <v>0</v>
      </c>
      <c r="W129" s="5"/>
    </row>
    <row r="130" spans="2:23" ht="15" customHeight="1" x14ac:dyDescent="0.3">
      <c r="B130" s="72">
        <v>62000</v>
      </c>
      <c r="C130" s="19">
        <f>MAX('TANF-VIEW'!L133,'TANF-VIEW'!T133)</f>
        <v>0</v>
      </c>
      <c r="D130" s="20">
        <f t="shared" si="27"/>
        <v>5166.666666666667</v>
      </c>
      <c r="E130" s="20">
        <f>'Total income package'!$D$80</f>
        <v>0</v>
      </c>
      <c r="F130" s="20">
        <f>'Total income package'!$H$61+'Total income package'!$F$66</f>
        <v>250</v>
      </c>
      <c r="G130" s="20">
        <f t="shared" si="20"/>
        <v>5416.666666666667</v>
      </c>
      <c r="H130" s="20" t="str">
        <f t="shared" si="14"/>
        <v>Yes</v>
      </c>
      <c r="I130" s="20">
        <f t="shared" si="15"/>
        <v>1033.3333333333335</v>
      </c>
      <c r="J130" s="20">
        <f t="shared" si="16"/>
        <v>261</v>
      </c>
      <c r="K130" s="20">
        <f t="shared" si="17"/>
        <v>4122.3333333333339</v>
      </c>
      <c r="L130" s="20">
        <f t="shared" si="21"/>
        <v>700</v>
      </c>
      <c r="M130" s="20">
        <f>'Total income package'!$B$69</f>
        <v>500</v>
      </c>
      <c r="N130" s="20">
        <f t="shared" si="22"/>
        <v>1200</v>
      </c>
      <c r="O130" s="344" t="str">
        <f t="shared" si="23"/>
        <v>No</v>
      </c>
      <c r="P130" s="20">
        <f t="shared" si="24"/>
        <v>2061.166666666667</v>
      </c>
      <c r="Q130" s="346">
        <f t="shared" si="18"/>
        <v>0</v>
      </c>
      <c r="R130" s="20">
        <f>IF(AND(D$2+$E$2&gt;0,N130-SNAP!P130&gt;0),N130-SNAP!P130,0)</f>
        <v>0</v>
      </c>
      <c r="S130" s="20">
        <f t="shared" si="25"/>
        <v>4122.3333333333339</v>
      </c>
      <c r="T130" s="20">
        <f t="shared" si="19"/>
        <v>1236.7</v>
      </c>
      <c r="U130" s="20">
        <f>IF(AND('Total income package'!$A$18=TRUE,OR(H130="Yes",O130="Yes"),G130&lt;$G$2,$K$2-T130&gt;10),ROUNDDOWN($K$2-T130,0),0)</f>
        <v>0</v>
      </c>
      <c r="V130" s="176">
        <f t="shared" si="26"/>
        <v>0</v>
      </c>
      <c r="W130" s="5"/>
    </row>
    <row r="131" spans="2:23" ht="15" customHeight="1" x14ac:dyDescent="0.3">
      <c r="B131" s="72">
        <v>62500</v>
      </c>
      <c r="C131" s="19">
        <f>MAX('TANF-VIEW'!L134,'TANF-VIEW'!T134)</f>
        <v>0</v>
      </c>
      <c r="D131" s="20">
        <f t="shared" si="27"/>
        <v>5208.333333333333</v>
      </c>
      <c r="E131" s="20">
        <f>'Total income package'!$D$80</f>
        <v>0</v>
      </c>
      <c r="F131" s="20">
        <f>'Total income package'!$H$61+'Total income package'!$F$66</f>
        <v>250</v>
      </c>
      <c r="G131" s="20">
        <f t="shared" si="20"/>
        <v>5458.333333333333</v>
      </c>
      <c r="H131" s="20" t="str">
        <f t="shared" si="14"/>
        <v>Yes</v>
      </c>
      <c r="I131" s="20">
        <f t="shared" si="15"/>
        <v>1041.6666666666667</v>
      </c>
      <c r="J131" s="20">
        <f t="shared" si="16"/>
        <v>261</v>
      </c>
      <c r="K131" s="20">
        <f t="shared" si="17"/>
        <v>4155.6666666666661</v>
      </c>
      <c r="L131" s="20">
        <f t="shared" si="21"/>
        <v>700</v>
      </c>
      <c r="M131" s="20">
        <f>'Total income package'!$B$69</f>
        <v>500</v>
      </c>
      <c r="N131" s="20">
        <f t="shared" si="22"/>
        <v>1200</v>
      </c>
      <c r="O131" s="344" t="str">
        <f t="shared" si="23"/>
        <v>No</v>
      </c>
      <c r="P131" s="20">
        <f t="shared" si="24"/>
        <v>2077.833333333333</v>
      </c>
      <c r="Q131" s="346">
        <f t="shared" si="18"/>
        <v>0</v>
      </c>
      <c r="R131" s="20">
        <f>IF(AND(D$2+$E$2&gt;0,N131-SNAP!P131&gt;0),N131-SNAP!P131,0)</f>
        <v>0</v>
      </c>
      <c r="S131" s="20">
        <f t="shared" si="25"/>
        <v>4155.6666666666661</v>
      </c>
      <c r="T131" s="20">
        <f t="shared" si="19"/>
        <v>1246.6999999999998</v>
      </c>
      <c r="U131" s="20">
        <f>IF(AND('Total income package'!$A$18=TRUE,OR(H131="Yes",O131="Yes"),G131&lt;$G$2,$K$2-T131&gt;10),ROUNDDOWN($K$2-T131,0),0)</f>
        <v>0</v>
      </c>
      <c r="V131" s="176">
        <f t="shared" si="26"/>
        <v>0</v>
      </c>
      <c r="W131" s="5"/>
    </row>
    <row r="132" spans="2:23" ht="15" customHeight="1" x14ac:dyDescent="0.3">
      <c r="B132" s="72">
        <v>63000</v>
      </c>
      <c r="C132" s="19">
        <f>MAX('TANF-VIEW'!L135,'TANF-VIEW'!T135)</f>
        <v>0</v>
      </c>
      <c r="D132" s="20">
        <f t="shared" si="27"/>
        <v>5250</v>
      </c>
      <c r="E132" s="20">
        <f>'Total income package'!$D$80</f>
        <v>0</v>
      </c>
      <c r="F132" s="20">
        <f>'Total income package'!$H$61+'Total income package'!$F$66</f>
        <v>250</v>
      </c>
      <c r="G132" s="20">
        <f t="shared" si="20"/>
        <v>5500</v>
      </c>
      <c r="H132" s="20" t="str">
        <f t="shared" si="14"/>
        <v>Yes</v>
      </c>
      <c r="I132" s="20">
        <f t="shared" si="15"/>
        <v>1050</v>
      </c>
      <c r="J132" s="20">
        <f t="shared" si="16"/>
        <v>261</v>
      </c>
      <c r="K132" s="20">
        <f t="shared" si="17"/>
        <v>4189</v>
      </c>
      <c r="L132" s="20">
        <f t="shared" si="21"/>
        <v>700</v>
      </c>
      <c r="M132" s="20">
        <f>'Total income package'!$B$69</f>
        <v>500</v>
      </c>
      <c r="N132" s="20">
        <f t="shared" si="22"/>
        <v>1200</v>
      </c>
      <c r="O132" s="344" t="str">
        <f t="shared" si="23"/>
        <v>No</v>
      </c>
      <c r="P132" s="20">
        <f t="shared" si="24"/>
        <v>2094.5</v>
      </c>
      <c r="Q132" s="346">
        <f t="shared" si="18"/>
        <v>0</v>
      </c>
      <c r="R132" s="20">
        <f>IF(AND(D$2+$E$2&gt;0,N132-SNAP!P132&gt;0),N132-SNAP!P132,0)</f>
        <v>0</v>
      </c>
      <c r="S132" s="20">
        <f t="shared" si="25"/>
        <v>4189</v>
      </c>
      <c r="T132" s="20">
        <f t="shared" si="19"/>
        <v>1256.7</v>
      </c>
      <c r="U132" s="20">
        <f>IF(AND('Total income package'!$A$18=TRUE,OR(H132="Yes",O132="Yes"),G132&lt;$G$2,$K$2-T132&gt;10),ROUNDDOWN($K$2-T132,0),0)</f>
        <v>0</v>
      </c>
      <c r="V132" s="176">
        <f>IF(AND(C128&lt;3,U132&gt;10,U132&lt;24),24,U132)</f>
        <v>0</v>
      </c>
      <c r="W132" s="5"/>
    </row>
    <row r="133" spans="2:23" ht="15" customHeight="1" x14ac:dyDescent="0.3">
      <c r="B133" s="72">
        <v>63500</v>
      </c>
      <c r="C133" s="19">
        <f>MAX('TANF-VIEW'!L136,'TANF-VIEW'!T136)</f>
        <v>0</v>
      </c>
      <c r="D133" s="20">
        <f t="shared" si="27"/>
        <v>5291.666666666667</v>
      </c>
      <c r="E133" s="20">
        <f>'Total income package'!$D$80</f>
        <v>0</v>
      </c>
      <c r="F133" s="20">
        <f>'Total income package'!$H$61+'Total income package'!$F$66</f>
        <v>250</v>
      </c>
      <c r="G133" s="20">
        <f t="shared" si="20"/>
        <v>5541.666666666667</v>
      </c>
      <c r="H133" s="20" t="str">
        <f t="shared" si="14"/>
        <v>Yes</v>
      </c>
      <c r="I133" s="20">
        <f t="shared" si="15"/>
        <v>1058.3333333333335</v>
      </c>
      <c r="J133" s="20">
        <f t="shared" si="16"/>
        <v>261</v>
      </c>
      <c r="K133" s="20">
        <f t="shared" si="17"/>
        <v>4222.3333333333339</v>
      </c>
      <c r="L133" s="20">
        <f t="shared" si="21"/>
        <v>700</v>
      </c>
      <c r="M133" s="20">
        <f>'Total income package'!$B$69</f>
        <v>500</v>
      </c>
      <c r="N133" s="20">
        <f t="shared" si="22"/>
        <v>1200</v>
      </c>
      <c r="O133" s="344" t="str">
        <f t="shared" si="23"/>
        <v>No</v>
      </c>
      <c r="P133" s="20">
        <f t="shared" si="24"/>
        <v>2111.166666666667</v>
      </c>
      <c r="Q133" s="346">
        <f t="shared" si="18"/>
        <v>0</v>
      </c>
      <c r="R133" s="20">
        <f>IF(AND(D$2+$E$2&gt;0,N133-SNAP!P133&gt;0),N133-SNAP!P133,0)</f>
        <v>0</v>
      </c>
      <c r="S133" s="20">
        <f t="shared" si="25"/>
        <v>4222.3333333333339</v>
      </c>
      <c r="T133" s="20">
        <f t="shared" si="19"/>
        <v>1266.7</v>
      </c>
      <c r="U133" s="20">
        <f>IF(AND('Total income package'!$A$18=TRUE,OR(H133="Yes",O133="Yes"),G133&lt;$G$2,$K$2-T133&gt;10),ROUNDDOWN($K$2-T133,0),0)</f>
        <v>0</v>
      </c>
      <c r="V133" s="176">
        <f t="shared" si="26"/>
        <v>0</v>
      </c>
      <c r="W133" s="5"/>
    </row>
    <row r="134" spans="2:23" ht="15" customHeight="1" x14ac:dyDescent="0.3">
      <c r="B134" s="72">
        <v>64000</v>
      </c>
      <c r="C134" s="19">
        <f>MAX('TANF-VIEW'!L137,'TANF-VIEW'!T137)</f>
        <v>0</v>
      </c>
      <c r="D134" s="20">
        <f t="shared" si="27"/>
        <v>5333.333333333333</v>
      </c>
      <c r="E134" s="20">
        <f>'Total income package'!$D$80</f>
        <v>0</v>
      </c>
      <c r="F134" s="20">
        <f>'Total income package'!$H$61+'Total income package'!$F$66</f>
        <v>250</v>
      </c>
      <c r="G134" s="20">
        <f t="shared" si="20"/>
        <v>5583.333333333333</v>
      </c>
      <c r="H134" s="20" t="str">
        <f t="shared" ref="H134:H197" si="28">IF(G134&lt;$G$2,"Yes","No")</f>
        <v>Yes</v>
      </c>
      <c r="I134" s="20">
        <f t="shared" ref="I134:I197" si="29">D134*0.2</f>
        <v>1066.6666666666667</v>
      </c>
      <c r="J134" s="20">
        <f t="shared" ref="J134:J197" si="30">$H$2</f>
        <v>261</v>
      </c>
      <c r="K134" s="20">
        <f t="shared" ref="K134:K197" si="31">IF(G134-I134-J134&gt;0,G134-I134-J134,0)</f>
        <v>4255.6666666666661</v>
      </c>
      <c r="L134" s="20">
        <f t="shared" si="21"/>
        <v>700</v>
      </c>
      <c r="M134" s="20">
        <f>'Total income package'!$B$69</f>
        <v>500</v>
      </c>
      <c r="N134" s="20">
        <f t="shared" si="22"/>
        <v>1200</v>
      </c>
      <c r="O134" s="344" t="str">
        <f t="shared" si="23"/>
        <v>No</v>
      </c>
      <c r="P134" s="20">
        <f t="shared" si="24"/>
        <v>2127.833333333333</v>
      </c>
      <c r="Q134" s="346">
        <f t="shared" ref="Q134:Q197" si="32">IF(AND(D$2+$E$2=0,N134&lt;$L$2,N134-P134&gt;0),N134-P134,IF(AND(D$2+$E$2=0,N134&gt;$L$2),$L$2,0))</f>
        <v>0</v>
      </c>
      <c r="R134" s="20">
        <f>IF(AND(D$2+$E$2&gt;0,N134-SNAP!P134&gt;0),N134-SNAP!P134,0)</f>
        <v>0</v>
      </c>
      <c r="S134" s="20">
        <f t="shared" si="25"/>
        <v>4255.6666666666661</v>
      </c>
      <c r="T134" s="20">
        <f t="shared" ref="T134:T197" si="33">S134*0.3</f>
        <v>1276.6999999999998</v>
      </c>
      <c r="U134" s="20">
        <f>IF(AND('Total income package'!$A$18=TRUE,OR(H134="Yes",O134="Yes"),G134&lt;$G$2,$K$2-T134&gt;10),ROUNDDOWN($K$2-T134,0),0)</f>
        <v>0</v>
      </c>
      <c r="V134" s="176">
        <f t="shared" si="26"/>
        <v>0</v>
      </c>
      <c r="W134" s="5"/>
    </row>
    <row r="135" spans="2:23" ht="15" customHeight="1" x14ac:dyDescent="0.3">
      <c r="B135" s="72">
        <v>64500</v>
      </c>
      <c r="C135" s="19">
        <f>MAX('TANF-VIEW'!L138,'TANF-VIEW'!T138)</f>
        <v>0</v>
      </c>
      <c r="D135" s="20">
        <f t="shared" si="27"/>
        <v>5375</v>
      </c>
      <c r="E135" s="20">
        <f>'Total income package'!$D$80</f>
        <v>0</v>
      </c>
      <c r="F135" s="20">
        <f>'Total income package'!$H$61+'Total income package'!$F$66</f>
        <v>250</v>
      </c>
      <c r="G135" s="20">
        <f t="shared" ref="G135:G198" si="34">D135+C135+E135+F135</f>
        <v>5625</v>
      </c>
      <c r="H135" s="20" t="str">
        <f t="shared" si="28"/>
        <v>Yes</v>
      </c>
      <c r="I135" s="20">
        <f t="shared" si="29"/>
        <v>1075</v>
      </c>
      <c r="J135" s="20">
        <f t="shared" si="30"/>
        <v>261</v>
      </c>
      <c r="K135" s="20">
        <f t="shared" si="31"/>
        <v>4289</v>
      </c>
      <c r="L135" s="20">
        <f t="shared" ref="L135:L198" si="35">$I$2</f>
        <v>700</v>
      </c>
      <c r="M135" s="20">
        <f>'Total income package'!$B$69</f>
        <v>500</v>
      </c>
      <c r="N135" s="20">
        <f t="shared" ref="N135:N198" si="36">L135+M135</f>
        <v>1200</v>
      </c>
      <c r="O135" s="344" t="str">
        <f t="shared" ref="O135:O198" si="37">IF(AND($D$2+$E$2&gt;0,K135&lt;$J$2),"Yes","No")</f>
        <v>No</v>
      </c>
      <c r="P135" s="20">
        <f t="shared" ref="P135:P198" si="38">K135/2</f>
        <v>2144.5</v>
      </c>
      <c r="Q135" s="346">
        <f t="shared" si="32"/>
        <v>0</v>
      </c>
      <c r="R135" s="20">
        <f>IF(AND(D$2+$E$2&gt;0,N135-SNAP!P135&gt;0),N135-SNAP!P135,0)</f>
        <v>0</v>
      </c>
      <c r="S135" s="20">
        <f t="shared" ref="S135:S198" si="39">IF(AND($D$2+$E$2&gt;0,K135-R135&gt;0),K135-R135,IF(AND($D$2+$E$2=0,K135-Q135&gt;0),K135-Q135,0))</f>
        <v>4289</v>
      </c>
      <c r="T135" s="20">
        <f t="shared" si="33"/>
        <v>1286.7</v>
      </c>
      <c r="U135" s="20">
        <f>IF(AND('Total income package'!$A$18=TRUE,OR(H135="Yes",O135="Yes"),G135&lt;$G$2,$K$2-T135&gt;10),ROUNDDOWN($K$2-T135,0),0)</f>
        <v>0</v>
      </c>
      <c r="V135" s="176">
        <f t="shared" ref="V135:V198" si="40">IF(AND(C131&lt;3,U135&gt;10,U135&lt;24),24,U135)</f>
        <v>0</v>
      </c>
      <c r="W135" s="5"/>
    </row>
    <row r="136" spans="2:23" ht="15" customHeight="1" x14ac:dyDescent="0.3">
      <c r="B136" s="72">
        <v>65000</v>
      </c>
      <c r="C136" s="19">
        <f>MAX('TANF-VIEW'!L139,'TANF-VIEW'!T139)</f>
        <v>0</v>
      </c>
      <c r="D136" s="20">
        <f t="shared" si="27"/>
        <v>5416.666666666667</v>
      </c>
      <c r="E136" s="20">
        <f>'Total income package'!$D$80</f>
        <v>0</v>
      </c>
      <c r="F136" s="20">
        <f>'Total income package'!$H$61+'Total income package'!$F$66</f>
        <v>250</v>
      </c>
      <c r="G136" s="20">
        <f t="shared" si="34"/>
        <v>5666.666666666667</v>
      </c>
      <c r="H136" s="20" t="str">
        <f t="shared" si="28"/>
        <v>Yes</v>
      </c>
      <c r="I136" s="20">
        <f t="shared" si="29"/>
        <v>1083.3333333333335</v>
      </c>
      <c r="J136" s="20">
        <f t="shared" si="30"/>
        <v>261</v>
      </c>
      <c r="K136" s="20">
        <f t="shared" si="31"/>
        <v>4322.3333333333339</v>
      </c>
      <c r="L136" s="20">
        <f t="shared" si="35"/>
        <v>700</v>
      </c>
      <c r="M136" s="20">
        <f>'Total income package'!$B$69</f>
        <v>500</v>
      </c>
      <c r="N136" s="20">
        <f t="shared" si="36"/>
        <v>1200</v>
      </c>
      <c r="O136" s="344" t="str">
        <f t="shared" si="37"/>
        <v>No</v>
      </c>
      <c r="P136" s="20">
        <f t="shared" si="38"/>
        <v>2161.166666666667</v>
      </c>
      <c r="Q136" s="346">
        <f t="shared" si="32"/>
        <v>0</v>
      </c>
      <c r="R136" s="20">
        <f>IF(AND(D$2+$E$2&gt;0,N136-SNAP!P136&gt;0),N136-SNAP!P136,0)</f>
        <v>0</v>
      </c>
      <c r="S136" s="20">
        <f t="shared" si="39"/>
        <v>4322.3333333333339</v>
      </c>
      <c r="T136" s="20">
        <f t="shared" si="33"/>
        <v>1296.7</v>
      </c>
      <c r="U136" s="20">
        <f>IF(AND('Total income package'!$A$18=TRUE,OR(H136="Yes",O136="Yes"),G136&lt;$G$2,$K$2-T136&gt;10),ROUNDDOWN($K$2-T136,0),0)</f>
        <v>0</v>
      </c>
      <c r="V136" s="176">
        <f t="shared" si="40"/>
        <v>0</v>
      </c>
      <c r="W136" s="5"/>
    </row>
    <row r="137" spans="2:23" ht="15" customHeight="1" x14ac:dyDescent="0.3">
      <c r="B137" s="72">
        <v>65500</v>
      </c>
      <c r="C137" s="19">
        <f>MAX('TANF-VIEW'!L140,'TANF-VIEW'!T140)</f>
        <v>0</v>
      </c>
      <c r="D137" s="20">
        <f t="shared" ref="D137:D200" si="41">B137/12</f>
        <v>5458.333333333333</v>
      </c>
      <c r="E137" s="20">
        <f>'Total income package'!$D$80</f>
        <v>0</v>
      </c>
      <c r="F137" s="20">
        <f>'Total income package'!$H$61+'Total income package'!$F$66</f>
        <v>250</v>
      </c>
      <c r="G137" s="20">
        <f t="shared" si="34"/>
        <v>5708.333333333333</v>
      </c>
      <c r="H137" s="20" t="str">
        <f t="shared" si="28"/>
        <v>Yes</v>
      </c>
      <c r="I137" s="20">
        <f t="shared" si="29"/>
        <v>1091.6666666666667</v>
      </c>
      <c r="J137" s="20">
        <f t="shared" si="30"/>
        <v>261</v>
      </c>
      <c r="K137" s="20">
        <f t="shared" si="31"/>
        <v>4355.6666666666661</v>
      </c>
      <c r="L137" s="20">
        <f t="shared" si="35"/>
        <v>700</v>
      </c>
      <c r="M137" s="20">
        <f>'Total income package'!$B$69</f>
        <v>500</v>
      </c>
      <c r="N137" s="20">
        <f t="shared" si="36"/>
        <v>1200</v>
      </c>
      <c r="O137" s="344" t="str">
        <f t="shared" si="37"/>
        <v>No</v>
      </c>
      <c r="P137" s="20">
        <f t="shared" si="38"/>
        <v>2177.833333333333</v>
      </c>
      <c r="Q137" s="346">
        <f t="shared" si="32"/>
        <v>0</v>
      </c>
      <c r="R137" s="20">
        <f>IF(AND(D$2+$E$2&gt;0,N137-SNAP!P137&gt;0),N137-SNAP!P137,0)</f>
        <v>0</v>
      </c>
      <c r="S137" s="20">
        <f t="shared" si="39"/>
        <v>4355.6666666666661</v>
      </c>
      <c r="T137" s="20">
        <f t="shared" si="33"/>
        <v>1306.6999999999998</v>
      </c>
      <c r="U137" s="20">
        <f>IF(AND('Total income package'!$A$18=TRUE,OR(H137="Yes",O137="Yes"),G137&lt;$G$2,$K$2-T137&gt;10),ROUNDDOWN($K$2-T137,0),0)</f>
        <v>0</v>
      </c>
      <c r="V137" s="176">
        <f t="shared" si="40"/>
        <v>0</v>
      </c>
      <c r="W137" s="5"/>
    </row>
    <row r="138" spans="2:23" ht="15" customHeight="1" x14ac:dyDescent="0.3">
      <c r="B138" s="72">
        <v>66000</v>
      </c>
      <c r="C138" s="19">
        <f>MAX('TANF-VIEW'!L141,'TANF-VIEW'!T141)</f>
        <v>0</v>
      </c>
      <c r="D138" s="20">
        <f t="shared" si="41"/>
        <v>5500</v>
      </c>
      <c r="E138" s="20">
        <f>'Total income package'!$D$80</f>
        <v>0</v>
      </c>
      <c r="F138" s="20">
        <f>'Total income package'!$H$61+'Total income package'!$F$66</f>
        <v>250</v>
      </c>
      <c r="G138" s="20">
        <f t="shared" si="34"/>
        <v>5750</v>
      </c>
      <c r="H138" s="20" t="str">
        <f t="shared" si="28"/>
        <v>Yes</v>
      </c>
      <c r="I138" s="20">
        <f t="shared" si="29"/>
        <v>1100</v>
      </c>
      <c r="J138" s="20">
        <f t="shared" si="30"/>
        <v>261</v>
      </c>
      <c r="K138" s="20">
        <f t="shared" si="31"/>
        <v>4389</v>
      </c>
      <c r="L138" s="20">
        <f t="shared" si="35"/>
        <v>700</v>
      </c>
      <c r="M138" s="20">
        <f>'Total income package'!$B$69</f>
        <v>500</v>
      </c>
      <c r="N138" s="20">
        <f t="shared" si="36"/>
        <v>1200</v>
      </c>
      <c r="O138" s="344" t="str">
        <f t="shared" si="37"/>
        <v>No</v>
      </c>
      <c r="P138" s="20">
        <f t="shared" si="38"/>
        <v>2194.5</v>
      </c>
      <c r="Q138" s="346">
        <f t="shared" si="32"/>
        <v>0</v>
      </c>
      <c r="R138" s="20">
        <f>IF(AND(D$2+$E$2&gt;0,N138-SNAP!P138&gt;0),N138-SNAP!P138,0)</f>
        <v>0</v>
      </c>
      <c r="S138" s="20">
        <f t="shared" si="39"/>
        <v>4389</v>
      </c>
      <c r="T138" s="20">
        <f t="shared" si="33"/>
        <v>1316.7</v>
      </c>
      <c r="U138" s="20">
        <f>IF(AND('Total income package'!$A$18=TRUE,OR(H138="Yes",O138="Yes"),G138&lt;$G$2,$K$2-T138&gt;10),ROUNDDOWN($K$2-T138,0),0)</f>
        <v>0</v>
      </c>
      <c r="V138" s="176">
        <f t="shared" si="40"/>
        <v>0</v>
      </c>
      <c r="W138" s="5"/>
    </row>
    <row r="139" spans="2:23" ht="15" customHeight="1" x14ac:dyDescent="0.3">
      <c r="B139" s="72">
        <v>66500</v>
      </c>
      <c r="C139" s="19">
        <f>MAX('TANF-VIEW'!L142,'TANF-VIEW'!T142)</f>
        <v>0</v>
      </c>
      <c r="D139" s="20">
        <f t="shared" si="41"/>
        <v>5541.666666666667</v>
      </c>
      <c r="E139" s="20">
        <f>'Total income package'!$D$80</f>
        <v>0</v>
      </c>
      <c r="F139" s="20">
        <f>'Total income package'!$H$61+'Total income package'!$F$66</f>
        <v>250</v>
      </c>
      <c r="G139" s="20">
        <f t="shared" si="34"/>
        <v>5791.666666666667</v>
      </c>
      <c r="H139" s="20" t="str">
        <f t="shared" si="28"/>
        <v>Yes</v>
      </c>
      <c r="I139" s="20">
        <f t="shared" si="29"/>
        <v>1108.3333333333335</v>
      </c>
      <c r="J139" s="20">
        <f t="shared" si="30"/>
        <v>261</v>
      </c>
      <c r="K139" s="20">
        <f t="shared" si="31"/>
        <v>4422.3333333333339</v>
      </c>
      <c r="L139" s="20">
        <f t="shared" si="35"/>
        <v>700</v>
      </c>
      <c r="M139" s="20">
        <f>'Total income package'!$B$69</f>
        <v>500</v>
      </c>
      <c r="N139" s="20">
        <f t="shared" si="36"/>
        <v>1200</v>
      </c>
      <c r="O139" s="344" t="str">
        <f t="shared" si="37"/>
        <v>No</v>
      </c>
      <c r="P139" s="20">
        <f t="shared" si="38"/>
        <v>2211.166666666667</v>
      </c>
      <c r="Q139" s="346">
        <f t="shared" si="32"/>
        <v>0</v>
      </c>
      <c r="R139" s="20">
        <f>IF(AND(D$2+$E$2&gt;0,N139-SNAP!P139&gt;0),N139-SNAP!P139,0)</f>
        <v>0</v>
      </c>
      <c r="S139" s="20">
        <f t="shared" si="39"/>
        <v>4422.3333333333339</v>
      </c>
      <c r="T139" s="20">
        <f t="shared" si="33"/>
        <v>1326.7</v>
      </c>
      <c r="U139" s="20">
        <f>IF(AND('Total income package'!$A$18=TRUE,OR(H139="Yes",O139="Yes"),G139&lt;$G$2,$K$2-T139&gt;10),ROUNDDOWN($K$2-T139,0),0)</f>
        <v>0</v>
      </c>
      <c r="V139" s="176">
        <f t="shared" si="40"/>
        <v>0</v>
      </c>
      <c r="W139" s="5"/>
    </row>
    <row r="140" spans="2:23" ht="15" customHeight="1" x14ac:dyDescent="0.3">
      <c r="B140" s="72">
        <v>67000</v>
      </c>
      <c r="C140" s="19">
        <f>MAX('TANF-VIEW'!L143,'TANF-VIEW'!T143)</f>
        <v>0</v>
      </c>
      <c r="D140" s="20">
        <f t="shared" si="41"/>
        <v>5583.333333333333</v>
      </c>
      <c r="E140" s="20">
        <f>'Total income package'!$D$80</f>
        <v>0</v>
      </c>
      <c r="F140" s="20">
        <f>'Total income package'!$H$61+'Total income package'!$F$66</f>
        <v>250</v>
      </c>
      <c r="G140" s="20">
        <f t="shared" si="34"/>
        <v>5833.333333333333</v>
      </c>
      <c r="H140" s="20" t="str">
        <f t="shared" si="28"/>
        <v>Yes</v>
      </c>
      <c r="I140" s="20">
        <f t="shared" si="29"/>
        <v>1116.6666666666667</v>
      </c>
      <c r="J140" s="20">
        <f t="shared" si="30"/>
        <v>261</v>
      </c>
      <c r="K140" s="20">
        <f t="shared" si="31"/>
        <v>4455.6666666666661</v>
      </c>
      <c r="L140" s="20">
        <f t="shared" si="35"/>
        <v>700</v>
      </c>
      <c r="M140" s="20">
        <f>'Total income package'!$B$69</f>
        <v>500</v>
      </c>
      <c r="N140" s="20">
        <f t="shared" si="36"/>
        <v>1200</v>
      </c>
      <c r="O140" s="344" t="str">
        <f t="shared" si="37"/>
        <v>No</v>
      </c>
      <c r="P140" s="20">
        <f t="shared" si="38"/>
        <v>2227.833333333333</v>
      </c>
      <c r="Q140" s="346">
        <f t="shared" si="32"/>
        <v>0</v>
      </c>
      <c r="R140" s="20">
        <f>IF(AND(D$2+$E$2&gt;0,N140-SNAP!P140&gt;0),N140-SNAP!P140,0)</f>
        <v>0</v>
      </c>
      <c r="S140" s="20">
        <f t="shared" si="39"/>
        <v>4455.6666666666661</v>
      </c>
      <c r="T140" s="20">
        <f t="shared" si="33"/>
        <v>1336.6999999999998</v>
      </c>
      <c r="U140" s="20">
        <f>IF(AND('Total income package'!$A$18=TRUE,OR(H140="Yes",O140="Yes"),G140&lt;$G$2,$K$2-T140&gt;10),ROUNDDOWN($K$2-T140,0),0)</f>
        <v>0</v>
      </c>
      <c r="V140" s="176">
        <f t="shared" si="40"/>
        <v>0</v>
      </c>
      <c r="W140" s="5"/>
    </row>
    <row r="141" spans="2:23" ht="15" customHeight="1" x14ac:dyDescent="0.3">
      <c r="B141" s="72">
        <v>67500</v>
      </c>
      <c r="C141" s="19">
        <f>MAX('TANF-VIEW'!L144,'TANF-VIEW'!T144)</f>
        <v>0</v>
      </c>
      <c r="D141" s="20">
        <f t="shared" si="41"/>
        <v>5625</v>
      </c>
      <c r="E141" s="20">
        <f>'Total income package'!$D$80</f>
        <v>0</v>
      </c>
      <c r="F141" s="20">
        <f>'Total income package'!$H$61+'Total income package'!$F$66</f>
        <v>250</v>
      </c>
      <c r="G141" s="20">
        <f t="shared" si="34"/>
        <v>5875</v>
      </c>
      <c r="H141" s="20" t="str">
        <f t="shared" si="28"/>
        <v>Yes</v>
      </c>
      <c r="I141" s="20">
        <f t="shared" si="29"/>
        <v>1125</v>
      </c>
      <c r="J141" s="20">
        <f t="shared" si="30"/>
        <v>261</v>
      </c>
      <c r="K141" s="20">
        <f t="shared" si="31"/>
        <v>4489</v>
      </c>
      <c r="L141" s="20">
        <f t="shared" si="35"/>
        <v>700</v>
      </c>
      <c r="M141" s="20">
        <f>'Total income package'!$B$69</f>
        <v>500</v>
      </c>
      <c r="N141" s="20">
        <f t="shared" si="36"/>
        <v>1200</v>
      </c>
      <c r="O141" s="344" t="str">
        <f t="shared" si="37"/>
        <v>No</v>
      </c>
      <c r="P141" s="20">
        <f t="shared" si="38"/>
        <v>2244.5</v>
      </c>
      <c r="Q141" s="346">
        <f t="shared" si="32"/>
        <v>0</v>
      </c>
      <c r="R141" s="20">
        <f>IF(AND(D$2+$E$2&gt;0,N141-SNAP!P141&gt;0),N141-SNAP!P141,0)</f>
        <v>0</v>
      </c>
      <c r="S141" s="20">
        <f t="shared" si="39"/>
        <v>4489</v>
      </c>
      <c r="T141" s="20">
        <f t="shared" si="33"/>
        <v>1346.7</v>
      </c>
      <c r="U141" s="20">
        <f>IF(AND('Total income package'!$A$18=TRUE,OR(H141="Yes",O141="Yes"),G141&lt;$G$2,$K$2-T141&gt;10),ROUNDDOWN($K$2-T141,0),0)</f>
        <v>0</v>
      </c>
      <c r="V141" s="176">
        <f t="shared" si="40"/>
        <v>0</v>
      </c>
      <c r="W141" s="5"/>
    </row>
    <row r="142" spans="2:23" ht="15" customHeight="1" x14ac:dyDescent="0.3">
      <c r="B142" s="72">
        <v>68000</v>
      </c>
      <c r="C142" s="19">
        <f>MAX('TANF-VIEW'!L145,'TANF-VIEW'!T145)</f>
        <v>0</v>
      </c>
      <c r="D142" s="20">
        <f t="shared" si="41"/>
        <v>5666.666666666667</v>
      </c>
      <c r="E142" s="20">
        <f>'Total income package'!$D$80</f>
        <v>0</v>
      </c>
      <c r="F142" s="20">
        <f>'Total income package'!$H$61+'Total income package'!$F$66</f>
        <v>250</v>
      </c>
      <c r="G142" s="20">
        <f t="shared" si="34"/>
        <v>5916.666666666667</v>
      </c>
      <c r="H142" s="20" t="str">
        <f t="shared" si="28"/>
        <v>Yes</v>
      </c>
      <c r="I142" s="20">
        <f t="shared" si="29"/>
        <v>1133.3333333333335</v>
      </c>
      <c r="J142" s="20">
        <f t="shared" si="30"/>
        <v>261</v>
      </c>
      <c r="K142" s="20">
        <f t="shared" si="31"/>
        <v>4522.3333333333339</v>
      </c>
      <c r="L142" s="20">
        <f t="shared" si="35"/>
        <v>700</v>
      </c>
      <c r="M142" s="20">
        <f>'Total income package'!$B$69</f>
        <v>500</v>
      </c>
      <c r="N142" s="20">
        <f t="shared" si="36"/>
        <v>1200</v>
      </c>
      <c r="O142" s="344" t="str">
        <f t="shared" si="37"/>
        <v>No</v>
      </c>
      <c r="P142" s="20">
        <f t="shared" si="38"/>
        <v>2261.166666666667</v>
      </c>
      <c r="Q142" s="346">
        <f t="shared" si="32"/>
        <v>0</v>
      </c>
      <c r="R142" s="20">
        <f>IF(AND(D$2+$E$2&gt;0,N142-SNAP!P142&gt;0),N142-SNAP!P142,0)</f>
        <v>0</v>
      </c>
      <c r="S142" s="20">
        <f t="shared" si="39"/>
        <v>4522.3333333333339</v>
      </c>
      <c r="T142" s="20">
        <f t="shared" si="33"/>
        <v>1356.7</v>
      </c>
      <c r="U142" s="20">
        <f>IF(AND('Total income package'!$A$18=TRUE,OR(H142="Yes",O142="Yes"),G142&lt;$G$2,$K$2-T142&gt;10),ROUNDDOWN($K$2-T142,0),0)</f>
        <v>0</v>
      </c>
      <c r="V142" s="176">
        <f t="shared" si="40"/>
        <v>0</v>
      </c>
      <c r="W142" s="5"/>
    </row>
    <row r="143" spans="2:23" ht="15" customHeight="1" x14ac:dyDescent="0.3">
      <c r="B143" s="72">
        <v>68500</v>
      </c>
      <c r="C143" s="19">
        <f>MAX('TANF-VIEW'!L146,'TANF-VIEW'!T146)</f>
        <v>0</v>
      </c>
      <c r="D143" s="20">
        <f t="shared" si="41"/>
        <v>5708.333333333333</v>
      </c>
      <c r="E143" s="20">
        <f>'Total income package'!$D$80</f>
        <v>0</v>
      </c>
      <c r="F143" s="20">
        <f>'Total income package'!$H$61+'Total income package'!$F$66</f>
        <v>250</v>
      </c>
      <c r="G143" s="20">
        <f t="shared" si="34"/>
        <v>5958.333333333333</v>
      </c>
      <c r="H143" s="20" t="str">
        <f t="shared" si="28"/>
        <v>Yes</v>
      </c>
      <c r="I143" s="20">
        <f t="shared" si="29"/>
        <v>1141.6666666666667</v>
      </c>
      <c r="J143" s="20">
        <f t="shared" si="30"/>
        <v>261</v>
      </c>
      <c r="K143" s="20">
        <f t="shared" si="31"/>
        <v>4555.6666666666661</v>
      </c>
      <c r="L143" s="20">
        <f t="shared" si="35"/>
        <v>700</v>
      </c>
      <c r="M143" s="20">
        <f>'Total income package'!$B$69</f>
        <v>500</v>
      </c>
      <c r="N143" s="20">
        <f t="shared" si="36"/>
        <v>1200</v>
      </c>
      <c r="O143" s="344" t="str">
        <f t="shared" si="37"/>
        <v>No</v>
      </c>
      <c r="P143" s="20">
        <f t="shared" si="38"/>
        <v>2277.833333333333</v>
      </c>
      <c r="Q143" s="346">
        <f t="shared" si="32"/>
        <v>0</v>
      </c>
      <c r="R143" s="20">
        <f>IF(AND(D$2+$E$2&gt;0,N143-SNAP!P143&gt;0),N143-SNAP!P143,0)</f>
        <v>0</v>
      </c>
      <c r="S143" s="20">
        <f t="shared" si="39"/>
        <v>4555.6666666666661</v>
      </c>
      <c r="T143" s="20">
        <f t="shared" si="33"/>
        <v>1366.6999999999998</v>
      </c>
      <c r="U143" s="20">
        <f>IF(AND('Total income package'!$A$18=TRUE,OR(H143="Yes",O143="Yes"),G143&lt;$G$2,$K$2-T143&gt;10),ROUNDDOWN($K$2-T143,0),0)</f>
        <v>0</v>
      </c>
      <c r="V143" s="176">
        <f t="shared" si="40"/>
        <v>0</v>
      </c>
      <c r="W143" s="5"/>
    </row>
    <row r="144" spans="2:23" ht="15" customHeight="1" x14ac:dyDescent="0.3">
      <c r="B144" s="72">
        <v>69000</v>
      </c>
      <c r="C144" s="19">
        <f>MAX('TANF-VIEW'!L147,'TANF-VIEW'!T147)</f>
        <v>0</v>
      </c>
      <c r="D144" s="20">
        <f t="shared" si="41"/>
        <v>5750</v>
      </c>
      <c r="E144" s="20">
        <f>'Total income package'!$D$80</f>
        <v>0</v>
      </c>
      <c r="F144" s="20">
        <f>'Total income package'!$H$61+'Total income package'!$F$66</f>
        <v>250</v>
      </c>
      <c r="G144" s="20">
        <f t="shared" si="34"/>
        <v>6000</v>
      </c>
      <c r="H144" s="20" t="str">
        <f t="shared" si="28"/>
        <v>Yes</v>
      </c>
      <c r="I144" s="20">
        <f t="shared" si="29"/>
        <v>1150</v>
      </c>
      <c r="J144" s="20">
        <f t="shared" si="30"/>
        <v>261</v>
      </c>
      <c r="K144" s="20">
        <f t="shared" si="31"/>
        <v>4589</v>
      </c>
      <c r="L144" s="20">
        <f t="shared" si="35"/>
        <v>700</v>
      </c>
      <c r="M144" s="20">
        <f>'Total income package'!$B$69</f>
        <v>500</v>
      </c>
      <c r="N144" s="20">
        <f t="shared" si="36"/>
        <v>1200</v>
      </c>
      <c r="O144" s="344" t="str">
        <f t="shared" si="37"/>
        <v>No</v>
      </c>
      <c r="P144" s="20">
        <f t="shared" si="38"/>
        <v>2294.5</v>
      </c>
      <c r="Q144" s="346">
        <f t="shared" si="32"/>
        <v>0</v>
      </c>
      <c r="R144" s="20">
        <f>IF(AND(D$2+$E$2&gt;0,N144-SNAP!P144&gt;0),N144-SNAP!P144,0)</f>
        <v>0</v>
      </c>
      <c r="S144" s="20">
        <f t="shared" si="39"/>
        <v>4589</v>
      </c>
      <c r="T144" s="20">
        <f t="shared" si="33"/>
        <v>1376.7</v>
      </c>
      <c r="U144" s="20">
        <f>IF(AND('Total income package'!$A$18=TRUE,OR(H144="Yes",O144="Yes"),G144&lt;$G$2,$K$2-T144&gt;10),ROUNDDOWN($K$2-T144,0),0)</f>
        <v>0</v>
      </c>
      <c r="V144" s="176">
        <f t="shared" si="40"/>
        <v>0</v>
      </c>
      <c r="W144" s="5"/>
    </row>
    <row r="145" spans="2:23" ht="15" customHeight="1" x14ac:dyDescent="0.3">
      <c r="B145" s="72">
        <v>69500</v>
      </c>
      <c r="C145" s="19">
        <f>MAX('TANF-VIEW'!L148,'TANF-VIEW'!T148)</f>
        <v>0</v>
      </c>
      <c r="D145" s="20">
        <f t="shared" si="41"/>
        <v>5791.666666666667</v>
      </c>
      <c r="E145" s="20">
        <f>'Total income package'!$D$80</f>
        <v>0</v>
      </c>
      <c r="F145" s="20">
        <f>'Total income package'!$H$61+'Total income package'!$F$66</f>
        <v>250</v>
      </c>
      <c r="G145" s="20">
        <f t="shared" si="34"/>
        <v>6041.666666666667</v>
      </c>
      <c r="H145" s="20" t="str">
        <f t="shared" si="28"/>
        <v>Yes</v>
      </c>
      <c r="I145" s="20">
        <f t="shared" si="29"/>
        <v>1158.3333333333335</v>
      </c>
      <c r="J145" s="20">
        <f t="shared" si="30"/>
        <v>261</v>
      </c>
      <c r="K145" s="20">
        <f t="shared" si="31"/>
        <v>4622.3333333333339</v>
      </c>
      <c r="L145" s="20">
        <f t="shared" si="35"/>
        <v>700</v>
      </c>
      <c r="M145" s="20">
        <f>'Total income package'!$B$69</f>
        <v>500</v>
      </c>
      <c r="N145" s="20">
        <f t="shared" si="36"/>
        <v>1200</v>
      </c>
      <c r="O145" s="344" t="str">
        <f t="shared" si="37"/>
        <v>No</v>
      </c>
      <c r="P145" s="20">
        <f t="shared" si="38"/>
        <v>2311.166666666667</v>
      </c>
      <c r="Q145" s="346">
        <f t="shared" si="32"/>
        <v>0</v>
      </c>
      <c r="R145" s="20">
        <f>IF(AND(D$2+$E$2&gt;0,N145-SNAP!P145&gt;0),N145-SNAP!P145,0)</f>
        <v>0</v>
      </c>
      <c r="S145" s="20">
        <f t="shared" si="39"/>
        <v>4622.3333333333339</v>
      </c>
      <c r="T145" s="20">
        <f t="shared" si="33"/>
        <v>1386.7</v>
      </c>
      <c r="U145" s="20">
        <f>IF(AND('Total income package'!$A$18=TRUE,OR(H145="Yes",O145="Yes"),G145&lt;$G$2,$K$2-T145&gt;10),ROUNDDOWN($K$2-T145,0),0)</f>
        <v>0</v>
      </c>
      <c r="V145" s="176">
        <f t="shared" si="40"/>
        <v>0</v>
      </c>
      <c r="W145" s="5"/>
    </row>
    <row r="146" spans="2:23" ht="15" customHeight="1" x14ac:dyDescent="0.3">
      <c r="B146" s="72">
        <v>70000</v>
      </c>
      <c r="C146" s="19">
        <f>MAX('TANF-VIEW'!L149,'TANF-VIEW'!T149)</f>
        <v>0</v>
      </c>
      <c r="D146" s="20">
        <f t="shared" si="41"/>
        <v>5833.333333333333</v>
      </c>
      <c r="E146" s="20">
        <f>'Total income package'!$D$80</f>
        <v>0</v>
      </c>
      <c r="F146" s="20">
        <f>'Total income package'!$H$61+'Total income package'!$F$66</f>
        <v>250</v>
      </c>
      <c r="G146" s="20">
        <f t="shared" si="34"/>
        <v>6083.333333333333</v>
      </c>
      <c r="H146" s="20" t="str">
        <f t="shared" si="28"/>
        <v>Yes</v>
      </c>
      <c r="I146" s="20">
        <f t="shared" si="29"/>
        <v>1166.6666666666667</v>
      </c>
      <c r="J146" s="20">
        <f t="shared" si="30"/>
        <v>261</v>
      </c>
      <c r="K146" s="20">
        <f t="shared" si="31"/>
        <v>4655.6666666666661</v>
      </c>
      <c r="L146" s="20">
        <f t="shared" si="35"/>
        <v>700</v>
      </c>
      <c r="M146" s="20">
        <f>'Total income package'!$B$69</f>
        <v>500</v>
      </c>
      <c r="N146" s="20">
        <f t="shared" si="36"/>
        <v>1200</v>
      </c>
      <c r="O146" s="344" t="str">
        <f t="shared" si="37"/>
        <v>No</v>
      </c>
      <c r="P146" s="20">
        <f t="shared" si="38"/>
        <v>2327.833333333333</v>
      </c>
      <c r="Q146" s="346">
        <f t="shared" si="32"/>
        <v>0</v>
      </c>
      <c r="R146" s="20">
        <f>IF(AND(D$2+$E$2&gt;0,N146-SNAP!P146&gt;0),N146-SNAP!P146,0)</f>
        <v>0</v>
      </c>
      <c r="S146" s="20">
        <f t="shared" si="39"/>
        <v>4655.6666666666661</v>
      </c>
      <c r="T146" s="20">
        <f t="shared" si="33"/>
        <v>1396.6999999999998</v>
      </c>
      <c r="U146" s="20">
        <f>IF(AND('Total income package'!$A$18=TRUE,OR(H146="Yes",O146="Yes"),G146&lt;$G$2,$K$2-T146&gt;10),ROUNDDOWN($K$2-T146,0),0)</f>
        <v>0</v>
      </c>
      <c r="V146" s="176">
        <f t="shared" si="40"/>
        <v>0</v>
      </c>
      <c r="W146" s="5"/>
    </row>
    <row r="147" spans="2:23" ht="15" customHeight="1" x14ac:dyDescent="0.3">
      <c r="B147" s="72">
        <v>70500</v>
      </c>
      <c r="C147" s="19">
        <f>MAX('TANF-VIEW'!L150,'TANF-VIEW'!T150)</f>
        <v>0</v>
      </c>
      <c r="D147" s="20">
        <f t="shared" si="41"/>
        <v>5875</v>
      </c>
      <c r="E147" s="20">
        <f>'Total income package'!$D$80</f>
        <v>0</v>
      </c>
      <c r="F147" s="20">
        <f>'Total income package'!$H$61+'Total income package'!$F$66</f>
        <v>250</v>
      </c>
      <c r="G147" s="20">
        <f t="shared" si="34"/>
        <v>6125</v>
      </c>
      <c r="H147" s="20" t="str">
        <f t="shared" si="28"/>
        <v>Yes</v>
      </c>
      <c r="I147" s="20">
        <f t="shared" si="29"/>
        <v>1175</v>
      </c>
      <c r="J147" s="20">
        <f t="shared" si="30"/>
        <v>261</v>
      </c>
      <c r="K147" s="20">
        <f t="shared" si="31"/>
        <v>4689</v>
      </c>
      <c r="L147" s="20">
        <f t="shared" si="35"/>
        <v>700</v>
      </c>
      <c r="M147" s="20">
        <f>'Total income package'!$B$69</f>
        <v>500</v>
      </c>
      <c r="N147" s="20">
        <f t="shared" si="36"/>
        <v>1200</v>
      </c>
      <c r="O147" s="344" t="str">
        <f t="shared" si="37"/>
        <v>No</v>
      </c>
      <c r="P147" s="20">
        <f t="shared" si="38"/>
        <v>2344.5</v>
      </c>
      <c r="Q147" s="346">
        <f t="shared" si="32"/>
        <v>0</v>
      </c>
      <c r="R147" s="20">
        <f>IF(AND(D$2+$E$2&gt;0,N147-SNAP!P147&gt;0),N147-SNAP!P147,0)</f>
        <v>0</v>
      </c>
      <c r="S147" s="20">
        <f t="shared" si="39"/>
        <v>4689</v>
      </c>
      <c r="T147" s="20">
        <f t="shared" si="33"/>
        <v>1406.7</v>
      </c>
      <c r="U147" s="20">
        <f>IF(AND('Total income package'!$A$18=TRUE,OR(H147="Yes",O147="Yes"),G147&lt;$G$2,$K$2-T147&gt;10),ROUNDDOWN($K$2-T147,0),0)</f>
        <v>0</v>
      </c>
      <c r="V147" s="176">
        <f t="shared" si="40"/>
        <v>0</v>
      </c>
      <c r="W147" s="5"/>
    </row>
    <row r="148" spans="2:23" ht="15" customHeight="1" x14ac:dyDescent="0.3">
      <c r="B148" s="72">
        <v>71000</v>
      </c>
      <c r="C148" s="19">
        <f>MAX('TANF-VIEW'!L151,'TANF-VIEW'!T151)</f>
        <v>0</v>
      </c>
      <c r="D148" s="20">
        <f t="shared" si="41"/>
        <v>5916.666666666667</v>
      </c>
      <c r="E148" s="20">
        <f>'Total income package'!$D$80</f>
        <v>0</v>
      </c>
      <c r="F148" s="20">
        <f>'Total income package'!$H$61+'Total income package'!$F$66</f>
        <v>250</v>
      </c>
      <c r="G148" s="20">
        <f t="shared" si="34"/>
        <v>6166.666666666667</v>
      </c>
      <c r="H148" s="20" t="str">
        <f t="shared" si="28"/>
        <v>Yes</v>
      </c>
      <c r="I148" s="20">
        <f t="shared" si="29"/>
        <v>1183.3333333333335</v>
      </c>
      <c r="J148" s="20">
        <f t="shared" si="30"/>
        <v>261</v>
      </c>
      <c r="K148" s="20">
        <f t="shared" si="31"/>
        <v>4722.3333333333339</v>
      </c>
      <c r="L148" s="20">
        <f t="shared" si="35"/>
        <v>700</v>
      </c>
      <c r="M148" s="20">
        <f>'Total income package'!$B$69</f>
        <v>500</v>
      </c>
      <c r="N148" s="20">
        <f t="shared" si="36"/>
        <v>1200</v>
      </c>
      <c r="O148" s="344" t="str">
        <f t="shared" si="37"/>
        <v>No</v>
      </c>
      <c r="P148" s="20">
        <f t="shared" si="38"/>
        <v>2361.166666666667</v>
      </c>
      <c r="Q148" s="346">
        <f t="shared" si="32"/>
        <v>0</v>
      </c>
      <c r="R148" s="20">
        <f>IF(AND(D$2+$E$2&gt;0,N148-SNAP!P148&gt;0),N148-SNAP!P148,0)</f>
        <v>0</v>
      </c>
      <c r="S148" s="20">
        <f t="shared" si="39"/>
        <v>4722.3333333333339</v>
      </c>
      <c r="T148" s="20">
        <f t="shared" si="33"/>
        <v>1416.7</v>
      </c>
      <c r="U148" s="20">
        <f>IF(AND('Total income package'!$A$18=TRUE,OR(H148="Yes",O148="Yes"),G148&lt;$G$2,$K$2-T148&gt;10),ROUNDDOWN($K$2-T148,0),0)</f>
        <v>0</v>
      </c>
      <c r="V148" s="176">
        <f t="shared" si="40"/>
        <v>0</v>
      </c>
      <c r="W148" s="5"/>
    </row>
    <row r="149" spans="2:23" ht="15" customHeight="1" x14ac:dyDescent="0.3">
      <c r="B149" s="72">
        <v>71500</v>
      </c>
      <c r="C149" s="19">
        <f>MAX('TANF-VIEW'!L152,'TANF-VIEW'!T152)</f>
        <v>0</v>
      </c>
      <c r="D149" s="20">
        <f t="shared" si="41"/>
        <v>5958.333333333333</v>
      </c>
      <c r="E149" s="20">
        <f>'Total income package'!$D$80</f>
        <v>0</v>
      </c>
      <c r="F149" s="20">
        <f>'Total income package'!$H$61+'Total income package'!$F$66</f>
        <v>250</v>
      </c>
      <c r="G149" s="20">
        <f t="shared" si="34"/>
        <v>6208.333333333333</v>
      </c>
      <c r="H149" s="20" t="str">
        <f t="shared" si="28"/>
        <v>Yes</v>
      </c>
      <c r="I149" s="20">
        <f t="shared" si="29"/>
        <v>1191.6666666666667</v>
      </c>
      <c r="J149" s="20">
        <f t="shared" si="30"/>
        <v>261</v>
      </c>
      <c r="K149" s="20">
        <f t="shared" si="31"/>
        <v>4755.6666666666661</v>
      </c>
      <c r="L149" s="20">
        <f t="shared" si="35"/>
        <v>700</v>
      </c>
      <c r="M149" s="20">
        <f>'Total income package'!$B$69</f>
        <v>500</v>
      </c>
      <c r="N149" s="20">
        <f t="shared" si="36"/>
        <v>1200</v>
      </c>
      <c r="O149" s="344" t="str">
        <f t="shared" si="37"/>
        <v>No</v>
      </c>
      <c r="P149" s="20">
        <f t="shared" si="38"/>
        <v>2377.833333333333</v>
      </c>
      <c r="Q149" s="346">
        <f t="shared" si="32"/>
        <v>0</v>
      </c>
      <c r="R149" s="20">
        <f>IF(AND(D$2+$E$2&gt;0,N149-SNAP!P149&gt;0),N149-SNAP!P149,0)</f>
        <v>0</v>
      </c>
      <c r="S149" s="20">
        <f t="shared" si="39"/>
        <v>4755.6666666666661</v>
      </c>
      <c r="T149" s="20">
        <f t="shared" si="33"/>
        <v>1426.6999999999998</v>
      </c>
      <c r="U149" s="20">
        <f>IF(AND('Total income package'!$A$18=TRUE,OR(H149="Yes",O149="Yes"),G149&lt;$G$2,$K$2-T149&gt;10),ROUNDDOWN($K$2-T149,0),0)</f>
        <v>0</v>
      </c>
      <c r="V149" s="176">
        <f t="shared" si="40"/>
        <v>0</v>
      </c>
      <c r="W149" s="5"/>
    </row>
    <row r="150" spans="2:23" ht="15" customHeight="1" x14ac:dyDescent="0.3">
      <c r="B150" s="72">
        <v>72000</v>
      </c>
      <c r="C150" s="19">
        <f>MAX('TANF-VIEW'!L153,'TANF-VIEW'!T153)</f>
        <v>0</v>
      </c>
      <c r="D150" s="20">
        <f t="shared" si="41"/>
        <v>6000</v>
      </c>
      <c r="E150" s="20">
        <f>'Total income package'!$D$80</f>
        <v>0</v>
      </c>
      <c r="F150" s="20">
        <f>'Total income package'!$H$61+'Total income package'!$F$66</f>
        <v>250</v>
      </c>
      <c r="G150" s="20">
        <f t="shared" si="34"/>
        <v>6250</v>
      </c>
      <c r="H150" s="20" t="str">
        <f t="shared" si="28"/>
        <v>Yes</v>
      </c>
      <c r="I150" s="20">
        <f t="shared" si="29"/>
        <v>1200</v>
      </c>
      <c r="J150" s="20">
        <f t="shared" si="30"/>
        <v>261</v>
      </c>
      <c r="K150" s="20">
        <f t="shared" si="31"/>
        <v>4789</v>
      </c>
      <c r="L150" s="20">
        <f t="shared" si="35"/>
        <v>700</v>
      </c>
      <c r="M150" s="20">
        <f>'Total income package'!$B$69</f>
        <v>500</v>
      </c>
      <c r="N150" s="20">
        <f t="shared" si="36"/>
        <v>1200</v>
      </c>
      <c r="O150" s="344" t="str">
        <f t="shared" si="37"/>
        <v>No</v>
      </c>
      <c r="P150" s="20">
        <f t="shared" si="38"/>
        <v>2394.5</v>
      </c>
      <c r="Q150" s="346">
        <f t="shared" si="32"/>
        <v>0</v>
      </c>
      <c r="R150" s="20">
        <f>IF(AND(D$2+$E$2&gt;0,N150-SNAP!P150&gt;0),N150-SNAP!P150,0)</f>
        <v>0</v>
      </c>
      <c r="S150" s="20">
        <f t="shared" si="39"/>
        <v>4789</v>
      </c>
      <c r="T150" s="20">
        <f t="shared" si="33"/>
        <v>1436.7</v>
      </c>
      <c r="U150" s="20">
        <f>IF(AND('Total income package'!$A$18=TRUE,OR(H150="Yes",O150="Yes"),G150&lt;$G$2,$K$2-T150&gt;10),ROUNDDOWN($K$2-T150,0),0)</f>
        <v>0</v>
      </c>
      <c r="V150" s="176">
        <f t="shared" si="40"/>
        <v>0</v>
      </c>
      <c r="W150" s="5"/>
    </row>
    <row r="151" spans="2:23" ht="15" customHeight="1" x14ac:dyDescent="0.3">
      <c r="B151" s="72">
        <v>72500</v>
      </c>
      <c r="C151" s="19">
        <f>MAX('TANF-VIEW'!L154,'TANF-VIEW'!T154)</f>
        <v>0</v>
      </c>
      <c r="D151" s="20">
        <f t="shared" si="41"/>
        <v>6041.666666666667</v>
      </c>
      <c r="E151" s="20">
        <f>'Total income package'!$D$80</f>
        <v>0</v>
      </c>
      <c r="F151" s="20">
        <f>'Total income package'!$H$61+'Total income package'!$F$66</f>
        <v>250</v>
      </c>
      <c r="G151" s="20">
        <f t="shared" si="34"/>
        <v>6291.666666666667</v>
      </c>
      <c r="H151" s="20" t="str">
        <f t="shared" si="28"/>
        <v>No</v>
      </c>
      <c r="I151" s="20">
        <f t="shared" si="29"/>
        <v>1208.3333333333335</v>
      </c>
      <c r="J151" s="20">
        <f t="shared" si="30"/>
        <v>261</v>
      </c>
      <c r="K151" s="20">
        <f t="shared" si="31"/>
        <v>4822.3333333333339</v>
      </c>
      <c r="L151" s="20">
        <f t="shared" si="35"/>
        <v>700</v>
      </c>
      <c r="M151" s="20">
        <f>'Total income package'!$B$69</f>
        <v>500</v>
      </c>
      <c r="N151" s="20">
        <f t="shared" si="36"/>
        <v>1200</v>
      </c>
      <c r="O151" s="344" t="str">
        <f t="shared" si="37"/>
        <v>No</v>
      </c>
      <c r="P151" s="20">
        <f t="shared" si="38"/>
        <v>2411.166666666667</v>
      </c>
      <c r="Q151" s="346">
        <f t="shared" si="32"/>
        <v>0</v>
      </c>
      <c r="R151" s="20">
        <f>IF(AND(D$2+$E$2&gt;0,N151-SNAP!P151&gt;0),N151-SNAP!P151,0)</f>
        <v>0</v>
      </c>
      <c r="S151" s="20">
        <f t="shared" si="39"/>
        <v>4822.3333333333339</v>
      </c>
      <c r="T151" s="20">
        <f t="shared" si="33"/>
        <v>1446.7</v>
      </c>
      <c r="U151" s="20">
        <f>IF(AND('Total income package'!$A$18=TRUE,OR(H151="Yes",O151="Yes"),G151&lt;$G$2,$K$2-T151&gt;10),ROUNDDOWN($K$2-T151,0),0)</f>
        <v>0</v>
      </c>
      <c r="V151" s="176">
        <f t="shared" si="40"/>
        <v>0</v>
      </c>
      <c r="W151" s="5"/>
    </row>
    <row r="152" spans="2:23" ht="15" customHeight="1" x14ac:dyDescent="0.3">
      <c r="B152" s="72">
        <v>73000</v>
      </c>
      <c r="C152" s="19">
        <f>MAX('TANF-VIEW'!L155,'TANF-VIEW'!T155)</f>
        <v>0</v>
      </c>
      <c r="D152" s="20">
        <f t="shared" si="41"/>
        <v>6083.333333333333</v>
      </c>
      <c r="E152" s="20">
        <f>'Total income package'!$D$80</f>
        <v>0</v>
      </c>
      <c r="F152" s="20">
        <f>'Total income package'!$H$61+'Total income package'!$F$66</f>
        <v>250</v>
      </c>
      <c r="G152" s="20">
        <f t="shared" si="34"/>
        <v>6333.333333333333</v>
      </c>
      <c r="H152" s="20" t="str">
        <f t="shared" si="28"/>
        <v>No</v>
      </c>
      <c r="I152" s="20">
        <f t="shared" si="29"/>
        <v>1216.6666666666667</v>
      </c>
      <c r="J152" s="20">
        <f t="shared" si="30"/>
        <v>261</v>
      </c>
      <c r="K152" s="20">
        <f t="shared" si="31"/>
        <v>4855.6666666666661</v>
      </c>
      <c r="L152" s="20">
        <f t="shared" si="35"/>
        <v>700</v>
      </c>
      <c r="M152" s="20">
        <f>'Total income package'!$B$69</f>
        <v>500</v>
      </c>
      <c r="N152" s="20">
        <f t="shared" si="36"/>
        <v>1200</v>
      </c>
      <c r="O152" s="344" t="str">
        <f t="shared" si="37"/>
        <v>No</v>
      </c>
      <c r="P152" s="20">
        <f t="shared" si="38"/>
        <v>2427.833333333333</v>
      </c>
      <c r="Q152" s="346">
        <f t="shared" si="32"/>
        <v>0</v>
      </c>
      <c r="R152" s="20">
        <f>IF(AND(D$2+$E$2&gt;0,N152-SNAP!P152&gt;0),N152-SNAP!P152,0)</f>
        <v>0</v>
      </c>
      <c r="S152" s="20">
        <f t="shared" si="39"/>
        <v>4855.6666666666661</v>
      </c>
      <c r="T152" s="20">
        <f t="shared" si="33"/>
        <v>1456.6999999999998</v>
      </c>
      <c r="U152" s="20">
        <f>IF(AND('Total income package'!$A$18=TRUE,OR(H152="Yes",O152="Yes"),G152&lt;$G$2,$K$2-T152&gt;10),ROUNDDOWN($K$2-T152,0),0)</f>
        <v>0</v>
      </c>
      <c r="V152" s="176">
        <f t="shared" si="40"/>
        <v>0</v>
      </c>
      <c r="W152" s="5"/>
    </row>
    <row r="153" spans="2:23" ht="15" customHeight="1" x14ac:dyDescent="0.3">
      <c r="B153" s="72">
        <v>73500</v>
      </c>
      <c r="C153" s="19">
        <f>MAX('TANF-VIEW'!L156,'TANF-VIEW'!T156)</f>
        <v>0</v>
      </c>
      <c r="D153" s="20">
        <f t="shared" si="41"/>
        <v>6125</v>
      </c>
      <c r="E153" s="20">
        <f>'Total income package'!$D$80</f>
        <v>0</v>
      </c>
      <c r="F153" s="20">
        <f>'Total income package'!$H$61+'Total income package'!$F$66</f>
        <v>250</v>
      </c>
      <c r="G153" s="20">
        <f t="shared" si="34"/>
        <v>6375</v>
      </c>
      <c r="H153" s="20" t="str">
        <f t="shared" si="28"/>
        <v>No</v>
      </c>
      <c r="I153" s="20">
        <f t="shared" si="29"/>
        <v>1225</v>
      </c>
      <c r="J153" s="20">
        <f t="shared" si="30"/>
        <v>261</v>
      </c>
      <c r="K153" s="20">
        <f t="shared" si="31"/>
        <v>4889</v>
      </c>
      <c r="L153" s="20">
        <f t="shared" si="35"/>
        <v>700</v>
      </c>
      <c r="M153" s="20">
        <f>'Total income package'!$B$69</f>
        <v>500</v>
      </c>
      <c r="N153" s="20">
        <f t="shared" si="36"/>
        <v>1200</v>
      </c>
      <c r="O153" s="344" t="str">
        <f t="shared" si="37"/>
        <v>No</v>
      </c>
      <c r="P153" s="20">
        <f t="shared" si="38"/>
        <v>2444.5</v>
      </c>
      <c r="Q153" s="346">
        <f t="shared" si="32"/>
        <v>0</v>
      </c>
      <c r="R153" s="20">
        <f>IF(AND(D$2+$E$2&gt;0,N153-SNAP!P153&gt;0),N153-SNAP!P153,0)</f>
        <v>0</v>
      </c>
      <c r="S153" s="20">
        <f t="shared" si="39"/>
        <v>4889</v>
      </c>
      <c r="T153" s="20">
        <f t="shared" si="33"/>
        <v>1466.7</v>
      </c>
      <c r="U153" s="20">
        <f>IF(AND('Total income package'!$A$18=TRUE,OR(H153="Yes",O153="Yes"),G153&lt;$G$2,$K$2-T153&gt;10),ROUNDDOWN($K$2-T153,0),0)</f>
        <v>0</v>
      </c>
      <c r="V153" s="176">
        <f t="shared" si="40"/>
        <v>0</v>
      </c>
      <c r="W153" s="5"/>
    </row>
    <row r="154" spans="2:23" ht="15" customHeight="1" x14ac:dyDescent="0.3">
      <c r="B154" s="72">
        <v>74000</v>
      </c>
      <c r="C154" s="19">
        <f>MAX('TANF-VIEW'!L157,'TANF-VIEW'!T157)</f>
        <v>0</v>
      </c>
      <c r="D154" s="20">
        <f t="shared" si="41"/>
        <v>6166.666666666667</v>
      </c>
      <c r="E154" s="20">
        <f>'Total income package'!$D$80</f>
        <v>0</v>
      </c>
      <c r="F154" s="20">
        <f>'Total income package'!$H$61+'Total income package'!$F$66</f>
        <v>250</v>
      </c>
      <c r="G154" s="20">
        <f t="shared" si="34"/>
        <v>6416.666666666667</v>
      </c>
      <c r="H154" s="20" t="str">
        <f t="shared" si="28"/>
        <v>No</v>
      </c>
      <c r="I154" s="20">
        <f t="shared" si="29"/>
        <v>1233.3333333333335</v>
      </c>
      <c r="J154" s="20">
        <f t="shared" si="30"/>
        <v>261</v>
      </c>
      <c r="K154" s="20">
        <f t="shared" si="31"/>
        <v>4922.3333333333339</v>
      </c>
      <c r="L154" s="20">
        <f t="shared" si="35"/>
        <v>700</v>
      </c>
      <c r="M154" s="20">
        <f>'Total income package'!$B$69</f>
        <v>500</v>
      </c>
      <c r="N154" s="20">
        <f t="shared" si="36"/>
        <v>1200</v>
      </c>
      <c r="O154" s="344" t="str">
        <f t="shared" si="37"/>
        <v>No</v>
      </c>
      <c r="P154" s="20">
        <f t="shared" si="38"/>
        <v>2461.166666666667</v>
      </c>
      <c r="Q154" s="346">
        <f t="shared" si="32"/>
        <v>0</v>
      </c>
      <c r="R154" s="20">
        <f>IF(AND(D$2+$E$2&gt;0,N154-SNAP!P154&gt;0),N154-SNAP!P154,0)</f>
        <v>0</v>
      </c>
      <c r="S154" s="20">
        <f t="shared" si="39"/>
        <v>4922.3333333333339</v>
      </c>
      <c r="T154" s="20">
        <f t="shared" si="33"/>
        <v>1476.7</v>
      </c>
      <c r="U154" s="20">
        <f>IF(AND('Total income package'!$A$18=TRUE,OR(H154="Yes",O154="Yes"),G154&lt;$G$2,$K$2-T154&gt;10),ROUNDDOWN($K$2-T154,0),0)</f>
        <v>0</v>
      </c>
      <c r="V154" s="176">
        <f t="shared" si="40"/>
        <v>0</v>
      </c>
      <c r="W154" s="5"/>
    </row>
    <row r="155" spans="2:23" ht="15" customHeight="1" x14ac:dyDescent="0.3">
      <c r="B155" s="72">
        <v>74500</v>
      </c>
      <c r="C155" s="19">
        <f>MAX('TANF-VIEW'!L158,'TANF-VIEW'!T158)</f>
        <v>0</v>
      </c>
      <c r="D155" s="20">
        <f t="shared" si="41"/>
        <v>6208.333333333333</v>
      </c>
      <c r="E155" s="20">
        <f>'Total income package'!$D$80</f>
        <v>0</v>
      </c>
      <c r="F155" s="20">
        <f>'Total income package'!$H$61+'Total income package'!$F$66</f>
        <v>250</v>
      </c>
      <c r="G155" s="20">
        <f t="shared" si="34"/>
        <v>6458.333333333333</v>
      </c>
      <c r="H155" s="20" t="str">
        <f t="shared" si="28"/>
        <v>No</v>
      </c>
      <c r="I155" s="20">
        <f t="shared" si="29"/>
        <v>1241.6666666666667</v>
      </c>
      <c r="J155" s="20">
        <f t="shared" si="30"/>
        <v>261</v>
      </c>
      <c r="K155" s="20">
        <f t="shared" si="31"/>
        <v>4955.6666666666661</v>
      </c>
      <c r="L155" s="20">
        <f t="shared" si="35"/>
        <v>700</v>
      </c>
      <c r="M155" s="20">
        <f>'Total income package'!$B$69</f>
        <v>500</v>
      </c>
      <c r="N155" s="20">
        <f t="shared" si="36"/>
        <v>1200</v>
      </c>
      <c r="O155" s="344" t="str">
        <f t="shared" si="37"/>
        <v>No</v>
      </c>
      <c r="P155" s="20">
        <f t="shared" si="38"/>
        <v>2477.833333333333</v>
      </c>
      <c r="Q155" s="346">
        <f t="shared" si="32"/>
        <v>0</v>
      </c>
      <c r="R155" s="20">
        <f>IF(AND(D$2+$E$2&gt;0,N155-SNAP!P155&gt;0),N155-SNAP!P155,0)</f>
        <v>0</v>
      </c>
      <c r="S155" s="20">
        <f t="shared" si="39"/>
        <v>4955.6666666666661</v>
      </c>
      <c r="T155" s="20">
        <f t="shared" si="33"/>
        <v>1486.6999999999998</v>
      </c>
      <c r="U155" s="20">
        <f>IF(AND('Total income package'!$A$18=TRUE,OR(H155="Yes",O155="Yes"),G155&lt;$G$2,$K$2-T155&gt;10),ROUNDDOWN($K$2-T155,0),0)</f>
        <v>0</v>
      </c>
      <c r="V155" s="176">
        <f t="shared" si="40"/>
        <v>0</v>
      </c>
      <c r="W155" s="5"/>
    </row>
    <row r="156" spans="2:23" ht="15" customHeight="1" x14ac:dyDescent="0.3">
      <c r="B156" s="72">
        <v>75000</v>
      </c>
      <c r="C156" s="19">
        <f>MAX('TANF-VIEW'!L159,'TANF-VIEW'!T159)</f>
        <v>0</v>
      </c>
      <c r="D156" s="20">
        <f t="shared" si="41"/>
        <v>6250</v>
      </c>
      <c r="E156" s="20">
        <f>'Total income package'!$D$80</f>
        <v>0</v>
      </c>
      <c r="F156" s="20">
        <f>'Total income package'!$H$61+'Total income package'!$F$66</f>
        <v>250</v>
      </c>
      <c r="G156" s="20">
        <f t="shared" si="34"/>
        <v>6500</v>
      </c>
      <c r="H156" s="20" t="str">
        <f t="shared" si="28"/>
        <v>No</v>
      </c>
      <c r="I156" s="20">
        <f t="shared" si="29"/>
        <v>1250</v>
      </c>
      <c r="J156" s="20">
        <f t="shared" si="30"/>
        <v>261</v>
      </c>
      <c r="K156" s="20">
        <f t="shared" si="31"/>
        <v>4989</v>
      </c>
      <c r="L156" s="20">
        <f t="shared" si="35"/>
        <v>700</v>
      </c>
      <c r="M156" s="20">
        <f>'Total income package'!$B$69</f>
        <v>500</v>
      </c>
      <c r="N156" s="20">
        <f t="shared" si="36"/>
        <v>1200</v>
      </c>
      <c r="O156" s="344" t="str">
        <f t="shared" si="37"/>
        <v>No</v>
      </c>
      <c r="P156" s="20">
        <f t="shared" si="38"/>
        <v>2494.5</v>
      </c>
      <c r="Q156" s="346">
        <f t="shared" si="32"/>
        <v>0</v>
      </c>
      <c r="R156" s="20">
        <f>IF(AND(D$2+$E$2&gt;0,N156-SNAP!P156&gt;0),N156-SNAP!P156,0)</f>
        <v>0</v>
      </c>
      <c r="S156" s="20">
        <f t="shared" si="39"/>
        <v>4989</v>
      </c>
      <c r="T156" s="20">
        <f t="shared" si="33"/>
        <v>1496.7</v>
      </c>
      <c r="U156" s="20">
        <f>IF(AND('Total income package'!$A$18=TRUE,OR(H156="Yes",O156="Yes"),G156&lt;$G$2,$K$2-T156&gt;10),ROUNDDOWN($K$2-T156,0),0)</f>
        <v>0</v>
      </c>
      <c r="V156" s="176">
        <f t="shared" si="40"/>
        <v>0</v>
      </c>
      <c r="W156" s="5"/>
    </row>
    <row r="157" spans="2:23" ht="15" customHeight="1" x14ac:dyDescent="0.3">
      <c r="B157" s="72">
        <v>75500</v>
      </c>
      <c r="C157" s="19">
        <f>MAX('TANF-VIEW'!L160,'TANF-VIEW'!T160)</f>
        <v>0</v>
      </c>
      <c r="D157" s="20">
        <f t="shared" si="41"/>
        <v>6291.666666666667</v>
      </c>
      <c r="E157" s="20">
        <f>'Total income package'!$D$80</f>
        <v>0</v>
      </c>
      <c r="F157" s="20">
        <f>'Total income package'!$H$61+'Total income package'!$F$66</f>
        <v>250</v>
      </c>
      <c r="G157" s="20">
        <f t="shared" si="34"/>
        <v>6541.666666666667</v>
      </c>
      <c r="H157" s="20" t="str">
        <f t="shared" si="28"/>
        <v>No</v>
      </c>
      <c r="I157" s="20">
        <f t="shared" si="29"/>
        <v>1258.3333333333335</v>
      </c>
      <c r="J157" s="20">
        <f t="shared" si="30"/>
        <v>261</v>
      </c>
      <c r="K157" s="20">
        <f t="shared" si="31"/>
        <v>5022.3333333333339</v>
      </c>
      <c r="L157" s="20">
        <f t="shared" si="35"/>
        <v>700</v>
      </c>
      <c r="M157" s="20">
        <f>'Total income package'!$B$69</f>
        <v>500</v>
      </c>
      <c r="N157" s="20">
        <f t="shared" si="36"/>
        <v>1200</v>
      </c>
      <c r="O157" s="344" t="str">
        <f t="shared" si="37"/>
        <v>No</v>
      </c>
      <c r="P157" s="20">
        <f t="shared" si="38"/>
        <v>2511.166666666667</v>
      </c>
      <c r="Q157" s="346">
        <f t="shared" si="32"/>
        <v>0</v>
      </c>
      <c r="R157" s="20">
        <f>IF(AND(D$2+$E$2&gt;0,N157-SNAP!P157&gt;0),N157-SNAP!P157,0)</f>
        <v>0</v>
      </c>
      <c r="S157" s="20">
        <f t="shared" si="39"/>
        <v>5022.3333333333339</v>
      </c>
      <c r="T157" s="20">
        <f t="shared" si="33"/>
        <v>1506.7</v>
      </c>
      <c r="U157" s="20">
        <f>IF(AND('Total income package'!$A$18=TRUE,OR(H157="Yes",O157="Yes"),G157&lt;$G$2,$K$2-T157&gt;10),ROUNDDOWN($K$2-T157,0),0)</f>
        <v>0</v>
      </c>
      <c r="V157" s="176">
        <f t="shared" si="40"/>
        <v>0</v>
      </c>
      <c r="W157" s="5"/>
    </row>
    <row r="158" spans="2:23" ht="15" customHeight="1" x14ac:dyDescent="0.3">
      <c r="B158" s="72">
        <v>76000</v>
      </c>
      <c r="C158" s="19">
        <f>MAX('TANF-VIEW'!L161,'TANF-VIEW'!T161)</f>
        <v>0</v>
      </c>
      <c r="D158" s="20">
        <f t="shared" si="41"/>
        <v>6333.333333333333</v>
      </c>
      <c r="E158" s="20">
        <f>'Total income package'!$D$80</f>
        <v>0</v>
      </c>
      <c r="F158" s="20">
        <f>'Total income package'!$H$61+'Total income package'!$F$66</f>
        <v>250</v>
      </c>
      <c r="G158" s="20">
        <f t="shared" si="34"/>
        <v>6583.333333333333</v>
      </c>
      <c r="H158" s="20" t="str">
        <f t="shared" si="28"/>
        <v>No</v>
      </c>
      <c r="I158" s="20">
        <f t="shared" si="29"/>
        <v>1266.6666666666667</v>
      </c>
      <c r="J158" s="20">
        <f t="shared" si="30"/>
        <v>261</v>
      </c>
      <c r="K158" s="20">
        <f t="shared" si="31"/>
        <v>5055.6666666666661</v>
      </c>
      <c r="L158" s="20">
        <f t="shared" si="35"/>
        <v>700</v>
      </c>
      <c r="M158" s="20">
        <f>'Total income package'!$B$69</f>
        <v>500</v>
      </c>
      <c r="N158" s="20">
        <f t="shared" si="36"/>
        <v>1200</v>
      </c>
      <c r="O158" s="344" t="str">
        <f t="shared" si="37"/>
        <v>No</v>
      </c>
      <c r="P158" s="20">
        <f t="shared" si="38"/>
        <v>2527.833333333333</v>
      </c>
      <c r="Q158" s="346">
        <f t="shared" si="32"/>
        <v>0</v>
      </c>
      <c r="R158" s="20">
        <f>IF(AND(D$2+$E$2&gt;0,N158-SNAP!P158&gt;0),N158-SNAP!P158,0)</f>
        <v>0</v>
      </c>
      <c r="S158" s="20">
        <f t="shared" si="39"/>
        <v>5055.6666666666661</v>
      </c>
      <c r="T158" s="20">
        <f t="shared" si="33"/>
        <v>1516.6999999999998</v>
      </c>
      <c r="U158" s="20">
        <f>IF(AND('Total income package'!$A$18=TRUE,OR(H158="Yes",O158="Yes"),G158&lt;$G$2,$K$2-T158&gt;10),ROUNDDOWN($K$2-T158,0),0)</f>
        <v>0</v>
      </c>
      <c r="V158" s="176">
        <f t="shared" si="40"/>
        <v>0</v>
      </c>
      <c r="W158" s="5"/>
    </row>
    <row r="159" spans="2:23" ht="15" customHeight="1" x14ac:dyDescent="0.3">
      <c r="B159" s="72">
        <v>76500</v>
      </c>
      <c r="C159" s="19">
        <f>MAX('TANF-VIEW'!L162,'TANF-VIEW'!T162)</f>
        <v>0</v>
      </c>
      <c r="D159" s="20">
        <f t="shared" si="41"/>
        <v>6375</v>
      </c>
      <c r="E159" s="20">
        <f>'Total income package'!$D$80</f>
        <v>0</v>
      </c>
      <c r="F159" s="20">
        <f>'Total income package'!$H$61+'Total income package'!$F$66</f>
        <v>250</v>
      </c>
      <c r="G159" s="20">
        <f t="shared" si="34"/>
        <v>6625</v>
      </c>
      <c r="H159" s="20" t="str">
        <f t="shared" si="28"/>
        <v>No</v>
      </c>
      <c r="I159" s="20">
        <f t="shared" si="29"/>
        <v>1275</v>
      </c>
      <c r="J159" s="20">
        <f t="shared" si="30"/>
        <v>261</v>
      </c>
      <c r="K159" s="20">
        <f t="shared" si="31"/>
        <v>5089</v>
      </c>
      <c r="L159" s="20">
        <f t="shared" si="35"/>
        <v>700</v>
      </c>
      <c r="M159" s="20">
        <f>'Total income package'!$B$69</f>
        <v>500</v>
      </c>
      <c r="N159" s="20">
        <f t="shared" si="36"/>
        <v>1200</v>
      </c>
      <c r="O159" s="344" t="str">
        <f t="shared" si="37"/>
        <v>No</v>
      </c>
      <c r="P159" s="20">
        <f t="shared" si="38"/>
        <v>2544.5</v>
      </c>
      <c r="Q159" s="346">
        <f t="shared" si="32"/>
        <v>0</v>
      </c>
      <c r="R159" s="20">
        <f>IF(AND(D$2+$E$2&gt;0,N159-SNAP!P159&gt;0),N159-SNAP!P159,0)</f>
        <v>0</v>
      </c>
      <c r="S159" s="20">
        <f t="shared" si="39"/>
        <v>5089</v>
      </c>
      <c r="T159" s="20">
        <f t="shared" si="33"/>
        <v>1526.7</v>
      </c>
      <c r="U159" s="20">
        <f>IF(AND('Total income package'!$A$18=TRUE,OR(H159="Yes",O159="Yes"),G159&lt;$G$2,$K$2-T159&gt;10),ROUNDDOWN($K$2-T159,0),0)</f>
        <v>0</v>
      </c>
      <c r="V159" s="176">
        <f t="shared" si="40"/>
        <v>0</v>
      </c>
      <c r="W159" s="5"/>
    </row>
    <row r="160" spans="2:23" ht="15" customHeight="1" x14ac:dyDescent="0.3">
      <c r="B160" s="72">
        <v>77000</v>
      </c>
      <c r="C160" s="19">
        <f>MAX('TANF-VIEW'!L163,'TANF-VIEW'!T163)</f>
        <v>0</v>
      </c>
      <c r="D160" s="20">
        <f t="shared" si="41"/>
        <v>6416.666666666667</v>
      </c>
      <c r="E160" s="20">
        <f>'Total income package'!$D$80</f>
        <v>0</v>
      </c>
      <c r="F160" s="20">
        <f>'Total income package'!$H$61+'Total income package'!$F$66</f>
        <v>250</v>
      </c>
      <c r="G160" s="20">
        <f t="shared" si="34"/>
        <v>6666.666666666667</v>
      </c>
      <c r="H160" s="20" t="str">
        <f t="shared" si="28"/>
        <v>No</v>
      </c>
      <c r="I160" s="20">
        <f t="shared" si="29"/>
        <v>1283.3333333333335</v>
      </c>
      <c r="J160" s="20">
        <f t="shared" si="30"/>
        <v>261</v>
      </c>
      <c r="K160" s="20">
        <f t="shared" si="31"/>
        <v>5122.3333333333339</v>
      </c>
      <c r="L160" s="20">
        <f t="shared" si="35"/>
        <v>700</v>
      </c>
      <c r="M160" s="20">
        <f>'Total income package'!$B$69</f>
        <v>500</v>
      </c>
      <c r="N160" s="20">
        <f t="shared" si="36"/>
        <v>1200</v>
      </c>
      <c r="O160" s="344" t="str">
        <f t="shared" si="37"/>
        <v>No</v>
      </c>
      <c r="P160" s="20">
        <f t="shared" si="38"/>
        <v>2561.166666666667</v>
      </c>
      <c r="Q160" s="346">
        <f t="shared" si="32"/>
        <v>0</v>
      </c>
      <c r="R160" s="20">
        <f>IF(AND(D$2+$E$2&gt;0,N160-SNAP!P160&gt;0),N160-SNAP!P160,0)</f>
        <v>0</v>
      </c>
      <c r="S160" s="20">
        <f t="shared" si="39"/>
        <v>5122.3333333333339</v>
      </c>
      <c r="T160" s="20">
        <f t="shared" si="33"/>
        <v>1536.7</v>
      </c>
      <c r="U160" s="20">
        <f>IF(AND('Total income package'!$A$18=TRUE,OR(H160="Yes",O160="Yes"),G160&lt;$G$2,$K$2-T160&gt;10),ROUNDDOWN($K$2-T160,0),0)</f>
        <v>0</v>
      </c>
      <c r="V160" s="176">
        <f t="shared" si="40"/>
        <v>0</v>
      </c>
      <c r="W160" s="5"/>
    </row>
    <row r="161" spans="2:23" ht="15" customHeight="1" x14ac:dyDescent="0.3">
      <c r="B161" s="72">
        <v>77500</v>
      </c>
      <c r="C161" s="19">
        <f>MAX('TANF-VIEW'!L164,'TANF-VIEW'!T164)</f>
        <v>0</v>
      </c>
      <c r="D161" s="20">
        <f t="shared" si="41"/>
        <v>6458.333333333333</v>
      </c>
      <c r="E161" s="20">
        <f>'Total income package'!$D$80</f>
        <v>0</v>
      </c>
      <c r="F161" s="20">
        <f>'Total income package'!$H$61+'Total income package'!$F$66</f>
        <v>250</v>
      </c>
      <c r="G161" s="20">
        <f t="shared" si="34"/>
        <v>6708.333333333333</v>
      </c>
      <c r="H161" s="20" t="str">
        <f t="shared" si="28"/>
        <v>No</v>
      </c>
      <c r="I161" s="20">
        <f t="shared" si="29"/>
        <v>1291.6666666666667</v>
      </c>
      <c r="J161" s="20">
        <f t="shared" si="30"/>
        <v>261</v>
      </c>
      <c r="K161" s="20">
        <f t="shared" si="31"/>
        <v>5155.6666666666661</v>
      </c>
      <c r="L161" s="20">
        <f t="shared" si="35"/>
        <v>700</v>
      </c>
      <c r="M161" s="20">
        <f>'Total income package'!$B$69</f>
        <v>500</v>
      </c>
      <c r="N161" s="20">
        <f t="shared" si="36"/>
        <v>1200</v>
      </c>
      <c r="O161" s="344" t="str">
        <f t="shared" si="37"/>
        <v>No</v>
      </c>
      <c r="P161" s="20">
        <f t="shared" si="38"/>
        <v>2577.833333333333</v>
      </c>
      <c r="Q161" s="346">
        <f t="shared" si="32"/>
        <v>0</v>
      </c>
      <c r="R161" s="20">
        <f>IF(AND(D$2+$E$2&gt;0,N161-SNAP!P161&gt;0),N161-SNAP!P161,0)</f>
        <v>0</v>
      </c>
      <c r="S161" s="20">
        <f t="shared" si="39"/>
        <v>5155.6666666666661</v>
      </c>
      <c r="T161" s="20">
        <f t="shared" si="33"/>
        <v>1546.6999999999998</v>
      </c>
      <c r="U161" s="20">
        <f>IF(AND('Total income package'!$A$18=TRUE,OR(H161="Yes",O161="Yes"),G161&lt;$G$2,$K$2-T161&gt;10),ROUNDDOWN($K$2-T161,0),0)</f>
        <v>0</v>
      </c>
      <c r="V161" s="176">
        <f t="shared" si="40"/>
        <v>0</v>
      </c>
      <c r="W161" s="5"/>
    </row>
    <row r="162" spans="2:23" ht="15" customHeight="1" x14ac:dyDescent="0.3">
      <c r="B162" s="72">
        <v>78000</v>
      </c>
      <c r="C162" s="19">
        <f>MAX('TANF-VIEW'!L165,'TANF-VIEW'!T165)</f>
        <v>0</v>
      </c>
      <c r="D162" s="20">
        <f t="shared" si="41"/>
        <v>6500</v>
      </c>
      <c r="E162" s="20">
        <f>'Total income package'!$D$80</f>
        <v>0</v>
      </c>
      <c r="F162" s="20">
        <f>'Total income package'!$H$61+'Total income package'!$F$66</f>
        <v>250</v>
      </c>
      <c r="G162" s="20">
        <f t="shared" si="34"/>
        <v>6750</v>
      </c>
      <c r="H162" s="20" t="str">
        <f t="shared" si="28"/>
        <v>No</v>
      </c>
      <c r="I162" s="20">
        <f t="shared" si="29"/>
        <v>1300</v>
      </c>
      <c r="J162" s="20">
        <f t="shared" si="30"/>
        <v>261</v>
      </c>
      <c r="K162" s="20">
        <f t="shared" si="31"/>
        <v>5189</v>
      </c>
      <c r="L162" s="20">
        <f t="shared" si="35"/>
        <v>700</v>
      </c>
      <c r="M162" s="20">
        <f>'Total income package'!$B$69</f>
        <v>500</v>
      </c>
      <c r="N162" s="20">
        <f t="shared" si="36"/>
        <v>1200</v>
      </c>
      <c r="O162" s="344" t="str">
        <f t="shared" si="37"/>
        <v>No</v>
      </c>
      <c r="P162" s="20">
        <f t="shared" si="38"/>
        <v>2594.5</v>
      </c>
      <c r="Q162" s="346">
        <f t="shared" si="32"/>
        <v>0</v>
      </c>
      <c r="R162" s="20">
        <f>IF(AND(D$2+$E$2&gt;0,N162-SNAP!P162&gt;0),N162-SNAP!P162,0)</f>
        <v>0</v>
      </c>
      <c r="S162" s="20">
        <f t="shared" si="39"/>
        <v>5189</v>
      </c>
      <c r="T162" s="20">
        <f t="shared" si="33"/>
        <v>1556.7</v>
      </c>
      <c r="U162" s="20">
        <f>IF(AND('Total income package'!$A$18=TRUE,OR(H162="Yes",O162="Yes"),G162&lt;$G$2,$K$2-T162&gt;10),ROUNDDOWN($K$2-T162,0),0)</f>
        <v>0</v>
      </c>
      <c r="V162" s="176">
        <f t="shared" si="40"/>
        <v>0</v>
      </c>
      <c r="W162" s="5"/>
    </row>
    <row r="163" spans="2:23" ht="15" customHeight="1" x14ac:dyDescent="0.3">
      <c r="B163" s="72">
        <v>78500</v>
      </c>
      <c r="C163" s="19">
        <f>MAX('TANF-VIEW'!L166,'TANF-VIEW'!T166)</f>
        <v>0</v>
      </c>
      <c r="D163" s="20">
        <f t="shared" si="41"/>
        <v>6541.666666666667</v>
      </c>
      <c r="E163" s="20">
        <f>'Total income package'!$D$80</f>
        <v>0</v>
      </c>
      <c r="F163" s="20">
        <f>'Total income package'!$H$61+'Total income package'!$F$66</f>
        <v>250</v>
      </c>
      <c r="G163" s="20">
        <f t="shared" si="34"/>
        <v>6791.666666666667</v>
      </c>
      <c r="H163" s="20" t="str">
        <f t="shared" si="28"/>
        <v>No</v>
      </c>
      <c r="I163" s="20">
        <f t="shared" si="29"/>
        <v>1308.3333333333335</v>
      </c>
      <c r="J163" s="20">
        <f t="shared" si="30"/>
        <v>261</v>
      </c>
      <c r="K163" s="20">
        <f t="shared" si="31"/>
        <v>5222.3333333333339</v>
      </c>
      <c r="L163" s="20">
        <f t="shared" si="35"/>
        <v>700</v>
      </c>
      <c r="M163" s="20">
        <f>'Total income package'!$B$69</f>
        <v>500</v>
      </c>
      <c r="N163" s="20">
        <f t="shared" si="36"/>
        <v>1200</v>
      </c>
      <c r="O163" s="344" t="str">
        <f t="shared" si="37"/>
        <v>No</v>
      </c>
      <c r="P163" s="20">
        <f t="shared" si="38"/>
        <v>2611.166666666667</v>
      </c>
      <c r="Q163" s="346">
        <f t="shared" si="32"/>
        <v>0</v>
      </c>
      <c r="R163" s="20">
        <f>IF(AND(D$2+$E$2&gt;0,N163-SNAP!P163&gt;0),N163-SNAP!P163,0)</f>
        <v>0</v>
      </c>
      <c r="S163" s="20">
        <f t="shared" si="39"/>
        <v>5222.3333333333339</v>
      </c>
      <c r="T163" s="20">
        <f t="shared" si="33"/>
        <v>1566.7</v>
      </c>
      <c r="U163" s="20">
        <f>IF(AND('Total income package'!$A$18=TRUE,OR(H163="Yes",O163="Yes"),G163&lt;$G$2,$K$2-T163&gt;10),ROUNDDOWN($K$2-T163,0),0)</f>
        <v>0</v>
      </c>
      <c r="V163" s="176">
        <f t="shared" si="40"/>
        <v>0</v>
      </c>
      <c r="W163" s="5"/>
    </row>
    <row r="164" spans="2:23" ht="15" customHeight="1" x14ac:dyDescent="0.3">
      <c r="B164" s="72">
        <v>79000</v>
      </c>
      <c r="C164" s="19">
        <f>MAX('TANF-VIEW'!L167,'TANF-VIEW'!T167)</f>
        <v>0</v>
      </c>
      <c r="D164" s="20">
        <f t="shared" si="41"/>
        <v>6583.333333333333</v>
      </c>
      <c r="E164" s="20">
        <f>'Total income package'!$D$80</f>
        <v>0</v>
      </c>
      <c r="F164" s="20">
        <f>'Total income package'!$H$61+'Total income package'!$F$66</f>
        <v>250</v>
      </c>
      <c r="G164" s="20">
        <f t="shared" si="34"/>
        <v>6833.333333333333</v>
      </c>
      <c r="H164" s="20" t="str">
        <f t="shared" si="28"/>
        <v>No</v>
      </c>
      <c r="I164" s="20">
        <f t="shared" si="29"/>
        <v>1316.6666666666667</v>
      </c>
      <c r="J164" s="20">
        <f t="shared" si="30"/>
        <v>261</v>
      </c>
      <c r="K164" s="20">
        <f t="shared" si="31"/>
        <v>5255.6666666666661</v>
      </c>
      <c r="L164" s="20">
        <f t="shared" si="35"/>
        <v>700</v>
      </c>
      <c r="M164" s="20">
        <f>'Total income package'!$B$69</f>
        <v>500</v>
      </c>
      <c r="N164" s="20">
        <f t="shared" si="36"/>
        <v>1200</v>
      </c>
      <c r="O164" s="344" t="str">
        <f t="shared" si="37"/>
        <v>No</v>
      </c>
      <c r="P164" s="20">
        <f t="shared" si="38"/>
        <v>2627.833333333333</v>
      </c>
      <c r="Q164" s="346">
        <f t="shared" si="32"/>
        <v>0</v>
      </c>
      <c r="R164" s="20">
        <f>IF(AND(D$2+$E$2&gt;0,N164-SNAP!P164&gt;0),N164-SNAP!P164,0)</f>
        <v>0</v>
      </c>
      <c r="S164" s="20">
        <f t="shared" si="39"/>
        <v>5255.6666666666661</v>
      </c>
      <c r="T164" s="20">
        <f t="shared" si="33"/>
        <v>1576.6999999999998</v>
      </c>
      <c r="U164" s="20">
        <f>IF(AND('Total income package'!$A$18=TRUE,OR(H164="Yes",O164="Yes"),G164&lt;$G$2,$K$2-T164&gt;10),ROUNDDOWN($K$2-T164,0),0)</f>
        <v>0</v>
      </c>
      <c r="V164" s="176">
        <f t="shared" si="40"/>
        <v>0</v>
      </c>
      <c r="W164" s="5"/>
    </row>
    <row r="165" spans="2:23" ht="15" customHeight="1" x14ac:dyDescent="0.3">
      <c r="B165" s="72">
        <v>79500</v>
      </c>
      <c r="C165" s="19">
        <f>MAX('TANF-VIEW'!L168,'TANF-VIEW'!T168)</f>
        <v>0</v>
      </c>
      <c r="D165" s="20">
        <f t="shared" si="41"/>
        <v>6625</v>
      </c>
      <c r="E165" s="20">
        <f>'Total income package'!$D$80</f>
        <v>0</v>
      </c>
      <c r="F165" s="20">
        <f>'Total income package'!$H$61+'Total income package'!$F$66</f>
        <v>250</v>
      </c>
      <c r="G165" s="20">
        <f t="shared" si="34"/>
        <v>6875</v>
      </c>
      <c r="H165" s="20" t="str">
        <f t="shared" si="28"/>
        <v>No</v>
      </c>
      <c r="I165" s="20">
        <f t="shared" si="29"/>
        <v>1325</v>
      </c>
      <c r="J165" s="20">
        <f t="shared" si="30"/>
        <v>261</v>
      </c>
      <c r="K165" s="20">
        <f t="shared" si="31"/>
        <v>5289</v>
      </c>
      <c r="L165" s="20">
        <f t="shared" si="35"/>
        <v>700</v>
      </c>
      <c r="M165" s="20">
        <f>'Total income package'!$B$69</f>
        <v>500</v>
      </c>
      <c r="N165" s="20">
        <f t="shared" si="36"/>
        <v>1200</v>
      </c>
      <c r="O165" s="344" t="str">
        <f t="shared" si="37"/>
        <v>No</v>
      </c>
      <c r="P165" s="20">
        <f t="shared" si="38"/>
        <v>2644.5</v>
      </c>
      <c r="Q165" s="346">
        <f t="shared" si="32"/>
        <v>0</v>
      </c>
      <c r="R165" s="20">
        <f>IF(AND(D$2+$E$2&gt;0,N165-SNAP!P165&gt;0),N165-SNAP!P165,0)</f>
        <v>0</v>
      </c>
      <c r="S165" s="20">
        <f t="shared" si="39"/>
        <v>5289</v>
      </c>
      <c r="T165" s="20">
        <f t="shared" si="33"/>
        <v>1586.7</v>
      </c>
      <c r="U165" s="20">
        <f>IF(AND('Total income package'!$A$18=TRUE,OR(H165="Yes",O165="Yes"),G165&lt;$G$2,$K$2-T165&gt;10),ROUNDDOWN($K$2-T165,0),0)</f>
        <v>0</v>
      </c>
      <c r="V165" s="176">
        <f t="shared" si="40"/>
        <v>0</v>
      </c>
      <c r="W165" s="5"/>
    </row>
    <row r="166" spans="2:23" ht="15" customHeight="1" x14ac:dyDescent="0.3">
      <c r="B166" s="72">
        <v>80000</v>
      </c>
      <c r="C166" s="19">
        <f>MAX('TANF-VIEW'!L169,'TANF-VIEW'!T169)</f>
        <v>0</v>
      </c>
      <c r="D166" s="20">
        <f t="shared" si="41"/>
        <v>6666.666666666667</v>
      </c>
      <c r="E166" s="20">
        <f>'Total income package'!$D$80</f>
        <v>0</v>
      </c>
      <c r="F166" s="20">
        <f>'Total income package'!$H$61+'Total income package'!$F$66</f>
        <v>250</v>
      </c>
      <c r="G166" s="20">
        <f t="shared" si="34"/>
        <v>6916.666666666667</v>
      </c>
      <c r="H166" s="20" t="str">
        <f t="shared" si="28"/>
        <v>No</v>
      </c>
      <c r="I166" s="20">
        <f t="shared" si="29"/>
        <v>1333.3333333333335</v>
      </c>
      <c r="J166" s="20">
        <f t="shared" si="30"/>
        <v>261</v>
      </c>
      <c r="K166" s="20">
        <f t="shared" si="31"/>
        <v>5322.3333333333339</v>
      </c>
      <c r="L166" s="20">
        <f t="shared" si="35"/>
        <v>700</v>
      </c>
      <c r="M166" s="20">
        <f>'Total income package'!$B$69</f>
        <v>500</v>
      </c>
      <c r="N166" s="20">
        <f t="shared" si="36"/>
        <v>1200</v>
      </c>
      <c r="O166" s="344" t="str">
        <f t="shared" si="37"/>
        <v>No</v>
      </c>
      <c r="P166" s="20">
        <f t="shared" si="38"/>
        <v>2661.166666666667</v>
      </c>
      <c r="Q166" s="346">
        <f t="shared" si="32"/>
        <v>0</v>
      </c>
      <c r="R166" s="20">
        <f>IF(AND(D$2+$E$2&gt;0,N166-SNAP!P166&gt;0),N166-SNAP!P166,0)</f>
        <v>0</v>
      </c>
      <c r="S166" s="20">
        <f t="shared" si="39"/>
        <v>5322.3333333333339</v>
      </c>
      <c r="T166" s="20">
        <f t="shared" si="33"/>
        <v>1596.7</v>
      </c>
      <c r="U166" s="20">
        <f>IF(AND('Total income package'!$A$18=TRUE,OR(H166="Yes",O166="Yes"),G166&lt;$G$2,$K$2-T166&gt;10),ROUNDDOWN($K$2-T166,0),0)</f>
        <v>0</v>
      </c>
      <c r="V166" s="176">
        <f t="shared" si="40"/>
        <v>0</v>
      </c>
      <c r="W166" s="5"/>
    </row>
    <row r="167" spans="2:23" ht="15" customHeight="1" x14ac:dyDescent="0.3">
      <c r="B167" s="72">
        <v>80500</v>
      </c>
      <c r="C167" s="19">
        <f>MAX('TANF-VIEW'!L170,'TANF-VIEW'!T170)</f>
        <v>0</v>
      </c>
      <c r="D167" s="20">
        <f t="shared" si="41"/>
        <v>6708.333333333333</v>
      </c>
      <c r="E167" s="20">
        <f>'Total income package'!$D$80</f>
        <v>0</v>
      </c>
      <c r="F167" s="20">
        <f>'Total income package'!$H$61+'Total income package'!$F$66</f>
        <v>250</v>
      </c>
      <c r="G167" s="20">
        <f t="shared" si="34"/>
        <v>6958.333333333333</v>
      </c>
      <c r="H167" s="20" t="str">
        <f t="shared" si="28"/>
        <v>No</v>
      </c>
      <c r="I167" s="20">
        <f t="shared" si="29"/>
        <v>1341.6666666666667</v>
      </c>
      <c r="J167" s="20">
        <f t="shared" si="30"/>
        <v>261</v>
      </c>
      <c r="K167" s="20">
        <f t="shared" si="31"/>
        <v>5355.6666666666661</v>
      </c>
      <c r="L167" s="20">
        <f t="shared" si="35"/>
        <v>700</v>
      </c>
      <c r="M167" s="20">
        <f>'Total income package'!$B$69</f>
        <v>500</v>
      </c>
      <c r="N167" s="20">
        <f t="shared" si="36"/>
        <v>1200</v>
      </c>
      <c r="O167" s="344" t="str">
        <f t="shared" si="37"/>
        <v>No</v>
      </c>
      <c r="P167" s="20">
        <f t="shared" si="38"/>
        <v>2677.833333333333</v>
      </c>
      <c r="Q167" s="346">
        <f t="shared" si="32"/>
        <v>0</v>
      </c>
      <c r="R167" s="20">
        <f>IF(AND(D$2+$E$2&gt;0,N167-SNAP!P167&gt;0),N167-SNAP!P167,0)</f>
        <v>0</v>
      </c>
      <c r="S167" s="20">
        <f t="shared" si="39"/>
        <v>5355.6666666666661</v>
      </c>
      <c r="T167" s="20">
        <f t="shared" si="33"/>
        <v>1606.6999999999998</v>
      </c>
      <c r="U167" s="20">
        <f>IF(AND('Total income package'!$A$18=TRUE,OR(H167="Yes",O167="Yes"),G167&lt;$G$2,$K$2-T167&gt;10),ROUNDDOWN($K$2-T167,0),0)</f>
        <v>0</v>
      </c>
      <c r="V167" s="176">
        <f t="shared" si="40"/>
        <v>0</v>
      </c>
      <c r="W167" s="5"/>
    </row>
    <row r="168" spans="2:23" ht="15" customHeight="1" x14ac:dyDescent="0.3">
      <c r="B168" s="72">
        <v>81000</v>
      </c>
      <c r="C168" s="19">
        <f>MAX('TANF-VIEW'!L171,'TANF-VIEW'!T171)</f>
        <v>0</v>
      </c>
      <c r="D168" s="20">
        <f t="shared" si="41"/>
        <v>6750</v>
      </c>
      <c r="E168" s="20">
        <f>'Total income package'!$D$80</f>
        <v>0</v>
      </c>
      <c r="F168" s="20">
        <f>'Total income package'!$H$61+'Total income package'!$F$66</f>
        <v>250</v>
      </c>
      <c r="G168" s="20">
        <f t="shared" si="34"/>
        <v>7000</v>
      </c>
      <c r="H168" s="20" t="str">
        <f t="shared" si="28"/>
        <v>No</v>
      </c>
      <c r="I168" s="20">
        <f t="shared" si="29"/>
        <v>1350</v>
      </c>
      <c r="J168" s="20">
        <f t="shared" si="30"/>
        <v>261</v>
      </c>
      <c r="K168" s="20">
        <f t="shared" si="31"/>
        <v>5389</v>
      </c>
      <c r="L168" s="20">
        <f t="shared" si="35"/>
        <v>700</v>
      </c>
      <c r="M168" s="20">
        <f>'Total income package'!$B$69</f>
        <v>500</v>
      </c>
      <c r="N168" s="20">
        <f t="shared" si="36"/>
        <v>1200</v>
      </c>
      <c r="O168" s="344" t="str">
        <f t="shared" si="37"/>
        <v>No</v>
      </c>
      <c r="P168" s="20">
        <f t="shared" si="38"/>
        <v>2694.5</v>
      </c>
      <c r="Q168" s="346">
        <f t="shared" si="32"/>
        <v>0</v>
      </c>
      <c r="R168" s="20">
        <f>IF(AND(D$2+$E$2&gt;0,N168-SNAP!P168&gt;0),N168-SNAP!P168,0)</f>
        <v>0</v>
      </c>
      <c r="S168" s="20">
        <f t="shared" si="39"/>
        <v>5389</v>
      </c>
      <c r="T168" s="20">
        <f t="shared" si="33"/>
        <v>1616.7</v>
      </c>
      <c r="U168" s="20">
        <f>IF(AND('Total income package'!$A$18=TRUE,OR(H168="Yes",O168="Yes"),G168&lt;$G$2,$K$2-T168&gt;10),ROUNDDOWN($K$2-T168,0),0)</f>
        <v>0</v>
      </c>
      <c r="V168" s="176">
        <f t="shared" si="40"/>
        <v>0</v>
      </c>
      <c r="W168" s="5"/>
    </row>
    <row r="169" spans="2:23" ht="15" customHeight="1" x14ac:dyDescent="0.3">
      <c r="B169" s="72">
        <v>81500</v>
      </c>
      <c r="C169" s="19">
        <f>MAX('TANF-VIEW'!L172,'TANF-VIEW'!T172)</f>
        <v>0</v>
      </c>
      <c r="D169" s="20">
        <f t="shared" si="41"/>
        <v>6791.666666666667</v>
      </c>
      <c r="E169" s="20">
        <f>'Total income package'!$D$80</f>
        <v>0</v>
      </c>
      <c r="F169" s="20">
        <f>'Total income package'!$H$61+'Total income package'!$F$66</f>
        <v>250</v>
      </c>
      <c r="G169" s="20">
        <f t="shared" si="34"/>
        <v>7041.666666666667</v>
      </c>
      <c r="H169" s="20" t="str">
        <f t="shared" si="28"/>
        <v>No</v>
      </c>
      <c r="I169" s="20">
        <f t="shared" si="29"/>
        <v>1358.3333333333335</v>
      </c>
      <c r="J169" s="20">
        <f t="shared" si="30"/>
        <v>261</v>
      </c>
      <c r="K169" s="20">
        <f t="shared" si="31"/>
        <v>5422.3333333333339</v>
      </c>
      <c r="L169" s="20">
        <f t="shared" si="35"/>
        <v>700</v>
      </c>
      <c r="M169" s="20">
        <f>'Total income package'!$B$69</f>
        <v>500</v>
      </c>
      <c r="N169" s="20">
        <f t="shared" si="36"/>
        <v>1200</v>
      </c>
      <c r="O169" s="344" t="str">
        <f t="shared" si="37"/>
        <v>No</v>
      </c>
      <c r="P169" s="20">
        <f t="shared" si="38"/>
        <v>2711.166666666667</v>
      </c>
      <c r="Q169" s="346">
        <f t="shared" si="32"/>
        <v>0</v>
      </c>
      <c r="R169" s="20">
        <f>IF(AND(D$2+$E$2&gt;0,N169-SNAP!P169&gt;0),N169-SNAP!P169,0)</f>
        <v>0</v>
      </c>
      <c r="S169" s="20">
        <f t="shared" si="39"/>
        <v>5422.3333333333339</v>
      </c>
      <c r="T169" s="20">
        <f t="shared" si="33"/>
        <v>1626.7</v>
      </c>
      <c r="U169" s="20">
        <f>IF(AND('Total income package'!$A$18=TRUE,OR(H169="Yes",O169="Yes"),G169&lt;$G$2,$K$2-T169&gt;10),ROUNDDOWN($K$2-T169,0),0)</f>
        <v>0</v>
      </c>
      <c r="V169" s="176">
        <f t="shared" si="40"/>
        <v>0</v>
      </c>
      <c r="W169" s="5"/>
    </row>
    <row r="170" spans="2:23" ht="15" customHeight="1" x14ac:dyDescent="0.3">
      <c r="B170" s="72">
        <v>82000</v>
      </c>
      <c r="C170" s="19">
        <f>MAX('TANF-VIEW'!L173,'TANF-VIEW'!T173)</f>
        <v>0</v>
      </c>
      <c r="D170" s="20">
        <f t="shared" si="41"/>
        <v>6833.333333333333</v>
      </c>
      <c r="E170" s="20">
        <f>'Total income package'!$D$80</f>
        <v>0</v>
      </c>
      <c r="F170" s="20">
        <f>'Total income package'!$H$61+'Total income package'!$F$66</f>
        <v>250</v>
      </c>
      <c r="G170" s="20">
        <f t="shared" si="34"/>
        <v>7083.333333333333</v>
      </c>
      <c r="H170" s="20" t="str">
        <f t="shared" si="28"/>
        <v>No</v>
      </c>
      <c r="I170" s="20">
        <f t="shared" si="29"/>
        <v>1366.6666666666667</v>
      </c>
      <c r="J170" s="20">
        <f t="shared" si="30"/>
        <v>261</v>
      </c>
      <c r="K170" s="20">
        <f t="shared" si="31"/>
        <v>5455.6666666666661</v>
      </c>
      <c r="L170" s="20">
        <f t="shared" si="35"/>
        <v>700</v>
      </c>
      <c r="M170" s="20">
        <f>'Total income package'!$B$69</f>
        <v>500</v>
      </c>
      <c r="N170" s="20">
        <f t="shared" si="36"/>
        <v>1200</v>
      </c>
      <c r="O170" s="344" t="str">
        <f t="shared" si="37"/>
        <v>No</v>
      </c>
      <c r="P170" s="20">
        <f t="shared" si="38"/>
        <v>2727.833333333333</v>
      </c>
      <c r="Q170" s="346">
        <f t="shared" si="32"/>
        <v>0</v>
      </c>
      <c r="R170" s="20">
        <f>IF(AND(D$2+$E$2&gt;0,N170-SNAP!P170&gt;0),N170-SNAP!P170,0)</f>
        <v>0</v>
      </c>
      <c r="S170" s="20">
        <f t="shared" si="39"/>
        <v>5455.6666666666661</v>
      </c>
      <c r="T170" s="20">
        <f t="shared" si="33"/>
        <v>1636.6999999999998</v>
      </c>
      <c r="U170" s="20">
        <f>IF(AND('Total income package'!$A$18=TRUE,OR(H170="Yes",O170="Yes"),G170&lt;$G$2,$K$2-T170&gt;10),ROUNDDOWN($K$2-T170,0),0)</f>
        <v>0</v>
      </c>
      <c r="V170" s="176">
        <f t="shared" si="40"/>
        <v>0</v>
      </c>
      <c r="W170" s="5"/>
    </row>
    <row r="171" spans="2:23" ht="15" customHeight="1" x14ac:dyDescent="0.3">
      <c r="B171" s="72">
        <v>82500</v>
      </c>
      <c r="C171" s="19">
        <f>MAX('TANF-VIEW'!L174,'TANF-VIEW'!T174)</f>
        <v>0</v>
      </c>
      <c r="D171" s="20">
        <f t="shared" si="41"/>
        <v>6875</v>
      </c>
      <c r="E171" s="20">
        <f>'Total income package'!$D$80</f>
        <v>0</v>
      </c>
      <c r="F171" s="20">
        <f>'Total income package'!$H$61+'Total income package'!$F$66</f>
        <v>250</v>
      </c>
      <c r="G171" s="20">
        <f t="shared" si="34"/>
        <v>7125</v>
      </c>
      <c r="H171" s="20" t="str">
        <f t="shared" si="28"/>
        <v>No</v>
      </c>
      <c r="I171" s="20">
        <f t="shared" si="29"/>
        <v>1375</v>
      </c>
      <c r="J171" s="20">
        <f t="shared" si="30"/>
        <v>261</v>
      </c>
      <c r="K171" s="20">
        <f t="shared" si="31"/>
        <v>5489</v>
      </c>
      <c r="L171" s="20">
        <f t="shared" si="35"/>
        <v>700</v>
      </c>
      <c r="M171" s="20">
        <f>'Total income package'!$B$69</f>
        <v>500</v>
      </c>
      <c r="N171" s="20">
        <f t="shared" si="36"/>
        <v>1200</v>
      </c>
      <c r="O171" s="344" t="str">
        <f t="shared" si="37"/>
        <v>No</v>
      </c>
      <c r="P171" s="20">
        <f t="shared" si="38"/>
        <v>2744.5</v>
      </c>
      <c r="Q171" s="346">
        <f t="shared" si="32"/>
        <v>0</v>
      </c>
      <c r="R171" s="20">
        <f>IF(AND(D$2+$E$2&gt;0,N171-SNAP!P171&gt;0),N171-SNAP!P171,0)</f>
        <v>0</v>
      </c>
      <c r="S171" s="20">
        <f t="shared" si="39"/>
        <v>5489</v>
      </c>
      <c r="T171" s="20">
        <f t="shared" si="33"/>
        <v>1646.7</v>
      </c>
      <c r="U171" s="20">
        <f>IF(AND('Total income package'!$A$18=TRUE,OR(H171="Yes",O171="Yes"),G171&lt;$G$2,$K$2-T171&gt;10),ROUNDDOWN($K$2-T171,0),0)</f>
        <v>0</v>
      </c>
      <c r="V171" s="176">
        <f t="shared" si="40"/>
        <v>0</v>
      </c>
      <c r="W171" s="5"/>
    </row>
    <row r="172" spans="2:23" ht="15" customHeight="1" x14ac:dyDescent="0.3">
      <c r="B172" s="72">
        <v>83000</v>
      </c>
      <c r="C172" s="19">
        <f>MAX('TANF-VIEW'!L175,'TANF-VIEW'!T175)</f>
        <v>0</v>
      </c>
      <c r="D172" s="20">
        <f t="shared" si="41"/>
        <v>6916.666666666667</v>
      </c>
      <c r="E172" s="20">
        <f>'Total income package'!$D$80</f>
        <v>0</v>
      </c>
      <c r="F172" s="20">
        <f>'Total income package'!$H$61+'Total income package'!$F$66</f>
        <v>250</v>
      </c>
      <c r="G172" s="20">
        <f t="shared" si="34"/>
        <v>7166.666666666667</v>
      </c>
      <c r="H172" s="20" t="str">
        <f t="shared" si="28"/>
        <v>No</v>
      </c>
      <c r="I172" s="20">
        <f t="shared" si="29"/>
        <v>1383.3333333333335</v>
      </c>
      <c r="J172" s="20">
        <f t="shared" si="30"/>
        <v>261</v>
      </c>
      <c r="K172" s="20">
        <f t="shared" si="31"/>
        <v>5522.3333333333339</v>
      </c>
      <c r="L172" s="20">
        <f t="shared" si="35"/>
        <v>700</v>
      </c>
      <c r="M172" s="20">
        <f>'Total income package'!$B$69</f>
        <v>500</v>
      </c>
      <c r="N172" s="20">
        <f t="shared" si="36"/>
        <v>1200</v>
      </c>
      <c r="O172" s="344" t="str">
        <f t="shared" si="37"/>
        <v>No</v>
      </c>
      <c r="P172" s="20">
        <f t="shared" si="38"/>
        <v>2761.166666666667</v>
      </c>
      <c r="Q172" s="346">
        <f t="shared" si="32"/>
        <v>0</v>
      </c>
      <c r="R172" s="20">
        <f>IF(AND(D$2+$E$2&gt;0,N172-SNAP!P172&gt;0),N172-SNAP!P172,0)</f>
        <v>0</v>
      </c>
      <c r="S172" s="20">
        <f t="shared" si="39"/>
        <v>5522.3333333333339</v>
      </c>
      <c r="T172" s="20">
        <f t="shared" si="33"/>
        <v>1656.7</v>
      </c>
      <c r="U172" s="20">
        <f>IF(AND('Total income package'!$A$18=TRUE,OR(H172="Yes",O172="Yes"),G172&lt;$G$2,$K$2-T172&gt;10),ROUNDDOWN($K$2-T172,0),0)</f>
        <v>0</v>
      </c>
      <c r="V172" s="176">
        <f t="shared" si="40"/>
        <v>0</v>
      </c>
      <c r="W172" s="5"/>
    </row>
    <row r="173" spans="2:23" ht="15" customHeight="1" x14ac:dyDescent="0.3">
      <c r="B173" s="72">
        <v>83500</v>
      </c>
      <c r="C173" s="19">
        <f>MAX('TANF-VIEW'!L176,'TANF-VIEW'!T176)</f>
        <v>0</v>
      </c>
      <c r="D173" s="20">
        <f t="shared" si="41"/>
        <v>6958.333333333333</v>
      </c>
      <c r="E173" s="20">
        <f>'Total income package'!$D$80</f>
        <v>0</v>
      </c>
      <c r="F173" s="20">
        <f>'Total income package'!$H$61+'Total income package'!$F$66</f>
        <v>250</v>
      </c>
      <c r="G173" s="20">
        <f t="shared" si="34"/>
        <v>7208.333333333333</v>
      </c>
      <c r="H173" s="20" t="str">
        <f t="shared" si="28"/>
        <v>No</v>
      </c>
      <c r="I173" s="20">
        <f t="shared" si="29"/>
        <v>1391.6666666666667</v>
      </c>
      <c r="J173" s="20">
        <f t="shared" si="30"/>
        <v>261</v>
      </c>
      <c r="K173" s="20">
        <f t="shared" si="31"/>
        <v>5555.6666666666661</v>
      </c>
      <c r="L173" s="20">
        <f t="shared" si="35"/>
        <v>700</v>
      </c>
      <c r="M173" s="20">
        <f>'Total income package'!$B$69</f>
        <v>500</v>
      </c>
      <c r="N173" s="20">
        <f t="shared" si="36"/>
        <v>1200</v>
      </c>
      <c r="O173" s="344" t="str">
        <f t="shared" si="37"/>
        <v>No</v>
      </c>
      <c r="P173" s="20">
        <f t="shared" si="38"/>
        <v>2777.833333333333</v>
      </c>
      <c r="Q173" s="346">
        <f t="shared" si="32"/>
        <v>0</v>
      </c>
      <c r="R173" s="20">
        <f>IF(AND(D$2+$E$2&gt;0,N173-SNAP!P173&gt;0),N173-SNAP!P173,0)</f>
        <v>0</v>
      </c>
      <c r="S173" s="20">
        <f t="shared" si="39"/>
        <v>5555.6666666666661</v>
      </c>
      <c r="T173" s="20">
        <f t="shared" si="33"/>
        <v>1666.6999999999998</v>
      </c>
      <c r="U173" s="20">
        <f>IF(AND('Total income package'!$A$18=TRUE,OR(H173="Yes",O173="Yes"),G173&lt;$G$2,$K$2-T173&gt;10),ROUNDDOWN($K$2-T173,0),0)</f>
        <v>0</v>
      </c>
      <c r="V173" s="176">
        <f t="shared" si="40"/>
        <v>0</v>
      </c>
      <c r="W173" s="5"/>
    </row>
    <row r="174" spans="2:23" ht="15" customHeight="1" x14ac:dyDescent="0.3">
      <c r="B174" s="72">
        <v>84000</v>
      </c>
      <c r="C174" s="19">
        <f>MAX('TANF-VIEW'!L177,'TANF-VIEW'!T177)</f>
        <v>0</v>
      </c>
      <c r="D174" s="20">
        <f t="shared" si="41"/>
        <v>7000</v>
      </c>
      <c r="E174" s="20">
        <f>'Total income package'!$D$80</f>
        <v>0</v>
      </c>
      <c r="F174" s="20">
        <f>'Total income package'!$H$61+'Total income package'!$F$66</f>
        <v>250</v>
      </c>
      <c r="G174" s="20">
        <f t="shared" si="34"/>
        <v>7250</v>
      </c>
      <c r="H174" s="20" t="str">
        <f t="shared" si="28"/>
        <v>No</v>
      </c>
      <c r="I174" s="20">
        <f t="shared" si="29"/>
        <v>1400</v>
      </c>
      <c r="J174" s="20">
        <f t="shared" si="30"/>
        <v>261</v>
      </c>
      <c r="K174" s="20">
        <f t="shared" si="31"/>
        <v>5589</v>
      </c>
      <c r="L174" s="20">
        <f t="shared" si="35"/>
        <v>700</v>
      </c>
      <c r="M174" s="20">
        <f>'Total income package'!$B$69</f>
        <v>500</v>
      </c>
      <c r="N174" s="20">
        <f t="shared" si="36"/>
        <v>1200</v>
      </c>
      <c r="O174" s="344" t="str">
        <f t="shared" si="37"/>
        <v>No</v>
      </c>
      <c r="P174" s="20">
        <f t="shared" si="38"/>
        <v>2794.5</v>
      </c>
      <c r="Q174" s="346">
        <f t="shared" si="32"/>
        <v>0</v>
      </c>
      <c r="R174" s="20">
        <f>IF(AND(D$2+$E$2&gt;0,N174-SNAP!P174&gt;0),N174-SNAP!P174,0)</f>
        <v>0</v>
      </c>
      <c r="S174" s="20">
        <f t="shared" si="39"/>
        <v>5589</v>
      </c>
      <c r="T174" s="20">
        <f t="shared" si="33"/>
        <v>1676.7</v>
      </c>
      <c r="U174" s="20">
        <f>IF(AND('Total income package'!$A$18=TRUE,OR(H174="Yes",O174="Yes"),G174&lt;$G$2,$K$2-T174&gt;10),ROUNDDOWN($K$2-T174,0),0)</f>
        <v>0</v>
      </c>
      <c r="V174" s="176">
        <f t="shared" si="40"/>
        <v>0</v>
      </c>
      <c r="W174" s="5"/>
    </row>
    <row r="175" spans="2:23" ht="15" customHeight="1" x14ac:dyDescent="0.3">
      <c r="B175" s="72">
        <v>84500</v>
      </c>
      <c r="C175" s="19">
        <f>MAX('TANF-VIEW'!L178,'TANF-VIEW'!T178)</f>
        <v>0</v>
      </c>
      <c r="D175" s="20">
        <f t="shared" si="41"/>
        <v>7041.666666666667</v>
      </c>
      <c r="E175" s="20">
        <f>'Total income package'!$D$80</f>
        <v>0</v>
      </c>
      <c r="F175" s="20">
        <f>'Total income package'!$H$61+'Total income package'!$F$66</f>
        <v>250</v>
      </c>
      <c r="G175" s="20">
        <f t="shared" si="34"/>
        <v>7291.666666666667</v>
      </c>
      <c r="H175" s="20" t="str">
        <f t="shared" si="28"/>
        <v>No</v>
      </c>
      <c r="I175" s="20">
        <f t="shared" si="29"/>
        <v>1408.3333333333335</v>
      </c>
      <c r="J175" s="20">
        <f t="shared" si="30"/>
        <v>261</v>
      </c>
      <c r="K175" s="20">
        <f t="shared" si="31"/>
        <v>5622.3333333333339</v>
      </c>
      <c r="L175" s="20">
        <f t="shared" si="35"/>
        <v>700</v>
      </c>
      <c r="M175" s="20">
        <f>'Total income package'!$B$69</f>
        <v>500</v>
      </c>
      <c r="N175" s="20">
        <f t="shared" si="36"/>
        <v>1200</v>
      </c>
      <c r="O175" s="344" t="str">
        <f t="shared" si="37"/>
        <v>No</v>
      </c>
      <c r="P175" s="20">
        <f t="shared" si="38"/>
        <v>2811.166666666667</v>
      </c>
      <c r="Q175" s="346">
        <f t="shared" si="32"/>
        <v>0</v>
      </c>
      <c r="R175" s="20">
        <f>IF(AND(D$2+$E$2&gt;0,N175-SNAP!P175&gt;0),N175-SNAP!P175,0)</f>
        <v>0</v>
      </c>
      <c r="S175" s="20">
        <f t="shared" si="39"/>
        <v>5622.3333333333339</v>
      </c>
      <c r="T175" s="20">
        <f t="shared" si="33"/>
        <v>1686.7</v>
      </c>
      <c r="U175" s="20">
        <f>IF(AND('Total income package'!$A$18=TRUE,OR(H175="Yes",O175="Yes"),G175&lt;$G$2,$K$2-T175&gt;10),ROUNDDOWN($K$2-T175,0),0)</f>
        <v>0</v>
      </c>
      <c r="V175" s="176">
        <f t="shared" si="40"/>
        <v>0</v>
      </c>
      <c r="W175" s="5"/>
    </row>
    <row r="176" spans="2:23" ht="15" customHeight="1" x14ac:dyDescent="0.3">
      <c r="B176" s="72">
        <v>85000</v>
      </c>
      <c r="C176" s="19">
        <f>MAX('TANF-VIEW'!L179,'TANF-VIEW'!T179)</f>
        <v>0</v>
      </c>
      <c r="D176" s="20">
        <f t="shared" si="41"/>
        <v>7083.333333333333</v>
      </c>
      <c r="E176" s="20">
        <f>'Total income package'!$D$80</f>
        <v>0</v>
      </c>
      <c r="F176" s="20">
        <f>'Total income package'!$H$61+'Total income package'!$F$66</f>
        <v>250</v>
      </c>
      <c r="G176" s="20">
        <f t="shared" si="34"/>
        <v>7333.333333333333</v>
      </c>
      <c r="H176" s="20" t="str">
        <f t="shared" si="28"/>
        <v>No</v>
      </c>
      <c r="I176" s="20">
        <f t="shared" si="29"/>
        <v>1416.6666666666667</v>
      </c>
      <c r="J176" s="20">
        <f t="shared" si="30"/>
        <v>261</v>
      </c>
      <c r="K176" s="20">
        <f t="shared" si="31"/>
        <v>5655.6666666666661</v>
      </c>
      <c r="L176" s="20">
        <f t="shared" si="35"/>
        <v>700</v>
      </c>
      <c r="M176" s="20">
        <f>'Total income package'!$B$69</f>
        <v>500</v>
      </c>
      <c r="N176" s="20">
        <f t="shared" si="36"/>
        <v>1200</v>
      </c>
      <c r="O176" s="344" t="str">
        <f t="shared" si="37"/>
        <v>No</v>
      </c>
      <c r="P176" s="20">
        <f t="shared" si="38"/>
        <v>2827.833333333333</v>
      </c>
      <c r="Q176" s="346">
        <f t="shared" si="32"/>
        <v>0</v>
      </c>
      <c r="R176" s="20">
        <f>IF(AND(D$2+$E$2&gt;0,N176-SNAP!P176&gt;0),N176-SNAP!P176,0)</f>
        <v>0</v>
      </c>
      <c r="S176" s="20">
        <f t="shared" si="39"/>
        <v>5655.6666666666661</v>
      </c>
      <c r="T176" s="20">
        <f t="shared" si="33"/>
        <v>1696.6999999999998</v>
      </c>
      <c r="U176" s="20">
        <f>IF(AND('Total income package'!$A$18=TRUE,OR(H176="Yes",O176="Yes"),G176&lt;$G$2,$K$2-T176&gt;10),ROUNDDOWN($K$2-T176,0),0)</f>
        <v>0</v>
      </c>
      <c r="V176" s="176">
        <f t="shared" si="40"/>
        <v>0</v>
      </c>
      <c r="W176" s="5"/>
    </row>
    <row r="177" spans="2:23" ht="15" customHeight="1" x14ac:dyDescent="0.3">
      <c r="B177" s="72">
        <v>85500</v>
      </c>
      <c r="C177" s="19">
        <f>MAX('TANF-VIEW'!L180,'TANF-VIEW'!T180)</f>
        <v>0</v>
      </c>
      <c r="D177" s="20">
        <f t="shared" si="41"/>
        <v>7125</v>
      </c>
      <c r="E177" s="20">
        <f>'Total income package'!$D$80</f>
        <v>0</v>
      </c>
      <c r="F177" s="20">
        <f>'Total income package'!$H$61+'Total income package'!$F$66</f>
        <v>250</v>
      </c>
      <c r="G177" s="20">
        <f t="shared" si="34"/>
        <v>7375</v>
      </c>
      <c r="H177" s="20" t="str">
        <f t="shared" si="28"/>
        <v>No</v>
      </c>
      <c r="I177" s="20">
        <f t="shared" si="29"/>
        <v>1425</v>
      </c>
      <c r="J177" s="20">
        <f t="shared" si="30"/>
        <v>261</v>
      </c>
      <c r="K177" s="20">
        <f t="shared" si="31"/>
        <v>5689</v>
      </c>
      <c r="L177" s="20">
        <f t="shared" si="35"/>
        <v>700</v>
      </c>
      <c r="M177" s="20">
        <f>'Total income package'!$B$69</f>
        <v>500</v>
      </c>
      <c r="N177" s="20">
        <f t="shared" si="36"/>
        <v>1200</v>
      </c>
      <c r="O177" s="344" t="str">
        <f t="shared" si="37"/>
        <v>No</v>
      </c>
      <c r="P177" s="20">
        <f t="shared" si="38"/>
        <v>2844.5</v>
      </c>
      <c r="Q177" s="346">
        <f t="shared" si="32"/>
        <v>0</v>
      </c>
      <c r="R177" s="20">
        <f>IF(AND(D$2+$E$2&gt;0,N177-SNAP!P177&gt;0),N177-SNAP!P177,0)</f>
        <v>0</v>
      </c>
      <c r="S177" s="20">
        <f>IF(AND($D$2+$E$2&gt;0,K177-R177&gt;0),K177-R177,IF(AND($D$2+$E$2=0,K177-Q177&gt;0),K177-Q177,0))</f>
        <v>5689</v>
      </c>
      <c r="T177" s="20">
        <f>S177*0.3</f>
        <v>1706.7</v>
      </c>
      <c r="U177" s="20">
        <f>IF(AND('Total income package'!$A$18=TRUE,OR(H177="Yes",O177="Yes"),G177&lt;$G$2,$K$2-T177&gt;10),ROUNDDOWN($K$2-T177,0),0)</f>
        <v>0</v>
      </c>
      <c r="V177" s="176">
        <f t="shared" si="40"/>
        <v>0</v>
      </c>
      <c r="W177" s="5"/>
    </row>
    <row r="178" spans="2:23" ht="15" customHeight="1" x14ac:dyDescent="0.3">
      <c r="B178" s="72">
        <v>86000</v>
      </c>
      <c r="C178" s="19">
        <f>MAX('TANF-VIEW'!L181,'TANF-VIEW'!T181)</f>
        <v>0</v>
      </c>
      <c r="D178" s="20">
        <f t="shared" si="41"/>
        <v>7166.666666666667</v>
      </c>
      <c r="E178" s="20">
        <f>'Total income package'!$D$80</f>
        <v>0</v>
      </c>
      <c r="F178" s="20">
        <f>'Total income package'!$H$61+'Total income package'!$F$66</f>
        <v>250</v>
      </c>
      <c r="G178" s="20">
        <f t="shared" si="34"/>
        <v>7416.666666666667</v>
      </c>
      <c r="H178" s="20" t="str">
        <f t="shared" si="28"/>
        <v>No</v>
      </c>
      <c r="I178" s="20">
        <f t="shared" si="29"/>
        <v>1433.3333333333335</v>
      </c>
      <c r="J178" s="20">
        <f t="shared" si="30"/>
        <v>261</v>
      </c>
      <c r="K178" s="20">
        <f t="shared" si="31"/>
        <v>5722.3333333333339</v>
      </c>
      <c r="L178" s="20">
        <f t="shared" si="35"/>
        <v>700</v>
      </c>
      <c r="M178" s="20">
        <f>'Total income package'!$B$69</f>
        <v>500</v>
      </c>
      <c r="N178" s="20">
        <f t="shared" si="36"/>
        <v>1200</v>
      </c>
      <c r="O178" s="344" t="str">
        <f t="shared" si="37"/>
        <v>No</v>
      </c>
      <c r="P178" s="20">
        <f t="shared" si="38"/>
        <v>2861.166666666667</v>
      </c>
      <c r="Q178" s="346">
        <f t="shared" si="32"/>
        <v>0</v>
      </c>
      <c r="R178" s="20">
        <f>IF(AND(D$2+$E$2&gt;0,N178-SNAP!P178&gt;0),N178-SNAP!P178,0)</f>
        <v>0</v>
      </c>
      <c r="S178" s="20">
        <f t="shared" si="39"/>
        <v>5722.3333333333339</v>
      </c>
      <c r="T178" s="20">
        <f t="shared" si="33"/>
        <v>1716.7</v>
      </c>
      <c r="U178" s="20">
        <f>IF(AND('Total income package'!$A$18=TRUE,OR(H178="Yes",O178="Yes"),G178&lt;$G$2,$K$2-T178&gt;10),ROUNDDOWN($K$2-T178,0),0)</f>
        <v>0</v>
      </c>
      <c r="V178" s="176">
        <f t="shared" si="40"/>
        <v>0</v>
      </c>
      <c r="W178" s="5"/>
    </row>
    <row r="179" spans="2:23" ht="15" customHeight="1" x14ac:dyDescent="0.3">
      <c r="B179" s="72">
        <v>86500</v>
      </c>
      <c r="C179" s="19">
        <f>MAX('TANF-VIEW'!L182,'TANF-VIEW'!T182)</f>
        <v>0</v>
      </c>
      <c r="D179" s="20">
        <f t="shared" si="41"/>
        <v>7208.333333333333</v>
      </c>
      <c r="E179" s="20">
        <f>'Total income package'!$D$80</f>
        <v>0</v>
      </c>
      <c r="F179" s="20">
        <f>'Total income package'!$H$61+'Total income package'!$F$66</f>
        <v>250</v>
      </c>
      <c r="G179" s="20">
        <f t="shared" si="34"/>
        <v>7458.333333333333</v>
      </c>
      <c r="H179" s="20" t="str">
        <f t="shared" si="28"/>
        <v>No</v>
      </c>
      <c r="I179" s="20">
        <f t="shared" si="29"/>
        <v>1441.6666666666667</v>
      </c>
      <c r="J179" s="20">
        <f t="shared" si="30"/>
        <v>261</v>
      </c>
      <c r="K179" s="20">
        <f t="shared" si="31"/>
        <v>5755.6666666666661</v>
      </c>
      <c r="L179" s="20">
        <f t="shared" si="35"/>
        <v>700</v>
      </c>
      <c r="M179" s="20">
        <f>'Total income package'!$B$69</f>
        <v>500</v>
      </c>
      <c r="N179" s="20">
        <f t="shared" si="36"/>
        <v>1200</v>
      </c>
      <c r="O179" s="344" t="str">
        <f t="shared" si="37"/>
        <v>No</v>
      </c>
      <c r="P179" s="20">
        <f t="shared" si="38"/>
        <v>2877.833333333333</v>
      </c>
      <c r="Q179" s="346">
        <f t="shared" si="32"/>
        <v>0</v>
      </c>
      <c r="R179" s="20">
        <f>IF(AND(D$2+$E$2&gt;0,N179-SNAP!P179&gt;0),N179-SNAP!P179,0)</f>
        <v>0</v>
      </c>
      <c r="S179" s="20">
        <f t="shared" si="39"/>
        <v>5755.6666666666661</v>
      </c>
      <c r="T179" s="20">
        <f t="shared" si="33"/>
        <v>1726.6999999999998</v>
      </c>
      <c r="U179" s="20">
        <f>IF(AND('Total income package'!$A$18=TRUE,OR(H179="Yes",O179="Yes"),G179&lt;$G$2,$K$2-T179&gt;10),ROUNDDOWN($K$2-T179,0),0)</f>
        <v>0</v>
      </c>
      <c r="V179" s="176">
        <f t="shared" si="40"/>
        <v>0</v>
      </c>
      <c r="W179" s="5"/>
    </row>
    <row r="180" spans="2:23" ht="15" customHeight="1" x14ac:dyDescent="0.3">
      <c r="B180" s="72">
        <v>87000</v>
      </c>
      <c r="C180" s="19">
        <f>MAX('TANF-VIEW'!L183,'TANF-VIEW'!T183)</f>
        <v>0</v>
      </c>
      <c r="D180" s="20">
        <f t="shared" si="41"/>
        <v>7250</v>
      </c>
      <c r="E180" s="20">
        <f>'Total income package'!$D$80</f>
        <v>0</v>
      </c>
      <c r="F180" s="20">
        <f>'Total income package'!$H$61+'Total income package'!$F$66</f>
        <v>250</v>
      </c>
      <c r="G180" s="20">
        <f t="shared" si="34"/>
        <v>7500</v>
      </c>
      <c r="H180" s="20" t="str">
        <f t="shared" si="28"/>
        <v>No</v>
      </c>
      <c r="I180" s="20">
        <f t="shared" si="29"/>
        <v>1450</v>
      </c>
      <c r="J180" s="20">
        <f t="shared" si="30"/>
        <v>261</v>
      </c>
      <c r="K180" s="20">
        <f t="shared" si="31"/>
        <v>5789</v>
      </c>
      <c r="L180" s="20">
        <f t="shared" si="35"/>
        <v>700</v>
      </c>
      <c r="M180" s="20">
        <f>'Total income package'!$B$69</f>
        <v>500</v>
      </c>
      <c r="N180" s="20">
        <f t="shared" si="36"/>
        <v>1200</v>
      </c>
      <c r="O180" s="344" t="str">
        <f t="shared" si="37"/>
        <v>No</v>
      </c>
      <c r="P180" s="20">
        <f t="shared" si="38"/>
        <v>2894.5</v>
      </c>
      <c r="Q180" s="346">
        <f t="shared" si="32"/>
        <v>0</v>
      </c>
      <c r="R180" s="20">
        <f>IF(AND(D$2+$E$2&gt;0,N180-SNAP!P180&gt;0),N180-SNAP!P180,0)</f>
        <v>0</v>
      </c>
      <c r="S180" s="20">
        <f t="shared" si="39"/>
        <v>5789</v>
      </c>
      <c r="T180" s="20">
        <f t="shared" si="33"/>
        <v>1736.7</v>
      </c>
      <c r="U180" s="20">
        <f>IF(AND('Total income package'!$A$18=TRUE,OR(H180="Yes",O180="Yes"),G180&lt;$G$2,$K$2-T180&gt;10),ROUNDDOWN($K$2-T180,0),0)</f>
        <v>0</v>
      </c>
      <c r="V180" s="176">
        <f t="shared" si="40"/>
        <v>0</v>
      </c>
      <c r="W180" s="5"/>
    </row>
    <row r="181" spans="2:23" ht="15" customHeight="1" x14ac:dyDescent="0.3">
      <c r="B181" s="72">
        <v>87500</v>
      </c>
      <c r="C181" s="19">
        <f>MAX('TANF-VIEW'!L184,'TANF-VIEW'!T184)</f>
        <v>0</v>
      </c>
      <c r="D181" s="20">
        <f t="shared" si="41"/>
        <v>7291.666666666667</v>
      </c>
      <c r="E181" s="20">
        <f>'Total income package'!$D$80</f>
        <v>0</v>
      </c>
      <c r="F181" s="20">
        <f>'Total income package'!$H$61+'Total income package'!$F$66</f>
        <v>250</v>
      </c>
      <c r="G181" s="20">
        <f t="shared" si="34"/>
        <v>7541.666666666667</v>
      </c>
      <c r="H181" s="20" t="str">
        <f t="shared" si="28"/>
        <v>No</v>
      </c>
      <c r="I181" s="20">
        <f t="shared" si="29"/>
        <v>1458.3333333333335</v>
      </c>
      <c r="J181" s="20">
        <f t="shared" si="30"/>
        <v>261</v>
      </c>
      <c r="K181" s="20">
        <f t="shared" si="31"/>
        <v>5822.3333333333339</v>
      </c>
      <c r="L181" s="20">
        <f t="shared" si="35"/>
        <v>700</v>
      </c>
      <c r="M181" s="20">
        <f>'Total income package'!$B$69</f>
        <v>500</v>
      </c>
      <c r="N181" s="20">
        <f t="shared" si="36"/>
        <v>1200</v>
      </c>
      <c r="O181" s="344" t="str">
        <f t="shared" si="37"/>
        <v>No</v>
      </c>
      <c r="P181" s="20">
        <f t="shared" si="38"/>
        <v>2911.166666666667</v>
      </c>
      <c r="Q181" s="346">
        <f t="shared" si="32"/>
        <v>0</v>
      </c>
      <c r="R181" s="20">
        <f>IF(AND(D$2+$E$2&gt;0,N181-SNAP!P181&gt;0),N181-SNAP!P181,0)</f>
        <v>0</v>
      </c>
      <c r="S181" s="20">
        <f t="shared" si="39"/>
        <v>5822.3333333333339</v>
      </c>
      <c r="T181" s="20">
        <f t="shared" si="33"/>
        <v>1746.7</v>
      </c>
      <c r="U181" s="20">
        <f>IF(AND('Total income package'!$A$18=TRUE,OR(H181="Yes",O181="Yes"),G181&lt;$G$2,$K$2-T181&gt;10),ROUNDDOWN($K$2-T181,0),0)</f>
        <v>0</v>
      </c>
      <c r="V181" s="176">
        <f t="shared" si="40"/>
        <v>0</v>
      </c>
      <c r="W181" s="5"/>
    </row>
    <row r="182" spans="2:23" ht="15" customHeight="1" x14ac:dyDescent="0.3">
      <c r="B182" s="72">
        <v>88000</v>
      </c>
      <c r="C182" s="19">
        <f>MAX('TANF-VIEW'!L185,'TANF-VIEW'!T185)</f>
        <v>0</v>
      </c>
      <c r="D182" s="20">
        <f t="shared" si="41"/>
        <v>7333.333333333333</v>
      </c>
      <c r="E182" s="20">
        <f>'Total income package'!$D$80</f>
        <v>0</v>
      </c>
      <c r="F182" s="20">
        <f>'Total income package'!$H$61+'Total income package'!$F$66</f>
        <v>250</v>
      </c>
      <c r="G182" s="20">
        <f t="shared" si="34"/>
        <v>7583.333333333333</v>
      </c>
      <c r="H182" s="20" t="str">
        <f t="shared" si="28"/>
        <v>No</v>
      </c>
      <c r="I182" s="20">
        <f t="shared" si="29"/>
        <v>1466.6666666666667</v>
      </c>
      <c r="J182" s="20">
        <f t="shared" si="30"/>
        <v>261</v>
      </c>
      <c r="K182" s="20">
        <f t="shared" si="31"/>
        <v>5855.6666666666661</v>
      </c>
      <c r="L182" s="20">
        <f t="shared" si="35"/>
        <v>700</v>
      </c>
      <c r="M182" s="20">
        <f>'Total income package'!$B$69</f>
        <v>500</v>
      </c>
      <c r="N182" s="20">
        <f t="shared" si="36"/>
        <v>1200</v>
      </c>
      <c r="O182" s="344" t="str">
        <f t="shared" si="37"/>
        <v>No</v>
      </c>
      <c r="P182" s="20">
        <f t="shared" si="38"/>
        <v>2927.833333333333</v>
      </c>
      <c r="Q182" s="346">
        <f t="shared" si="32"/>
        <v>0</v>
      </c>
      <c r="R182" s="20">
        <f>IF(AND(D$2+$E$2&gt;0,N182-SNAP!P182&gt;0),N182-SNAP!P182,0)</f>
        <v>0</v>
      </c>
      <c r="S182" s="20">
        <f t="shared" si="39"/>
        <v>5855.6666666666661</v>
      </c>
      <c r="T182" s="20">
        <f t="shared" si="33"/>
        <v>1756.6999999999998</v>
      </c>
      <c r="U182" s="20">
        <f>IF(AND('Total income package'!$A$18=TRUE,OR(H182="Yes",O182="Yes"),G182&lt;$G$2,$K$2-T182&gt;10),ROUNDDOWN($K$2-T182,0),0)</f>
        <v>0</v>
      </c>
      <c r="V182" s="176">
        <f t="shared" si="40"/>
        <v>0</v>
      </c>
      <c r="W182" s="5"/>
    </row>
    <row r="183" spans="2:23" ht="15" customHeight="1" x14ac:dyDescent="0.3">
      <c r="B183" s="72">
        <v>88500</v>
      </c>
      <c r="C183" s="19">
        <f>MAX('TANF-VIEW'!L186,'TANF-VIEW'!T186)</f>
        <v>0</v>
      </c>
      <c r="D183" s="20">
        <f t="shared" si="41"/>
        <v>7375</v>
      </c>
      <c r="E183" s="20">
        <f>'Total income package'!$D$80</f>
        <v>0</v>
      </c>
      <c r="F183" s="20">
        <f>'Total income package'!$H$61+'Total income package'!$F$66</f>
        <v>250</v>
      </c>
      <c r="G183" s="20">
        <f t="shared" si="34"/>
        <v>7625</v>
      </c>
      <c r="H183" s="20" t="str">
        <f t="shared" si="28"/>
        <v>No</v>
      </c>
      <c r="I183" s="20">
        <f t="shared" si="29"/>
        <v>1475</v>
      </c>
      <c r="J183" s="20">
        <f t="shared" si="30"/>
        <v>261</v>
      </c>
      <c r="K183" s="20">
        <f t="shared" si="31"/>
        <v>5889</v>
      </c>
      <c r="L183" s="20">
        <f t="shared" si="35"/>
        <v>700</v>
      </c>
      <c r="M183" s="20">
        <f>'Total income package'!$B$69</f>
        <v>500</v>
      </c>
      <c r="N183" s="20">
        <f t="shared" si="36"/>
        <v>1200</v>
      </c>
      <c r="O183" s="344" t="str">
        <f t="shared" si="37"/>
        <v>No</v>
      </c>
      <c r="P183" s="20">
        <f t="shared" si="38"/>
        <v>2944.5</v>
      </c>
      <c r="Q183" s="346">
        <f t="shared" si="32"/>
        <v>0</v>
      </c>
      <c r="R183" s="20">
        <f>IF(AND(D$2+$E$2&gt;0,N183-SNAP!P183&gt;0),N183-SNAP!P183,0)</f>
        <v>0</v>
      </c>
      <c r="S183" s="20">
        <f t="shared" si="39"/>
        <v>5889</v>
      </c>
      <c r="T183" s="20">
        <f t="shared" si="33"/>
        <v>1766.7</v>
      </c>
      <c r="U183" s="20">
        <f>IF(AND('Total income package'!$A$18=TRUE,OR(H183="Yes",O183="Yes"),G183&lt;$G$2,$K$2-T183&gt;10),ROUNDDOWN($K$2-T183,0),0)</f>
        <v>0</v>
      </c>
      <c r="V183" s="176">
        <f t="shared" si="40"/>
        <v>0</v>
      </c>
      <c r="W183" s="5"/>
    </row>
    <row r="184" spans="2:23" ht="15" customHeight="1" x14ac:dyDescent="0.3">
      <c r="B184" s="72">
        <v>89000</v>
      </c>
      <c r="C184" s="19">
        <f>MAX('TANF-VIEW'!L187,'TANF-VIEW'!T187)</f>
        <v>0</v>
      </c>
      <c r="D184" s="20">
        <f t="shared" si="41"/>
        <v>7416.666666666667</v>
      </c>
      <c r="E184" s="20">
        <f>'Total income package'!$D$80</f>
        <v>0</v>
      </c>
      <c r="F184" s="20">
        <f>'Total income package'!$H$61+'Total income package'!$F$66</f>
        <v>250</v>
      </c>
      <c r="G184" s="20">
        <f t="shared" si="34"/>
        <v>7666.666666666667</v>
      </c>
      <c r="H184" s="20" t="str">
        <f t="shared" si="28"/>
        <v>No</v>
      </c>
      <c r="I184" s="20">
        <f t="shared" si="29"/>
        <v>1483.3333333333335</v>
      </c>
      <c r="J184" s="20">
        <f t="shared" si="30"/>
        <v>261</v>
      </c>
      <c r="K184" s="20">
        <f t="shared" si="31"/>
        <v>5922.3333333333339</v>
      </c>
      <c r="L184" s="20">
        <f t="shared" si="35"/>
        <v>700</v>
      </c>
      <c r="M184" s="20">
        <f>'Total income package'!$B$69</f>
        <v>500</v>
      </c>
      <c r="N184" s="20">
        <f t="shared" si="36"/>
        <v>1200</v>
      </c>
      <c r="O184" s="344" t="str">
        <f t="shared" si="37"/>
        <v>No</v>
      </c>
      <c r="P184" s="20">
        <f t="shared" si="38"/>
        <v>2961.166666666667</v>
      </c>
      <c r="Q184" s="346">
        <f t="shared" si="32"/>
        <v>0</v>
      </c>
      <c r="R184" s="20">
        <f>IF(AND(D$2+$E$2&gt;0,N184-SNAP!P184&gt;0),N184-SNAP!P184,0)</f>
        <v>0</v>
      </c>
      <c r="S184" s="20">
        <f t="shared" si="39"/>
        <v>5922.3333333333339</v>
      </c>
      <c r="T184" s="20">
        <f t="shared" si="33"/>
        <v>1776.7</v>
      </c>
      <c r="U184" s="20">
        <f>IF(AND('Total income package'!$A$18=TRUE,OR(H184="Yes",O184="Yes"),G184&lt;$G$2,$K$2-T184&gt;10),ROUNDDOWN($K$2-T184,0),0)</f>
        <v>0</v>
      </c>
      <c r="V184" s="176">
        <f t="shared" si="40"/>
        <v>0</v>
      </c>
      <c r="W184" s="5"/>
    </row>
    <row r="185" spans="2:23" ht="15" customHeight="1" x14ac:dyDescent="0.3">
      <c r="B185" s="72">
        <v>89500</v>
      </c>
      <c r="C185" s="19">
        <f>MAX('TANF-VIEW'!L188,'TANF-VIEW'!T188)</f>
        <v>0</v>
      </c>
      <c r="D185" s="20">
        <f t="shared" si="41"/>
        <v>7458.333333333333</v>
      </c>
      <c r="E185" s="20">
        <f>'Total income package'!$D$80</f>
        <v>0</v>
      </c>
      <c r="F185" s="20">
        <f>'Total income package'!$H$61+'Total income package'!$F$66</f>
        <v>250</v>
      </c>
      <c r="G185" s="20">
        <f t="shared" si="34"/>
        <v>7708.333333333333</v>
      </c>
      <c r="H185" s="20" t="str">
        <f t="shared" si="28"/>
        <v>No</v>
      </c>
      <c r="I185" s="20">
        <f t="shared" si="29"/>
        <v>1491.6666666666667</v>
      </c>
      <c r="J185" s="20">
        <f t="shared" si="30"/>
        <v>261</v>
      </c>
      <c r="K185" s="20">
        <f t="shared" si="31"/>
        <v>5955.6666666666661</v>
      </c>
      <c r="L185" s="20">
        <f t="shared" si="35"/>
        <v>700</v>
      </c>
      <c r="M185" s="20">
        <f>'Total income package'!$B$69</f>
        <v>500</v>
      </c>
      <c r="N185" s="20">
        <f t="shared" si="36"/>
        <v>1200</v>
      </c>
      <c r="O185" s="344" t="str">
        <f t="shared" si="37"/>
        <v>No</v>
      </c>
      <c r="P185" s="20">
        <f t="shared" si="38"/>
        <v>2977.833333333333</v>
      </c>
      <c r="Q185" s="346">
        <f t="shared" si="32"/>
        <v>0</v>
      </c>
      <c r="R185" s="20">
        <f>IF(AND(D$2+$E$2&gt;0,N185-SNAP!P185&gt;0),N185-SNAP!P185,0)</f>
        <v>0</v>
      </c>
      <c r="S185" s="20">
        <f t="shared" si="39"/>
        <v>5955.6666666666661</v>
      </c>
      <c r="T185" s="20">
        <f t="shared" si="33"/>
        <v>1786.6999999999998</v>
      </c>
      <c r="U185" s="20">
        <f>IF(AND('Total income package'!$A$18=TRUE,OR(H185="Yes",O185="Yes"),G185&lt;$G$2,$K$2-T185&gt;10),ROUNDDOWN($K$2-T185,0),0)</f>
        <v>0</v>
      </c>
      <c r="V185" s="176">
        <f t="shared" si="40"/>
        <v>0</v>
      </c>
      <c r="W185" s="5"/>
    </row>
    <row r="186" spans="2:23" ht="15" customHeight="1" x14ac:dyDescent="0.3">
      <c r="B186" s="72">
        <v>90000</v>
      </c>
      <c r="C186" s="19">
        <f>MAX('TANF-VIEW'!L189,'TANF-VIEW'!T189)</f>
        <v>0</v>
      </c>
      <c r="D186" s="20">
        <f t="shared" si="41"/>
        <v>7500</v>
      </c>
      <c r="E186" s="20">
        <f>'Total income package'!$D$80</f>
        <v>0</v>
      </c>
      <c r="F186" s="20">
        <f>'Total income package'!$H$61+'Total income package'!$F$66</f>
        <v>250</v>
      </c>
      <c r="G186" s="20">
        <f t="shared" si="34"/>
        <v>7750</v>
      </c>
      <c r="H186" s="20" t="str">
        <f t="shared" si="28"/>
        <v>No</v>
      </c>
      <c r="I186" s="20">
        <f t="shared" si="29"/>
        <v>1500</v>
      </c>
      <c r="J186" s="20">
        <f t="shared" si="30"/>
        <v>261</v>
      </c>
      <c r="K186" s="20">
        <f t="shared" si="31"/>
        <v>5989</v>
      </c>
      <c r="L186" s="20">
        <f t="shared" si="35"/>
        <v>700</v>
      </c>
      <c r="M186" s="20">
        <f>'Total income package'!$B$69</f>
        <v>500</v>
      </c>
      <c r="N186" s="20">
        <f t="shared" si="36"/>
        <v>1200</v>
      </c>
      <c r="O186" s="344" t="str">
        <f t="shared" si="37"/>
        <v>No</v>
      </c>
      <c r="P186" s="20">
        <f t="shared" si="38"/>
        <v>2994.5</v>
      </c>
      <c r="Q186" s="346">
        <f t="shared" si="32"/>
        <v>0</v>
      </c>
      <c r="R186" s="20">
        <f>IF(AND(D$2+$E$2&gt;0,N186-SNAP!P186&gt;0),N186-SNAP!P186,0)</f>
        <v>0</v>
      </c>
      <c r="S186" s="20">
        <f t="shared" si="39"/>
        <v>5989</v>
      </c>
      <c r="T186" s="20">
        <f t="shared" si="33"/>
        <v>1796.7</v>
      </c>
      <c r="U186" s="20">
        <f>IF(AND('Total income package'!$A$18=TRUE,OR(H186="Yes",O186="Yes"),G186&lt;$G$2,$K$2-T186&gt;10),ROUNDDOWN($K$2-T186,0),0)</f>
        <v>0</v>
      </c>
      <c r="V186" s="176">
        <f t="shared" si="40"/>
        <v>0</v>
      </c>
      <c r="W186" s="5"/>
    </row>
    <row r="187" spans="2:23" ht="15" customHeight="1" x14ac:dyDescent="0.3">
      <c r="B187" s="72">
        <v>90500</v>
      </c>
      <c r="C187" s="19">
        <f>MAX('TANF-VIEW'!L190,'TANF-VIEW'!T190)</f>
        <v>0</v>
      </c>
      <c r="D187" s="20">
        <f t="shared" si="41"/>
        <v>7541.666666666667</v>
      </c>
      <c r="E187" s="20">
        <f>'Total income package'!$D$80</f>
        <v>0</v>
      </c>
      <c r="F187" s="20">
        <f>'Total income package'!$H$61+'Total income package'!$F$66</f>
        <v>250</v>
      </c>
      <c r="G187" s="20">
        <f t="shared" si="34"/>
        <v>7791.666666666667</v>
      </c>
      <c r="H187" s="20" t="str">
        <f t="shared" si="28"/>
        <v>No</v>
      </c>
      <c r="I187" s="20">
        <f t="shared" si="29"/>
        <v>1508.3333333333335</v>
      </c>
      <c r="J187" s="20">
        <f t="shared" si="30"/>
        <v>261</v>
      </c>
      <c r="K187" s="20">
        <f t="shared" si="31"/>
        <v>6022.3333333333339</v>
      </c>
      <c r="L187" s="20">
        <f t="shared" si="35"/>
        <v>700</v>
      </c>
      <c r="M187" s="20">
        <f>'Total income package'!$B$69</f>
        <v>500</v>
      </c>
      <c r="N187" s="20">
        <f t="shared" si="36"/>
        <v>1200</v>
      </c>
      <c r="O187" s="344" t="str">
        <f t="shared" si="37"/>
        <v>No</v>
      </c>
      <c r="P187" s="20">
        <f t="shared" si="38"/>
        <v>3011.166666666667</v>
      </c>
      <c r="Q187" s="346">
        <f t="shared" si="32"/>
        <v>0</v>
      </c>
      <c r="R187" s="20">
        <f>IF(AND(D$2+$E$2&gt;0,N187-SNAP!P187&gt;0),N187-SNAP!P187,0)</f>
        <v>0</v>
      </c>
      <c r="S187" s="20">
        <f t="shared" si="39"/>
        <v>6022.3333333333339</v>
      </c>
      <c r="T187" s="20">
        <f t="shared" si="33"/>
        <v>1806.7</v>
      </c>
      <c r="U187" s="20">
        <f>IF(AND('Total income package'!$A$18=TRUE,OR(H187="Yes",O187="Yes"),G187&lt;$G$2,$K$2-T187&gt;10),ROUNDDOWN($K$2-T187,0),0)</f>
        <v>0</v>
      </c>
      <c r="V187" s="176">
        <f t="shared" si="40"/>
        <v>0</v>
      </c>
      <c r="W187" s="5"/>
    </row>
    <row r="188" spans="2:23" ht="15" customHeight="1" x14ac:dyDescent="0.3">
      <c r="B188" s="72">
        <v>91000</v>
      </c>
      <c r="C188" s="19">
        <f>MAX('TANF-VIEW'!L191,'TANF-VIEW'!T191)</f>
        <v>0</v>
      </c>
      <c r="D188" s="20">
        <f t="shared" si="41"/>
        <v>7583.333333333333</v>
      </c>
      <c r="E188" s="20">
        <f>'Total income package'!$D$80</f>
        <v>0</v>
      </c>
      <c r="F188" s="20">
        <f>'Total income package'!$H$61+'Total income package'!$F$66</f>
        <v>250</v>
      </c>
      <c r="G188" s="20">
        <f t="shared" si="34"/>
        <v>7833.333333333333</v>
      </c>
      <c r="H188" s="20" t="str">
        <f t="shared" si="28"/>
        <v>No</v>
      </c>
      <c r="I188" s="20">
        <f t="shared" si="29"/>
        <v>1516.6666666666667</v>
      </c>
      <c r="J188" s="20">
        <f t="shared" si="30"/>
        <v>261</v>
      </c>
      <c r="K188" s="20">
        <f t="shared" si="31"/>
        <v>6055.6666666666661</v>
      </c>
      <c r="L188" s="20">
        <f t="shared" si="35"/>
        <v>700</v>
      </c>
      <c r="M188" s="20">
        <f>'Total income package'!$B$69</f>
        <v>500</v>
      </c>
      <c r="N188" s="20">
        <f t="shared" si="36"/>
        <v>1200</v>
      </c>
      <c r="O188" s="344" t="str">
        <f t="shared" si="37"/>
        <v>No</v>
      </c>
      <c r="P188" s="20">
        <f t="shared" si="38"/>
        <v>3027.833333333333</v>
      </c>
      <c r="Q188" s="346">
        <f t="shared" si="32"/>
        <v>0</v>
      </c>
      <c r="R188" s="20">
        <f>IF(AND(D$2+$E$2&gt;0,N188-SNAP!P188&gt;0),N188-SNAP!P188,0)</f>
        <v>0</v>
      </c>
      <c r="S188" s="20">
        <f t="shared" si="39"/>
        <v>6055.6666666666661</v>
      </c>
      <c r="T188" s="20">
        <f t="shared" si="33"/>
        <v>1816.6999999999998</v>
      </c>
      <c r="U188" s="20">
        <f>IF(AND('Total income package'!$A$18=TRUE,OR(H188="Yes",O188="Yes"),G188&lt;$G$2,$K$2-T188&gt;10),ROUNDDOWN($K$2-T188,0),0)</f>
        <v>0</v>
      </c>
      <c r="V188" s="176">
        <f t="shared" si="40"/>
        <v>0</v>
      </c>
      <c r="W188" s="5"/>
    </row>
    <row r="189" spans="2:23" ht="15" customHeight="1" x14ac:dyDescent="0.3">
      <c r="B189" s="72">
        <v>91500</v>
      </c>
      <c r="C189" s="19">
        <f>MAX('TANF-VIEW'!L192,'TANF-VIEW'!T192)</f>
        <v>0</v>
      </c>
      <c r="D189" s="20">
        <f t="shared" si="41"/>
        <v>7625</v>
      </c>
      <c r="E189" s="20">
        <f>'Total income package'!$D$80</f>
        <v>0</v>
      </c>
      <c r="F189" s="20">
        <f>'Total income package'!$H$61+'Total income package'!$F$66</f>
        <v>250</v>
      </c>
      <c r="G189" s="20">
        <f t="shared" si="34"/>
        <v>7875</v>
      </c>
      <c r="H189" s="20" t="str">
        <f t="shared" si="28"/>
        <v>No</v>
      </c>
      <c r="I189" s="20">
        <f t="shared" si="29"/>
        <v>1525</v>
      </c>
      <c r="J189" s="20">
        <f t="shared" si="30"/>
        <v>261</v>
      </c>
      <c r="K189" s="20">
        <f t="shared" si="31"/>
        <v>6089</v>
      </c>
      <c r="L189" s="20">
        <f t="shared" si="35"/>
        <v>700</v>
      </c>
      <c r="M189" s="20">
        <f>'Total income package'!$B$69</f>
        <v>500</v>
      </c>
      <c r="N189" s="20">
        <f t="shared" si="36"/>
        <v>1200</v>
      </c>
      <c r="O189" s="344" t="str">
        <f t="shared" si="37"/>
        <v>No</v>
      </c>
      <c r="P189" s="20">
        <f t="shared" si="38"/>
        <v>3044.5</v>
      </c>
      <c r="Q189" s="346">
        <f t="shared" si="32"/>
        <v>0</v>
      </c>
      <c r="R189" s="20">
        <f>IF(AND(D$2+$E$2&gt;0,N189-SNAP!P189&gt;0),N189-SNAP!P189,0)</f>
        <v>0</v>
      </c>
      <c r="S189" s="20">
        <f t="shared" si="39"/>
        <v>6089</v>
      </c>
      <c r="T189" s="20">
        <f t="shared" si="33"/>
        <v>1826.7</v>
      </c>
      <c r="U189" s="20">
        <f>IF(AND('Total income package'!$A$18=TRUE,OR(H189="Yes",O189="Yes"),G189&lt;$G$2,$K$2-T189&gt;10),ROUNDDOWN($K$2-T189,0),0)</f>
        <v>0</v>
      </c>
      <c r="V189" s="176">
        <f t="shared" si="40"/>
        <v>0</v>
      </c>
      <c r="W189" s="5"/>
    </row>
    <row r="190" spans="2:23" ht="15" customHeight="1" x14ac:dyDescent="0.3">
      <c r="B190" s="72">
        <v>92000</v>
      </c>
      <c r="C190" s="19">
        <f>MAX('TANF-VIEW'!L193,'TANF-VIEW'!T193)</f>
        <v>0</v>
      </c>
      <c r="D190" s="20">
        <f t="shared" si="41"/>
        <v>7666.666666666667</v>
      </c>
      <c r="E190" s="20">
        <f>'Total income package'!$D$80</f>
        <v>0</v>
      </c>
      <c r="F190" s="20">
        <f>'Total income package'!$H$61+'Total income package'!$F$66</f>
        <v>250</v>
      </c>
      <c r="G190" s="20">
        <f t="shared" si="34"/>
        <v>7916.666666666667</v>
      </c>
      <c r="H190" s="20" t="str">
        <f t="shared" si="28"/>
        <v>No</v>
      </c>
      <c r="I190" s="20">
        <f t="shared" si="29"/>
        <v>1533.3333333333335</v>
      </c>
      <c r="J190" s="20">
        <f t="shared" si="30"/>
        <v>261</v>
      </c>
      <c r="K190" s="20">
        <f t="shared" si="31"/>
        <v>6122.3333333333339</v>
      </c>
      <c r="L190" s="20">
        <f t="shared" si="35"/>
        <v>700</v>
      </c>
      <c r="M190" s="20">
        <f>'Total income package'!$B$69</f>
        <v>500</v>
      </c>
      <c r="N190" s="20">
        <f t="shared" si="36"/>
        <v>1200</v>
      </c>
      <c r="O190" s="344" t="str">
        <f t="shared" si="37"/>
        <v>No</v>
      </c>
      <c r="P190" s="20">
        <f t="shared" si="38"/>
        <v>3061.166666666667</v>
      </c>
      <c r="Q190" s="346">
        <f t="shared" si="32"/>
        <v>0</v>
      </c>
      <c r="R190" s="20">
        <f>IF(AND(D$2+$E$2&gt;0,N190-SNAP!P190&gt;0),N190-SNAP!P190,0)</f>
        <v>0</v>
      </c>
      <c r="S190" s="20">
        <f t="shared" si="39"/>
        <v>6122.3333333333339</v>
      </c>
      <c r="T190" s="20">
        <f t="shared" si="33"/>
        <v>1836.7</v>
      </c>
      <c r="U190" s="20">
        <f>IF(AND('Total income package'!$A$18=TRUE,OR(H190="Yes",O190="Yes"),G190&lt;$G$2,$K$2-T190&gt;10),ROUNDDOWN($K$2-T190,0),0)</f>
        <v>0</v>
      </c>
      <c r="V190" s="176">
        <f t="shared" si="40"/>
        <v>0</v>
      </c>
      <c r="W190" s="5"/>
    </row>
    <row r="191" spans="2:23" ht="15" customHeight="1" x14ac:dyDescent="0.3">
      <c r="B191" s="72">
        <v>92500</v>
      </c>
      <c r="C191" s="19">
        <f>MAX('TANF-VIEW'!L194,'TANF-VIEW'!T194)</f>
        <v>0</v>
      </c>
      <c r="D191" s="20">
        <f t="shared" si="41"/>
        <v>7708.333333333333</v>
      </c>
      <c r="E191" s="20">
        <f>'Total income package'!$D$80</f>
        <v>0</v>
      </c>
      <c r="F191" s="20">
        <f>'Total income package'!$H$61+'Total income package'!$F$66</f>
        <v>250</v>
      </c>
      <c r="G191" s="20">
        <f t="shared" si="34"/>
        <v>7958.333333333333</v>
      </c>
      <c r="H191" s="20" t="str">
        <f t="shared" si="28"/>
        <v>No</v>
      </c>
      <c r="I191" s="20">
        <f t="shared" si="29"/>
        <v>1541.6666666666667</v>
      </c>
      <c r="J191" s="20">
        <f t="shared" si="30"/>
        <v>261</v>
      </c>
      <c r="K191" s="20">
        <f t="shared" si="31"/>
        <v>6155.6666666666661</v>
      </c>
      <c r="L191" s="20">
        <f t="shared" si="35"/>
        <v>700</v>
      </c>
      <c r="M191" s="20">
        <f>'Total income package'!$B$69</f>
        <v>500</v>
      </c>
      <c r="N191" s="20">
        <f t="shared" si="36"/>
        <v>1200</v>
      </c>
      <c r="O191" s="344" t="str">
        <f t="shared" si="37"/>
        <v>No</v>
      </c>
      <c r="P191" s="20">
        <f t="shared" si="38"/>
        <v>3077.833333333333</v>
      </c>
      <c r="Q191" s="346">
        <f t="shared" si="32"/>
        <v>0</v>
      </c>
      <c r="R191" s="20">
        <f>IF(AND(D$2+$E$2&gt;0,N191-SNAP!P191&gt;0),N191-SNAP!P191,0)</f>
        <v>0</v>
      </c>
      <c r="S191" s="20">
        <f t="shared" si="39"/>
        <v>6155.6666666666661</v>
      </c>
      <c r="T191" s="20">
        <f t="shared" si="33"/>
        <v>1846.6999999999998</v>
      </c>
      <c r="U191" s="20">
        <f>IF(AND('Total income package'!$A$18=TRUE,OR(H191="Yes",O191="Yes"),G191&lt;$G$2,$K$2-T191&gt;10),ROUNDDOWN($K$2-T191,0),0)</f>
        <v>0</v>
      </c>
      <c r="V191" s="176">
        <f t="shared" si="40"/>
        <v>0</v>
      </c>
      <c r="W191" s="5"/>
    </row>
    <row r="192" spans="2:23" ht="15" customHeight="1" x14ac:dyDescent="0.3">
      <c r="B192" s="72">
        <v>93000</v>
      </c>
      <c r="C192" s="19">
        <f>MAX('TANF-VIEW'!L195,'TANF-VIEW'!T195)</f>
        <v>0</v>
      </c>
      <c r="D192" s="20">
        <f t="shared" si="41"/>
        <v>7750</v>
      </c>
      <c r="E192" s="20">
        <f>'Total income package'!$D$80</f>
        <v>0</v>
      </c>
      <c r="F192" s="20">
        <f>'Total income package'!$H$61+'Total income package'!$F$66</f>
        <v>250</v>
      </c>
      <c r="G192" s="20">
        <f t="shared" si="34"/>
        <v>8000</v>
      </c>
      <c r="H192" s="20" t="str">
        <f t="shared" si="28"/>
        <v>No</v>
      </c>
      <c r="I192" s="20">
        <f t="shared" si="29"/>
        <v>1550</v>
      </c>
      <c r="J192" s="20">
        <f t="shared" si="30"/>
        <v>261</v>
      </c>
      <c r="K192" s="20">
        <f t="shared" si="31"/>
        <v>6189</v>
      </c>
      <c r="L192" s="20">
        <f t="shared" si="35"/>
        <v>700</v>
      </c>
      <c r="M192" s="20">
        <f>'Total income package'!$B$69</f>
        <v>500</v>
      </c>
      <c r="N192" s="20">
        <f t="shared" si="36"/>
        <v>1200</v>
      </c>
      <c r="O192" s="344" t="str">
        <f t="shared" si="37"/>
        <v>No</v>
      </c>
      <c r="P192" s="20">
        <f t="shared" si="38"/>
        <v>3094.5</v>
      </c>
      <c r="Q192" s="346">
        <f t="shared" si="32"/>
        <v>0</v>
      </c>
      <c r="R192" s="20">
        <f>IF(AND(D$2+$E$2&gt;0,N192-SNAP!P192&gt;0),N192-SNAP!P192,0)</f>
        <v>0</v>
      </c>
      <c r="S192" s="20">
        <f t="shared" si="39"/>
        <v>6189</v>
      </c>
      <c r="T192" s="20">
        <f t="shared" si="33"/>
        <v>1856.6999999999998</v>
      </c>
      <c r="U192" s="20">
        <f>IF(AND('Total income package'!$A$18=TRUE,OR(H192="Yes",O192="Yes"),G192&lt;$G$2,$K$2-T192&gt;10),ROUNDDOWN($K$2-T192,0),0)</f>
        <v>0</v>
      </c>
      <c r="V192" s="176">
        <f t="shared" si="40"/>
        <v>0</v>
      </c>
      <c r="W192" s="5"/>
    </row>
    <row r="193" spans="2:23" ht="15" customHeight="1" x14ac:dyDescent="0.3">
      <c r="B193" s="72">
        <v>93500</v>
      </c>
      <c r="C193" s="19">
        <f>MAX('TANF-VIEW'!L196,'TANF-VIEW'!T196)</f>
        <v>0</v>
      </c>
      <c r="D193" s="20">
        <f t="shared" si="41"/>
        <v>7791.666666666667</v>
      </c>
      <c r="E193" s="20">
        <f>'Total income package'!$D$80</f>
        <v>0</v>
      </c>
      <c r="F193" s="20">
        <f>'Total income package'!$H$61+'Total income package'!$F$66</f>
        <v>250</v>
      </c>
      <c r="G193" s="20">
        <f t="shared" si="34"/>
        <v>8041.666666666667</v>
      </c>
      <c r="H193" s="20" t="str">
        <f t="shared" si="28"/>
        <v>No</v>
      </c>
      <c r="I193" s="20">
        <f t="shared" si="29"/>
        <v>1558.3333333333335</v>
      </c>
      <c r="J193" s="20">
        <f t="shared" si="30"/>
        <v>261</v>
      </c>
      <c r="K193" s="20">
        <f t="shared" si="31"/>
        <v>6222.3333333333339</v>
      </c>
      <c r="L193" s="20">
        <f t="shared" si="35"/>
        <v>700</v>
      </c>
      <c r="M193" s="20">
        <f>'Total income package'!$B$69</f>
        <v>500</v>
      </c>
      <c r="N193" s="20">
        <f t="shared" si="36"/>
        <v>1200</v>
      </c>
      <c r="O193" s="344" t="str">
        <f t="shared" si="37"/>
        <v>No</v>
      </c>
      <c r="P193" s="20">
        <f t="shared" si="38"/>
        <v>3111.166666666667</v>
      </c>
      <c r="Q193" s="346">
        <f t="shared" si="32"/>
        <v>0</v>
      </c>
      <c r="R193" s="20">
        <f>IF(AND(D$2+$E$2&gt;0,N193-SNAP!P193&gt;0),N193-SNAP!P193,0)</f>
        <v>0</v>
      </c>
      <c r="S193" s="20">
        <f t="shared" si="39"/>
        <v>6222.3333333333339</v>
      </c>
      <c r="T193" s="20">
        <f t="shared" si="33"/>
        <v>1866.7</v>
      </c>
      <c r="U193" s="20">
        <f>IF(AND('Total income package'!$A$18=TRUE,OR(H193="Yes",O193="Yes"),G193&lt;$G$2,$K$2-T193&gt;10),ROUNDDOWN($K$2-T193,0),0)</f>
        <v>0</v>
      </c>
      <c r="V193" s="176">
        <f t="shared" si="40"/>
        <v>0</v>
      </c>
      <c r="W193" s="5"/>
    </row>
    <row r="194" spans="2:23" ht="15" customHeight="1" x14ac:dyDescent="0.3">
      <c r="B194" s="72">
        <v>94000</v>
      </c>
      <c r="C194" s="19">
        <f>MAX('TANF-VIEW'!L197,'TANF-VIEW'!T197)</f>
        <v>0</v>
      </c>
      <c r="D194" s="20">
        <f t="shared" si="41"/>
        <v>7833.333333333333</v>
      </c>
      <c r="E194" s="20">
        <f>'Total income package'!$D$80</f>
        <v>0</v>
      </c>
      <c r="F194" s="20">
        <f>'Total income package'!$H$61+'Total income package'!$F$66</f>
        <v>250</v>
      </c>
      <c r="G194" s="20">
        <f t="shared" si="34"/>
        <v>8083.333333333333</v>
      </c>
      <c r="H194" s="20" t="str">
        <f t="shared" si="28"/>
        <v>No</v>
      </c>
      <c r="I194" s="20">
        <f t="shared" si="29"/>
        <v>1566.6666666666667</v>
      </c>
      <c r="J194" s="20">
        <f t="shared" si="30"/>
        <v>261</v>
      </c>
      <c r="K194" s="20">
        <f t="shared" si="31"/>
        <v>6255.6666666666661</v>
      </c>
      <c r="L194" s="20">
        <f t="shared" si="35"/>
        <v>700</v>
      </c>
      <c r="M194" s="20">
        <f>'Total income package'!$B$69</f>
        <v>500</v>
      </c>
      <c r="N194" s="20">
        <f t="shared" si="36"/>
        <v>1200</v>
      </c>
      <c r="O194" s="344" t="str">
        <f t="shared" si="37"/>
        <v>No</v>
      </c>
      <c r="P194" s="20">
        <f t="shared" si="38"/>
        <v>3127.833333333333</v>
      </c>
      <c r="Q194" s="346">
        <f t="shared" si="32"/>
        <v>0</v>
      </c>
      <c r="R194" s="20">
        <f>IF(AND(D$2+$E$2&gt;0,N194-SNAP!P194&gt;0),N194-SNAP!P194,0)</f>
        <v>0</v>
      </c>
      <c r="S194" s="20">
        <f t="shared" si="39"/>
        <v>6255.6666666666661</v>
      </c>
      <c r="T194" s="20">
        <f t="shared" si="33"/>
        <v>1876.6999999999998</v>
      </c>
      <c r="U194" s="20">
        <f>IF(AND('Total income package'!$A$18=TRUE,OR(H194="Yes",O194="Yes"),G194&lt;$G$2,$K$2-T194&gt;10),ROUNDDOWN($K$2-T194,0),0)</f>
        <v>0</v>
      </c>
      <c r="V194" s="176">
        <f t="shared" si="40"/>
        <v>0</v>
      </c>
      <c r="W194" s="5"/>
    </row>
    <row r="195" spans="2:23" ht="15" customHeight="1" x14ac:dyDescent="0.3">
      <c r="B195" s="72">
        <v>94500</v>
      </c>
      <c r="C195" s="19">
        <f>MAX('TANF-VIEW'!L198,'TANF-VIEW'!T198)</f>
        <v>0</v>
      </c>
      <c r="D195" s="20">
        <f t="shared" si="41"/>
        <v>7875</v>
      </c>
      <c r="E195" s="20">
        <f>'Total income package'!$D$80</f>
        <v>0</v>
      </c>
      <c r="F195" s="20">
        <f>'Total income package'!$H$61+'Total income package'!$F$66</f>
        <v>250</v>
      </c>
      <c r="G195" s="20">
        <f t="shared" si="34"/>
        <v>8125</v>
      </c>
      <c r="H195" s="20" t="str">
        <f t="shared" si="28"/>
        <v>No</v>
      </c>
      <c r="I195" s="20">
        <f t="shared" si="29"/>
        <v>1575</v>
      </c>
      <c r="J195" s="20">
        <f t="shared" si="30"/>
        <v>261</v>
      </c>
      <c r="K195" s="20">
        <f t="shared" si="31"/>
        <v>6289</v>
      </c>
      <c r="L195" s="20">
        <f t="shared" si="35"/>
        <v>700</v>
      </c>
      <c r="M195" s="20">
        <f>'Total income package'!$B$69</f>
        <v>500</v>
      </c>
      <c r="N195" s="20">
        <f t="shared" si="36"/>
        <v>1200</v>
      </c>
      <c r="O195" s="344" t="str">
        <f t="shared" si="37"/>
        <v>No</v>
      </c>
      <c r="P195" s="20">
        <f t="shared" si="38"/>
        <v>3144.5</v>
      </c>
      <c r="Q195" s="346">
        <f t="shared" si="32"/>
        <v>0</v>
      </c>
      <c r="R195" s="20">
        <f>IF(AND(D$2+$E$2&gt;0,N195-SNAP!P195&gt;0),N195-SNAP!P195,0)</f>
        <v>0</v>
      </c>
      <c r="S195" s="20">
        <f t="shared" si="39"/>
        <v>6289</v>
      </c>
      <c r="T195" s="20">
        <f t="shared" si="33"/>
        <v>1886.6999999999998</v>
      </c>
      <c r="U195" s="20">
        <f>IF(AND('Total income package'!$A$18=TRUE,OR(H195="Yes",O195="Yes"),G195&lt;$G$2,$K$2-T195&gt;10),ROUNDDOWN($K$2-T195,0),0)</f>
        <v>0</v>
      </c>
      <c r="V195" s="176">
        <f t="shared" si="40"/>
        <v>0</v>
      </c>
      <c r="W195" s="5"/>
    </row>
    <row r="196" spans="2:23" ht="15" customHeight="1" x14ac:dyDescent="0.3">
      <c r="B196" s="72">
        <v>95000</v>
      </c>
      <c r="C196" s="19">
        <f>MAX('TANF-VIEW'!L199,'TANF-VIEW'!T199)</f>
        <v>0</v>
      </c>
      <c r="D196" s="20">
        <f t="shared" si="41"/>
        <v>7916.666666666667</v>
      </c>
      <c r="E196" s="20">
        <f>'Total income package'!$D$80</f>
        <v>0</v>
      </c>
      <c r="F196" s="20">
        <f>'Total income package'!$H$61+'Total income package'!$F$66</f>
        <v>250</v>
      </c>
      <c r="G196" s="20">
        <f t="shared" si="34"/>
        <v>8166.666666666667</v>
      </c>
      <c r="H196" s="20" t="str">
        <f t="shared" si="28"/>
        <v>No</v>
      </c>
      <c r="I196" s="20">
        <f t="shared" si="29"/>
        <v>1583.3333333333335</v>
      </c>
      <c r="J196" s="20">
        <f t="shared" si="30"/>
        <v>261</v>
      </c>
      <c r="K196" s="20">
        <f t="shared" si="31"/>
        <v>6322.3333333333339</v>
      </c>
      <c r="L196" s="20">
        <f t="shared" si="35"/>
        <v>700</v>
      </c>
      <c r="M196" s="20">
        <f>'Total income package'!$B$69</f>
        <v>500</v>
      </c>
      <c r="N196" s="20">
        <f t="shared" si="36"/>
        <v>1200</v>
      </c>
      <c r="O196" s="344" t="str">
        <f t="shared" si="37"/>
        <v>No</v>
      </c>
      <c r="P196" s="20">
        <f t="shared" si="38"/>
        <v>3161.166666666667</v>
      </c>
      <c r="Q196" s="346">
        <f t="shared" si="32"/>
        <v>0</v>
      </c>
      <c r="R196" s="20">
        <f>IF(AND(D$2+$E$2&gt;0,N196-SNAP!P196&gt;0),N196-SNAP!P196,0)</f>
        <v>0</v>
      </c>
      <c r="S196" s="20">
        <f t="shared" si="39"/>
        <v>6322.3333333333339</v>
      </c>
      <c r="T196" s="20">
        <f t="shared" si="33"/>
        <v>1896.7</v>
      </c>
      <c r="U196" s="20">
        <f>IF(AND('Total income package'!$A$18=TRUE,OR(H196="Yes",O196="Yes"),G196&lt;$G$2,$K$2-T196&gt;10),ROUNDDOWN($K$2-T196,0),0)</f>
        <v>0</v>
      </c>
      <c r="V196" s="176">
        <f t="shared" si="40"/>
        <v>0</v>
      </c>
      <c r="W196" s="5"/>
    </row>
    <row r="197" spans="2:23" ht="15" customHeight="1" x14ac:dyDescent="0.3">
      <c r="B197" s="72">
        <v>95500</v>
      </c>
      <c r="C197" s="19">
        <f>MAX('TANF-VIEW'!L200,'TANF-VIEW'!T200)</f>
        <v>0</v>
      </c>
      <c r="D197" s="20">
        <f t="shared" si="41"/>
        <v>7958.333333333333</v>
      </c>
      <c r="E197" s="20">
        <f>'Total income package'!$D$80</f>
        <v>0</v>
      </c>
      <c r="F197" s="20">
        <f>'Total income package'!$H$61+'Total income package'!$F$66</f>
        <v>250</v>
      </c>
      <c r="G197" s="20">
        <f t="shared" si="34"/>
        <v>8208.3333333333321</v>
      </c>
      <c r="H197" s="20" t="str">
        <f t="shared" si="28"/>
        <v>No</v>
      </c>
      <c r="I197" s="20">
        <f t="shared" si="29"/>
        <v>1591.6666666666667</v>
      </c>
      <c r="J197" s="20">
        <f t="shared" si="30"/>
        <v>261</v>
      </c>
      <c r="K197" s="20">
        <f t="shared" si="31"/>
        <v>6355.6666666666652</v>
      </c>
      <c r="L197" s="20">
        <f t="shared" si="35"/>
        <v>700</v>
      </c>
      <c r="M197" s="20">
        <f>'Total income package'!$B$69</f>
        <v>500</v>
      </c>
      <c r="N197" s="20">
        <f t="shared" si="36"/>
        <v>1200</v>
      </c>
      <c r="O197" s="344" t="str">
        <f t="shared" si="37"/>
        <v>No</v>
      </c>
      <c r="P197" s="20">
        <f t="shared" si="38"/>
        <v>3177.8333333333326</v>
      </c>
      <c r="Q197" s="346">
        <f t="shared" si="32"/>
        <v>0</v>
      </c>
      <c r="R197" s="20">
        <f>IF(AND(D$2+$E$2&gt;0,N197-SNAP!P197&gt;0),N197-SNAP!P197,0)</f>
        <v>0</v>
      </c>
      <c r="S197" s="20">
        <f t="shared" si="39"/>
        <v>6355.6666666666652</v>
      </c>
      <c r="T197" s="20">
        <f t="shared" si="33"/>
        <v>1906.6999999999994</v>
      </c>
      <c r="U197" s="20">
        <f>IF(AND('Total income package'!$A$18=TRUE,OR(H197="Yes",O197="Yes"),G197&lt;$G$2,$K$2-T197&gt;10),ROUNDDOWN($K$2-T197,0),0)</f>
        <v>0</v>
      </c>
      <c r="V197" s="176">
        <f t="shared" si="40"/>
        <v>0</v>
      </c>
      <c r="W197" s="5"/>
    </row>
    <row r="198" spans="2:23" ht="15" customHeight="1" x14ac:dyDescent="0.3">
      <c r="B198" s="72">
        <v>96000</v>
      </c>
      <c r="C198" s="19">
        <f>MAX('TANF-VIEW'!L201,'TANF-VIEW'!T201)</f>
        <v>0</v>
      </c>
      <c r="D198" s="20">
        <f t="shared" si="41"/>
        <v>8000</v>
      </c>
      <c r="E198" s="20">
        <f>'Total income package'!$D$80</f>
        <v>0</v>
      </c>
      <c r="F198" s="20">
        <f>'Total income package'!$H$61+'Total income package'!$F$66</f>
        <v>250</v>
      </c>
      <c r="G198" s="20">
        <f t="shared" si="34"/>
        <v>8250</v>
      </c>
      <c r="H198" s="20" t="str">
        <f t="shared" ref="H198:H206" si="42">IF(G198&lt;$G$2,"Yes","No")</f>
        <v>No</v>
      </c>
      <c r="I198" s="20">
        <f t="shared" ref="I198:I206" si="43">D198*0.2</f>
        <v>1600</v>
      </c>
      <c r="J198" s="20">
        <f t="shared" ref="J198:J206" si="44">$H$2</f>
        <v>261</v>
      </c>
      <c r="K198" s="20">
        <f t="shared" ref="K198:K206" si="45">IF(G198-I198-J198&gt;0,G198-I198-J198,0)</f>
        <v>6389</v>
      </c>
      <c r="L198" s="20">
        <f t="shared" si="35"/>
        <v>700</v>
      </c>
      <c r="M198" s="20">
        <f>'Total income package'!$B$69</f>
        <v>500</v>
      </c>
      <c r="N198" s="20">
        <f t="shared" si="36"/>
        <v>1200</v>
      </c>
      <c r="O198" s="344" t="str">
        <f t="shared" si="37"/>
        <v>No</v>
      </c>
      <c r="P198" s="20">
        <f t="shared" si="38"/>
        <v>3194.5</v>
      </c>
      <c r="Q198" s="346">
        <f t="shared" ref="Q198:Q206" si="46">IF(AND(D$2+$E$2=0,N198&lt;$L$2,N198-P198&gt;0),N198-P198,IF(AND(D$2+$E$2=0,N198&gt;$L$2),$L$2,0))</f>
        <v>0</v>
      </c>
      <c r="R198" s="20">
        <f>IF(AND(D$2+$E$2&gt;0,N198-SNAP!P198&gt;0),N198-SNAP!P198,0)</f>
        <v>0</v>
      </c>
      <c r="S198" s="20">
        <f t="shared" si="39"/>
        <v>6389</v>
      </c>
      <c r="T198" s="20">
        <f t="shared" ref="T198:T206" si="47">S198*0.3</f>
        <v>1916.6999999999998</v>
      </c>
      <c r="U198" s="20">
        <f>IF(AND('Total income package'!$A$18=TRUE,OR(H198="Yes",O198="Yes"),G198&lt;$G$2,$K$2-T198&gt;10),ROUNDDOWN($K$2-T198,0),0)</f>
        <v>0</v>
      </c>
      <c r="V198" s="176">
        <f t="shared" si="40"/>
        <v>0</v>
      </c>
      <c r="W198" s="5"/>
    </row>
    <row r="199" spans="2:23" ht="15" customHeight="1" x14ac:dyDescent="0.3">
      <c r="B199" s="72">
        <v>96500</v>
      </c>
      <c r="C199" s="19">
        <f>MAX('TANF-VIEW'!L202,'TANF-VIEW'!T202)</f>
        <v>0</v>
      </c>
      <c r="D199" s="20">
        <f t="shared" si="41"/>
        <v>8041.666666666667</v>
      </c>
      <c r="E199" s="20">
        <f>'Total income package'!$D$80</f>
        <v>0</v>
      </c>
      <c r="F199" s="20">
        <f>'Total income package'!$H$61+'Total income package'!$F$66</f>
        <v>250</v>
      </c>
      <c r="G199" s="20">
        <f t="shared" ref="G199:G206" si="48">D199+C199+E199+F199</f>
        <v>8291.6666666666679</v>
      </c>
      <c r="H199" s="20" t="str">
        <f t="shared" si="42"/>
        <v>No</v>
      </c>
      <c r="I199" s="20">
        <f t="shared" si="43"/>
        <v>1608.3333333333335</v>
      </c>
      <c r="J199" s="20">
        <f t="shared" si="44"/>
        <v>261</v>
      </c>
      <c r="K199" s="20">
        <f t="shared" si="45"/>
        <v>6422.3333333333339</v>
      </c>
      <c r="L199" s="20">
        <f t="shared" ref="L199:L211" si="49">$I$2</f>
        <v>700</v>
      </c>
      <c r="M199" s="20">
        <f>'Total income package'!$B$69</f>
        <v>500</v>
      </c>
      <c r="N199" s="20">
        <f t="shared" ref="N199:N211" si="50">L199+M199</f>
        <v>1200</v>
      </c>
      <c r="O199" s="344" t="str">
        <f t="shared" ref="O199:O206" si="51">IF(AND($D$2+$E$2&gt;0,K199&lt;$J$2),"Yes","No")</f>
        <v>No</v>
      </c>
      <c r="P199" s="20">
        <f t="shared" ref="P199:P206" si="52">K199/2</f>
        <v>3211.166666666667</v>
      </c>
      <c r="Q199" s="346">
        <f t="shared" si="46"/>
        <v>0</v>
      </c>
      <c r="R199" s="20">
        <f>IF(AND(D$2+$E$2&gt;0,N199-SNAP!P199&gt;0),N199-SNAP!P199,0)</f>
        <v>0</v>
      </c>
      <c r="S199" s="20">
        <f t="shared" ref="S199:S206" si="53">IF(AND($D$2+$E$2&gt;0,K199-R199&gt;0),K199-R199,IF(AND($D$2+$E$2=0,K199-Q199&gt;0),K199-Q199,0))</f>
        <v>6422.3333333333339</v>
      </c>
      <c r="T199" s="20">
        <f t="shared" si="47"/>
        <v>1926.7</v>
      </c>
      <c r="U199" s="20">
        <f>IF(AND('Total income package'!$A$18=TRUE,OR(H199="Yes",O199="Yes"),G199&lt;$G$2,$K$2-T199&gt;10),ROUNDDOWN($K$2-T199,0),0)</f>
        <v>0</v>
      </c>
      <c r="V199" s="176">
        <f t="shared" ref="V199:V211" si="54">IF(AND(C195&lt;3,U199&gt;10,U199&lt;24),24,U199)</f>
        <v>0</v>
      </c>
      <c r="W199" s="5"/>
    </row>
    <row r="200" spans="2:23" ht="15" customHeight="1" x14ac:dyDescent="0.3">
      <c r="B200" s="72">
        <v>97000</v>
      </c>
      <c r="C200" s="19">
        <f>MAX('TANF-VIEW'!L203,'TANF-VIEW'!T203)</f>
        <v>0</v>
      </c>
      <c r="D200" s="20">
        <f t="shared" si="41"/>
        <v>8083.333333333333</v>
      </c>
      <c r="E200" s="20">
        <f>'Total income package'!$D$80</f>
        <v>0</v>
      </c>
      <c r="F200" s="20">
        <f>'Total income package'!$H$61+'Total income package'!$F$66</f>
        <v>250</v>
      </c>
      <c r="G200" s="20">
        <f t="shared" si="48"/>
        <v>8333.3333333333321</v>
      </c>
      <c r="H200" s="20" t="str">
        <f t="shared" si="42"/>
        <v>No</v>
      </c>
      <c r="I200" s="20">
        <f t="shared" si="43"/>
        <v>1616.6666666666667</v>
      </c>
      <c r="J200" s="20">
        <f t="shared" si="44"/>
        <v>261</v>
      </c>
      <c r="K200" s="20">
        <f t="shared" si="45"/>
        <v>6455.6666666666652</v>
      </c>
      <c r="L200" s="20">
        <f t="shared" si="49"/>
        <v>700</v>
      </c>
      <c r="M200" s="20">
        <f>'Total income package'!$B$69</f>
        <v>500</v>
      </c>
      <c r="N200" s="20">
        <f t="shared" si="50"/>
        <v>1200</v>
      </c>
      <c r="O200" s="344" t="str">
        <f t="shared" si="51"/>
        <v>No</v>
      </c>
      <c r="P200" s="20">
        <f t="shared" si="52"/>
        <v>3227.8333333333326</v>
      </c>
      <c r="Q200" s="346">
        <f t="shared" si="46"/>
        <v>0</v>
      </c>
      <c r="R200" s="20">
        <f>IF(AND(D$2+$E$2&gt;0,N200-SNAP!P200&gt;0),N200-SNAP!P200,0)</f>
        <v>0</v>
      </c>
      <c r="S200" s="20">
        <f t="shared" si="53"/>
        <v>6455.6666666666652</v>
      </c>
      <c r="T200" s="20">
        <f t="shared" si="47"/>
        <v>1936.6999999999994</v>
      </c>
      <c r="U200" s="20">
        <f>IF(AND('Total income package'!$A$18=TRUE,OR(H200="Yes",O200="Yes"),G200&lt;$G$2,$K$2-T200&gt;10),ROUNDDOWN($K$2-T200,0),0)</f>
        <v>0</v>
      </c>
      <c r="V200" s="176">
        <f t="shared" si="54"/>
        <v>0</v>
      </c>
      <c r="W200" s="5"/>
    </row>
    <row r="201" spans="2:23" ht="15" customHeight="1" x14ac:dyDescent="0.3">
      <c r="B201" s="72">
        <v>97500</v>
      </c>
      <c r="C201" s="19">
        <f>MAX('TANF-VIEW'!L204,'TANF-VIEW'!T204)</f>
        <v>0</v>
      </c>
      <c r="D201" s="20">
        <f t="shared" ref="D201:D206" si="55">B201/12</f>
        <v>8125</v>
      </c>
      <c r="E201" s="20">
        <f>'Total income package'!$D$80</f>
        <v>0</v>
      </c>
      <c r="F201" s="20">
        <f>'Total income package'!$H$61+'Total income package'!$F$66</f>
        <v>250</v>
      </c>
      <c r="G201" s="20">
        <f t="shared" si="48"/>
        <v>8375</v>
      </c>
      <c r="H201" s="20" t="str">
        <f t="shared" si="42"/>
        <v>No</v>
      </c>
      <c r="I201" s="20">
        <f t="shared" si="43"/>
        <v>1625</v>
      </c>
      <c r="J201" s="20">
        <f t="shared" si="44"/>
        <v>261</v>
      </c>
      <c r="K201" s="20">
        <f t="shared" si="45"/>
        <v>6489</v>
      </c>
      <c r="L201" s="20">
        <f t="shared" si="49"/>
        <v>700</v>
      </c>
      <c r="M201" s="20">
        <f>'Total income package'!$B$69</f>
        <v>500</v>
      </c>
      <c r="N201" s="20">
        <f t="shared" si="50"/>
        <v>1200</v>
      </c>
      <c r="O201" s="344" t="str">
        <f t="shared" si="51"/>
        <v>No</v>
      </c>
      <c r="P201" s="20">
        <f t="shared" si="52"/>
        <v>3244.5</v>
      </c>
      <c r="Q201" s="346">
        <f t="shared" si="46"/>
        <v>0</v>
      </c>
      <c r="R201" s="20">
        <f>IF(AND(D$2+$E$2&gt;0,N201-SNAP!P201&gt;0),N201-SNAP!P201,0)</f>
        <v>0</v>
      </c>
      <c r="S201" s="20">
        <f t="shared" si="53"/>
        <v>6489</v>
      </c>
      <c r="T201" s="20">
        <f t="shared" si="47"/>
        <v>1946.6999999999998</v>
      </c>
      <c r="U201" s="20">
        <f>IF(AND('Total income package'!$A$18=TRUE,OR(H201="Yes",O201="Yes"),G201&lt;$G$2,$K$2-T201&gt;10),ROUNDDOWN($K$2-T201,0),0)</f>
        <v>0</v>
      </c>
      <c r="V201" s="176">
        <f t="shared" si="54"/>
        <v>0</v>
      </c>
      <c r="W201" s="5"/>
    </row>
    <row r="202" spans="2:23" ht="15" customHeight="1" x14ac:dyDescent="0.3">
      <c r="B202" s="72">
        <v>98000</v>
      </c>
      <c r="C202" s="19">
        <f>MAX('TANF-VIEW'!L205,'TANF-VIEW'!T205)</f>
        <v>0</v>
      </c>
      <c r="D202" s="20">
        <f t="shared" si="55"/>
        <v>8166.666666666667</v>
      </c>
      <c r="E202" s="20">
        <f>'Total income package'!$D$80</f>
        <v>0</v>
      </c>
      <c r="F202" s="20">
        <f>'Total income package'!$H$61+'Total income package'!$F$66</f>
        <v>250</v>
      </c>
      <c r="G202" s="20">
        <f t="shared" si="48"/>
        <v>8416.6666666666679</v>
      </c>
      <c r="H202" s="20" t="str">
        <f t="shared" si="42"/>
        <v>No</v>
      </c>
      <c r="I202" s="20">
        <f t="shared" si="43"/>
        <v>1633.3333333333335</v>
      </c>
      <c r="J202" s="20">
        <f t="shared" si="44"/>
        <v>261</v>
      </c>
      <c r="K202" s="20">
        <f t="shared" si="45"/>
        <v>6522.3333333333339</v>
      </c>
      <c r="L202" s="20">
        <f t="shared" si="49"/>
        <v>700</v>
      </c>
      <c r="M202" s="20">
        <f>'Total income package'!$B$69</f>
        <v>500</v>
      </c>
      <c r="N202" s="20">
        <f t="shared" si="50"/>
        <v>1200</v>
      </c>
      <c r="O202" s="344" t="str">
        <f t="shared" si="51"/>
        <v>No</v>
      </c>
      <c r="P202" s="20">
        <f t="shared" si="52"/>
        <v>3261.166666666667</v>
      </c>
      <c r="Q202" s="346">
        <f t="shared" si="46"/>
        <v>0</v>
      </c>
      <c r="R202" s="20">
        <f>IF(AND(D$2+$E$2&gt;0,N202-SNAP!P202&gt;0),N202-SNAP!P202,0)</f>
        <v>0</v>
      </c>
      <c r="S202" s="20">
        <f t="shared" si="53"/>
        <v>6522.3333333333339</v>
      </c>
      <c r="T202" s="20">
        <f t="shared" si="47"/>
        <v>1956.7</v>
      </c>
      <c r="U202" s="20">
        <f>IF(AND('Total income package'!$A$18=TRUE,OR(H202="Yes",O202="Yes"),G202&lt;$G$2,$K$2-T202&gt;10),ROUNDDOWN($K$2-T202,0),0)</f>
        <v>0</v>
      </c>
      <c r="V202" s="176">
        <f t="shared" si="54"/>
        <v>0</v>
      </c>
      <c r="W202" s="5"/>
    </row>
    <row r="203" spans="2:23" ht="15" customHeight="1" x14ac:dyDescent="0.3">
      <c r="B203" s="72">
        <v>98500</v>
      </c>
      <c r="C203" s="19">
        <f>MAX('TANF-VIEW'!L206,'TANF-VIEW'!T206)</f>
        <v>0</v>
      </c>
      <c r="D203" s="20">
        <f t="shared" si="55"/>
        <v>8208.3333333333339</v>
      </c>
      <c r="E203" s="20">
        <f>'Total income package'!$D$80</f>
        <v>0</v>
      </c>
      <c r="F203" s="20">
        <f>'Total income package'!$H$61+'Total income package'!$F$66</f>
        <v>250</v>
      </c>
      <c r="G203" s="20">
        <f t="shared" si="48"/>
        <v>8458.3333333333339</v>
      </c>
      <c r="H203" s="20" t="str">
        <f t="shared" si="42"/>
        <v>No</v>
      </c>
      <c r="I203" s="20">
        <f t="shared" si="43"/>
        <v>1641.666666666667</v>
      </c>
      <c r="J203" s="20">
        <f t="shared" si="44"/>
        <v>261</v>
      </c>
      <c r="K203" s="20">
        <f t="shared" si="45"/>
        <v>6555.666666666667</v>
      </c>
      <c r="L203" s="20">
        <f t="shared" si="49"/>
        <v>700</v>
      </c>
      <c r="M203" s="20">
        <f>'Total income package'!$B$69</f>
        <v>500</v>
      </c>
      <c r="N203" s="20">
        <f t="shared" si="50"/>
        <v>1200</v>
      </c>
      <c r="O203" s="344" t="str">
        <f t="shared" si="51"/>
        <v>No</v>
      </c>
      <c r="P203" s="20">
        <f t="shared" si="52"/>
        <v>3277.8333333333335</v>
      </c>
      <c r="Q203" s="346">
        <f t="shared" si="46"/>
        <v>0</v>
      </c>
      <c r="R203" s="20">
        <f>IF(AND(D$2+$E$2&gt;0,N203-SNAP!P203&gt;0),N203-SNAP!P203,0)</f>
        <v>0</v>
      </c>
      <c r="S203" s="20">
        <f t="shared" si="53"/>
        <v>6555.666666666667</v>
      </c>
      <c r="T203" s="20">
        <f t="shared" si="47"/>
        <v>1966.7</v>
      </c>
      <c r="U203" s="20">
        <f>IF(AND('Total income package'!$A$18=TRUE,OR(H203="Yes",O203="Yes"),G203&lt;$G$2,$K$2-T203&gt;10),ROUNDDOWN($K$2-T203,0),0)</f>
        <v>0</v>
      </c>
      <c r="V203" s="176">
        <f t="shared" si="54"/>
        <v>0</v>
      </c>
      <c r="W203" s="5"/>
    </row>
    <row r="204" spans="2:23" ht="15" customHeight="1" x14ac:dyDescent="0.3">
      <c r="B204" s="72">
        <v>99000</v>
      </c>
      <c r="C204" s="19">
        <f>MAX('TANF-VIEW'!L207,'TANF-VIEW'!T207)</f>
        <v>0</v>
      </c>
      <c r="D204" s="20">
        <f t="shared" si="55"/>
        <v>8250</v>
      </c>
      <c r="E204" s="20">
        <f>'Total income package'!$D$80</f>
        <v>0</v>
      </c>
      <c r="F204" s="20">
        <f>'Total income package'!$H$61+'Total income package'!$F$66</f>
        <v>250</v>
      </c>
      <c r="G204" s="20">
        <f t="shared" si="48"/>
        <v>8500</v>
      </c>
      <c r="H204" s="20" t="str">
        <f t="shared" si="42"/>
        <v>No</v>
      </c>
      <c r="I204" s="20">
        <f t="shared" si="43"/>
        <v>1650</v>
      </c>
      <c r="J204" s="20">
        <f t="shared" si="44"/>
        <v>261</v>
      </c>
      <c r="K204" s="20">
        <f t="shared" si="45"/>
        <v>6589</v>
      </c>
      <c r="L204" s="20">
        <f t="shared" si="49"/>
        <v>700</v>
      </c>
      <c r="M204" s="20">
        <f>'Total income package'!$B$69</f>
        <v>500</v>
      </c>
      <c r="N204" s="20">
        <f t="shared" si="50"/>
        <v>1200</v>
      </c>
      <c r="O204" s="344" t="str">
        <f t="shared" si="51"/>
        <v>No</v>
      </c>
      <c r="P204" s="20">
        <f t="shared" si="52"/>
        <v>3294.5</v>
      </c>
      <c r="Q204" s="346">
        <f t="shared" si="46"/>
        <v>0</v>
      </c>
      <c r="R204" s="20">
        <f>IF(AND(D$2+$E$2&gt;0,N204-SNAP!P204&gt;0),N204-SNAP!P204,0)</f>
        <v>0</v>
      </c>
      <c r="S204" s="20">
        <f t="shared" si="53"/>
        <v>6589</v>
      </c>
      <c r="T204" s="20">
        <f t="shared" si="47"/>
        <v>1976.6999999999998</v>
      </c>
      <c r="U204" s="20">
        <f>IF(AND('Total income package'!$A$18=TRUE,OR(H204="Yes",O204="Yes"),G204&lt;$G$2,$K$2-T204&gt;10),ROUNDDOWN($K$2-T204,0),0)</f>
        <v>0</v>
      </c>
      <c r="V204" s="176">
        <f t="shared" si="54"/>
        <v>0</v>
      </c>
      <c r="W204" s="5"/>
    </row>
    <row r="205" spans="2:23" ht="15" customHeight="1" x14ac:dyDescent="0.3">
      <c r="B205" s="72">
        <v>99500</v>
      </c>
      <c r="C205" s="19">
        <f>MAX('TANF-VIEW'!L208,'TANF-VIEW'!T208)</f>
        <v>0</v>
      </c>
      <c r="D205" s="20">
        <f t="shared" si="55"/>
        <v>8291.6666666666661</v>
      </c>
      <c r="E205" s="20">
        <f>'Total income package'!$D$80</f>
        <v>0</v>
      </c>
      <c r="F205" s="20">
        <f>'Total income package'!$H$61+'Total income package'!$F$66</f>
        <v>250</v>
      </c>
      <c r="G205" s="20">
        <f t="shared" si="48"/>
        <v>8541.6666666666661</v>
      </c>
      <c r="H205" s="20" t="str">
        <f t="shared" si="42"/>
        <v>No</v>
      </c>
      <c r="I205" s="20">
        <f t="shared" si="43"/>
        <v>1658.3333333333333</v>
      </c>
      <c r="J205" s="20">
        <f t="shared" si="44"/>
        <v>261</v>
      </c>
      <c r="K205" s="20">
        <f t="shared" si="45"/>
        <v>6622.333333333333</v>
      </c>
      <c r="L205" s="20">
        <f t="shared" si="49"/>
        <v>700</v>
      </c>
      <c r="M205" s="20">
        <f>'Total income package'!$B$69</f>
        <v>500</v>
      </c>
      <c r="N205" s="20">
        <f t="shared" si="50"/>
        <v>1200</v>
      </c>
      <c r="O205" s="344" t="str">
        <f t="shared" si="51"/>
        <v>No</v>
      </c>
      <c r="P205" s="20">
        <f t="shared" si="52"/>
        <v>3311.1666666666665</v>
      </c>
      <c r="Q205" s="346">
        <f t="shared" si="46"/>
        <v>0</v>
      </c>
      <c r="R205" s="20">
        <f>IF(AND(D$2+$E$2&gt;0,N205-SNAP!P205&gt;0),N205-SNAP!P205,0)</f>
        <v>0</v>
      </c>
      <c r="S205" s="20">
        <f t="shared" si="53"/>
        <v>6622.333333333333</v>
      </c>
      <c r="T205" s="20">
        <f t="shared" si="47"/>
        <v>1986.6999999999998</v>
      </c>
      <c r="U205" s="20">
        <f>IF(AND('Total income package'!$A$18=TRUE,OR(H205="Yes",O205="Yes"),G205&lt;$G$2,$K$2-T205&gt;10),ROUNDDOWN($K$2-T205,0),0)</f>
        <v>0</v>
      </c>
      <c r="V205" s="176">
        <f t="shared" si="54"/>
        <v>0</v>
      </c>
      <c r="W205" s="5"/>
    </row>
    <row r="206" spans="2:23" ht="15" customHeight="1" x14ac:dyDescent="0.3">
      <c r="B206" s="72">
        <v>100000</v>
      </c>
      <c r="C206" s="19">
        <f>MAX('TANF-VIEW'!L209,'TANF-VIEW'!T209)</f>
        <v>0</v>
      </c>
      <c r="D206" s="20">
        <f t="shared" si="55"/>
        <v>8333.3333333333339</v>
      </c>
      <c r="E206" s="20">
        <f>'Total income package'!$D$80</f>
        <v>0</v>
      </c>
      <c r="F206" s="20">
        <f>'Total income package'!$H$61+'Total income package'!$F$66</f>
        <v>250</v>
      </c>
      <c r="G206" s="20">
        <f t="shared" si="48"/>
        <v>8583.3333333333339</v>
      </c>
      <c r="H206" s="20" t="str">
        <f t="shared" si="42"/>
        <v>No</v>
      </c>
      <c r="I206" s="20">
        <f t="shared" si="43"/>
        <v>1666.666666666667</v>
      </c>
      <c r="J206" s="20">
        <f t="shared" si="44"/>
        <v>261</v>
      </c>
      <c r="K206" s="20">
        <f t="shared" si="45"/>
        <v>6655.666666666667</v>
      </c>
      <c r="L206" s="20">
        <f t="shared" si="49"/>
        <v>700</v>
      </c>
      <c r="M206" s="20">
        <f>'Total income package'!$B$69</f>
        <v>500</v>
      </c>
      <c r="N206" s="20">
        <f t="shared" si="50"/>
        <v>1200</v>
      </c>
      <c r="O206" s="344" t="str">
        <f t="shared" si="51"/>
        <v>No</v>
      </c>
      <c r="P206" s="20">
        <f t="shared" si="52"/>
        <v>3327.8333333333335</v>
      </c>
      <c r="Q206" s="346">
        <f t="shared" si="46"/>
        <v>0</v>
      </c>
      <c r="R206" s="20">
        <f>IF(AND(D$2+$E$2&gt;0,N206-SNAP!P206&gt;0),N206-SNAP!P206,0)</f>
        <v>0</v>
      </c>
      <c r="S206" s="20">
        <f t="shared" si="53"/>
        <v>6655.666666666667</v>
      </c>
      <c r="T206" s="20">
        <f t="shared" si="47"/>
        <v>1996.7</v>
      </c>
      <c r="U206" s="20">
        <f>IF(AND('Total income package'!$A$18=TRUE,OR(H206="Yes",O206="Yes"),G206&lt;$G$2,$K$2-T206&gt;10),ROUNDDOWN($K$2-T206,0),0)</f>
        <v>0</v>
      </c>
      <c r="V206" s="176">
        <f t="shared" si="54"/>
        <v>0</v>
      </c>
      <c r="W206" s="5"/>
    </row>
    <row r="207" spans="2:23" ht="15" customHeight="1" x14ac:dyDescent="0.3">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3">
      <c r="C208" s="150"/>
      <c r="M208" s="363"/>
      <c r="N208" s="363"/>
      <c r="O208" s="364"/>
      <c r="P208" s="363"/>
      <c r="Q208" s="365"/>
      <c r="R208" s="363"/>
      <c r="S208" s="363"/>
      <c r="T208" s="363"/>
      <c r="U208" s="4"/>
      <c r="V208" s="4"/>
      <c r="W208" s="5"/>
    </row>
    <row r="209" spans="2:23" ht="15" customHeight="1" x14ac:dyDescent="0.3">
      <c r="B209" s="369" t="s">
        <v>302</v>
      </c>
      <c r="C209" s="370">
        <f>MAX('TANF-VIEW'!L212,'TANF-VIEW'!T212)</f>
        <v>0</v>
      </c>
      <c r="D209" s="371">
        <f>'Total income package'!$B$90</f>
        <v>1423</v>
      </c>
      <c r="E209" s="20">
        <f>'Total income package'!$D$80+'Total income package'!$D$86</f>
        <v>0</v>
      </c>
      <c r="F209" s="20">
        <f>'Total income package'!$H$61+'Total income package'!$F$66</f>
        <v>250</v>
      </c>
      <c r="G209" s="20">
        <f>D209+C209+E209+F209</f>
        <v>1673</v>
      </c>
      <c r="H209" s="20" t="str">
        <f>IF(G209&lt;$G$2,"Yes","No")</f>
        <v>Yes</v>
      </c>
      <c r="I209" s="20">
        <f>D209*0.2</f>
        <v>284.60000000000002</v>
      </c>
      <c r="J209" s="20">
        <f>$H$2</f>
        <v>261</v>
      </c>
      <c r="K209" s="20">
        <f>IF(G209-I209-J209&gt;0,G209-I209-J209,0)</f>
        <v>1127.4000000000001</v>
      </c>
      <c r="L209" s="20">
        <f t="shared" si="49"/>
        <v>700</v>
      </c>
      <c r="M209" s="20">
        <f>'Total income package'!$B$69</f>
        <v>500</v>
      </c>
      <c r="N209" s="20">
        <f t="shared" si="50"/>
        <v>1200</v>
      </c>
      <c r="O209" s="344" t="str">
        <f t="shared" ref="O209:O211" si="56">IF(AND($D$2+$E$2&gt;0,K209&lt;$J$2),"Yes","No")</f>
        <v>Yes</v>
      </c>
      <c r="P209" s="20">
        <f>K209/2</f>
        <v>563.70000000000005</v>
      </c>
      <c r="Q209" s="346">
        <f>IF(AND(D$2+$E$2=0,N209&lt;$L$2,N209-P209&gt;0),N209-P209,IF(AND(D$2+$E$2=0,N209&gt;$L$2),$L$2,0))</f>
        <v>0</v>
      </c>
      <c r="R209" s="20">
        <f>IF(AND(D$2+$E$2&gt;0,N209-SNAP!P209&gt;0),N209-SNAP!P209,0)</f>
        <v>636.29999999999995</v>
      </c>
      <c r="S209" s="20">
        <f>IF(AND($D$2+$E$2&gt;0,K209-R209&gt;0),K209-R209,IF(AND($D$2+$E$2=0,K209-Q209&gt;0),K209-Q209,0))</f>
        <v>491.10000000000014</v>
      </c>
      <c r="T209" s="20">
        <f>S209*0.3</f>
        <v>147.33000000000004</v>
      </c>
      <c r="U209" s="20">
        <f>IF(AND('Total income package'!$A$18=TRUE,OR(H209="Yes",O209="Yes"),G209&lt;$G$2,$K$2-T209&gt;10),ROUNDDOWN($K$2-T209,0),0)</f>
        <v>1035</v>
      </c>
      <c r="V209" s="176">
        <f t="shared" si="54"/>
        <v>1035</v>
      </c>
      <c r="W209" s="5"/>
    </row>
    <row r="210" spans="2:23" ht="15" customHeight="1" x14ac:dyDescent="0.3">
      <c r="E210" s="20"/>
      <c r="F210" s="20"/>
      <c r="G210" s="366"/>
      <c r="K210" s="366"/>
      <c r="L210" s="20"/>
      <c r="M210" s="366"/>
      <c r="N210" s="366"/>
      <c r="O210" s="367"/>
      <c r="P210" s="366"/>
      <c r="Q210" s="368"/>
      <c r="R210" s="366"/>
      <c r="S210" s="366"/>
      <c r="T210" s="20"/>
      <c r="U210" s="4"/>
      <c r="V210" s="20"/>
      <c r="W210" s="5"/>
    </row>
    <row r="211" spans="2:23" ht="15" customHeight="1" x14ac:dyDescent="0.3">
      <c r="B211" s="369" t="s">
        <v>303</v>
      </c>
      <c r="C211" s="370">
        <f>MAX('TANF-VIEW'!L214,'TANF-VIEW'!T214)</f>
        <v>0</v>
      </c>
      <c r="D211" s="371">
        <f>'Total income package'!$B$91</f>
        <v>3000</v>
      </c>
      <c r="E211" s="20">
        <f>'Total income package'!$D$80+'Total income package'!$D$86</f>
        <v>0</v>
      </c>
      <c r="F211" s="20">
        <f>'Total income package'!$H$61+'Total income package'!$F$66</f>
        <v>250</v>
      </c>
      <c r="G211" s="20">
        <f t="shared" ref="G211" si="57">D211+C211+E211+F211</f>
        <v>3250</v>
      </c>
      <c r="H211" s="20" t="str">
        <f>IF(G211&lt;$G$2,"Yes","No")</f>
        <v>Yes</v>
      </c>
      <c r="I211" s="20">
        <f>D211*0.2</f>
        <v>600</v>
      </c>
      <c r="J211" s="20">
        <f>$H$2</f>
        <v>261</v>
      </c>
      <c r="K211" s="20">
        <f>IF(G211-I211-J211&gt;0,G211-I211-J211,0)</f>
        <v>2389</v>
      </c>
      <c r="L211" s="20">
        <f t="shared" si="49"/>
        <v>700</v>
      </c>
      <c r="M211" s="20">
        <f>'Total income package'!$B$69</f>
        <v>500</v>
      </c>
      <c r="N211" s="20">
        <f t="shared" si="50"/>
        <v>1200</v>
      </c>
      <c r="O211" s="344" t="str">
        <f t="shared" si="56"/>
        <v>Yes</v>
      </c>
      <c r="P211" s="20">
        <f t="shared" ref="P211" si="58">K211/2</f>
        <v>1194.5</v>
      </c>
      <c r="Q211" s="346">
        <f>IF(AND(D$2+$E$2=0,N211&lt;$L$2,N211-P211&gt;0),N211-P211,IF(AND(D$2+$E$2=0,N211&gt;$L$2),$L$2,0))</f>
        <v>0</v>
      </c>
      <c r="R211" s="20">
        <f>IF(AND(D$2+$E$2&gt;0,N211-SNAP!P211&gt;0),N211-SNAP!P211,0)</f>
        <v>5.5</v>
      </c>
      <c r="S211" s="20">
        <f t="shared" ref="S211" si="59">IF(AND($D$2+$E$2&gt;0,K211-R211&gt;0),K211-R211,IF(AND($D$2+$E$2=0,K211-Q211&gt;0),K211-Q211,0))</f>
        <v>2383.5</v>
      </c>
      <c r="T211" s="20">
        <f t="shared" ref="T211" si="60">S211*0.3</f>
        <v>715.05</v>
      </c>
      <c r="U211" s="20">
        <f>IF(AND('Total income package'!$A$18=TRUE,OR(H211="Yes",O211="Yes"),G211&lt;$G$2,$K$2-T211&gt;10),ROUNDDOWN($K$2-T211,0),0)</f>
        <v>467</v>
      </c>
      <c r="V211" s="176">
        <f t="shared" si="54"/>
        <v>467</v>
      </c>
      <c r="W211" s="5"/>
    </row>
    <row r="213" spans="2:23" ht="15" customHeight="1" x14ac:dyDescent="0.3">
      <c r="T213" s="4"/>
      <c r="U213" s="4"/>
    </row>
    <row r="214" spans="2:23" ht="15" customHeight="1" x14ac:dyDescent="0.3">
      <c r="W214" s="4"/>
    </row>
    <row r="218" spans="2:23" ht="15" customHeight="1" x14ac:dyDescent="0.3">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4.4" x14ac:dyDescent="0.3"/>
  <cols>
    <col min="1" max="1" width="18" customWidth="1"/>
    <col min="2" max="2" width="18.33203125" customWidth="1"/>
    <col min="3" max="3" width="22.33203125" customWidth="1"/>
    <col min="4" max="4" width="16.44140625" customWidth="1"/>
    <col min="5" max="5" width="14.5546875" customWidth="1"/>
    <col min="6" max="9" width="12.5546875" customWidth="1"/>
    <col min="10" max="10" width="18.6640625" customWidth="1"/>
  </cols>
  <sheetData>
    <row r="1" spans="1:23" ht="28.8" x14ac:dyDescent="0.3">
      <c r="A1" s="313" t="s">
        <v>271</v>
      </c>
      <c r="B1" s="313" t="s">
        <v>272</v>
      </c>
      <c r="C1" s="109"/>
      <c r="L1" s="302"/>
      <c r="W1" t="s">
        <v>422</v>
      </c>
    </row>
    <row r="2" spans="1:23" x14ac:dyDescent="0.3">
      <c r="A2" s="127" t="str">
        <f>'Total income package'!B3</f>
        <v xml:space="preserve">Buckingham </v>
      </c>
      <c r="B2" s="77">
        <f>'Total income package'!B32</f>
        <v>5</v>
      </c>
      <c r="C2" s="78"/>
    </row>
    <row r="3" spans="1:23" x14ac:dyDescent="0.3">
      <c r="L3" s="302"/>
      <c r="W3" t="s">
        <v>424</v>
      </c>
    </row>
    <row r="4" spans="1:23" x14ac:dyDescent="0.3">
      <c r="W4" t="s">
        <v>432</v>
      </c>
    </row>
    <row r="5" spans="1:23" ht="28.8" x14ac:dyDescent="0.3">
      <c r="A5" s="191" t="s">
        <v>104</v>
      </c>
      <c r="B5" s="191" t="s">
        <v>105</v>
      </c>
      <c r="C5" s="14"/>
      <c r="D5" s="24"/>
      <c r="E5" s="24"/>
      <c r="F5" s="24"/>
      <c r="G5" s="24"/>
      <c r="H5" s="24"/>
      <c r="I5" s="24"/>
      <c r="V5" t="s">
        <v>439</v>
      </c>
    </row>
    <row r="6" spans="1:23" x14ac:dyDescent="0.3">
      <c r="A6" s="117">
        <v>0</v>
      </c>
      <c r="B6" s="63">
        <v>0</v>
      </c>
      <c r="C6" s="3"/>
      <c r="D6" s="7"/>
      <c r="E6" s="7"/>
      <c r="F6" s="7"/>
      <c r="G6" s="7"/>
      <c r="H6" s="7"/>
      <c r="I6" s="7"/>
      <c r="V6" t="s">
        <v>440</v>
      </c>
    </row>
    <row r="7" spans="1:23" x14ac:dyDescent="0.3">
      <c r="A7" s="117">
        <v>500</v>
      </c>
      <c r="B7" s="4">
        <f>A7/12</f>
        <v>41.666666666666664</v>
      </c>
      <c r="C7" s="3"/>
      <c r="D7" s="7"/>
      <c r="E7" s="7"/>
      <c r="F7" s="7"/>
      <c r="G7" s="7"/>
      <c r="H7" s="7"/>
      <c r="I7" s="7"/>
      <c r="K7" s="302"/>
    </row>
    <row r="8" spans="1:23" x14ac:dyDescent="0.3">
      <c r="A8" s="29">
        <v>1000</v>
      </c>
      <c r="B8" s="4">
        <f>A8/12</f>
        <v>83.333333333333329</v>
      </c>
      <c r="C8" s="3"/>
      <c r="D8" s="7"/>
      <c r="E8" s="7"/>
      <c r="F8" s="7"/>
      <c r="G8" s="7"/>
      <c r="H8" s="7"/>
      <c r="I8" s="7"/>
      <c r="R8" s="27"/>
    </row>
    <row r="9" spans="1:23" x14ac:dyDescent="0.3">
      <c r="A9" s="117">
        <v>1500</v>
      </c>
      <c r="B9" s="4">
        <f t="shared" ref="B9:B72" si="0">A9/12</f>
        <v>125</v>
      </c>
      <c r="C9" s="3"/>
      <c r="D9" s="7"/>
      <c r="E9" s="7"/>
      <c r="F9" s="7"/>
      <c r="G9" s="7"/>
      <c r="H9" s="7"/>
      <c r="I9" s="7"/>
      <c r="V9" t="s">
        <v>94</v>
      </c>
    </row>
    <row r="10" spans="1:23" x14ac:dyDescent="0.3">
      <c r="A10" s="117">
        <v>2000</v>
      </c>
      <c r="B10" s="4">
        <f t="shared" si="0"/>
        <v>166.66666666666666</v>
      </c>
      <c r="C10" s="3"/>
      <c r="D10" s="7"/>
      <c r="E10" s="7"/>
      <c r="F10" s="7"/>
      <c r="G10" s="7"/>
      <c r="H10" s="7"/>
      <c r="I10" s="7"/>
    </row>
    <row r="11" spans="1:23" x14ac:dyDescent="0.3">
      <c r="A11" s="29">
        <v>2500</v>
      </c>
      <c r="B11" s="4">
        <f t="shared" si="0"/>
        <v>208.33333333333334</v>
      </c>
      <c r="C11" s="3"/>
      <c r="D11" s="7"/>
      <c r="E11" s="7"/>
      <c r="F11" s="7"/>
      <c r="G11" s="7"/>
      <c r="H11" s="7"/>
      <c r="I11" s="7"/>
      <c r="K11" s="302"/>
    </row>
    <row r="12" spans="1:23" x14ac:dyDescent="0.3">
      <c r="A12" s="117">
        <v>3000</v>
      </c>
      <c r="B12" s="4">
        <f t="shared" si="0"/>
        <v>250</v>
      </c>
      <c r="C12" s="3"/>
      <c r="D12" s="7"/>
      <c r="E12" s="7"/>
      <c r="F12" s="7"/>
      <c r="G12" s="7"/>
      <c r="H12" s="7"/>
      <c r="I12" s="7"/>
    </row>
    <row r="13" spans="1:23" x14ac:dyDescent="0.3">
      <c r="A13" s="117">
        <v>3500</v>
      </c>
      <c r="B13" s="4">
        <f t="shared" si="0"/>
        <v>291.66666666666669</v>
      </c>
      <c r="C13" s="3"/>
      <c r="D13" s="7"/>
      <c r="E13" s="7"/>
      <c r="F13" s="7"/>
      <c r="G13" s="7"/>
      <c r="H13" s="7"/>
      <c r="I13" s="7"/>
    </row>
    <row r="14" spans="1:23" x14ac:dyDescent="0.3">
      <c r="A14" s="29">
        <v>4000</v>
      </c>
      <c r="B14" s="4">
        <f t="shared" si="0"/>
        <v>333.33333333333331</v>
      </c>
      <c r="C14" s="3"/>
      <c r="D14" s="7"/>
      <c r="E14" s="7"/>
      <c r="F14" s="7"/>
      <c r="G14" s="7"/>
      <c r="H14" s="7"/>
      <c r="I14" s="7"/>
    </row>
    <row r="15" spans="1:23" x14ac:dyDescent="0.3">
      <c r="A15" s="117">
        <v>4500</v>
      </c>
      <c r="B15" s="4">
        <f t="shared" si="0"/>
        <v>375</v>
      </c>
      <c r="C15" s="3"/>
      <c r="D15" s="7"/>
      <c r="E15" s="7"/>
      <c r="F15" s="7"/>
      <c r="G15" s="7"/>
      <c r="H15" s="7"/>
      <c r="I15" s="7"/>
      <c r="K15" s="302"/>
    </row>
    <row r="16" spans="1:23" x14ac:dyDescent="0.3">
      <c r="A16" s="117">
        <v>5000</v>
      </c>
      <c r="B16" s="4">
        <f t="shared" si="0"/>
        <v>416.66666666666669</v>
      </c>
      <c r="C16" s="3"/>
      <c r="D16" s="7"/>
      <c r="E16" s="7"/>
      <c r="F16" s="7"/>
      <c r="G16" s="7"/>
      <c r="H16" s="7"/>
      <c r="I16" s="7"/>
    </row>
    <row r="17" spans="1:12" x14ac:dyDescent="0.3">
      <c r="A17" s="29">
        <v>5500</v>
      </c>
      <c r="B17" s="4">
        <f t="shared" si="0"/>
        <v>458.33333333333331</v>
      </c>
      <c r="C17" s="3"/>
      <c r="D17" s="7"/>
      <c r="E17" s="7"/>
      <c r="F17" s="7"/>
      <c r="G17" s="7"/>
      <c r="H17" s="7"/>
      <c r="I17" s="7"/>
    </row>
    <row r="18" spans="1:12" x14ac:dyDescent="0.3">
      <c r="A18" s="117">
        <v>6000</v>
      </c>
      <c r="B18" s="4">
        <f t="shared" si="0"/>
        <v>500</v>
      </c>
      <c r="C18" s="3"/>
      <c r="D18" s="7"/>
      <c r="E18" s="7"/>
      <c r="F18" s="7"/>
      <c r="G18" s="7"/>
      <c r="H18" s="7"/>
      <c r="I18" s="7"/>
    </row>
    <row r="19" spans="1:12" x14ac:dyDescent="0.3">
      <c r="A19" s="117">
        <v>6500</v>
      </c>
      <c r="B19" s="4">
        <f t="shared" si="0"/>
        <v>541.66666666666663</v>
      </c>
      <c r="C19" s="3"/>
      <c r="D19" s="7"/>
      <c r="E19" s="7"/>
      <c r="F19" s="7"/>
      <c r="G19" s="7"/>
      <c r="H19" s="7"/>
      <c r="I19" s="7"/>
      <c r="K19" s="302"/>
    </row>
    <row r="20" spans="1:12" x14ac:dyDescent="0.3">
      <c r="A20" s="29">
        <v>7000</v>
      </c>
      <c r="B20" s="4">
        <f t="shared" si="0"/>
        <v>583.33333333333337</v>
      </c>
      <c r="C20" s="3"/>
      <c r="D20" s="7"/>
      <c r="E20" s="7"/>
      <c r="F20" s="7"/>
      <c r="G20" s="7"/>
      <c r="H20" s="7"/>
      <c r="I20" s="7"/>
      <c r="L20" s="302"/>
    </row>
    <row r="21" spans="1:12" x14ac:dyDescent="0.3">
      <c r="A21" s="117">
        <v>7500</v>
      </c>
      <c r="B21" s="4">
        <f t="shared" si="0"/>
        <v>625</v>
      </c>
      <c r="C21" s="3"/>
      <c r="D21" s="7"/>
      <c r="E21" s="7"/>
      <c r="F21" s="7"/>
      <c r="G21" s="7"/>
      <c r="H21" s="7"/>
      <c r="I21" s="7"/>
    </row>
    <row r="22" spans="1:12" x14ac:dyDescent="0.3">
      <c r="A22" s="117">
        <v>8000</v>
      </c>
      <c r="B22" s="4">
        <f t="shared" si="0"/>
        <v>666.66666666666663</v>
      </c>
      <c r="C22" s="3"/>
      <c r="D22" s="7"/>
      <c r="E22" s="7"/>
      <c r="F22" s="7"/>
      <c r="G22" s="7"/>
      <c r="H22" s="7"/>
      <c r="I22" s="7"/>
    </row>
    <row r="23" spans="1:12" x14ac:dyDescent="0.3">
      <c r="A23" s="29">
        <v>8500</v>
      </c>
      <c r="B23" s="4">
        <f t="shared" si="0"/>
        <v>708.33333333333337</v>
      </c>
      <c r="C23" s="3"/>
      <c r="D23" s="7"/>
      <c r="E23" s="7"/>
      <c r="F23" s="7"/>
      <c r="G23" s="7"/>
      <c r="H23" s="7"/>
      <c r="I23" s="7"/>
      <c r="K23" s="302"/>
    </row>
    <row r="24" spans="1:12" x14ac:dyDescent="0.3">
      <c r="A24" s="117">
        <v>9000</v>
      </c>
      <c r="B24" s="4">
        <f t="shared" si="0"/>
        <v>750</v>
      </c>
      <c r="C24" s="3"/>
      <c r="D24" s="7"/>
      <c r="E24" s="7"/>
      <c r="F24" s="7"/>
      <c r="G24" s="7"/>
      <c r="H24" s="7"/>
      <c r="I24" s="7"/>
      <c r="K24" s="302"/>
      <c r="L24" s="27"/>
    </row>
    <row r="25" spans="1:12" x14ac:dyDescent="0.3">
      <c r="A25" s="117">
        <v>9500</v>
      </c>
      <c r="B25" s="4">
        <f t="shared" si="0"/>
        <v>791.66666666666663</v>
      </c>
      <c r="C25" s="3"/>
      <c r="D25" s="7"/>
      <c r="E25" s="7"/>
      <c r="F25" s="7"/>
      <c r="G25" s="7"/>
      <c r="H25" s="7"/>
      <c r="I25" s="7"/>
    </row>
    <row r="26" spans="1:12" x14ac:dyDescent="0.3">
      <c r="A26" s="29">
        <v>10000</v>
      </c>
      <c r="B26" s="4">
        <f t="shared" si="0"/>
        <v>833.33333333333337</v>
      </c>
      <c r="C26" s="3"/>
      <c r="D26" s="7"/>
      <c r="E26" s="7"/>
      <c r="F26" s="7"/>
      <c r="G26" s="7"/>
      <c r="H26" s="7"/>
      <c r="I26" s="7"/>
    </row>
    <row r="27" spans="1:12" x14ac:dyDescent="0.3">
      <c r="A27" s="117">
        <v>10500</v>
      </c>
      <c r="B27" s="4">
        <f t="shared" si="0"/>
        <v>875</v>
      </c>
      <c r="C27" s="3"/>
      <c r="D27" s="7"/>
      <c r="E27" s="7"/>
      <c r="F27" s="7"/>
      <c r="G27" s="7"/>
      <c r="H27" s="7"/>
      <c r="I27" s="7"/>
    </row>
    <row r="28" spans="1:12" x14ac:dyDescent="0.3">
      <c r="A28" s="117">
        <v>11000</v>
      </c>
      <c r="B28" s="4">
        <f t="shared" si="0"/>
        <v>916.66666666666663</v>
      </c>
      <c r="C28" s="3"/>
      <c r="D28" s="7"/>
      <c r="E28" s="7"/>
      <c r="F28" s="7"/>
      <c r="G28" s="7"/>
      <c r="H28" s="7"/>
      <c r="I28" s="7"/>
    </row>
    <row r="29" spans="1:12" x14ac:dyDescent="0.3">
      <c r="A29" s="29">
        <v>11500</v>
      </c>
      <c r="B29" s="4">
        <f t="shared" si="0"/>
        <v>958.33333333333337</v>
      </c>
      <c r="C29" s="3"/>
      <c r="D29" s="7"/>
      <c r="E29" s="7"/>
      <c r="F29" s="7"/>
      <c r="G29" s="7"/>
      <c r="H29" s="7"/>
      <c r="I29" s="7"/>
    </row>
    <row r="30" spans="1:12" x14ac:dyDescent="0.3">
      <c r="A30" s="117">
        <v>12000</v>
      </c>
      <c r="B30" s="4">
        <f t="shared" si="0"/>
        <v>1000</v>
      </c>
      <c r="C30" s="3"/>
      <c r="D30" s="7"/>
      <c r="E30" s="7"/>
      <c r="F30" s="7"/>
      <c r="G30" s="7"/>
      <c r="H30" s="7"/>
      <c r="I30" s="7"/>
    </row>
    <row r="31" spans="1:12" x14ac:dyDescent="0.3">
      <c r="A31" s="117">
        <v>12500</v>
      </c>
      <c r="B31" s="4">
        <f t="shared" si="0"/>
        <v>1041.6666666666667</v>
      </c>
      <c r="C31" s="3"/>
      <c r="D31" s="7"/>
      <c r="E31" s="7"/>
      <c r="F31" s="7"/>
      <c r="G31" s="7"/>
      <c r="H31" s="7"/>
      <c r="I31" s="7"/>
    </row>
    <row r="32" spans="1:12" x14ac:dyDescent="0.3">
      <c r="A32" s="29">
        <v>13000</v>
      </c>
      <c r="B32" s="4">
        <f t="shared" si="0"/>
        <v>1083.3333333333333</v>
      </c>
      <c r="C32" s="3"/>
      <c r="D32" s="7"/>
      <c r="E32" s="7"/>
      <c r="F32" s="7"/>
      <c r="G32" s="7"/>
      <c r="H32" s="7"/>
      <c r="I32" s="7"/>
    </row>
    <row r="33" spans="1:11" x14ac:dyDescent="0.3">
      <c r="A33" s="117">
        <v>13500</v>
      </c>
      <c r="B33" s="4">
        <f t="shared" si="0"/>
        <v>1125</v>
      </c>
      <c r="C33" s="3"/>
      <c r="D33" s="7"/>
      <c r="E33" s="7"/>
      <c r="F33" s="7"/>
      <c r="G33" s="7"/>
      <c r="H33" s="7"/>
      <c r="I33" s="7"/>
    </row>
    <row r="34" spans="1:11" x14ac:dyDescent="0.3">
      <c r="A34" s="117">
        <v>14000</v>
      </c>
      <c r="B34" s="4">
        <f t="shared" si="0"/>
        <v>1166.6666666666667</v>
      </c>
      <c r="C34" s="3"/>
      <c r="D34" s="7"/>
      <c r="E34" s="7"/>
      <c r="F34" s="7"/>
      <c r="G34" s="7"/>
      <c r="H34" s="7"/>
      <c r="I34" s="7"/>
    </row>
    <row r="35" spans="1:11" x14ac:dyDescent="0.3">
      <c r="A35" s="29">
        <v>14500</v>
      </c>
      <c r="B35" s="4">
        <f t="shared" si="0"/>
        <v>1208.3333333333333</v>
      </c>
      <c r="C35" s="3"/>
      <c r="D35" s="7"/>
      <c r="E35" s="7"/>
      <c r="F35" s="7"/>
      <c r="G35" s="7"/>
      <c r="H35" s="7"/>
      <c r="I35" s="7"/>
    </row>
    <row r="36" spans="1:11" x14ac:dyDescent="0.3">
      <c r="A36" s="117">
        <v>15000</v>
      </c>
      <c r="B36" s="4">
        <f t="shared" si="0"/>
        <v>1250</v>
      </c>
      <c r="C36" s="3"/>
      <c r="D36" s="7"/>
      <c r="E36" s="7"/>
      <c r="F36" s="7"/>
      <c r="G36" s="7"/>
      <c r="H36" s="7"/>
      <c r="I36" s="7"/>
    </row>
    <row r="37" spans="1:11" x14ac:dyDescent="0.3">
      <c r="A37" s="117">
        <v>15500</v>
      </c>
      <c r="B37" s="4">
        <f t="shared" si="0"/>
        <v>1291.6666666666667</v>
      </c>
      <c r="C37" s="3"/>
      <c r="D37" s="7"/>
      <c r="E37" s="7"/>
      <c r="F37" s="7"/>
      <c r="G37" s="7"/>
      <c r="H37" s="7"/>
      <c r="I37" s="7"/>
    </row>
    <row r="38" spans="1:11" x14ac:dyDescent="0.3">
      <c r="A38" s="29">
        <v>16000</v>
      </c>
      <c r="B38" s="4">
        <f t="shared" si="0"/>
        <v>1333.3333333333333</v>
      </c>
      <c r="C38" s="3"/>
      <c r="D38" s="7"/>
      <c r="E38" s="7"/>
      <c r="F38" s="7"/>
      <c r="G38" s="7"/>
      <c r="H38" s="7"/>
      <c r="I38" s="7"/>
    </row>
    <row r="39" spans="1:11" x14ac:dyDescent="0.3">
      <c r="A39" s="117">
        <v>16500</v>
      </c>
      <c r="B39" s="4">
        <f t="shared" si="0"/>
        <v>1375</v>
      </c>
      <c r="C39" s="3"/>
      <c r="D39" s="7"/>
      <c r="E39" s="7"/>
      <c r="F39" s="7"/>
      <c r="G39" s="7"/>
      <c r="H39" s="7"/>
      <c r="I39" s="7"/>
    </row>
    <row r="40" spans="1:11" x14ac:dyDescent="0.3">
      <c r="A40" s="117">
        <v>17000</v>
      </c>
      <c r="B40" s="4">
        <f t="shared" si="0"/>
        <v>1416.6666666666667</v>
      </c>
      <c r="C40" s="3"/>
      <c r="D40" s="7"/>
      <c r="E40" s="7"/>
      <c r="F40" s="7"/>
      <c r="G40" s="7"/>
      <c r="H40" s="7"/>
      <c r="I40" s="7"/>
      <c r="K40" s="27"/>
    </row>
    <row r="41" spans="1:11" x14ac:dyDescent="0.3">
      <c r="A41" s="29">
        <v>17500</v>
      </c>
      <c r="B41" s="4">
        <f t="shared" si="0"/>
        <v>1458.3333333333333</v>
      </c>
      <c r="C41" s="3"/>
      <c r="D41" s="7"/>
      <c r="E41" s="7"/>
      <c r="F41" s="7"/>
      <c r="G41" s="7"/>
      <c r="H41" s="7"/>
      <c r="I41" s="7"/>
    </row>
    <row r="42" spans="1:11" x14ac:dyDescent="0.3">
      <c r="A42" s="117">
        <v>18000</v>
      </c>
      <c r="B42" s="4">
        <f t="shared" si="0"/>
        <v>1500</v>
      </c>
      <c r="C42" s="3"/>
      <c r="D42" s="7"/>
      <c r="E42" s="7"/>
      <c r="F42" s="7"/>
      <c r="G42" s="7"/>
      <c r="H42" s="7"/>
      <c r="I42" s="7"/>
    </row>
    <row r="43" spans="1:11" x14ac:dyDescent="0.3">
      <c r="A43" s="117">
        <v>18500</v>
      </c>
      <c r="B43" s="4">
        <f t="shared" si="0"/>
        <v>1541.6666666666667</v>
      </c>
      <c r="C43" s="3"/>
      <c r="D43" s="7"/>
      <c r="E43" s="7"/>
      <c r="F43" s="7"/>
      <c r="G43" s="7"/>
      <c r="H43" s="7"/>
      <c r="I43" s="7"/>
    </row>
    <row r="44" spans="1:11" x14ac:dyDescent="0.3">
      <c r="A44" s="29">
        <v>19000</v>
      </c>
      <c r="B44" s="4">
        <f t="shared" si="0"/>
        <v>1583.3333333333333</v>
      </c>
      <c r="C44" s="3"/>
      <c r="D44" s="7"/>
      <c r="E44" s="7"/>
      <c r="F44" s="7"/>
      <c r="G44" s="7"/>
      <c r="H44" s="7"/>
      <c r="I44" s="7"/>
    </row>
    <row r="45" spans="1:11" x14ac:dyDescent="0.3">
      <c r="A45" s="117">
        <v>19500</v>
      </c>
      <c r="B45" s="4">
        <f t="shared" si="0"/>
        <v>1625</v>
      </c>
      <c r="C45" s="3"/>
      <c r="D45" s="7"/>
      <c r="E45" s="7"/>
      <c r="F45" s="7"/>
      <c r="G45" s="7"/>
      <c r="H45" s="7"/>
      <c r="I45" s="7"/>
    </row>
    <row r="46" spans="1:11" x14ac:dyDescent="0.3">
      <c r="A46" s="117">
        <v>20000</v>
      </c>
      <c r="B46" s="4">
        <f t="shared" si="0"/>
        <v>1666.6666666666667</v>
      </c>
      <c r="C46" s="3"/>
      <c r="D46" s="7"/>
      <c r="E46" s="7"/>
      <c r="F46" s="7"/>
      <c r="G46" s="7"/>
      <c r="H46" s="7"/>
      <c r="I46" s="7"/>
    </row>
    <row r="47" spans="1:11" x14ac:dyDescent="0.3">
      <c r="A47" s="29">
        <v>20500</v>
      </c>
      <c r="B47" s="4">
        <f t="shared" si="0"/>
        <v>1708.3333333333333</v>
      </c>
      <c r="C47" s="3"/>
      <c r="D47" s="7"/>
      <c r="E47" s="7"/>
      <c r="F47" s="7"/>
      <c r="G47" s="7"/>
      <c r="H47" s="7"/>
      <c r="I47" s="7"/>
    </row>
    <row r="48" spans="1:11" x14ac:dyDescent="0.3">
      <c r="A48" s="117">
        <v>21000</v>
      </c>
      <c r="B48" s="4">
        <f t="shared" si="0"/>
        <v>1750</v>
      </c>
      <c r="C48" s="3"/>
      <c r="D48" s="7"/>
      <c r="E48" s="7"/>
      <c r="F48" s="7"/>
      <c r="G48" s="7"/>
      <c r="H48" s="7"/>
      <c r="I48" s="7"/>
    </row>
    <row r="49" spans="1:9" x14ac:dyDescent="0.3">
      <c r="A49" s="117">
        <v>21500</v>
      </c>
      <c r="B49" s="4">
        <f t="shared" si="0"/>
        <v>1791.6666666666667</v>
      </c>
      <c r="C49" s="3"/>
      <c r="D49" s="7"/>
      <c r="E49" s="7"/>
      <c r="F49" s="7"/>
      <c r="G49" s="7"/>
      <c r="H49" s="7"/>
      <c r="I49" s="7"/>
    </row>
    <row r="50" spans="1:9" x14ac:dyDescent="0.3">
      <c r="A50" s="29">
        <v>22000</v>
      </c>
      <c r="B50" s="4">
        <f t="shared" si="0"/>
        <v>1833.3333333333333</v>
      </c>
      <c r="C50" s="3"/>
      <c r="D50" s="7"/>
      <c r="E50" s="7"/>
      <c r="F50" s="7"/>
      <c r="G50" s="7"/>
      <c r="H50" s="7"/>
      <c r="I50" s="7"/>
    </row>
    <row r="51" spans="1:9" x14ac:dyDescent="0.3">
      <c r="A51" s="117">
        <v>22500</v>
      </c>
      <c r="B51" s="4">
        <f t="shared" si="0"/>
        <v>1875</v>
      </c>
      <c r="C51" s="3"/>
      <c r="D51" s="7"/>
      <c r="E51" s="7"/>
      <c r="F51" s="7"/>
      <c r="G51" s="7"/>
      <c r="H51" s="7"/>
      <c r="I51" s="7"/>
    </row>
    <row r="52" spans="1:9" x14ac:dyDescent="0.3">
      <c r="A52" s="117">
        <v>23000</v>
      </c>
      <c r="B52" s="4">
        <f t="shared" si="0"/>
        <v>1916.6666666666667</v>
      </c>
      <c r="C52" s="3"/>
      <c r="D52" s="7"/>
      <c r="E52" s="7"/>
      <c r="F52" s="7"/>
      <c r="G52" s="7"/>
      <c r="H52" s="7"/>
      <c r="I52" s="7"/>
    </row>
    <row r="53" spans="1:9" x14ac:dyDescent="0.3">
      <c r="A53" s="29">
        <v>23500</v>
      </c>
      <c r="B53" s="4">
        <f t="shared" si="0"/>
        <v>1958.3333333333333</v>
      </c>
      <c r="C53" s="3"/>
      <c r="D53" s="7"/>
      <c r="E53" s="7"/>
      <c r="F53" s="7"/>
      <c r="G53" s="7"/>
      <c r="H53" s="7"/>
      <c r="I53" s="7"/>
    </row>
    <row r="54" spans="1:9" x14ac:dyDescent="0.3">
      <c r="A54" s="117">
        <v>24000</v>
      </c>
      <c r="B54" s="4">
        <f t="shared" si="0"/>
        <v>2000</v>
      </c>
      <c r="C54" s="3"/>
      <c r="D54" s="7"/>
      <c r="E54" s="7"/>
      <c r="F54" s="7"/>
      <c r="G54" s="7"/>
      <c r="H54" s="7"/>
      <c r="I54" s="7"/>
    </row>
    <row r="55" spans="1:9" x14ac:dyDescent="0.3">
      <c r="A55" s="117">
        <v>24500</v>
      </c>
      <c r="B55" s="4">
        <f t="shared" si="0"/>
        <v>2041.6666666666667</v>
      </c>
      <c r="C55" s="3"/>
      <c r="D55" s="7"/>
      <c r="E55" s="7"/>
      <c r="F55" s="7"/>
      <c r="G55" s="7"/>
      <c r="H55" s="7"/>
      <c r="I55" s="7"/>
    </row>
    <row r="56" spans="1:9" x14ac:dyDescent="0.3">
      <c r="A56" s="29">
        <v>25000</v>
      </c>
      <c r="B56" s="4">
        <f t="shared" si="0"/>
        <v>2083.3333333333335</v>
      </c>
      <c r="C56" s="3"/>
      <c r="D56" s="7"/>
      <c r="E56" s="7"/>
      <c r="F56" s="7"/>
      <c r="G56" s="7"/>
      <c r="H56" s="7"/>
      <c r="I56" s="7"/>
    </row>
    <row r="57" spans="1:9" x14ac:dyDescent="0.3">
      <c r="A57" s="117">
        <v>25500</v>
      </c>
      <c r="B57" s="4">
        <f t="shared" si="0"/>
        <v>2125</v>
      </c>
      <c r="C57" s="3"/>
      <c r="D57" s="7"/>
      <c r="E57" s="7"/>
      <c r="F57" s="7"/>
      <c r="G57" s="7"/>
      <c r="H57" s="7"/>
      <c r="I57" s="7"/>
    </row>
    <row r="58" spans="1:9" x14ac:dyDescent="0.3">
      <c r="A58" s="117">
        <v>26000</v>
      </c>
      <c r="B58" s="4">
        <f t="shared" si="0"/>
        <v>2166.6666666666665</v>
      </c>
      <c r="C58" s="3"/>
      <c r="D58" s="7"/>
      <c r="E58" s="7"/>
      <c r="F58" s="7"/>
      <c r="G58" s="7"/>
      <c r="H58" s="7"/>
      <c r="I58" s="7"/>
    </row>
    <row r="59" spans="1:9" x14ac:dyDescent="0.3">
      <c r="A59" s="29">
        <v>26500</v>
      </c>
      <c r="B59" s="4">
        <f t="shared" si="0"/>
        <v>2208.3333333333335</v>
      </c>
      <c r="C59" s="3"/>
      <c r="D59" s="7"/>
      <c r="E59" s="7"/>
      <c r="F59" s="7"/>
      <c r="G59" s="7"/>
      <c r="H59" s="7"/>
      <c r="I59" s="7"/>
    </row>
    <row r="60" spans="1:9" x14ac:dyDescent="0.3">
      <c r="A60" s="117">
        <v>27000</v>
      </c>
      <c r="B60" s="4">
        <f t="shared" si="0"/>
        <v>2250</v>
      </c>
      <c r="C60" s="3"/>
      <c r="D60" s="7"/>
      <c r="E60" s="7"/>
      <c r="F60" s="7"/>
      <c r="G60" s="7"/>
      <c r="H60" s="7"/>
      <c r="I60" s="7"/>
    </row>
    <row r="61" spans="1:9" x14ac:dyDescent="0.3">
      <c r="A61" s="117">
        <v>27500</v>
      </c>
      <c r="B61" s="4">
        <f t="shared" si="0"/>
        <v>2291.6666666666665</v>
      </c>
      <c r="C61" s="3"/>
      <c r="D61" s="7"/>
      <c r="E61" s="7"/>
      <c r="F61" s="7"/>
      <c r="G61" s="7"/>
      <c r="H61" s="7"/>
      <c r="I61" s="7"/>
    </row>
    <row r="62" spans="1:9" x14ac:dyDescent="0.3">
      <c r="A62" s="29">
        <v>28000</v>
      </c>
      <c r="B62" s="4">
        <f t="shared" si="0"/>
        <v>2333.3333333333335</v>
      </c>
      <c r="C62" s="3"/>
      <c r="D62" s="7"/>
      <c r="E62" s="7"/>
      <c r="F62" s="7"/>
      <c r="G62" s="7"/>
      <c r="H62" s="7"/>
      <c r="I62" s="7"/>
    </row>
    <row r="63" spans="1:9" x14ac:dyDescent="0.3">
      <c r="A63" s="117">
        <v>28500</v>
      </c>
      <c r="B63" s="4">
        <f t="shared" si="0"/>
        <v>2375</v>
      </c>
      <c r="C63" s="3"/>
      <c r="D63" s="7"/>
      <c r="E63" s="7"/>
      <c r="F63" s="7"/>
      <c r="G63" s="7"/>
      <c r="H63" s="7"/>
      <c r="I63" s="7"/>
    </row>
    <row r="64" spans="1:9" x14ac:dyDescent="0.3">
      <c r="A64" s="117">
        <v>29000</v>
      </c>
      <c r="B64" s="4">
        <f t="shared" si="0"/>
        <v>2416.6666666666665</v>
      </c>
      <c r="C64" s="3"/>
      <c r="D64" s="7"/>
      <c r="E64" s="7"/>
      <c r="F64" s="7"/>
      <c r="G64" s="7"/>
      <c r="H64" s="7"/>
      <c r="I64" s="7"/>
    </row>
    <row r="65" spans="1:9" x14ac:dyDescent="0.3">
      <c r="A65" s="29">
        <v>29500</v>
      </c>
      <c r="B65" s="4">
        <f t="shared" si="0"/>
        <v>2458.3333333333335</v>
      </c>
      <c r="C65" s="3"/>
      <c r="D65" s="7"/>
      <c r="E65" s="7"/>
      <c r="F65" s="7"/>
      <c r="G65" s="7"/>
      <c r="H65" s="7"/>
      <c r="I65" s="7"/>
    </row>
    <row r="66" spans="1:9" x14ac:dyDescent="0.3">
      <c r="A66" s="117">
        <v>30000</v>
      </c>
      <c r="B66" s="4">
        <f t="shared" si="0"/>
        <v>2500</v>
      </c>
      <c r="C66" s="3"/>
      <c r="D66" s="7"/>
      <c r="E66" s="7"/>
      <c r="F66" s="7"/>
      <c r="G66" s="7"/>
      <c r="H66" s="7"/>
      <c r="I66" s="7"/>
    </row>
    <row r="67" spans="1:9" x14ac:dyDescent="0.3">
      <c r="A67" s="117">
        <v>30500</v>
      </c>
      <c r="B67" s="4">
        <f t="shared" si="0"/>
        <v>2541.6666666666665</v>
      </c>
      <c r="C67" s="3"/>
      <c r="D67" s="7"/>
      <c r="E67" s="7"/>
      <c r="F67" s="7"/>
      <c r="G67" s="7"/>
      <c r="H67" s="7"/>
      <c r="I67" s="7"/>
    </row>
    <row r="68" spans="1:9" x14ac:dyDescent="0.3">
      <c r="A68" s="29">
        <v>31000</v>
      </c>
      <c r="B68" s="4">
        <f t="shared" si="0"/>
        <v>2583.3333333333335</v>
      </c>
      <c r="C68" s="3"/>
      <c r="D68" s="7"/>
      <c r="E68" s="7"/>
      <c r="F68" s="7"/>
      <c r="G68" s="7"/>
      <c r="H68" s="7"/>
      <c r="I68" s="7"/>
    </row>
    <row r="69" spans="1:9" x14ac:dyDescent="0.3">
      <c r="A69" s="117">
        <v>31500</v>
      </c>
      <c r="B69" s="4">
        <f t="shared" si="0"/>
        <v>2625</v>
      </c>
      <c r="C69" s="3"/>
      <c r="D69" s="7"/>
      <c r="E69" s="7"/>
      <c r="F69" s="7"/>
      <c r="G69" s="7"/>
      <c r="H69" s="7"/>
      <c r="I69" s="7"/>
    </row>
    <row r="70" spans="1:9" x14ac:dyDescent="0.3">
      <c r="A70" s="117">
        <v>32000</v>
      </c>
      <c r="B70" s="4">
        <f t="shared" si="0"/>
        <v>2666.6666666666665</v>
      </c>
      <c r="C70" s="3"/>
      <c r="D70" s="7"/>
      <c r="E70" s="7"/>
      <c r="F70" s="7"/>
      <c r="G70" s="7"/>
      <c r="H70" s="7"/>
      <c r="I70" s="7"/>
    </row>
    <row r="71" spans="1:9" x14ac:dyDescent="0.3">
      <c r="A71" s="29">
        <v>32500</v>
      </c>
      <c r="B71" s="4">
        <f t="shared" si="0"/>
        <v>2708.3333333333335</v>
      </c>
      <c r="C71" s="3"/>
      <c r="D71" s="7"/>
      <c r="E71" s="7"/>
      <c r="F71" s="7"/>
      <c r="G71" s="7"/>
      <c r="H71" s="7"/>
      <c r="I71" s="7"/>
    </row>
    <row r="72" spans="1:9" x14ac:dyDescent="0.3">
      <c r="A72" s="117">
        <v>33000</v>
      </c>
      <c r="B72" s="4">
        <f t="shared" si="0"/>
        <v>2750</v>
      </c>
      <c r="C72" s="3"/>
      <c r="D72" s="7"/>
      <c r="E72" s="7"/>
      <c r="F72" s="7"/>
      <c r="G72" s="7"/>
      <c r="H72" s="7"/>
      <c r="I72" s="7"/>
    </row>
    <row r="73" spans="1:9" x14ac:dyDescent="0.3">
      <c r="A73" s="117">
        <v>33500</v>
      </c>
      <c r="B73" s="4">
        <f t="shared" ref="B73:B106" si="1">A73/12</f>
        <v>2791.6666666666665</v>
      </c>
      <c r="C73" s="3"/>
      <c r="D73" s="7"/>
      <c r="E73" s="7"/>
      <c r="F73" s="7"/>
      <c r="G73" s="7"/>
      <c r="H73" s="7"/>
      <c r="I73" s="7"/>
    </row>
    <row r="74" spans="1:9" x14ac:dyDescent="0.3">
      <c r="A74" s="29">
        <v>34000</v>
      </c>
      <c r="B74" s="4">
        <f t="shared" si="1"/>
        <v>2833.3333333333335</v>
      </c>
      <c r="C74" s="3"/>
      <c r="D74" s="7"/>
      <c r="E74" s="7"/>
      <c r="F74" s="7"/>
      <c r="G74" s="7"/>
      <c r="H74" s="7"/>
      <c r="I74" s="7"/>
    </row>
    <row r="75" spans="1:9" x14ac:dyDescent="0.3">
      <c r="A75" s="117">
        <v>34500</v>
      </c>
      <c r="B75" s="4">
        <f t="shared" si="1"/>
        <v>2875</v>
      </c>
      <c r="C75" s="3"/>
      <c r="D75" s="7"/>
      <c r="E75" s="7"/>
      <c r="F75" s="7"/>
      <c r="G75" s="7"/>
      <c r="H75" s="7"/>
      <c r="I75" s="7"/>
    </row>
    <row r="76" spans="1:9" x14ac:dyDescent="0.3">
      <c r="A76" s="117">
        <v>35000</v>
      </c>
      <c r="B76" s="4">
        <f t="shared" si="1"/>
        <v>2916.6666666666665</v>
      </c>
      <c r="C76" s="3"/>
      <c r="D76" s="7"/>
      <c r="E76" s="7"/>
      <c r="F76" s="7"/>
      <c r="G76" s="7"/>
      <c r="H76" s="7"/>
      <c r="I76" s="7"/>
    </row>
    <row r="77" spans="1:9" x14ac:dyDescent="0.3">
      <c r="A77" s="29">
        <v>35500</v>
      </c>
      <c r="B77" s="4">
        <f t="shared" si="1"/>
        <v>2958.3333333333335</v>
      </c>
      <c r="C77" s="3"/>
      <c r="D77" s="7"/>
      <c r="E77" s="7"/>
      <c r="F77" s="7"/>
      <c r="G77" s="7"/>
      <c r="H77" s="7"/>
      <c r="I77" s="7"/>
    </row>
    <row r="78" spans="1:9" x14ac:dyDescent="0.3">
      <c r="A78" s="117">
        <v>36000</v>
      </c>
      <c r="B78" s="4">
        <f t="shared" si="1"/>
        <v>3000</v>
      </c>
      <c r="C78" s="3"/>
      <c r="D78" s="7"/>
      <c r="E78" s="7"/>
      <c r="F78" s="7"/>
      <c r="G78" s="7"/>
      <c r="H78" s="7"/>
      <c r="I78" s="7"/>
    </row>
    <row r="79" spans="1:9" x14ac:dyDescent="0.3">
      <c r="A79" s="117">
        <v>36500</v>
      </c>
      <c r="B79" s="4">
        <f t="shared" si="1"/>
        <v>3041.6666666666665</v>
      </c>
      <c r="C79" s="3"/>
      <c r="D79" s="7"/>
      <c r="E79" s="7"/>
      <c r="F79" s="7"/>
      <c r="G79" s="7"/>
      <c r="H79" s="7"/>
      <c r="I79" s="7"/>
    </row>
    <row r="80" spans="1:9" x14ac:dyDescent="0.3">
      <c r="A80" s="29">
        <v>37000</v>
      </c>
      <c r="B80" s="4">
        <f t="shared" si="1"/>
        <v>3083.3333333333335</v>
      </c>
      <c r="C80" s="3"/>
      <c r="D80" s="7"/>
      <c r="E80" s="7"/>
      <c r="F80" s="7"/>
      <c r="G80" s="7"/>
      <c r="H80" s="7"/>
      <c r="I80" s="7"/>
    </row>
    <row r="81" spans="1:9" x14ac:dyDescent="0.3">
      <c r="A81" s="117">
        <v>37500</v>
      </c>
      <c r="B81" s="4">
        <f t="shared" si="1"/>
        <v>3125</v>
      </c>
      <c r="C81" s="3"/>
      <c r="D81" s="7"/>
      <c r="E81" s="7"/>
      <c r="F81" s="7"/>
      <c r="G81" s="7"/>
      <c r="H81" s="7"/>
      <c r="I81" s="7"/>
    </row>
    <row r="82" spans="1:9" x14ac:dyDescent="0.3">
      <c r="A82" s="117">
        <v>38000</v>
      </c>
      <c r="B82" s="4">
        <f t="shared" si="1"/>
        <v>3166.6666666666665</v>
      </c>
      <c r="C82" s="3"/>
      <c r="D82" s="7"/>
      <c r="E82" s="7"/>
      <c r="F82" s="7"/>
      <c r="G82" s="7"/>
      <c r="H82" s="7"/>
      <c r="I82" s="7"/>
    </row>
    <row r="83" spans="1:9" x14ac:dyDescent="0.3">
      <c r="A83" s="29">
        <v>38500</v>
      </c>
      <c r="B83" s="4">
        <f t="shared" si="1"/>
        <v>3208.3333333333335</v>
      </c>
      <c r="C83" s="3"/>
      <c r="D83" s="7"/>
      <c r="E83" s="7"/>
      <c r="F83" s="7"/>
      <c r="G83" s="7"/>
      <c r="H83" s="7"/>
      <c r="I83" s="7"/>
    </row>
    <row r="84" spans="1:9" x14ac:dyDescent="0.3">
      <c r="A84" s="117">
        <v>39000</v>
      </c>
      <c r="B84" s="4">
        <f t="shared" si="1"/>
        <v>3250</v>
      </c>
      <c r="C84" s="3"/>
      <c r="D84" s="7"/>
      <c r="E84" s="7"/>
      <c r="F84" s="7"/>
      <c r="G84" s="7"/>
      <c r="H84" s="7"/>
      <c r="I84" s="7"/>
    </row>
    <row r="85" spans="1:9" x14ac:dyDescent="0.3">
      <c r="A85" s="117">
        <v>39500</v>
      </c>
      <c r="B85" s="4">
        <f t="shared" si="1"/>
        <v>3291.6666666666665</v>
      </c>
      <c r="C85" s="3"/>
      <c r="D85" s="7"/>
      <c r="E85" s="7"/>
      <c r="F85" s="7"/>
      <c r="G85" s="7"/>
      <c r="H85" s="7"/>
      <c r="I85" s="7"/>
    </row>
    <row r="86" spans="1:9" x14ac:dyDescent="0.3">
      <c r="A86" s="29">
        <v>40000</v>
      </c>
      <c r="B86" s="4">
        <f t="shared" si="1"/>
        <v>3333.3333333333335</v>
      </c>
      <c r="C86" s="3"/>
      <c r="D86" s="7"/>
      <c r="E86" s="7"/>
      <c r="F86" s="7"/>
      <c r="G86" s="7"/>
      <c r="H86" s="7"/>
      <c r="I86" s="7"/>
    </row>
    <row r="87" spans="1:9" x14ac:dyDescent="0.3">
      <c r="A87" s="117">
        <v>40500</v>
      </c>
      <c r="B87" s="4">
        <f t="shared" si="1"/>
        <v>3375</v>
      </c>
      <c r="C87" s="3"/>
      <c r="D87" s="7"/>
      <c r="E87" s="7"/>
      <c r="F87" s="7"/>
      <c r="G87" s="7"/>
      <c r="H87" s="7"/>
      <c r="I87" s="7"/>
    </row>
    <row r="88" spans="1:9" x14ac:dyDescent="0.3">
      <c r="A88" s="117">
        <v>41000</v>
      </c>
      <c r="B88" s="4">
        <f t="shared" si="1"/>
        <v>3416.6666666666665</v>
      </c>
      <c r="C88" s="3"/>
      <c r="D88" s="7"/>
      <c r="E88" s="7"/>
      <c r="F88" s="7"/>
      <c r="G88" s="7"/>
      <c r="H88" s="7"/>
      <c r="I88" s="7"/>
    </row>
    <row r="89" spans="1:9" x14ac:dyDescent="0.3">
      <c r="A89" s="29">
        <v>41500</v>
      </c>
      <c r="B89" s="4">
        <f t="shared" si="1"/>
        <v>3458.3333333333335</v>
      </c>
      <c r="C89" s="3"/>
      <c r="D89" s="7"/>
      <c r="E89" s="7"/>
      <c r="F89" s="7"/>
      <c r="G89" s="7"/>
      <c r="H89" s="7"/>
      <c r="I89" s="7"/>
    </row>
    <row r="90" spans="1:9" x14ac:dyDescent="0.3">
      <c r="A90" s="117">
        <v>42000</v>
      </c>
      <c r="B90" s="4">
        <f t="shared" si="1"/>
        <v>3500</v>
      </c>
      <c r="C90" s="3"/>
      <c r="D90" s="7"/>
      <c r="E90" s="7"/>
      <c r="F90" s="7"/>
      <c r="G90" s="7"/>
      <c r="H90" s="7"/>
      <c r="I90" s="7"/>
    </row>
    <row r="91" spans="1:9" x14ac:dyDescent="0.3">
      <c r="A91" s="117">
        <v>42500</v>
      </c>
      <c r="B91" s="4">
        <f t="shared" si="1"/>
        <v>3541.6666666666665</v>
      </c>
      <c r="C91" s="3"/>
      <c r="D91" s="7"/>
      <c r="E91" s="7"/>
      <c r="F91" s="7"/>
      <c r="G91" s="7"/>
      <c r="H91" s="7"/>
      <c r="I91" s="7"/>
    </row>
    <row r="92" spans="1:9" x14ac:dyDescent="0.3">
      <c r="A92" s="29">
        <v>43000</v>
      </c>
      <c r="B92" s="4">
        <f t="shared" si="1"/>
        <v>3583.3333333333335</v>
      </c>
      <c r="C92" s="3"/>
      <c r="D92" s="7"/>
      <c r="E92" s="7"/>
      <c r="F92" s="7"/>
      <c r="G92" s="7"/>
      <c r="H92" s="7"/>
      <c r="I92" s="7"/>
    </row>
    <row r="93" spans="1:9" x14ac:dyDescent="0.3">
      <c r="A93" s="117">
        <v>43500</v>
      </c>
      <c r="B93" s="4">
        <f t="shared" si="1"/>
        <v>3625</v>
      </c>
      <c r="C93" s="3"/>
      <c r="D93" s="7"/>
      <c r="E93" s="7"/>
      <c r="F93" s="7"/>
      <c r="G93" s="7"/>
      <c r="H93" s="7"/>
      <c r="I93" s="7"/>
    </row>
    <row r="94" spans="1:9" x14ac:dyDescent="0.3">
      <c r="A94" s="117">
        <v>44000</v>
      </c>
      <c r="B94" s="4">
        <f t="shared" si="1"/>
        <v>3666.6666666666665</v>
      </c>
      <c r="C94" s="3"/>
      <c r="D94" s="7"/>
      <c r="E94" s="7"/>
      <c r="F94" s="7"/>
      <c r="G94" s="7"/>
      <c r="H94" s="7"/>
      <c r="I94" s="7"/>
    </row>
    <row r="95" spans="1:9" x14ac:dyDescent="0.3">
      <c r="A95" s="29">
        <v>44500</v>
      </c>
      <c r="B95" s="4">
        <f t="shared" si="1"/>
        <v>3708.3333333333335</v>
      </c>
      <c r="C95" s="3"/>
      <c r="D95" s="7"/>
      <c r="E95" s="7"/>
      <c r="F95" s="7"/>
      <c r="G95" s="7"/>
      <c r="H95" s="7"/>
      <c r="I95" s="7"/>
    </row>
    <row r="96" spans="1:9" x14ac:dyDescent="0.3">
      <c r="A96" s="117">
        <v>45000</v>
      </c>
      <c r="B96" s="4">
        <f t="shared" si="1"/>
        <v>3750</v>
      </c>
      <c r="C96" s="3"/>
      <c r="D96" s="7"/>
      <c r="E96" s="7"/>
      <c r="F96" s="7"/>
      <c r="G96" s="7"/>
      <c r="H96" s="7"/>
      <c r="I96" s="7"/>
    </row>
    <row r="97" spans="1:9" x14ac:dyDescent="0.3">
      <c r="A97" s="117">
        <v>45500</v>
      </c>
      <c r="B97" s="4">
        <f t="shared" si="1"/>
        <v>3791.6666666666665</v>
      </c>
      <c r="C97" s="3"/>
      <c r="D97" s="7"/>
      <c r="E97" s="7"/>
      <c r="F97" s="7"/>
      <c r="G97" s="7"/>
      <c r="H97" s="7"/>
      <c r="I97" s="7"/>
    </row>
    <row r="98" spans="1:9" x14ac:dyDescent="0.3">
      <c r="A98" s="29">
        <v>46000</v>
      </c>
      <c r="B98" s="4">
        <f>A98/12</f>
        <v>3833.3333333333335</v>
      </c>
      <c r="C98" s="3"/>
      <c r="D98" s="7"/>
      <c r="E98" s="7"/>
      <c r="F98" s="7"/>
      <c r="G98" s="7"/>
      <c r="H98" s="7"/>
      <c r="I98" s="7"/>
    </row>
    <row r="99" spans="1:9" x14ac:dyDescent="0.3">
      <c r="A99" s="117">
        <v>46500</v>
      </c>
      <c r="B99" s="4">
        <f t="shared" si="1"/>
        <v>3875</v>
      </c>
      <c r="C99" s="3"/>
      <c r="D99" s="7"/>
      <c r="E99" s="7"/>
      <c r="F99" s="7"/>
      <c r="G99" s="7"/>
      <c r="H99" s="7"/>
      <c r="I99" s="7"/>
    </row>
    <row r="100" spans="1:9" x14ac:dyDescent="0.3">
      <c r="A100" s="117">
        <v>47000</v>
      </c>
      <c r="B100" s="4">
        <f t="shared" si="1"/>
        <v>3916.6666666666665</v>
      </c>
      <c r="C100" s="3"/>
      <c r="D100" s="7"/>
      <c r="E100" s="7"/>
      <c r="F100" s="7"/>
      <c r="G100" s="7"/>
      <c r="H100" s="7"/>
      <c r="I100" s="7"/>
    </row>
    <row r="101" spans="1:9" x14ac:dyDescent="0.3">
      <c r="A101" s="29">
        <v>47500</v>
      </c>
      <c r="B101" s="4">
        <f t="shared" si="1"/>
        <v>3958.3333333333335</v>
      </c>
      <c r="C101" s="3"/>
      <c r="D101" s="7"/>
      <c r="E101" s="7"/>
      <c r="F101" s="7"/>
      <c r="G101" s="7"/>
      <c r="H101" s="7"/>
      <c r="I101" s="7"/>
    </row>
    <row r="102" spans="1:9" x14ac:dyDescent="0.3">
      <c r="A102" s="117">
        <v>48000</v>
      </c>
      <c r="B102" s="4">
        <f t="shared" si="1"/>
        <v>4000</v>
      </c>
      <c r="C102" s="3"/>
      <c r="D102" s="7"/>
      <c r="E102" s="7"/>
      <c r="F102" s="7"/>
      <c r="G102" s="7"/>
      <c r="H102" s="7"/>
      <c r="I102" s="7"/>
    </row>
    <row r="103" spans="1:9" x14ac:dyDescent="0.3">
      <c r="A103" s="117">
        <v>48500</v>
      </c>
      <c r="B103" s="4">
        <f t="shared" si="1"/>
        <v>4041.6666666666665</v>
      </c>
      <c r="C103" s="3"/>
      <c r="D103" s="7"/>
      <c r="E103" s="7"/>
      <c r="F103" s="7"/>
      <c r="G103" s="7"/>
      <c r="H103" s="7"/>
      <c r="I103" s="7"/>
    </row>
    <row r="104" spans="1:9" x14ac:dyDescent="0.3">
      <c r="A104" s="29">
        <v>49000</v>
      </c>
      <c r="B104" s="4">
        <f t="shared" si="1"/>
        <v>4083.3333333333335</v>
      </c>
      <c r="C104" s="3"/>
      <c r="D104" s="7"/>
      <c r="E104" s="7"/>
      <c r="F104" s="7"/>
      <c r="G104" s="7"/>
      <c r="H104" s="7"/>
      <c r="I104" s="7"/>
    </row>
    <row r="105" spans="1:9" x14ac:dyDescent="0.3">
      <c r="A105" s="117">
        <v>49500</v>
      </c>
      <c r="B105" s="4">
        <f t="shared" si="1"/>
        <v>4125</v>
      </c>
      <c r="C105" s="3"/>
      <c r="D105" s="7"/>
      <c r="E105" s="7"/>
      <c r="F105" s="7"/>
      <c r="G105" s="7"/>
      <c r="H105" s="7"/>
      <c r="I105" s="7"/>
    </row>
    <row r="106" spans="1:9" x14ac:dyDescent="0.3">
      <c r="A106" s="117">
        <v>50000</v>
      </c>
      <c r="B106" s="4">
        <f t="shared" si="1"/>
        <v>4166.666666666667</v>
      </c>
      <c r="C106" s="3"/>
      <c r="D106" s="7"/>
      <c r="E106" s="7"/>
      <c r="F106" s="7"/>
      <c r="G106" s="7"/>
      <c r="H106" s="7"/>
      <c r="I106" s="7"/>
    </row>
    <row r="107" spans="1:9" x14ac:dyDescent="0.3">
      <c r="A107" s="29">
        <v>50500</v>
      </c>
      <c r="B107" s="4">
        <f>A107/12</f>
        <v>4208.333333333333</v>
      </c>
      <c r="C107" s="3"/>
      <c r="D107" s="7"/>
      <c r="E107" s="7"/>
      <c r="F107" s="7"/>
      <c r="G107" s="7"/>
      <c r="H107" s="7"/>
      <c r="I107" s="7"/>
    </row>
    <row r="108" spans="1:9" x14ac:dyDescent="0.3">
      <c r="A108" s="117">
        <v>51000</v>
      </c>
      <c r="B108" s="4">
        <f t="shared" ref="B108:B171" si="2">A108/12</f>
        <v>4250</v>
      </c>
      <c r="C108" s="3"/>
      <c r="D108" s="7"/>
      <c r="E108" s="7"/>
      <c r="F108" s="7"/>
      <c r="G108" s="7"/>
      <c r="H108" s="7"/>
      <c r="I108" s="7"/>
    </row>
    <row r="109" spans="1:9" x14ac:dyDescent="0.3">
      <c r="A109" s="117">
        <v>51500</v>
      </c>
      <c r="B109" s="4">
        <f t="shared" si="2"/>
        <v>4291.666666666667</v>
      </c>
      <c r="C109" s="3"/>
      <c r="D109" s="7"/>
      <c r="E109" s="7"/>
      <c r="F109" s="7"/>
      <c r="G109" s="7"/>
      <c r="H109" s="7"/>
      <c r="I109" s="7"/>
    </row>
    <row r="110" spans="1:9" x14ac:dyDescent="0.3">
      <c r="A110" s="29">
        <v>52000</v>
      </c>
      <c r="B110" s="4">
        <f t="shared" si="2"/>
        <v>4333.333333333333</v>
      </c>
      <c r="C110" s="3"/>
      <c r="D110" s="7"/>
      <c r="E110" s="7"/>
      <c r="F110" s="7"/>
      <c r="G110" s="7"/>
      <c r="H110" s="7"/>
      <c r="I110" s="7"/>
    </row>
    <row r="111" spans="1:9" x14ac:dyDescent="0.3">
      <c r="A111" s="117">
        <v>52500</v>
      </c>
      <c r="B111" s="4">
        <f t="shared" si="2"/>
        <v>4375</v>
      </c>
      <c r="C111" s="3"/>
      <c r="D111" s="7"/>
      <c r="E111" s="7"/>
      <c r="F111" s="7"/>
      <c r="G111" s="7"/>
      <c r="H111" s="7"/>
      <c r="I111" s="7"/>
    </row>
    <row r="112" spans="1:9" x14ac:dyDescent="0.3">
      <c r="A112" s="117">
        <v>53000</v>
      </c>
      <c r="B112" s="4">
        <f t="shared" si="2"/>
        <v>4416.666666666667</v>
      </c>
      <c r="C112" s="3"/>
      <c r="D112" s="7"/>
      <c r="E112" s="7"/>
      <c r="F112" s="7"/>
      <c r="G112" s="7"/>
      <c r="H112" s="7"/>
      <c r="I112" s="7"/>
    </row>
    <row r="113" spans="1:9" x14ac:dyDescent="0.3">
      <c r="A113" s="29">
        <v>53500</v>
      </c>
      <c r="B113" s="4">
        <f t="shared" si="2"/>
        <v>4458.333333333333</v>
      </c>
      <c r="C113" s="3"/>
      <c r="D113" s="7"/>
      <c r="E113" s="7"/>
      <c r="F113" s="7"/>
      <c r="G113" s="7"/>
      <c r="H113" s="7"/>
      <c r="I113" s="7"/>
    </row>
    <row r="114" spans="1:9" x14ac:dyDescent="0.3">
      <c r="A114" s="117">
        <v>54000</v>
      </c>
      <c r="B114" s="4">
        <f t="shared" si="2"/>
        <v>4500</v>
      </c>
      <c r="C114" s="3"/>
      <c r="D114" s="7"/>
      <c r="E114" s="7"/>
      <c r="F114" s="7"/>
      <c r="G114" s="7"/>
      <c r="H114" s="7"/>
      <c r="I114" s="7"/>
    </row>
    <row r="115" spans="1:9" x14ac:dyDescent="0.3">
      <c r="A115" s="117">
        <v>54500</v>
      </c>
      <c r="B115" s="4">
        <f t="shared" si="2"/>
        <v>4541.666666666667</v>
      </c>
      <c r="C115" s="3"/>
      <c r="D115" s="7"/>
      <c r="E115" s="7"/>
      <c r="F115" s="7"/>
      <c r="G115" s="7"/>
      <c r="H115" s="7"/>
      <c r="I115" s="7"/>
    </row>
    <row r="116" spans="1:9" x14ac:dyDescent="0.3">
      <c r="A116" s="29">
        <v>55000</v>
      </c>
      <c r="B116" s="4">
        <f t="shared" si="2"/>
        <v>4583.333333333333</v>
      </c>
      <c r="C116" s="3"/>
      <c r="D116" s="7"/>
      <c r="E116" s="7"/>
      <c r="F116" s="7"/>
      <c r="G116" s="7"/>
      <c r="H116" s="7"/>
      <c r="I116" s="7"/>
    </row>
    <row r="117" spans="1:9" x14ac:dyDescent="0.3">
      <c r="A117" s="117">
        <v>55500</v>
      </c>
      <c r="B117" s="4">
        <f t="shared" si="2"/>
        <v>4625</v>
      </c>
      <c r="C117" s="3"/>
      <c r="D117" s="7"/>
      <c r="E117" s="7"/>
      <c r="F117" s="7"/>
      <c r="G117" s="7"/>
      <c r="H117" s="7"/>
      <c r="I117" s="7"/>
    </row>
    <row r="118" spans="1:9" x14ac:dyDescent="0.3">
      <c r="A118" s="117">
        <v>56000</v>
      </c>
      <c r="B118" s="4">
        <f t="shared" si="2"/>
        <v>4666.666666666667</v>
      </c>
      <c r="C118" s="3"/>
      <c r="D118" s="7"/>
      <c r="E118" s="7"/>
      <c r="F118" s="7"/>
      <c r="G118" s="7"/>
      <c r="H118" s="7"/>
      <c r="I118" s="7"/>
    </row>
    <row r="119" spans="1:9" x14ac:dyDescent="0.3">
      <c r="A119" s="29">
        <v>56500</v>
      </c>
      <c r="B119" s="4">
        <f t="shared" si="2"/>
        <v>4708.333333333333</v>
      </c>
      <c r="C119" s="3"/>
      <c r="D119" s="7"/>
      <c r="E119" s="7"/>
      <c r="F119" s="7"/>
      <c r="G119" s="7"/>
      <c r="H119" s="7"/>
      <c r="I119" s="7"/>
    </row>
    <row r="120" spans="1:9" x14ac:dyDescent="0.3">
      <c r="A120" s="117">
        <v>57000</v>
      </c>
      <c r="B120" s="4">
        <f t="shared" si="2"/>
        <v>4750</v>
      </c>
      <c r="C120" s="3"/>
      <c r="D120" s="7"/>
      <c r="E120" s="7"/>
      <c r="F120" s="7"/>
      <c r="G120" s="7"/>
      <c r="H120" s="7"/>
      <c r="I120" s="7"/>
    </row>
    <row r="121" spans="1:9" x14ac:dyDescent="0.3">
      <c r="A121" s="117">
        <v>57500</v>
      </c>
      <c r="B121" s="4">
        <f t="shared" si="2"/>
        <v>4791.666666666667</v>
      </c>
      <c r="C121" s="3"/>
      <c r="D121" s="7"/>
      <c r="E121" s="7"/>
      <c r="F121" s="7"/>
      <c r="G121" s="7"/>
      <c r="H121" s="7"/>
      <c r="I121" s="7"/>
    </row>
    <row r="122" spans="1:9" x14ac:dyDescent="0.3">
      <c r="A122" s="29">
        <v>58000</v>
      </c>
      <c r="B122" s="4">
        <f t="shared" si="2"/>
        <v>4833.333333333333</v>
      </c>
      <c r="C122" s="3"/>
      <c r="D122" s="7"/>
      <c r="E122" s="7"/>
      <c r="F122" s="7"/>
      <c r="G122" s="7"/>
      <c r="H122" s="7"/>
      <c r="I122" s="7"/>
    </row>
    <row r="123" spans="1:9" x14ac:dyDescent="0.3">
      <c r="A123" s="117">
        <v>58500</v>
      </c>
      <c r="B123" s="4">
        <f t="shared" si="2"/>
        <v>4875</v>
      </c>
      <c r="C123" s="3"/>
      <c r="D123" s="7"/>
      <c r="E123" s="7"/>
      <c r="F123" s="7"/>
      <c r="G123" s="7"/>
      <c r="H123" s="7"/>
      <c r="I123" s="7"/>
    </row>
    <row r="124" spans="1:9" x14ac:dyDescent="0.3">
      <c r="A124" s="117">
        <v>59000</v>
      </c>
      <c r="B124" s="4">
        <f t="shared" si="2"/>
        <v>4916.666666666667</v>
      </c>
      <c r="C124" s="3"/>
      <c r="D124" s="7"/>
      <c r="E124" s="7"/>
      <c r="F124" s="7"/>
      <c r="G124" s="7"/>
      <c r="H124" s="7"/>
      <c r="I124" s="7"/>
    </row>
    <row r="125" spans="1:9" x14ac:dyDescent="0.3">
      <c r="A125" s="29">
        <v>59500</v>
      </c>
      <c r="B125" s="4">
        <f t="shared" si="2"/>
        <v>4958.333333333333</v>
      </c>
      <c r="C125" s="3"/>
      <c r="D125" s="7"/>
      <c r="E125" s="7"/>
      <c r="F125" s="7"/>
      <c r="G125" s="7"/>
      <c r="H125" s="7"/>
      <c r="I125" s="7"/>
    </row>
    <row r="126" spans="1:9" x14ac:dyDescent="0.3">
      <c r="A126" s="117">
        <v>60000</v>
      </c>
      <c r="B126" s="4">
        <f t="shared" si="2"/>
        <v>5000</v>
      </c>
      <c r="C126" s="3"/>
      <c r="D126" s="7"/>
      <c r="E126" s="7"/>
      <c r="F126" s="7"/>
      <c r="G126" s="7"/>
      <c r="H126" s="7"/>
      <c r="I126" s="7"/>
    </row>
    <row r="127" spans="1:9" x14ac:dyDescent="0.3">
      <c r="A127" s="117">
        <v>60500</v>
      </c>
      <c r="B127" s="4">
        <f t="shared" si="2"/>
        <v>5041.666666666667</v>
      </c>
      <c r="C127" s="3"/>
      <c r="D127" s="7"/>
      <c r="E127" s="7"/>
      <c r="F127" s="7"/>
      <c r="G127" s="7"/>
      <c r="H127" s="7"/>
      <c r="I127" s="7"/>
    </row>
    <row r="128" spans="1:9" x14ac:dyDescent="0.3">
      <c r="A128" s="29">
        <v>61000</v>
      </c>
      <c r="B128" s="4">
        <f t="shared" si="2"/>
        <v>5083.333333333333</v>
      </c>
      <c r="C128" s="3"/>
      <c r="D128" s="7"/>
      <c r="E128" s="7"/>
      <c r="F128" s="7"/>
      <c r="G128" s="7"/>
      <c r="H128" s="7"/>
      <c r="I128" s="7"/>
    </row>
    <row r="129" spans="1:9" x14ac:dyDescent="0.3">
      <c r="A129" s="117">
        <v>61500</v>
      </c>
      <c r="B129" s="4">
        <f t="shared" si="2"/>
        <v>5125</v>
      </c>
      <c r="C129" s="3"/>
      <c r="D129" s="7"/>
      <c r="E129" s="7"/>
      <c r="F129" s="7"/>
      <c r="G129" s="7"/>
      <c r="H129" s="7"/>
      <c r="I129" s="7"/>
    </row>
    <row r="130" spans="1:9" x14ac:dyDescent="0.3">
      <c r="A130" s="117">
        <v>62000</v>
      </c>
      <c r="B130" s="4">
        <f t="shared" si="2"/>
        <v>5166.666666666667</v>
      </c>
      <c r="C130" s="3"/>
      <c r="D130" s="7"/>
      <c r="E130" s="7"/>
      <c r="F130" s="7"/>
      <c r="G130" s="7"/>
      <c r="H130" s="7"/>
      <c r="I130" s="7"/>
    </row>
    <row r="131" spans="1:9" x14ac:dyDescent="0.3">
      <c r="A131" s="29">
        <v>62500</v>
      </c>
      <c r="B131" s="4">
        <f t="shared" si="2"/>
        <v>5208.333333333333</v>
      </c>
      <c r="C131" s="3"/>
      <c r="D131" s="7"/>
      <c r="E131" s="7"/>
      <c r="F131" s="7"/>
      <c r="G131" s="7"/>
      <c r="H131" s="7"/>
      <c r="I131" s="7"/>
    </row>
    <row r="132" spans="1:9" x14ac:dyDescent="0.3">
      <c r="A132" s="117">
        <v>63000</v>
      </c>
      <c r="B132" s="4">
        <f t="shared" si="2"/>
        <v>5250</v>
      </c>
      <c r="C132" s="3"/>
      <c r="D132" s="7"/>
      <c r="E132" s="7"/>
      <c r="F132" s="7"/>
      <c r="G132" s="7"/>
      <c r="H132" s="7"/>
      <c r="I132" s="7"/>
    </row>
    <row r="133" spans="1:9" x14ac:dyDescent="0.3">
      <c r="A133" s="117">
        <v>63500</v>
      </c>
      <c r="B133" s="4">
        <f t="shared" si="2"/>
        <v>5291.666666666667</v>
      </c>
      <c r="C133" s="3"/>
      <c r="D133" s="7"/>
      <c r="E133" s="7"/>
      <c r="F133" s="7"/>
      <c r="G133" s="7"/>
      <c r="H133" s="7"/>
      <c r="I133" s="7"/>
    </row>
    <row r="134" spans="1:9" x14ac:dyDescent="0.3">
      <c r="A134" s="29">
        <v>64000</v>
      </c>
      <c r="B134" s="4">
        <f t="shared" si="2"/>
        <v>5333.333333333333</v>
      </c>
      <c r="C134" s="3"/>
      <c r="D134" s="7"/>
      <c r="E134" s="7"/>
      <c r="F134" s="7"/>
      <c r="G134" s="7"/>
      <c r="H134" s="7"/>
      <c r="I134" s="7"/>
    </row>
    <row r="135" spans="1:9" x14ac:dyDescent="0.3">
      <c r="A135" s="117">
        <v>64500</v>
      </c>
      <c r="B135" s="4">
        <f t="shared" si="2"/>
        <v>5375</v>
      </c>
      <c r="C135" s="3"/>
      <c r="D135" s="7"/>
      <c r="E135" s="7"/>
      <c r="F135" s="7"/>
      <c r="G135" s="7"/>
      <c r="H135" s="7"/>
      <c r="I135" s="7"/>
    </row>
    <row r="136" spans="1:9" x14ac:dyDescent="0.3">
      <c r="A136" s="117">
        <v>65000</v>
      </c>
      <c r="B136" s="4">
        <f t="shared" si="2"/>
        <v>5416.666666666667</v>
      </c>
      <c r="C136" s="3"/>
      <c r="D136" s="7"/>
      <c r="E136" s="7"/>
      <c r="F136" s="7"/>
      <c r="G136" s="7"/>
      <c r="H136" s="7"/>
      <c r="I136" s="7"/>
    </row>
    <row r="137" spans="1:9" x14ac:dyDescent="0.3">
      <c r="A137" s="29">
        <v>65500</v>
      </c>
      <c r="B137" s="4">
        <f t="shared" si="2"/>
        <v>5458.333333333333</v>
      </c>
      <c r="C137" s="3"/>
      <c r="D137" s="7"/>
      <c r="E137" s="7"/>
      <c r="F137" s="7"/>
      <c r="G137" s="7"/>
      <c r="H137" s="7"/>
      <c r="I137" s="7"/>
    </row>
    <row r="138" spans="1:9" x14ac:dyDescent="0.3">
      <c r="A138" s="117">
        <v>66000</v>
      </c>
      <c r="B138" s="4">
        <f t="shared" si="2"/>
        <v>5500</v>
      </c>
      <c r="C138" s="3"/>
      <c r="D138" s="7"/>
      <c r="E138" s="7"/>
      <c r="F138" s="7"/>
      <c r="G138" s="7"/>
      <c r="H138" s="7"/>
      <c r="I138" s="7"/>
    </row>
    <row r="139" spans="1:9" x14ac:dyDescent="0.3">
      <c r="A139" s="117">
        <v>66500</v>
      </c>
      <c r="B139" s="4">
        <f t="shared" si="2"/>
        <v>5541.666666666667</v>
      </c>
      <c r="C139" s="3"/>
      <c r="D139" s="7"/>
      <c r="E139" s="7"/>
      <c r="F139" s="7"/>
      <c r="G139" s="7"/>
      <c r="H139" s="7"/>
      <c r="I139" s="7"/>
    </row>
    <row r="140" spans="1:9" x14ac:dyDescent="0.3">
      <c r="A140" s="29">
        <v>67000</v>
      </c>
      <c r="B140" s="4">
        <f t="shared" si="2"/>
        <v>5583.333333333333</v>
      </c>
      <c r="C140" s="3"/>
      <c r="D140" s="7"/>
      <c r="E140" s="7"/>
      <c r="F140" s="7"/>
      <c r="G140" s="7"/>
      <c r="H140" s="7"/>
      <c r="I140" s="7"/>
    </row>
    <row r="141" spans="1:9" x14ac:dyDescent="0.3">
      <c r="A141" s="117">
        <v>67500</v>
      </c>
      <c r="B141" s="4">
        <f t="shared" si="2"/>
        <v>5625</v>
      </c>
      <c r="C141" s="3"/>
      <c r="D141" s="7"/>
      <c r="E141" s="7"/>
      <c r="F141" s="7"/>
      <c r="G141" s="7"/>
      <c r="H141" s="7"/>
      <c r="I141" s="7"/>
    </row>
    <row r="142" spans="1:9" x14ac:dyDescent="0.3">
      <c r="A142" s="117">
        <v>68000</v>
      </c>
      <c r="B142" s="4">
        <f t="shared" si="2"/>
        <v>5666.666666666667</v>
      </c>
      <c r="C142" s="3"/>
      <c r="D142" s="7"/>
      <c r="E142" s="7"/>
      <c r="F142" s="7"/>
      <c r="G142" s="7"/>
      <c r="H142" s="7"/>
      <c r="I142" s="7"/>
    </row>
    <row r="143" spans="1:9" x14ac:dyDescent="0.3">
      <c r="A143" s="29">
        <v>68500</v>
      </c>
      <c r="B143" s="4">
        <f t="shared" si="2"/>
        <v>5708.333333333333</v>
      </c>
      <c r="C143" s="3"/>
      <c r="D143" s="7"/>
      <c r="E143" s="7"/>
      <c r="F143" s="7"/>
      <c r="G143" s="7"/>
      <c r="H143" s="7"/>
      <c r="I143" s="7"/>
    </row>
    <row r="144" spans="1:9" x14ac:dyDescent="0.3">
      <c r="A144" s="117">
        <v>69000</v>
      </c>
      <c r="B144" s="4">
        <f t="shared" si="2"/>
        <v>5750</v>
      </c>
      <c r="C144" s="3"/>
      <c r="D144" s="7"/>
      <c r="E144" s="7"/>
      <c r="F144" s="7"/>
      <c r="G144" s="7"/>
      <c r="H144" s="7"/>
      <c r="I144" s="7"/>
    </row>
    <row r="145" spans="1:9" x14ac:dyDescent="0.3">
      <c r="A145" s="117">
        <v>69500</v>
      </c>
      <c r="B145" s="4">
        <f t="shared" si="2"/>
        <v>5791.666666666667</v>
      </c>
      <c r="C145" s="3"/>
      <c r="D145" s="7"/>
      <c r="E145" s="7"/>
      <c r="F145" s="7"/>
      <c r="G145" s="7"/>
      <c r="H145" s="7"/>
      <c r="I145" s="7"/>
    </row>
    <row r="146" spans="1:9" x14ac:dyDescent="0.3">
      <c r="A146" s="29">
        <v>70000</v>
      </c>
      <c r="B146" s="4">
        <f t="shared" si="2"/>
        <v>5833.333333333333</v>
      </c>
      <c r="C146" s="3"/>
      <c r="D146" s="7"/>
      <c r="E146" s="7"/>
      <c r="F146" s="7"/>
      <c r="G146" s="7"/>
      <c r="H146" s="7"/>
      <c r="I146" s="7"/>
    </row>
    <row r="147" spans="1:9" x14ac:dyDescent="0.3">
      <c r="A147" s="117">
        <v>70500</v>
      </c>
      <c r="B147" s="4">
        <f t="shared" si="2"/>
        <v>5875</v>
      </c>
      <c r="C147" s="3"/>
      <c r="D147" s="7"/>
      <c r="E147" s="7"/>
      <c r="F147" s="7"/>
      <c r="G147" s="7"/>
      <c r="H147" s="7"/>
      <c r="I147" s="7"/>
    </row>
    <row r="148" spans="1:9" x14ac:dyDescent="0.3">
      <c r="A148" s="117">
        <v>71000</v>
      </c>
      <c r="B148" s="4">
        <f t="shared" si="2"/>
        <v>5916.666666666667</v>
      </c>
      <c r="C148" s="3"/>
      <c r="D148" s="7"/>
      <c r="E148" s="7"/>
      <c r="F148" s="7"/>
      <c r="G148" s="7"/>
      <c r="H148" s="7"/>
      <c r="I148" s="7"/>
    </row>
    <row r="149" spans="1:9" x14ac:dyDescent="0.3">
      <c r="A149" s="29">
        <v>71500</v>
      </c>
      <c r="B149" s="4">
        <f t="shared" si="2"/>
        <v>5958.333333333333</v>
      </c>
      <c r="C149" s="3"/>
      <c r="D149" s="7"/>
      <c r="E149" s="7"/>
      <c r="F149" s="7"/>
      <c r="G149" s="7"/>
      <c r="H149" s="7"/>
      <c r="I149" s="7"/>
    </row>
    <row r="150" spans="1:9" x14ac:dyDescent="0.3">
      <c r="A150" s="117">
        <v>72000</v>
      </c>
      <c r="B150" s="4">
        <f t="shared" si="2"/>
        <v>6000</v>
      </c>
      <c r="C150" s="3"/>
      <c r="D150" s="7"/>
      <c r="E150" s="7"/>
      <c r="F150" s="7"/>
      <c r="G150" s="7"/>
      <c r="H150" s="7"/>
      <c r="I150" s="7"/>
    </row>
    <row r="151" spans="1:9" x14ac:dyDescent="0.3">
      <c r="A151" s="117">
        <v>72500</v>
      </c>
      <c r="B151" s="4">
        <f t="shared" si="2"/>
        <v>6041.666666666667</v>
      </c>
      <c r="C151" s="3"/>
      <c r="D151" s="7"/>
      <c r="E151" s="7"/>
      <c r="F151" s="7"/>
      <c r="G151" s="7"/>
      <c r="H151" s="7"/>
      <c r="I151" s="7"/>
    </row>
    <row r="152" spans="1:9" x14ac:dyDescent="0.3">
      <c r="A152" s="29">
        <v>73000</v>
      </c>
      <c r="B152" s="4">
        <f t="shared" si="2"/>
        <v>6083.333333333333</v>
      </c>
      <c r="C152" s="3"/>
      <c r="D152" s="7"/>
      <c r="E152" s="7"/>
      <c r="F152" s="7"/>
      <c r="G152" s="7"/>
      <c r="H152" s="7"/>
      <c r="I152" s="7"/>
    </row>
    <row r="153" spans="1:9" x14ac:dyDescent="0.3">
      <c r="A153" s="117">
        <v>73500</v>
      </c>
      <c r="B153" s="4">
        <f t="shared" si="2"/>
        <v>6125</v>
      </c>
      <c r="C153" s="3"/>
      <c r="D153" s="7"/>
      <c r="E153" s="7"/>
      <c r="F153" s="7"/>
      <c r="G153" s="7"/>
      <c r="H153" s="7"/>
      <c r="I153" s="7"/>
    </row>
    <row r="154" spans="1:9" x14ac:dyDescent="0.3">
      <c r="A154" s="117">
        <v>74000</v>
      </c>
      <c r="B154" s="4">
        <f t="shared" si="2"/>
        <v>6166.666666666667</v>
      </c>
      <c r="C154" s="3"/>
      <c r="D154" s="7"/>
      <c r="E154" s="7"/>
      <c r="F154" s="7"/>
      <c r="G154" s="7"/>
      <c r="H154" s="7"/>
      <c r="I154" s="7"/>
    </row>
    <row r="155" spans="1:9" x14ac:dyDescent="0.3">
      <c r="A155" s="29">
        <v>74500</v>
      </c>
      <c r="B155" s="4">
        <f t="shared" si="2"/>
        <v>6208.333333333333</v>
      </c>
      <c r="C155" s="3"/>
      <c r="D155" s="7"/>
      <c r="E155" s="7"/>
      <c r="F155" s="7"/>
      <c r="G155" s="7"/>
      <c r="H155" s="7"/>
      <c r="I155" s="7"/>
    </row>
    <row r="156" spans="1:9" x14ac:dyDescent="0.3">
      <c r="A156" s="117">
        <v>75000</v>
      </c>
      <c r="B156" s="4">
        <f t="shared" si="2"/>
        <v>6250</v>
      </c>
      <c r="C156" s="3"/>
      <c r="D156" s="7"/>
      <c r="E156" s="7"/>
      <c r="F156" s="7"/>
      <c r="G156" s="7"/>
      <c r="H156" s="7"/>
      <c r="I156" s="7"/>
    </row>
    <row r="157" spans="1:9" x14ac:dyDescent="0.3">
      <c r="A157" s="117">
        <v>75500</v>
      </c>
      <c r="B157" s="4">
        <f t="shared" si="2"/>
        <v>6291.666666666667</v>
      </c>
      <c r="C157" s="3"/>
      <c r="D157" s="7"/>
      <c r="E157" s="7"/>
      <c r="F157" s="7"/>
      <c r="G157" s="7"/>
      <c r="H157" s="7"/>
      <c r="I157" s="7"/>
    </row>
    <row r="158" spans="1:9" x14ac:dyDescent="0.3">
      <c r="A158" s="29">
        <v>76000</v>
      </c>
      <c r="B158" s="4">
        <f t="shared" si="2"/>
        <v>6333.333333333333</v>
      </c>
      <c r="C158" s="3"/>
      <c r="D158" s="7"/>
      <c r="E158" s="7"/>
      <c r="F158" s="7"/>
      <c r="G158" s="7"/>
      <c r="H158" s="7"/>
      <c r="I158" s="7"/>
    </row>
    <row r="159" spans="1:9" x14ac:dyDescent="0.3">
      <c r="A159" s="117">
        <v>76500</v>
      </c>
      <c r="B159" s="4">
        <f t="shared" si="2"/>
        <v>6375</v>
      </c>
      <c r="C159" s="3"/>
      <c r="D159" s="7"/>
      <c r="E159" s="7"/>
      <c r="F159" s="7"/>
      <c r="G159" s="7"/>
      <c r="H159" s="7"/>
      <c r="I159" s="7"/>
    </row>
    <row r="160" spans="1:9" x14ac:dyDescent="0.3">
      <c r="A160" s="117">
        <v>77000</v>
      </c>
      <c r="B160" s="4">
        <f t="shared" si="2"/>
        <v>6416.666666666667</v>
      </c>
      <c r="C160" s="3"/>
      <c r="D160" s="7"/>
      <c r="E160" s="7"/>
      <c r="F160" s="7"/>
      <c r="G160" s="7"/>
      <c r="H160" s="7"/>
      <c r="I160" s="7"/>
    </row>
    <row r="161" spans="1:9" x14ac:dyDescent="0.3">
      <c r="A161" s="29">
        <v>77500</v>
      </c>
      <c r="B161" s="4">
        <f t="shared" si="2"/>
        <v>6458.333333333333</v>
      </c>
      <c r="C161" s="3"/>
      <c r="D161" s="7"/>
      <c r="E161" s="7"/>
      <c r="F161" s="7"/>
      <c r="G161" s="7"/>
      <c r="H161" s="7"/>
      <c r="I161" s="7"/>
    </row>
    <row r="162" spans="1:9" x14ac:dyDescent="0.3">
      <c r="A162" s="117">
        <v>78000</v>
      </c>
      <c r="B162" s="4">
        <f t="shared" si="2"/>
        <v>6500</v>
      </c>
      <c r="C162" s="3"/>
      <c r="D162" s="7"/>
      <c r="E162" s="7"/>
      <c r="F162" s="7"/>
      <c r="G162" s="7"/>
      <c r="H162" s="7"/>
      <c r="I162" s="7"/>
    </row>
    <row r="163" spans="1:9" x14ac:dyDescent="0.3">
      <c r="A163" s="117">
        <v>78500</v>
      </c>
      <c r="B163" s="4">
        <f t="shared" si="2"/>
        <v>6541.666666666667</v>
      </c>
      <c r="C163" s="3"/>
      <c r="D163" s="7"/>
      <c r="E163" s="7"/>
      <c r="F163" s="7"/>
      <c r="G163" s="7"/>
      <c r="H163" s="7"/>
      <c r="I163" s="7"/>
    </row>
    <row r="164" spans="1:9" x14ac:dyDescent="0.3">
      <c r="A164" s="29">
        <v>79000</v>
      </c>
      <c r="B164" s="4">
        <f t="shared" si="2"/>
        <v>6583.333333333333</v>
      </c>
      <c r="C164" s="3"/>
      <c r="D164" s="7"/>
      <c r="E164" s="7"/>
      <c r="F164" s="7"/>
      <c r="G164" s="7"/>
      <c r="H164" s="7"/>
      <c r="I164" s="7"/>
    </row>
    <row r="165" spans="1:9" x14ac:dyDescent="0.3">
      <c r="A165" s="117">
        <v>79500</v>
      </c>
      <c r="B165" s="4">
        <f t="shared" si="2"/>
        <v>6625</v>
      </c>
      <c r="C165" s="3"/>
      <c r="D165" s="7"/>
      <c r="E165" s="7"/>
      <c r="F165" s="7"/>
      <c r="G165" s="7"/>
      <c r="H165" s="7"/>
      <c r="I165" s="7"/>
    </row>
    <row r="166" spans="1:9" x14ac:dyDescent="0.3">
      <c r="A166" s="117">
        <v>80000</v>
      </c>
      <c r="B166" s="4">
        <f t="shared" si="2"/>
        <v>6666.666666666667</v>
      </c>
      <c r="C166" s="3"/>
      <c r="D166" s="7"/>
      <c r="E166" s="7"/>
      <c r="F166" s="7"/>
      <c r="G166" s="7"/>
      <c r="H166" s="7"/>
      <c r="I166" s="7"/>
    </row>
    <row r="167" spans="1:9" x14ac:dyDescent="0.3">
      <c r="A167" s="29">
        <v>80500</v>
      </c>
      <c r="B167" s="4">
        <f t="shared" si="2"/>
        <v>6708.333333333333</v>
      </c>
      <c r="C167" s="3"/>
      <c r="D167" s="7"/>
      <c r="E167" s="7"/>
      <c r="F167" s="7"/>
      <c r="G167" s="7"/>
      <c r="H167" s="7"/>
      <c r="I167" s="7"/>
    </row>
    <row r="168" spans="1:9" x14ac:dyDescent="0.3">
      <c r="A168" s="117">
        <v>81000</v>
      </c>
      <c r="B168" s="4">
        <f t="shared" si="2"/>
        <v>6750</v>
      </c>
      <c r="C168" s="3"/>
      <c r="D168" s="7"/>
      <c r="E168" s="7"/>
      <c r="F168" s="7"/>
      <c r="G168" s="7"/>
      <c r="H168" s="7"/>
      <c r="I168" s="7"/>
    </row>
    <row r="169" spans="1:9" x14ac:dyDescent="0.3">
      <c r="A169" s="117">
        <v>81500</v>
      </c>
      <c r="B169" s="4">
        <f t="shared" si="2"/>
        <v>6791.666666666667</v>
      </c>
      <c r="C169" s="3"/>
      <c r="D169" s="7"/>
      <c r="E169" s="7"/>
      <c r="F169" s="7"/>
      <c r="G169" s="7"/>
      <c r="H169" s="7"/>
      <c r="I169" s="7"/>
    </row>
    <row r="170" spans="1:9" x14ac:dyDescent="0.3">
      <c r="A170" s="29">
        <v>82000</v>
      </c>
      <c r="B170" s="4">
        <f t="shared" si="2"/>
        <v>6833.333333333333</v>
      </c>
      <c r="C170" s="3"/>
      <c r="D170" s="7"/>
      <c r="E170" s="7"/>
      <c r="F170" s="7"/>
      <c r="G170" s="7"/>
      <c r="H170" s="7"/>
      <c r="I170" s="7"/>
    </row>
    <row r="171" spans="1:9" x14ac:dyDescent="0.3">
      <c r="A171" s="117">
        <v>82500</v>
      </c>
      <c r="B171" s="4">
        <f t="shared" si="2"/>
        <v>6875</v>
      </c>
      <c r="C171" s="3"/>
      <c r="D171" s="7"/>
      <c r="E171" s="7"/>
      <c r="F171" s="7"/>
      <c r="G171" s="7"/>
      <c r="H171" s="7"/>
      <c r="I171" s="7"/>
    </row>
    <row r="172" spans="1:9" x14ac:dyDescent="0.3">
      <c r="A172" s="117">
        <v>83000</v>
      </c>
      <c r="B172" s="4">
        <f t="shared" ref="B172:B206" si="3">A172/12</f>
        <v>6916.666666666667</v>
      </c>
      <c r="C172" s="3"/>
      <c r="D172" s="7"/>
      <c r="E172" s="7"/>
      <c r="F172" s="7"/>
      <c r="G172" s="7"/>
      <c r="H172" s="7"/>
      <c r="I172" s="7"/>
    </row>
    <row r="173" spans="1:9" x14ac:dyDescent="0.3">
      <c r="A173" s="29">
        <v>83500</v>
      </c>
      <c r="B173" s="4">
        <f t="shared" si="3"/>
        <v>6958.333333333333</v>
      </c>
      <c r="C173" s="3"/>
      <c r="D173" s="7"/>
      <c r="E173" s="7"/>
      <c r="F173" s="7"/>
      <c r="G173" s="7"/>
      <c r="H173" s="7"/>
      <c r="I173" s="7"/>
    </row>
    <row r="174" spans="1:9" x14ac:dyDescent="0.3">
      <c r="A174" s="117">
        <v>84000</v>
      </c>
      <c r="B174" s="4">
        <f t="shared" si="3"/>
        <v>7000</v>
      </c>
      <c r="C174" s="3"/>
      <c r="D174" s="7"/>
      <c r="E174" s="7"/>
      <c r="F174" s="7"/>
      <c r="G174" s="7"/>
      <c r="H174" s="7"/>
      <c r="I174" s="7"/>
    </row>
    <row r="175" spans="1:9" x14ac:dyDescent="0.3">
      <c r="A175" s="117">
        <v>84500</v>
      </c>
      <c r="B175" s="4">
        <f t="shared" si="3"/>
        <v>7041.666666666667</v>
      </c>
      <c r="C175" s="3"/>
      <c r="D175" s="7"/>
      <c r="E175" s="7"/>
      <c r="F175" s="7"/>
      <c r="G175" s="7"/>
      <c r="H175" s="7"/>
      <c r="I175" s="7"/>
    </row>
    <row r="176" spans="1:9" x14ac:dyDescent="0.3">
      <c r="A176" s="29">
        <v>85000</v>
      </c>
      <c r="B176" s="4">
        <f t="shared" si="3"/>
        <v>7083.333333333333</v>
      </c>
      <c r="C176" s="3"/>
      <c r="D176" s="7"/>
      <c r="E176" s="7"/>
      <c r="F176" s="7"/>
      <c r="G176" s="7"/>
      <c r="H176" s="7"/>
      <c r="I176" s="7"/>
    </row>
    <row r="177" spans="1:9" x14ac:dyDescent="0.3">
      <c r="A177" s="117">
        <v>85500</v>
      </c>
      <c r="B177" s="4">
        <f t="shared" si="3"/>
        <v>7125</v>
      </c>
      <c r="C177" s="3"/>
      <c r="D177" s="7"/>
      <c r="E177" s="7"/>
      <c r="F177" s="7"/>
      <c r="G177" s="7"/>
      <c r="H177" s="7"/>
      <c r="I177" s="7"/>
    </row>
    <row r="178" spans="1:9" x14ac:dyDescent="0.3">
      <c r="A178" s="117">
        <v>86000</v>
      </c>
      <c r="B178" s="4">
        <f t="shared" si="3"/>
        <v>7166.666666666667</v>
      </c>
      <c r="C178" s="3"/>
      <c r="D178" s="7"/>
      <c r="E178" s="7"/>
      <c r="F178" s="7"/>
      <c r="G178" s="7"/>
      <c r="H178" s="7"/>
      <c r="I178" s="7"/>
    </row>
    <row r="179" spans="1:9" x14ac:dyDescent="0.3">
      <c r="A179" s="29">
        <v>86500</v>
      </c>
      <c r="B179" s="4">
        <f t="shared" si="3"/>
        <v>7208.333333333333</v>
      </c>
      <c r="C179" s="3"/>
      <c r="D179" s="7"/>
      <c r="E179" s="7"/>
      <c r="F179" s="7"/>
      <c r="G179" s="7"/>
      <c r="H179" s="7"/>
      <c r="I179" s="7"/>
    </row>
    <row r="180" spans="1:9" x14ac:dyDescent="0.3">
      <c r="A180" s="117">
        <v>87000</v>
      </c>
      <c r="B180" s="4">
        <f t="shared" si="3"/>
        <v>7250</v>
      </c>
      <c r="C180" s="3"/>
      <c r="D180" s="7"/>
      <c r="E180" s="7"/>
      <c r="F180" s="7"/>
      <c r="G180" s="7"/>
      <c r="H180" s="7"/>
      <c r="I180" s="7"/>
    </row>
    <row r="181" spans="1:9" x14ac:dyDescent="0.3">
      <c r="A181" s="117">
        <v>87500</v>
      </c>
      <c r="B181" s="4">
        <f t="shared" si="3"/>
        <v>7291.666666666667</v>
      </c>
      <c r="C181" s="3"/>
      <c r="D181" s="7"/>
      <c r="E181" s="7"/>
      <c r="F181" s="7"/>
      <c r="G181" s="7"/>
      <c r="H181" s="7"/>
      <c r="I181" s="7"/>
    </row>
    <row r="182" spans="1:9" x14ac:dyDescent="0.3">
      <c r="A182" s="29">
        <v>88000</v>
      </c>
      <c r="B182" s="4">
        <f t="shared" si="3"/>
        <v>7333.333333333333</v>
      </c>
      <c r="C182" s="3"/>
      <c r="D182" s="7"/>
      <c r="E182" s="7"/>
      <c r="F182" s="7"/>
      <c r="G182" s="7"/>
      <c r="H182" s="7"/>
      <c r="I182" s="7"/>
    </row>
    <row r="183" spans="1:9" x14ac:dyDescent="0.3">
      <c r="A183" s="117">
        <v>88500</v>
      </c>
      <c r="B183" s="4">
        <f t="shared" si="3"/>
        <v>7375</v>
      </c>
      <c r="C183" s="3"/>
      <c r="D183" s="7"/>
      <c r="E183" s="7"/>
      <c r="F183" s="7"/>
      <c r="G183" s="7"/>
      <c r="H183" s="7"/>
      <c r="I183" s="7"/>
    </row>
    <row r="184" spans="1:9" x14ac:dyDescent="0.3">
      <c r="A184" s="117">
        <v>89000</v>
      </c>
      <c r="B184" s="4">
        <f t="shared" si="3"/>
        <v>7416.666666666667</v>
      </c>
      <c r="C184" s="3"/>
      <c r="D184" s="7"/>
      <c r="E184" s="7"/>
      <c r="F184" s="7"/>
      <c r="G184" s="7"/>
      <c r="H184" s="7"/>
      <c r="I184" s="7"/>
    </row>
    <row r="185" spans="1:9" x14ac:dyDescent="0.3">
      <c r="A185" s="29">
        <v>89500</v>
      </c>
      <c r="B185" s="4">
        <f t="shared" si="3"/>
        <v>7458.333333333333</v>
      </c>
      <c r="C185" s="3"/>
      <c r="D185" s="7"/>
      <c r="E185" s="7"/>
      <c r="F185" s="7"/>
      <c r="G185" s="7"/>
      <c r="H185" s="7"/>
      <c r="I185" s="7"/>
    </row>
    <row r="186" spans="1:9" x14ac:dyDescent="0.3">
      <c r="A186" s="117">
        <v>90000</v>
      </c>
      <c r="B186" s="4">
        <f t="shared" si="3"/>
        <v>7500</v>
      </c>
      <c r="C186" s="3"/>
      <c r="D186" s="7"/>
      <c r="E186" s="7"/>
      <c r="F186" s="7"/>
      <c r="G186" s="7"/>
      <c r="H186" s="7"/>
      <c r="I186" s="7"/>
    </row>
    <row r="187" spans="1:9" x14ac:dyDescent="0.3">
      <c r="A187" s="117">
        <v>90500</v>
      </c>
      <c r="B187" s="4">
        <f t="shared" si="3"/>
        <v>7541.666666666667</v>
      </c>
      <c r="C187" s="3"/>
      <c r="D187" s="7"/>
      <c r="E187" s="7"/>
      <c r="F187" s="7"/>
      <c r="G187" s="7"/>
      <c r="H187" s="7"/>
      <c r="I187" s="7"/>
    </row>
    <row r="188" spans="1:9" x14ac:dyDescent="0.3">
      <c r="A188" s="29">
        <v>91000</v>
      </c>
      <c r="B188" s="4">
        <f t="shared" si="3"/>
        <v>7583.333333333333</v>
      </c>
      <c r="C188" s="3"/>
      <c r="D188" s="7"/>
      <c r="E188" s="7"/>
      <c r="F188" s="7"/>
      <c r="G188" s="7"/>
      <c r="H188" s="7"/>
      <c r="I188" s="7"/>
    </row>
    <row r="189" spans="1:9" x14ac:dyDescent="0.3">
      <c r="A189" s="117">
        <v>91500</v>
      </c>
      <c r="B189" s="4">
        <f t="shared" si="3"/>
        <v>7625</v>
      </c>
      <c r="C189" s="3"/>
      <c r="D189" s="7"/>
      <c r="E189" s="7"/>
      <c r="F189" s="7"/>
      <c r="G189" s="7"/>
      <c r="H189" s="7"/>
      <c r="I189" s="7"/>
    </row>
    <row r="190" spans="1:9" x14ac:dyDescent="0.3">
      <c r="A190" s="117">
        <v>92000</v>
      </c>
      <c r="B190" s="4">
        <f t="shared" si="3"/>
        <v>7666.666666666667</v>
      </c>
      <c r="C190" s="3"/>
      <c r="D190" s="7"/>
      <c r="E190" s="7"/>
      <c r="F190" s="7"/>
      <c r="G190" s="7"/>
      <c r="H190" s="7"/>
      <c r="I190" s="7"/>
    </row>
    <row r="191" spans="1:9" x14ac:dyDescent="0.3">
      <c r="A191" s="29">
        <v>92500</v>
      </c>
      <c r="B191" s="4">
        <f t="shared" si="3"/>
        <v>7708.333333333333</v>
      </c>
      <c r="C191" s="3"/>
      <c r="D191" s="7"/>
      <c r="E191" s="7"/>
      <c r="F191" s="7"/>
      <c r="G191" s="7"/>
      <c r="H191" s="7"/>
      <c r="I191" s="7"/>
    </row>
    <row r="192" spans="1:9" x14ac:dyDescent="0.3">
      <c r="A192" s="117">
        <v>93000</v>
      </c>
      <c r="B192" s="4">
        <f t="shared" si="3"/>
        <v>7750</v>
      </c>
      <c r="C192" s="3"/>
      <c r="D192" s="7"/>
      <c r="E192" s="7"/>
      <c r="F192" s="7"/>
      <c r="G192" s="7"/>
      <c r="H192" s="7"/>
      <c r="I192" s="7"/>
    </row>
    <row r="193" spans="1:9" x14ac:dyDescent="0.3">
      <c r="A193" s="117">
        <v>93500</v>
      </c>
      <c r="B193" s="4">
        <f t="shared" si="3"/>
        <v>7791.666666666667</v>
      </c>
      <c r="C193" s="3"/>
      <c r="D193" s="7"/>
      <c r="E193" s="7"/>
      <c r="F193" s="7"/>
      <c r="G193" s="7"/>
      <c r="H193" s="7"/>
      <c r="I193" s="7"/>
    </row>
    <row r="194" spans="1:9" x14ac:dyDescent="0.3">
      <c r="A194" s="29">
        <v>94000</v>
      </c>
      <c r="B194" s="4">
        <f t="shared" si="3"/>
        <v>7833.333333333333</v>
      </c>
      <c r="C194" s="3"/>
      <c r="D194" s="7"/>
      <c r="E194" s="7"/>
      <c r="F194" s="7"/>
      <c r="G194" s="7"/>
      <c r="H194" s="7"/>
      <c r="I194" s="7"/>
    </row>
    <row r="195" spans="1:9" x14ac:dyDescent="0.3">
      <c r="A195" s="117">
        <v>94500</v>
      </c>
      <c r="B195" s="4">
        <f t="shared" si="3"/>
        <v>7875</v>
      </c>
      <c r="C195" s="3"/>
      <c r="D195" s="7"/>
      <c r="E195" s="7"/>
      <c r="F195" s="7"/>
      <c r="G195" s="7"/>
      <c r="H195" s="7"/>
      <c r="I195" s="7"/>
    </row>
    <row r="196" spans="1:9" x14ac:dyDescent="0.3">
      <c r="A196" s="117">
        <v>95000</v>
      </c>
      <c r="B196" s="4">
        <f t="shared" si="3"/>
        <v>7916.666666666667</v>
      </c>
      <c r="C196" s="3"/>
      <c r="D196" s="7"/>
      <c r="E196" s="7"/>
      <c r="F196" s="7"/>
      <c r="G196" s="7"/>
      <c r="H196" s="7"/>
      <c r="I196" s="7"/>
    </row>
    <row r="197" spans="1:9" x14ac:dyDescent="0.3">
      <c r="A197" s="29">
        <v>95500</v>
      </c>
      <c r="B197" s="4">
        <f t="shared" si="3"/>
        <v>7958.333333333333</v>
      </c>
      <c r="C197" s="3"/>
      <c r="D197" s="7"/>
      <c r="E197" s="7"/>
      <c r="F197" s="7"/>
      <c r="G197" s="7"/>
      <c r="H197" s="7"/>
      <c r="I197" s="7"/>
    </row>
    <row r="198" spans="1:9" x14ac:dyDescent="0.3">
      <c r="A198" s="117">
        <v>96000</v>
      </c>
      <c r="B198" s="4">
        <f t="shared" si="3"/>
        <v>8000</v>
      </c>
      <c r="C198" s="3"/>
      <c r="D198" s="7"/>
      <c r="E198" s="7"/>
      <c r="F198" s="7"/>
      <c r="G198" s="7"/>
      <c r="H198" s="7"/>
      <c r="I198" s="7"/>
    </row>
    <row r="199" spans="1:9" x14ac:dyDescent="0.3">
      <c r="A199" s="117">
        <v>96500</v>
      </c>
      <c r="B199" s="4">
        <f t="shared" si="3"/>
        <v>8041.666666666667</v>
      </c>
      <c r="C199" s="3"/>
      <c r="D199" s="7"/>
      <c r="E199" s="7"/>
      <c r="F199" s="7"/>
      <c r="G199" s="7"/>
      <c r="H199" s="7"/>
      <c r="I199" s="7"/>
    </row>
    <row r="200" spans="1:9" x14ac:dyDescent="0.3">
      <c r="A200" s="29">
        <v>97000</v>
      </c>
      <c r="B200" s="4">
        <f t="shared" si="3"/>
        <v>8083.333333333333</v>
      </c>
      <c r="C200" s="3"/>
      <c r="D200" s="7"/>
      <c r="E200" s="7"/>
      <c r="F200" s="7"/>
      <c r="G200" s="7"/>
      <c r="H200" s="7"/>
      <c r="I200" s="7"/>
    </row>
    <row r="201" spans="1:9" x14ac:dyDescent="0.3">
      <c r="A201" s="117">
        <v>97500</v>
      </c>
      <c r="B201" s="4">
        <f t="shared" si="3"/>
        <v>8125</v>
      </c>
      <c r="C201" s="3"/>
      <c r="D201" s="7"/>
      <c r="E201" s="7"/>
      <c r="F201" s="7"/>
      <c r="G201" s="7"/>
      <c r="H201" s="7"/>
      <c r="I201" s="7"/>
    </row>
    <row r="202" spans="1:9" x14ac:dyDescent="0.3">
      <c r="A202" s="117">
        <v>98000</v>
      </c>
      <c r="B202" s="4">
        <f t="shared" si="3"/>
        <v>8166.666666666667</v>
      </c>
      <c r="C202" s="3"/>
      <c r="D202" s="7"/>
      <c r="E202" s="7"/>
      <c r="F202" s="7"/>
      <c r="G202" s="7"/>
      <c r="H202" s="7"/>
      <c r="I202" s="7"/>
    </row>
    <row r="203" spans="1:9" x14ac:dyDescent="0.3">
      <c r="A203" s="29">
        <v>98500</v>
      </c>
      <c r="B203" s="4">
        <f t="shared" si="3"/>
        <v>8208.3333333333339</v>
      </c>
      <c r="C203" s="3"/>
      <c r="D203" s="7"/>
      <c r="E203" s="7"/>
      <c r="F203" s="7"/>
      <c r="G203" s="7"/>
      <c r="H203" s="7"/>
      <c r="I203" s="7"/>
    </row>
    <row r="204" spans="1:9" x14ac:dyDescent="0.3">
      <c r="A204" s="117">
        <v>99000</v>
      </c>
      <c r="B204" s="4">
        <f t="shared" si="3"/>
        <v>8250</v>
      </c>
      <c r="C204" s="3"/>
      <c r="D204" s="7"/>
      <c r="E204" s="7"/>
      <c r="F204" s="7"/>
      <c r="G204" s="7"/>
      <c r="H204" s="7"/>
      <c r="I204" s="7"/>
    </row>
    <row r="205" spans="1:9" x14ac:dyDescent="0.3">
      <c r="A205" s="117">
        <v>99500</v>
      </c>
      <c r="B205" s="4">
        <f t="shared" si="3"/>
        <v>8291.6666666666661</v>
      </c>
      <c r="C205" s="3"/>
      <c r="D205" s="7"/>
      <c r="E205" s="7"/>
      <c r="F205" s="7"/>
      <c r="G205" s="7"/>
      <c r="H205" s="7"/>
      <c r="I205" s="7"/>
    </row>
    <row r="206" spans="1:9" x14ac:dyDescent="0.3">
      <c r="A206" s="29">
        <v>100000</v>
      </c>
      <c r="B206" s="4">
        <f t="shared" si="3"/>
        <v>8333.3333333333339</v>
      </c>
      <c r="C206" s="3"/>
      <c r="D206" s="7"/>
      <c r="E206" s="7"/>
      <c r="F206" s="7"/>
      <c r="G206" s="7"/>
      <c r="H206" s="7"/>
      <c r="I206" s="7"/>
    </row>
    <row r="207" spans="1:9" x14ac:dyDescent="0.3">
      <c r="A207" s="29"/>
      <c r="B207" s="4"/>
      <c r="C207" s="3"/>
      <c r="D207" s="7"/>
      <c r="E207" s="7"/>
      <c r="F207" s="7"/>
      <c r="G207" s="7"/>
      <c r="H207" s="7"/>
      <c r="I207" s="7"/>
    </row>
    <row r="208" spans="1:9" x14ac:dyDescent="0.3">
      <c r="A208" s="116" t="s">
        <v>302</v>
      </c>
      <c r="B208" s="150"/>
      <c r="C208" s="3"/>
      <c r="D208" s="7"/>
      <c r="E208" s="7"/>
      <c r="F208" s="7"/>
      <c r="G208" s="7"/>
      <c r="H208" s="7"/>
      <c r="I208" s="7"/>
    </row>
    <row r="209" spans="1:9" x14ac:dyDescent="0.3">
      <c r="A209" s="7"/>
      <c r="B209" s="150">
        <f>'Total income package'!$B$90</f>
        <v>1423</v>
      </c>
      <c r="C209" s="3"/>
      <c r="D209" s="7"/>
      <c r="E209" s="7"/>
      <c r="F209" s="7"/>
      <c r="G209" s="7"/>
      <c r="H209" s="7"/>
      <c r="I209" s="7"/>
    </row>
    <row r="210" spans="1:9" x14ac:dyDescent="0.3">
      <c r="A210" s="116" t="s">
        <v>303</v>
      </c>
      <c r="B210" s="150"/>
      <c r="C210" s="3"/>
      <c r="D210" s="7"/>
      <c r="E210" s="7"/>
      <c r="F210" s="7"/>
      <c r="G210" s="7"/>
      <c r="H210" s="7"/>
      <c r="I210" s="7"/>
    </row>
    <row r="211" spans="1:9" x14ac:dyDescent="0.3">
      <c r="A211" s="7"/>
      <c r="B211" s="150">
        <f>'Total income package'!$B$91</f>
        <v>3000</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4.4" x14ac:dyDescent="0.3"/>
  <cols>
    <col min="1" max="1" width="18" customWidth="1"/>
    <col min="2" max="2" width="18.33203125" customWidth="1"/>
    <col min="3" max="3" width="22.33203125" customWidth="1"/>
    <col min="4" max="4" width="16.44140625" customWidth="1"/>
    <col min="5" max="5" width="14.5546875" customWidth="1"/>
    <col min="6" max="9" width="12.5546875" customWidth="1"/>
    <col min="10" max="10" width="18.6640625" customWidth="1"/>
  </cols>
  <sheetData>
    <row r="1" spans="1:23" ht="28.8" x14ac:dyDescent="0.3">
      <c r="A1" s="313" t="s">
        <v>271</v>
      </c>
      <c r="B1" s="313" t="s">
        <v>272</v>
      </c>
      <c r="C1" s="109"/>
      <c r="L1" s="302" t="s">
        <v>421</v>
      </c>
      <c r="W1" t="s">
        <v>422</v>
      </c>
    </row>
    <row r="2" spans="1:23" x14ac:dyDescent="0.3">
      <c r="A2" s="127" t="str">
        <f>'Total income package'!B3</f>
        <v xml:space="preserve">Buckingham </v>
      </c>
      <c r="B2" s="77">
        <f>'Total income package'!B32</f>
        <v>5</v>
      </c>
      <c r="C2" s="78"/>
    </row>
    <row r="3" spans="1:23" x14ac:dyDescent="0.3">
      <c r="L3" s="302" t="s">
        <v>423</v>
      </c>
      <c r="W3" t="s">
        <v>424</v>
      </c>
    </row>
    <row r="4" spans="1:23" x14ac:dyDescent="0.3">
      <c r="K4" t="s">
        <v>425</v>
      </c>
      <c r="L4" t="s">
        <v>426</v>
      </c>
      <c r="M4" t="s">
        <v>427</v>
      </c>
      <c r="N4" t="s">
        <v>428</v>
      </c>
      <c r="O4" t="s">
        <v>429</v>
      </c>
      <c r="P4" t="s">
        <v>430</v>
      </c>
      <c r="Q4" t="s">
        <v>431</v>
      </c>
      <c r="W4" t="s">
        <v>432</v>
      </c>
    </row>
    <row r="5" spans="1:23" ht="28.8" x14ac:dyDescent="0.3">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3">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3">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3">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3">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3">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3">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3">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3">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3">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3">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3">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3">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3">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3">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3">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3">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3">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3">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3">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3">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3">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3">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3">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3">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3">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3">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3">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3">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3">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3">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3">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3">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3">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3">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3">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3">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3">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3">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3">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3">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3">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3">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3">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3">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3">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3">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3">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3">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3">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3">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3">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3">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3">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3">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3">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3">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3">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3">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3">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3">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3">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3">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3">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3">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3">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3">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3">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3">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3">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3">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3">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3">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3">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3">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3">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3">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3">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3">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3">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3">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3">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3">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3">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3">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3">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3">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3">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3">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3">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3">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3">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3">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3">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3">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3">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3">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3">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3">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3">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3">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3">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3">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3">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3">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3">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3">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3">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3">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3">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3">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3">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3">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3">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3">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3">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3">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3">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3">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3">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3">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3">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3">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3">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3">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3">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3">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3">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3">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3">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3">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3">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3">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3">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3">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3">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3">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3">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3">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3">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3">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3">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3">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3">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3">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3">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3">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3">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3">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3">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3">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3">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3">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3">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3">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3">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3">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3">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3">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3">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3">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3">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3">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3">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3">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3">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3">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3">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3">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3">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3">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3">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3">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3">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3">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3">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3">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3">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3">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3">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3">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3">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3">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3">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3">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3">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3">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3">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3">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3">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3">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3">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3">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3">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3">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3">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3">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3">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3">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3">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3">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3">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3">
      <c r="A207" s="29"/>
      <c r="B207" s="4"/>
      <c r="C207" s="3"/>
      <c r="D207" s="7"/>
      <c r="E207" s="7"/>
      <c r="F207" s="7"/>
      <c r="G207" s="7"/>
      <c r="H207" s="7"/>
      <c r="I207" s="7"/>
    </row>
    <row r="208" spans="1:9" x14ac:dyDescent="0.3">
      <c r="A208" s="116" t="s">
        <v>302</v>
      </c>
      <c r="B208" s="150"/>
      <c r="C208" s="3"/>
      <c r="D208" s="7"/>
      <c r="E208" s="7"/>
      <c r="F208" s="7"/>
      <c r="G208" s="7"/>
      <c r="H208" s="7"/>
      <c r="I208" s="7"/>
    </row>
    <row r="209" spans="1:9" x14ac:dyDescent="0.3">
      <c r="A209" s="7"/>
      <c r="B209" s="150">
        <f>'Total income package'!$B$90</f>
        <v>1423</v>
      </c>
      <c r="C209" s="3">
        <f>'Total income package'!$D$80</f>
        <v>0</v>
      </c>
      <c r="D209" s="7">
        <f t="shared" ref="D209:D211" si="24">B209+C209</f>
        <v>1423</v>
      </c>
      <c r="E209" s="7">
        <f t="shared" ref="E209:E211" si="25">D209-20</f>
        <v>1403</v>
      </c>
      <c r="F209" s="7">
        <f>IF(B209-65&lt;0,0,B209-65)</f>
        <v>1358</v>
      </c>
      <c r="G209" s="7">
        <f t="shared" ref="G209:G211" si="26">IF(F209/2&lt;0,0,F209/2)</f>
        <v>679</v>
      </c>
      <c r="H209" s="7">
        <f t="shared" ref="H209:H211" si="27">G209+C209</f>
        <v>679</v>
      </c>
      <c r="I209" s="7"/>
    </row>
    <row r="210" spans="1:9" x14ac:dyDescent="0.3">
      <c r="A210" s="116" t="s">
        <v>303</v>
      </c>
      <c r="B210" s="150"/>
      <c r="C210" s="3"/>
      <c r="D210" s="7"/>
      <c r="E210" s="7"/>
      <c r="F210" s="7"/>
      <c r="G210" s="7"/>
      <c r="H210" s="7"/>
      <c r="I210" s="7"/>
    </row>
    <row r="211" spans="1:9" x14ac:dyDescent="0.3">
      <c r="A211" s="7"/>
      <c r="B211" s="150">
        <f>'Total income package'!$B$91</f>
        <v>3000</v>
      </c>
      <c r="C211" s="3">
        <f>'Total income package'!$D$80</f>
        <v>0</v>
      </c>
      <c r="D211" s="7">
        <f t="shared" si="24"/>
        <v>3000</v>
      </c>
      <c r="E211" s="7">
        <f t="shared" si="25"/>
        <v>2980</v>
      </c>
      <c r="F211" s="7">
        <f>IF(B211-65&lt;0,0,B211-65)</f>
        <v>2935</v>
      </c>
      <c r="G211" s="7">
        <f t="shared" si="26"/>
        <v>1467.5</v>
      </c>
      <c r="H211" s="7">
        <f t="shared" si="27"/>
        <v>1467.5</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4.4" x14ac:dyDescent="0.3"/>
  <cols>
    <col min="1" max="1" width="31.6640625" customWidth="1"/>
    <col min="2" max="2" width="21.33203125" customWidth="1"/>
    <col min="3" max="3" width="19.6640625" customWidth="1"/>
    <col min="4" max="4" width="14.33203125" customWidth="1"/>
    <col min="5" max="5" width="15.6640625" customWidth="1"/>
    <col min="6" max="6" width="16.6640625" customWidth="1"/>
    <col min="7" max="7" width="14" customWidth="1"/>
    <col min="8" max="9" width="19.44140625" customWidth="1"/>
    <col min="10" max="10" width="16.5546875" customWidth="1"/>
    <col min="11" max="11" width="16.44140625" customWidth="1"/>
    <col min="12" max="12" width="12.44140625" customWidth="1"/>
    <col min="13" max="13" width="17.109375" customWidth="1"/>
    <col min="15" max="15" width="16.88671875" customWidth="1"/>
    <col min="16" max="16" width="10.109375" bestFit="1" customWidth="1"/>
    <col min="17" max="17" width="9.88671875" bestFit="1" customWidth="1"/>
  </cols>
  <sheetData>
    <row r="3" spans="1:17" ht="49.5" customHeight="1" x14ac:dyDescent="0.3">
      <c r="A3" s="448" t="s">
        <v>725</v>
      </c>
      <c r="B3" s="448"/>
    </row>
    <row r="4" spans="1:17" ht="51" customHeight="1" x14ac:dyDescent="0.3">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727</v>
      </c>
    </row>
    <row r="5" spans="1:17" x14ac:dyDescent="0.3">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6" x14ac:dyDescent="0.3">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6" x14ac:dyDescent="0.3">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6" x14ac:dyDescent="0.3">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6" x14ac:dyDescent="0.3">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6" x14ac:dyDescent="0.3">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6" x14ac:dyDescent="0.3">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6" x14ac:dyDescent="0.3">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6" x14ac:dyDescent="0.3">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3">
      <c r="A14" s="449" t="s">
        <v>726</v>
      </c>
      <c r="B14" s="449"/>
      <c r="C14" s="449"/>
      <c r="D14" s="449"/>
      <c r="F14" s="7"/>
    </row>
    <row r="15" spans="1:17" x14ac:dyDescent="0.3">
      <c r="A15" t="s">
        <v>517</v>
      </c>
      <c r="F15" s="7"/>
    </row>
    <row r="17" spans="1:6" x14ac:dyDescent="0.3">
      <c r="A17" s="447" t="s">
        <v>518</v>
      </c>
      <c r="B17" s="447"/>
      <c r="C17" s="447"/>
      <c r="D17" s="447"/>
      <c r="E17" s="447"/>
    </row>
    <row r="18" spans="1:6" x14ac:dyDescent="0.3">
      <c r="A18" s="447" t="s">
        <v>519</v>
      </c>
      <c r="B18" s="447"/>
    </row>
    <row r="19" spans="1:6" ht="43.2" x14ac:dyDescent="0.3">
      <c r="A19" t="s">
        <v>520</v>
      </c>
      <c r="B19" s="24" t="s">
        <v>521</v>
      </c>
      <c r="C19" t="s">
        <v>522</v>
      </c>
      <c r="D19" t="s">
        <v>523</v>
      </c>
      <c r="E19" s="24" t="s">
        <v>524</v>
      </c>
      <c r="F19" s="24" t="s">
        <v>525</v>
      </c>
    </row>
    <row r="20" spans="1:6" x14ac:dyDescent="0.3">
      <c r="A20">
        <v>1</v>
      </c>
      <c r="B20" s="3">
        <v>4936</v>
      </c>
      <c r="C20" s="7">
        <f t="shared" ref="C20:C27" si="14">D6</f>
        <v>1995</v>
      </c>
      <c r="D20" s="29">
        <f t="shared" ref="D20:D27" si="15">O6</f>
        <v>2128</v>
      </c>
      <c r="E20" s="29">
        <f t="shared" ref="E20:E27" si="16">E6</f>
        <v>2460.5</v>
      </c>
      <c r="F20" s="7">
        <f t="shared" ref="F20:F27" si="17">P6</f>
        <v>3325</v>
      </c>
    </row>
    <row r="21" spans="1:6" x14ac:dyDescent="0.3">
      <c r="A21">
        <v>2</v>
      </c>
      <c r="B21" s="3">
        <v>6455</v>
      </c>
      <c r="C21" s="7">
        <f t="shared" si="14"/>
        <v>2705</v>
      </c>
      <c r="D21" s="29">
        <f t="shared" si="15"/>
        <v>2885.3333333333335</v>
      </c>
      <c r="E21" s="29">
        <f t="shared" si="16"/>
        <v>3336.1666666666665</v>
      </c>
      <c r="F21" s="7">
        <f t="shared" si="17"/>
        <v>4508.333333333333</v>
      </c>
    </row>
    <row r="22" spans="1:6" x14ac:dyDescent="0.3">
      <c r="A22">
        <v>3</v>
      </c>
      <c r="B22" s="3">
        <v>7973</v>
      </c>
      <c r="C22" s="7">
        <f t="shared" si="14"/>
        <v>3415</v>
      </c>
      <c r="D22" s="29">
        <f t="shared" si="15"/>
        <v>3642.6666666666665</v>
      </c>
      <c r="E22" s="29">
        <f t="shared" si="16"/>
        <v>4211.833333333333</v>
      </c>
      <c r="F22" s="7">
        <f t="shared" si="17"/>
        <v>5691.6666666666661</v>
      </c>
    </row>
    <row r="23" spans="1:6" x14ac:dyDescent="0.3">
      <c r="A23">
        <v>4</v>
      </c>
      <c r="B23" s="3">
        <v>9492</v>
      </c>
      <c r="C23" s="7">
        <f t="shared" si="14"/>
        <v>4125</v>
      </c>
      <c r="D23" s="29">
        <f t="shared" si="15"/>
        <v>4400</v>
      </c>
      <c r="E23" s="29">
        <f t="shared" si="16"/>
        <v>5087.5</v>
      </c>
      <c r="F23" s="7">
        <f t="shared" si="17"/>
        <v>6875</v>
      </c>
    </row>
    <row r="24" spans="1:6" x14ac:dyDescent="0.3">
      <c r="A24">
        <v>5</v>
      </c>
      <c r="B24" s="3">
        <v>11011</v>
      </c>
      <c r="C24" s="7">
        <f t="shared" si="14"/>
        <v>4835</v>
      </c>
      <c r="D24" s="29">
        <f t="shared" si="15"/>
        <v>5157.3333333333339</v>
      </c>
      <c r="E24" s="29">
        <f t="shared" si="16"/>
        <v>5963.166666666667</v>
      </c>
      <c r="F24" s="7">
        <f t="shared" si="17"/>
        <v>8058.3333333333339</v>
      </c>
    </row>
    <row r="25" spans="1:6" x14ac:dyDescent="0.3">
      <c r="A25">
        <v>6</v>
      </c>
      <c r="B25" s="3">
        <v>12529</v>
      </c>
      <c r="C25" s="7">
        <f t="shared" si="14"/>
        <v>5545</v>
      </c>
      <c r="D25" s="29">
        <f t="shared" si="15"/>
        <v>5914.666666666667</v>
      </c>
      <c r="E25" s="29">
        <f t="shared" si="16"/>
        <v>6838.833333333333</v>
      </c>
      <c r="F25" s="7">
        <f t="shared" si="17"/>
        <v>9241.6666666666661</v>
      </c>
    </row>
    <row r="26" spans="1:6" x14ac:dyDescent="0.3">
      <c r="A26">
        <v>7</v>
      </c>
      <c r="B26" s="3">
        <v>12814</v>
      </c>
      <c r="C26" s="7">
        <f t="shared" si="14"/>
        <v>6255</v>
      </c>
      <c r="D26" s="29">
        <f t="shared" si="15"/>
        <v>6672</v>
      </c>
      <c r="E26" s="29">
        <f t="shared" si="16"/>
        <v>7714.5</v>
      </c>
      <c r="F26" s="7">
        <f t="shared" si="17"/>
        <v>10425</v>
      </c>
    </row>
    <row r="27" spans="1:6" x14ac:dyDescent="0.3">
      <c r="A27">
        <v>8</v>
      </c>
      <c r="B27" s="3">
        <v>13099</v>
      </c>
      <c r="C27" s="7">
        <f t="shared" si="14"/>
        <v>6965</v>
      </c>
      <c r="D27" s="29">
        <f t="shared" si="15"/>
        <v>7429.333333333333</v>
      </c>
      <c r="E27" s="29">
        <f t="shared" si="16"/>
        <v>8590.1666666666661</v>
      </c>
      <c r="F27" s="7">
        <f t="shared" si="17"/>
        <v>11608.333333333332</v>
      </c>
    </row>
    <row r="28" spans="1:6" x14ac:dyDescent="0.3">
      <c r="B28" s="3"/>
    </row>
    <row r="29" spans="1:6" x14ac:dyDescent="0.3">
      <c r="A29" t="s">
        <v>526</v>
      </c>
    </row>
    <row r="30" spans="1:6" x14ac:dyDescent="0.3">
      <c r="A30" s="87" t="s">
        <v>527</v>
      </c>
    </row>
    <row r="33" spans="1:3" x14ac:dyDescent="0.3">
      <c r="A33" s="447" t="s">
        <v>736</v>
      </c>
      <c r="B33" s="447"/>
    </row>
    <row r="34" spans="1:3" x14ac:dyDescent="0.3">
      <c r="A34" t="s">
        <v>528</v>
      </c>
    </row>
    <row r="35" spans="1:3" x14ac:dyDescent="0.3">
      <c r="A35">
        <v>1</v>
      </c>
      <c r="B35" s="29">
        <v>209</v>
      </c>
      <c r="C35" t="s">
        <v>737</v>
      </c>
    </row>
    <row r="36" spans="1:3" x14ac:dyDescent="0.3">
      <c r="A36">
        <v>2</v>
      </c>
      <c r="B36" s="29">
        <v>209</v>
      </c>
      <c r="C36" t="s">
        <v>738</v>
      </c>
    </row>
    <row r="37" spans="1:3" x14ac:dyDescent="0.3">
      <c r="A37">
        <v>3</v>
      </c>
      <c r="B37" s="29">
        <v>209</v>
      </c>
      <c r="C37" t="s">
        <v>739</v>
      </c>
    </row>
    <row r="38" spans="1:3" x14ac:dyDescent="0.3">
      <c r="A38">
        <v>4</v>
      </c>
      <c r="B38" s="29">
        <v>223</v>
      </c>
    </row>
    <row r="39" spans="1:3" x14ac:dyDescent="0.3">
      <c r="A39">
        <v>5</v>
      </c>
      <c r="B39" s="29">
        <v>261</v>
      </c>
    </row>
    <row r="40" spans="1:3" x14ac:dyDescent="0.3">
      <c r="A40">
        <v>6</v>
      </c>
      <c r="B40" s="29">
        <v>299</v>
      </c>
    </row>
    <row r="41" spans="1:3" x14ac:dyDescent="0.3">
      <c r="A41">
        <v>7</v>
      </c>
      <c r="B41" s="29">
        <v>299</v>
      </c>
    </row>
    <row r="42" spans="1:3" x14ac:dyDescent="0.3">
      <c r="A42">
        <v>8</v>
      </c>
      <c r="B42" s="29">
        <v>299</v>
      </c>
    </row>
    <row r="43" spans="1:3" x14ac:dyDescent="0.3">
      <c r="A43" t="s">
        <v>529</v>
      </c>
    </row>
    <row r="44" spans="1:3" x14ac:dyDescent="0.3">
      <c r="A44" t="s">
        <v>530</v>
      </c>
    </row>
    <row r="46" spans="1:3" x14ac:dyDescent="0.3">
      <c r="A46" s="447" t="s">
        <v>531</v>
      </c>
      <c r="B46" s="447"/>
      <c r="C46" s="447"/>
    </row>
    <row r="47" spans="1:3" x14ac:dyDescent="0.3">
      <c r="A47" t="s">
        <v>528</v>
      </c>
      <c r="B47" t="s">
        <v>532</v>
      </c>
      <c r="C47" t="s">
        <v>533</v>
      </c>
    </row>
    <row r="48" spans="1:3" x14ac:dyDescent="0.3">
      <c r="A48">
        <v>1</v>
      </c>
      <c r="B48" s="29">
        <v>262</v>
      </c>
      <c r="C48" s="29">
        <v>366</v>
      </c>
    </row>
    <row r="49" spans="1:3" x14ac:dyDescent="0.3">
      <c r="A49">
        <v>2</v>
      </c>
      <c r="B49" s="29">
        <v>385</v>
      </c>
      <c r="C49" s="29">
        <v>489</v>
      </c>
    </row>
    <row r="50" spans="1:3" x14ac:dyDescent="0.3">
      <c r="A50">
        <v>3</v>
      </c>
      <c r="B50" s="29">
        <v>482</v>
      </c>
      <c r="C50" s="29">
        <v>587</v>
      </c>
    </row>
    <row r="51" spans="1:3" x14ac:dyDescent="0.3">
      <c r="A51">
        <v>4</v>
      </c>
      <c r="B51" s="29">
        <v>577</v>
      </c>
      <c r="C51" s="29">
        <v>681</v>
      </c>
    </row>
    <row r="52" spans="1:3" x14ac:dyDescent="0.3">
      <c r="A52">
        <v>5</v>
      </c>
      <c r="B52" s="29">
        <v>681</v>
      </c>
      <c r="C52" s="29">
        <v>811</v>
      </c>
    </row>
    <row r="53" spans="1:3" x14ac:dyDescent="0.3">
      <c r="A53">
        <v>6</v>
      </c>
      <c r="B53" s="29">
        <v>761</v>
      </c>
      <c r="C53" s="29">
        <v>887</v>
      </c>
    </row>
    <row r="54" spans="1:3" x14ac:dyDescent="0.3">
      <c r="A54">
        <v>7</v>
      </c>
      <c r="B54" s="29">
        <v>851</v>
      </c>
      <c r="C54" s="29">
        <v>979</v>
      </c>
    </row>
    <row r="55" spans="1:3" x14ac:dyDescent="0.3">
      <c r="A55">
        <v>8</v>
      </c>
      <c r="B55" s="29">
        <v>951</v>
      </c>
      <c r="C55" s="29">
        <v>1079</v>
      </c>
    </row>
    <row r="56" spans="1:3" x14ac:dyDescent="0.3">
      <c r="A56" t="s">
        <v>534</v>
      </c>
      <c r="B56" s="29">
        <v>723</v>
      </c>
      <c r="C56" s="29">
        <v>861</v>
      </c>
    </row>
    <row r="57" spans="1:3" x14ac:dyDescent="0.3">
      <c r="B57" s="29"/>
    </row>
    <row r="58" spans="1:3" x14ac:dyDescent="0.3">
      <c r="A58" s="447" t="s">
        <v>535</v>
      </c>
      <c r="B58" s="447"/>
      <c r="C58" s="447"/>
    </row>
    <row r="59" spans="1:3" x14ac:dyDescent="0.3">
      <c r="B59" s="29" t="s">
        <v>536</v>
      </c>
      <c r="C59" t="s">
        <v>533</v>
      </c>
    </row>
    <row r="60" spans="1:3" x14ac:dyDescent="0.3">
      <c r="A60">
        <v>1</v>
      </c>
      <c r="B60" s="29">
        <v>524</v>
      </c>
      <c r="C60" s="29">
        <v>730</v>
      </c>
    </row>
    <row r="61" spans="1:3" x14ac:dyDescent="0.3">
      <c r="A61">
        <v>2</v>
      </c>
      <c r="B61" s="29">
        <v>767</v>
      </c>
      <c r="C61" s="29">
        <v>974</v>
      </c>
    </row>
    <row r="62" spans="1:3" x14ac:dyDescent="0.3">
      <c r="A62">
        <v>3</v>
      </c>
      <c r="B62" s="29">
        <v>966</v>
      </c>
      <c r="C62" s="29">
        <v>1175</v>
      </c>
    </row>
    <row r="63" spans="1:3" x14ac:dyDescent="0.3">
      <c r="A63">
        <v>4</v>
      </c>
      <c r="B63" s="29">
        <v>1152</v>
      </c>
      <c r="C63" s="29">
        <v>1361</v>
      </c>
    </row>
    <row r="64" spans="1:3" x14ac:dyDescent="0.3">
      <c r="A64">
        <v>5</v>
      </c>
      <c r="B64" s="29">
        <v>1361</v>
      </c>
      <c r="C64" s="29">
        <v>1622</v>
      </c>
    </row>
    <row r="65" spans="1:5" x14ac:dyDescent="0.3">
      <c r="A65">
        <v>6</v>
      </c>
      <c r="B65" s="29">
        <v>1522</v>
      </c>
      <c r="C65" s="29">
        <v>1773</v>
      </c>
    </row>
    <row r="66" spans="1:5" x14ac:dyDescent="0.3">
      <c r="A66">
        <v>7</v>
      </c>
      <c r="B66" s="29">
        <v>1703</v>
      </c>
      <c r="C66" s="29">
        <v>1960</v>
      </c>
    </row>
    <row r="67" spans="1:5" x14ac:dyDescent="0.3">
      <c r="A67">
        <v>8</v>
      </c>
      <c r="B67" s="29">
        <v>1901</v>
      </c>
      <c r="C67" s="29">
        <v>2158</v>
      </c>
    </row>
    <row r="68" spans="1:5" x14ac:dyDescent="0.3">
      <c r="A68" t="s">
        <v>537</v>
      </c>
      <c r="B68" s="128"/>
      <c r="C68" s="128"/>
    </row>
    <row r="69" spans="1:5" x14ac:dyDescent="0.3">
      <c r="B69" s="128"/>
      <c r="C69" s="128"/>
    </row>
    <row r="70" spans="1:5" x14ac:dyDescent="0.3">
      <c r="B70" s="27" t="s">
        <v>538</v>
      </c>
      <c r="C70" s="27" t="s">
        <v>539</v>
      </c>
      <c r="D70" s="27" t="s">
        <v>540</v>
      </c>
      <c r="E70" s="27" t="s">
        <v>541</v>
      </c>
    </row>
    <row r="71" spans="1:5" x14ac:dyDescent="0.3">
      <c r="A71" t="s">
        <v>542</v>
      </c>
    </row>
    <row r="72" spans="1:5" x14ac:dyDescent="0.3">
      <c r="A72">
        <v>1</v>
      </c>
      <c r="B72" s="29">
        <v>209</v>
      </c>
      <c r="C72" s="29">
        <v>375</v>
      </c>
      <c r="D72" s="293">
        <v>744</v>
      </c>
      <c r="E72" s="293">
        <v>200</v>
      </c>
    </row>
    <row r="73" spans="1:5" x14ac:dyDescent="0.3">
      <c r="A73">
        <v>2</v>
      </c>
      <c r="B73" s="29">
        <v>209</v>
      </c>
      <c r="C73" s="29">
        <v>375</v>
      </c>
      <c r="D73" s="293">
        <v>744</v>
      </c>
      <c r="E73" s="293">
        <v>200</v>
      </c>
    </row>
    <row r="74" spans="1:5" x14ac:dyDescent="0.3">
      <c r="A74">
        <v>3</v>
      </c>
      <c r="B74" s="29">
        <v>209</v>
      </c>
      <c r="C74" s="29">
        <v>375</v>
      </c>
      <c r="D74" s="293">
        <v>744</v>
      </c>
      <c r="E74" s="293">
        <v>200</v>
      </c>
    </row>
    <row r="75" spans="1:5" x14ac:dyDescent="0.3">
      <c r="A75">
        <v>4</v>
      </c>
      <c r="B75" s="29">
        <v>223</v>
      </c>
      <c r="C75" s="29">
        <v>476</v>
      </c>
      <c r="D75" s="293">
        <v>744</v>
      </c>
      <c r="E75" s="293">
        <v>200</v>
      </c>
    </row>
    <row r="76" spans="1:5" x14ac:dyDescent="0.3">
      <c r="A76">
        <v>5</v>
      </c>
      <c r="B76" s="29">
        <v>261</v>
      </c>
      <c r="C76" s="29">
        <v>475</v>
      </c>
      <c r="D76" s="293">
        <v>744</v>
      </c>
      <c r="E76" s="293">
        <v>200</v>
      </c>
    </row>
    <row r="77" spans="1:5" x14ac:dyDescent="0.3">
      <c r="A77">
        <v>6</v>
      </c>
      <c r="B77" s="29">
        <v>299</v>
      </c>
      <c r="C77" s="29">
        <v>476</v>
      </c>
      <c r="D77" s="293">
        <v>744</v>
      </c>
      <c r="E77" s="293">
        <v>200</v>
      </c>
    </row>
    <row r="78" spans="1:5" x14ac:dyDescent="0.3">
      <c r="A78">
        <v>7</v>
      </c>
      <c r="B78" s="29">
        <v>299</v>
      </c>
      <c r="C78" s="29">
        <v>476</v>
      </c>
      <c r="D78" s="293">
        <v>744</v>
      </c>
      <c r="E78" s="293">
        <v>200</v>
      </c>
    </row>
    <row r="79" spans="1:5" x14ac:dyDescent="0.3">
      <c r="A79">
        <v>8</v>
      </c>
      <c r="B79" s="29">
        <v>299</v>
      </c>
      <c r="C79" s="29">
        <v>476</v>
      </c>
      <c r="D79" s="293">
        <v>744</v>
      </c>
      <c r="E79" s="293">
        <v>200</v>
      </c>
    </row>
    <row r="80" spans="1:5" x14ac:dyDescent="0.3">
      <c r="A80" s="389" t="s">
        <v>703</v>
      </c>
    </row>
    <row r="81" spans="1:18" x14ac:dyDescent="0.3">
      <c r="A81" t="s">
        <v>729</v>
      </c>
    </row>
    <row r="83" spans="1:18" x14ac:dyDescent="0.3">
      <c r="A83" s="450" t="s">
        <v>701</v>
      </c>
      <c r="B83" s="450"/>
      <c r="C83" s="450"/>
      <c r="D83" s="77" t="s">
        <v>730</v>
      </c>
    </row>
    <row r="84" spans="1:18" ht="43.2" x14ac:dyDescent="0.3">
      <c r="A84" s="166" t="s">
        <v>543</v>
      </c>
      <c r="B84" s="169" t="s">
        <v>544</v>
      </c>
      <c r="C84" s="169" t="s">
        <v>732</v>
      </c>
      <c r="D84" s="169" t="s">
        <v>731</v>
      </c>
      <c r="E84" s="169" t="s">
        <v>545</v>
      </c>
      <c r="F84" s="169"/>
    </row>
    <row r="85" spans="1:18" ht="15.75" customHeight="1" x14ac:dyDescent="0.3">
      <c r="A85" s="167">
        <v>1</v>
      </c>
      <c r="B85" s="168">
        <f>D85*2</f>
        <v>2610</v>
      </c>
      <c r="C85" s="168">
        <f>D85*1.3</f>
        <v>1696.5</v>
      </c>
      <c r="D85" s="168">
        <v>1305</v>
      </c>
      <c r="E85" s="168">
        <v>2152</v>
      </c>
      <c r="F85" s="4"/>
      <c r="G85" s="3">
        <f>D85*12</f>
        <v>15660</v>
      </c>
      <c r="N85" s="316"/>
      <c r="O85" s="316"/>
      <c r="P85" s="316"/>
      <c r="Q85" s="316"/>
      <c r="R85" s="316"/>
    </row>
    <row r="86" spans="1:18" ht="15.75" customHeight="1" x14ac:dyDescent="0.3">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3">
      <c r="A87" s="167">
        <v>3</v>
      </c>
      <c r="B87" s="168">
        <f t="shared" ref="B87:B92" si="21">D87*2</f>
        <v>4442</v>
      </c>
      <c r="C87" s="168">
        <f t="shared" si="18"/>
        <v>2887.3</v>
      </c>
      <c r="D87" s="168">
        <v>2221</v>
      </c>
      <c r="E87" s="168">
        <f t="shared" si="19"/>
        <v>3664.6499999999996</v>
      </c>
      <c r="G87" s="3">
        <f t="shared" si="20"/>
        <v>26652</v>
      </c>
    </row>
    <row r="88" spans="1:18" ht="15.75" customHeight="1" x14ac:dyDescent="0.3">
      <c r="A88" s="167">
        <v>4</v>
      </c>
      <c r="B88" s="168">
        <f t="shared" si="21"/>
        <v>5360</v>
      </c>
      <c r="C88" s="168">
        <f t="shared" si="18"/>
        <v>3484</v>
      </c>
      <c r="D88" s="168">
        <v>2680</v>
      </c>
      <c r="E88" s="168">
        <v>4421</v>
      </c>
      <c r="G88" s="3">
        <f t="shared" si="20"/>
        <v>32160</v>
      </c>
    </row>
    <row r="89" spans="1:18" ht="15.75" customHeight="1" x14ac:dyDescent="0.3">
      <c r="A89" s="167">
        <v>5</v>
      </c>
      <c r="B89" s="168">
        <f t="shared" si="21"/>
        <v>6276</v>
      </c>
      <c r="C89" s="168">
        <f t="shared" si="18"/>
        <v>4079.4</v>
      </c>
      <c r="D89" s="168">
        <v>3138</v>
      </c>
      <c r="E89" s="168">
        <v>5177</v>
      </c>
      <c r="G89" s="3">
        <f t="shared" si="20"/>
        <v>37656</v>
      </c>
    </row>
    <row r="90" spans="1:18" ht="15.75" customHeight="1" x14ac:dyDescent="0.3">
      <c r="A90" s="167">
        <v>6</v>
      </c>
      <c r="B90" s="168">
        <f t="shared" si="21"/>
        <v>7192</v>
      </c>
      <c r="C90" s="168">
        <f t="shared" si="18"/>
        <v>4674.8</v>
      </c>
      <c r="D90" s="168">
        <v>3596</v>
      </c>
      <c r="E90" s="168">
        <v>5934</v>
      </c>
      <c r="G90" s="3">
        <f t="shared" si="20"/>
        <v>43152</v>
      </c>
    </row>
    <row r="91" spans="1:18" ht="15.75" customHeight="1" x14ac:dyDescent="0.3">
      <c r="A91" s="167">
        <v>7</v>
      </c>
      <c r="B91" s="168">
        <f t="shared" si="21"/>
        <v>8110</v>
      </c>
      <c r="C91" s="168">
        <f t="shared" si="18"/>
        <v>5271.5</v>
      </c>
      <c r="D91" s="168">
        <v>4055</v>
      </c>
      <c r="E91" s="168">
        <v>6690</v>
      </c>
      <c r="G91" s="3">
        <f t="shared" si="20"/>
        <v>48660</v>
      </c>
    </row>
    <row r="92" spans="1:18" ht="15.75" customHeight="1" x14ac:dyDescent="0.3">
      <c r="A92" s="167">
        <v>8</v>
      </c>
      <c r="B92" s="168">
        <f t="shared" si="21"/>
        <v>9026</v>
      </c>
      <c r="C92" s="168">
        <f t="shared" si="18"/>
        <v>5866.9000000000005</v>
      </c>
      <c r="D92" s="168">
        <v>4513</v>
      </c>
      <c r="E92" s="168">
        <f t="shared" si="19"/>
        <v>7446.45</v>
      </c>
      <c r="G92" s="3">
        <f t="shared" si="20"/>
        <v>54156</v>
      </c>
    </row>
    <row r="93" spans="1:18" x14ac:dyDescent="0.3">
      <c r="A93" s="389" t="s">
        <v>703</v>
      </c>
      <c r="B93" s="316"/>
      <c r="C93" s="168"/>
    </row>
    <row r="94" spans="1:18" ht="15" customHeight="1" x14ac:dyDescent="0.3">
      <c r="B94" s="316"/>
    </row>
    <row r="95" spans="1:18" ht="15" customHeight="1" x14ac:dyDescent="0.3">
      <c r="A95" s="451" t="s">
        <v>546</v>
      </c>
      <c r="B95" s="451"/>
      <c r="C95" s="168"/>
    </row>
    <row r="96" spans="1:18" x14ac:dyDescent="0.3">
      <c r="A96" s="172" t="s">
        <v>547</v>
      </c>
      <c r="B96" s="173" t="s">
        <v>548</v>
      </c>
    </row>
    <row r="97" spans="1:5" ht="15" customHeight="1" x14ac:dyDescent="0.3">
      <c r="A97" s="172">
        <v>1</v>
      </c>
      <c r="B97" s="174">
        <v>298</v>
      </c>
    </row>
    <row r="98" spans="1:5" x14ac:dyDescent="0.3">
      <c r="A98" s="172">
        <v>2</v>
      </c>
      <c r="B98" s="174">
        <v>546</v>
      </c>
    </row>
    <row r="99" spans="1:5" ht="15" customHeight="1" x14ac:dyDescent="0.3">
      <c r="A99" s="172">
        <v>3</v>
      </c>
      <c r="B99" s="174">
        <v>785</v>
      </c>
    </row>
    <row r="100" spans="1:5" x14ac:dyDescent="0.3">
      <c r="A100" s="172">
        <v>4</v>
      </c>
      <c r="B100" s="174">
        <v>994</v>
      </c>
    </row>
    <row r="101" spans="1:5" ht="15" customHeight="1" x14ac:dyDescent="0.3">
      <c r="A101" s="172">
        <v>5</v>
      </c>
      <c r="B101" s="174">
        <v>1183</v>
      </c>
    </row>
    <row r="102" spans="1:5" x14ac:dyDescent="0.3">
      <c r="A102" s="172">
        <v>6</v>
      </c>
      <c r="B102" s="174">
        <v>1421</v>
      </c>
    </row>
    <row r="103" spans="1:5" ht="15" customHeight="1" x14ac:dyDescent="0.3">
      <c r="A103" s="172">
        <v>7</v>
      </c>
      <c r="B103" s="174">
        <v>1571</v>
      </c>
    </row>
    <row r="104" spans="1:5" x14ac:dyDescent="0.3">
      <c r="A104" s="173">
        <v>8</v>
      </c>
      <c r="B104" s="174">
        <v>1789</v>
      </c>
    </row>
    <row r="105" spans="1:5" ht="15" customHeight="1" x14ac:dyDescent="0.3">
      <c r="A105" s="389" t="s">
        <v>703</v>
      </c>
      <c r="B105" s="174"/>
    </row>
    <row r="106" spans="1:5" x14ac:dyDescent="0.3">
      <c r="A106" s="173"/>
      <c r="B106" s="173"/>
      <c r="C106" s="170"/>
      <c r="D106" s="168"/>
    </row>
    <row r="107" spans="1:5" ht="15" customHeight="1" x14ac:dyDescent="0.3">
      <c r="A107" s="172"/>
      <c r="B107" s="173"/>
    </row>
    <row r="108" spans="1:5" x14ac:dyDescent="0.3">
      <c r="A108" s="447" t="s">
        <v>712</v>
      </c>
      <c r="B108" s="447"/>
      <c r="D108" s="168"/>
    </row>
    <row r="109" spans="1:5" ht="15" customHeight="1" x14ac:dyDescent="0.3">
      <c r="A109">
        <v>1</v>
      </c>
      <c r="B109" s="3">
        <v>2413</v>
      </c>
      <c r="C109" s="3"/>
      <c r="D109" s="171"/>
      <c r="E109" s="3"/>
    </row>
    <row r="110" spans="1:5" x14ac:dyDescent="0.3">
      <c r="A110">
        <v>2</v>
      </c>
      <c r="B110" s="3">
        <v>3261</v>
      </c>
      <c r="C110" s="3"/>
      <c r="D110" s="3"/>
      <c r="E110" s="3"/>
    </row>
    <row r="111" spans="1:5" x14ac:dyDescent="0.3">
      <c r="A111">
        <v>3</v>
      </c>
      <c r="B111" s="3">
        <v>4109</v>
      </c>
      <c r="C111" s="3"/>
      <c r="D111" s="3"/>
      <c r="E111" s="3"/>
    </row>
    <row r="112" spans="1:5" x14ac:dyDescent="0.3">
      <c r="A112">
        <v>4</v>
      </c>
      <c r="B112" s="3">
        <v>4957</v>
      </c>
      <c r="C112" s="3"/>
      <c r="D112" s="3"/>
      <c r="E112" s="3"/>
    </row>
    <row r="113" spans="1:5" x14ac:dyDescent="0.3">
      <c r="A113">
        <v>5</v>
      </c>
      <c r="B113" s="3">
        <v>5805</v>
      </c>
      <c r="C113" s="3"/>
      <c r="D113" s="3"/>
      <c r="E113" s="3"/>
    </row>
    <row r="114" spans="1:5" x14ac:dyDescent="0.3">
      <c r="A114">
        <v>6</v>
      </c>
      <c r="B114" s="3">
        <v>6653</v>
      </c>
      <c r="C114" s="3"/>
      <c r="D114" s="3"/>
      <c r="E114" s="3"/>
    </row>
    <row r="115" spans="1:5" x14ac:dyDescent="0.3">
      <c r="A115">
        <v>7</v>
      </c>
      <c r="B115" s="3">
        <v>7501</v>
      </c>
      <c r="C115" s="3"/>
      <c r="D115" s="3"/>
      <c r="E115" s="3"/>
    </row>
    <row r="116" spans="1:5" x14ac:dyDescent="0.3">
      <c r="A116">
        <v>8</v>
      </c>
      <c r="B116" s="3">
        <v>8349</v>
      </c>
      <c r="C116" s="3"/>
      <c r="D116" s="3"/>
      <c r="E116" s="3"/>
    </row>
    <row r="117" spans="1:5" x14ac:dyDescent="0.3">
      <c r="A117" t="s">
        <v>549</v>
      </c>
    </row>
    <row r="119" spans="1:5" x14ac:dyDescent="0.3">
      <c r="A119" s="27" t="s">
        <v>550</v>
      </c>
      <c r="B119" s="3">
        <v>36.76</v>
      </c>
    </row>
    <row r="120" spans="1:5" x14ac:dyDescent="0.3">
      <c r="A120" t="s">
        <v>551</v>
      </c>
    </row>
    <row r="122" spans="1:5" x14ac:dyDescent="0.3">
      <c r="A122" s="447" t="s">
        <v>717</v>
      </c>
      <c r="B122" s="447"/>
      <c r="C122" s="447"/>
      <c r="D122" s="447"/>
    </row>
    <row r="123" spans="1:5" x14ac:dyDescent="0.3">
      <c r="B123" t="s">
        <v>552</v>
      </c>
      <c r="C123" t="s">
        <v>532</v>
      </c>
      <c r="D123" t="s">
        <v>553</v>
      </c>
    </row>
    <row r="124" spans="1:5" x14ac:dyDescent="0.3">
      <c r="A124">
        <v>1</v>
      </c>
      <c r="B124" s="29">
        <v>329</v>
      </c>
      <c r="C124" s="29">
        <v>429</v>
      </c>
      <c r="D124" s="29">
        <v>642</v>
      </c>
    </row>
    <row r="125" spans="1:5" x14ac:dyDescent="0.3">
      <c r="A125">
        <v>2</v>
      </c>
      <c r="B125" s="29">
        <v>495</v>
      </c>
      <c r="C125" s="29">
        <v>609</v>
      </c>
      <c r="D125" s="29">
        <v>859</v>
      </c>
    </row>
    <row r="126" spans="1:5" x14ac:dyDescent="0.3">
      <c r="A126">
        <v>3</v>
      </c>
      <c r="B126" s="29">
        <v>632</v>
      </c>
      <c r="C126" s="29">
        <v>767</v>
      </c>
      <c r="D126" s="29">
        <v>1048</v>
      </c>
    </row>
    <row r="127" spans="1:5" x14ac:dyDescent="0.3">
      <c r="A127">
        <v>4</v>
      </c>
      <c r="B127" s="29">
        <v>742</v>
      </c>
      <c r="C127" s="29">
        <v>913</v>
      </c>
      <c r="D127" s="29">
        <v>1226</v>
      </c>
    </row>
    <row r="128" spans="1:5" x14ac:dyDescent="0.3">
      <c r="A128">
        <v>5</v>
      </c>
      <c r="B128" s="29">
        <v>896</v>
      </c>
      <c r="C128" s="29">
        <v>1075</v>
      </c>
      <c r="D128" s="29">
        <v>1452</v>
      </c>
    </row>
    <row r="129" spans="1:4" x14ac:dyDescent="0.3">
      <c r="A129">
        <v>6</v>
      </c>
      <c r="B129" s="29">
        <v>1010</v>
      </c>
      <c r="C129" s="29">
        <v>1209</v>
      </c>
      <c r="D129" s="29">
        <v>1613</v>
      </c>
    </row>
    <row r="130" spans="1:4" x14ac:dyDescent="0.3">
      <c r="A130">
        <v>7</v>
      </c>
      <c r="B130" s="29">
        <v>1142</v>
      </c>
      <c r="C130" s="29">
        <v>1355</v>
      </c>
      <c r="D130" s="29">
        <v>1793</v>
      </c>
    </row>
    <row r="131" spans="1:4" x14ac:dyDescent="0.3">
      <c r="A131">
        <v>8</v>
      </c>
      <c r="B131" s="29">
        <v>1276</v>
      </c>
      <c r="C131" s="29">
        <v>1510</v>
      </c>
      <c r="D131" s="29">
        <v>1983</v>
      </c>
    </row>
    <row r="134" spans="1:4" x14ac:dyDescent="0.3">
      <c r="A134" s="447" t="s">
        <v>718</v>
      </c>
      <c r="B134" s="447"/>
      <c r="C134" s="447"/>
      <c r="D134" s="447"/>
    </row>
    <row r="135" spans="1:4" x14ac:dyDescent="0.3">
      <c r="B135" t="s">
        <v>552</v>
      </c>
      <c r="C135" t="s">
        <v>532</v>
      </c>
      <c r="D135" t="s">
        <v>553</v>
      </c>
    </row>
    <row r="136" spans="1:4" x14ac:dyDescent="0.3">
      <c r="A136">
        <v>1</v>
      </c>
      <c r="B136" s="29">
        <v>315</v>
      </c>
      <c r="C136" s="29">
        <v>424</v>
      </c>
      <c r="D136" s="29">
        <v>560</v>
      </c>
    </row>
    <row r="137" spans="1:4" x14ac:dyDescent="0.3">
      <c r="A137">
        <v>2</v>
      </c>
      <c r="B137" s="29">
        <v>481</v>
      </c>
      <c r="C137" s="29">
        <v>611</v>
      </c>
      <c r="D137" s="29">
        <v>752</v>
      </c>
    </row>
    <row r="138" spans="1:4" x14ac:dyDescent="0.3">
      <c r="A138">
        <v>3</v>
      </c>
      <c r="B138" s="29">
        <v>618</v>
      </c>
      <c r="C138" s="29">
        <v>765</v>
      </c>
      <c r="D138" s="29">
        <v>907</v>
      </c>
    </row>
    <row r="139" spans="1:4" x14ac:dyDescent="0.3">
      <c r="A139">
        <v>4</v>
      </c>
      <c r="B139" s="29">
        <v>747</v>
      </c>
      <c r="C139" s="29">
        <v>914</v>
      </c>
      <c r="D139" s="29">
        <v>1062</v>
      </c>
    </row>
    <row r="140" spans="1:4" x14ac:dyDescent="0.3">
      <c r="A140">
        <v>5</v>
      </c>
      <c r="B140" s="29">
        <v>880</v>
      </c>
      <c r="C140" s="29">
        <v>1079</v>
      </c>
      <c r="D140" s="29">
        <v>1256</v>
      </c>
    </row>
    <row r="141" spans="1:4" x14ac:dyDescent="0.3">
      <c r="A141">
        <v>6</v>
      </c>
      <c r="B141" s="29">
        <v>986</v>
      </c>
      <c r="C141" s="29">
        <v>1209</v>
      </c>
      <c r="D141" s="29">
        <v>1383</v>
      </c>
    </row>
    <row r="142" spans="1:4" x14ac:dyDescent="0.3">
      <c r="A142">
        <v>7</v>
      </c>
      <c r="B142" s="29">
        <v>1114</v>
      </c>
      <c r="C142" s="29">
        <v>1355</v>
      </c>
      <c r="D142" s="29">
        <v>1534</v>
      </c>
    </row>
    <row r="143" spans="1:4" x14ac:dyDescent="0.3">
      <c r="A143">
        <v>8</v>
      </c>
      <c r="B143" s="29">
        <v>1253</v>
      </c>
      <c r="C143" s="29">
        <v>1509</v>
      </c>
      <c r="D143" s="29">
        <v>1689</v>
      </c>
    </row>
    <row r="144" spans="1:4" x14ac:dyDescent="0.3">
      <c r="A144" t="s">
        <v>716</v>
      </c>
    </row>
    <row r="145" spans="1:4" x14ac:dyDescent="0.3">
      <c r="A145" s="447"/>
      <c r="B145" s="447"/>
      <c r="C145" s="447"/>
      <c r="D145" s="447"/>
    </row>
    <row r="146" spans="1:4" x14ac:dyDescent="0.3">
      <c r="B146" s="27" t="s">
        <v>720</v>
      </c>
    </row>
    <row r="147" spans="1:4" x14ac:dyDescent="0.3">
      <c r="A147" t="s">
        <v>554</v>
      </c>
      <c r="B147" s="29" t="s">
        <v>555</v>
      </c>
      <c r="C147" s="29" t="s">
        <v>323</v>
      </c>
      <c r="D147" s="29"/>
    </row>
    <row r="148" spans="1:4" ht="28.8" x14ac:dyDescent="0.3">
      <c r="A148" s="24" t="s">
        <v>719</v>
      </c>
      <c r="B148" s="29">
        <v>6207</v>
      </c>
      <c r="C148" s="29">
        <f>B148/12</f>
        <v>517.25</v>
      </c>
      <c r="D148" s="29"/>
    </row>
    <row r="149" spans="1:4" x14ac:dyDescent="0.3">
      <c r="A149" s="24" t="s">
        <v>723</v>
      </c>
      <c r="B149" s="29">
        <v>7818</v>
      </c>
      <c r="C149" s="29">
        <f>B149/12</f>
        <v>651.5</v>
      </c>
      <c r="D149" s="29"/>
    </row>
    <row r="150" spans="1:4" x14ac:dyDescent="0.3">
      <c r="A150" t="s">
        <v>721</v>
      </c>
      <c r="B150" s="29">
        <v>19079</v>
      </c>
      <c r="C150" s="29">
        <f>B150/12</f>
        <v>1589.9166666666667</v>
      </c>
      <c r="D150" s="29"/>
    </row>
    <row r="151" spans="1:4" x14ac:dyDescent="0.3">
      <c r="A151" t="s">
        <v>722</v>
      </c>
      <c r="B151" s="7">
        <v>25639</v>
      </c>
      <c r="C151" s="29">
        <f>B151/12</f>
        <v>2136.5833333333335</v>
      </c>
    </row>
    <row r="152" spans="1:4" x14ac:dyDescent="0.3">
      <c r="A152" t="s">
        <v>556</v>
      </c>
      <c r="B152" s="29">
        <v>3822</v>
      </c>
      <c r="C152" s="29">
        <f>B152/12</f>
        <v>318.5</v>
      </c>
      <c r="D152" s="29"/>
    </row>
    <row r="153" spans="1:4" ht="17.25" customHeight="1" x14ac:dyDescent="0.3">
      <c r="A153" t="s">
        <v>557</v>
      </c>
      <c r="B153" s="29"/>
      <c r="C153" s="29"/>
      <c r="D153" s="29"/>
    </row>
    <row r="154" spans="1:4" x14ac:dyDescent="0.3">
      <c r="B154" s="29"/>
      <c r="C154" s="29"/>
      <c r="D154" s="29"/>
    </row>
    <row r="156" spans="1:4" x14ac:dyDescent="0.3">
      <c r="B156" s="29"/>
      <c r="C156" s="29"/>
      <c r="D156" s="29"/>
    </row>
    <row r="157" spans="1:4" x14ac:dyDescent="0.3">
      <c r="A157" t="s">
        <v>558</v>
      </c>
      <c r="B157" s="29" t="s">
        <v>559</v>
      </c>
      <c r="C157" s="29"/>
      <c r="D157" s="29"/>
    </row>
    <row r="158" spans="1:4" x14ac:dyDescent="0.3">
      <c r="A158">
        <v>1</v>
      </c>
      <c r="B158" s="29">
        <v>967</v>
      </c>
      <c r="C158" s="29"/>
      <c r="D158" s="29"/>
    </row>
    <row r="159" spans="1:4" x14ac:dyDescent="0.3">
      <c r="A159">
        <v>2</v>
      </c>
      <c r="B159" s="29">
        <v>1450</v>
      </c>
      <c r="C159" s="29"/>
      <c r="D159" s="29"/>
    </row>
    <row r="160" spans="1:4" x14ac:dyDescent="0.3">
      <c r="A160" s="87" t="s">
        <v>560</v>
      </c>
      <c r="B160" s="29"/>
      <c r="C160" s="29"/>
      <c r="D160" s="29"/>
    </row>
    <row r="161" spans="1:4" x14ac:dyDescent="0.3">
      <c r="B161" s="29"/>
      <c r="C161" s="29"/>
      <c r="D161" s="29"/>
    </row>
    <row r="162" spans="1:4" x14ac:dyDescent="0.3">
      <c r="B162" s="29"/>
      <c r="C162" s="29"/>
      <c r="D162" s="29"/>
    </row>
    <row r="163" spans="1:4" x14ac:dyDescent="0.3">
      <c r="A163" t="s">
        <v>561</v>
      </c>
      <c r="B163" s="29"/>
      <c r="C163" s="29"/>
      <c r="D163" s="29"/>
    </row>
    <row r="164" spans="1:4" x14ac:dyDescent="0.3">
      <c r="A164" t="s">
        <v>562</v>
      </c>
    </row>
    <row r="165" spans="1:4" x14ac:dyDescent="0.3">
      <c r="A165">
        <v>18</v>
      </c>
    </row>
    <row r="166" spans="1:4" x14ac:dyDescent="0.3">
      <c r="A166">
        <v>19</v>
      </c>
    </row>
    <row r="167" spans="1:4" x14ac:dyDescent="0.3">
      <c r="A167">
        <v>20</v>
      </c>
    </row>
    <row r="168" spans="1:4" x14ac:dyDescent="0.3">
      <c r="A168">
        <v>21</v>
      </c>
    </row>
    <row r="169" spans="1:4" x14ac:dyDescent="0.3">
      <c r="A169">
        <v>22</v>
      </c>
    </row>
    <row r="170" spans="1:4" x14ac:dyDescent="0.3">
      <c r="A170">
        <v>23</v>
      </c>
    </row>
    <row r="171" spans="1:4" x14ac:dyDescent="0.3">
      <c r="A171">
        <v>24</v>
      </c>
    </row>
    <row r="172" spans="1:4" x14ac:dyDescent="0.3">
      <c r="A172">
        <v>25</v>
      </c>
    </row>
    <row r="173" spans="1:4" x14ac:dyDescent="0.3">
      <c r="A173">
        <v>26</v>
      </c>
    </row>
    <row r="174" spans="1:4" x14ac:dyDescent="0.3">
      <c r="A174">
        <v>27</v>
      </c>
    </row>
    <row r="175" spans="1:4" x14ac:dyDescent="0.3">
      <c r="A175">
        <v>28</v>
      </c>
    </row>
    <row r="176" spans="1:4" x14ac:dyDescent="0.3">
      <c r="A176">
        <v>29</v>
      </c>
    </row>
    <row r="177" spans="1:1" x14ac:dyDescent="0.3">
      <c r="A177">
        <v>30</v>
      </c>
    </row>
    <row r="178" spans="1:1" x14ac:dyDescent="0.3">
      <c r="A178">
        <v>31</v>
      </c>
    </row>
    <row r="179" spans="1:1" x14ac:dyDescent="0.3">
      <c r="A179">
        <v>32</v>
      </c>
    </row>
    <row r="180" spans="1:1" x14ac:dyDescent="0.3">
      <c r="A180">
        <v>33</v>
      </c>
    </row>
    <row r="181" spans="1:1" x14ac:dyDescent="0.3">
      <c r="A181">
        <v>34</v>
      </c>
    </row>
    <row r="182" spans="1:1" x14ac:dyDescent="0.3">
      <c r="A182">
        <v>35</v>
      </c>
    </row>
    <row r="183" spans="1:1" x14ac:dyDescent="0.3">
      <c r="A183">
        <v>36</v>
      </c>
    </row>
    <row r="184" spans="1:1" x14ac:dyDescent="0.3">
      <c r="A184">
        <v>37</v>
      </c>
    </row>
    <row r="185" spans="1:1" x14ac:dyDescent="0.3">
      <c r="A185">
        <v>38</v>
      </c>
    </row>
    <row r="186" spans="1:1" x14ac:dyDescent="0.3">
      <c r="A186">
        <v>39</v>
      </c>
    </row>
    <row r="187" spans="1:1" x14ac:dyDescent="0.3">
      <c r="A187">
        <v>40</v>
      </c>
    </row>
    <row r="188" spans="1:1" x14ac:dyDescent="0.3">
      <c r="A188">
        <v>41</v>
      </c>
    </row>
    <row r="189" spans="1:1" x14ac:dyDescent="0.3">
      <c r="A189">
        <v>42</v>
      </c>
    </row>
    <row r="190" spans="1:1" x14ac:dyDescent="0.3">
      <c r="A190">
        <v>43</v>
      </c>
    </row>
    <row r="191" spans="1:1" x14ac:dyDescent="0.3">
      <c r="A191">
        <v>44</v>
      </c>
    </row>
    <row r="192" spans="1:1" x14ac:dyDescent="0.3">
      <c r="A192">
        <v>45</v>
      </c>
    </row>
    <row r="193" spans="1:1" x14ac:dyDescent="0.3">
      <c r="A193">
        <v>46</v>
      </c>
    </row>
    <row r="194" spans="1:1" x14ac:dyDescent="0.3">
      <c r="A194">
        <v>47</v>
      </c>
    </row>
    <row r="195" spans="1:1" x14ac:dyDescent="0.3">
      <c r="A195">
        <v>48</v>
      </c>
    </row>
    <row r="196" spans="1:1" x14ac:dyDescent="0.3">
      <c r="A196">
        <v>49</v>
      </c>
    </row>
    <row r="197" spans="1:1" x14ac:dyDescent="0.3">
      <c r="A197">
        <v>50</v>
      </c>
    </row>
    <row r="198" spans="1:1" x14ac:dyDescent="0.3">
      <c r="A198">
        <v>51</v>
      </c>
    </row>
    <row r="199" spans="1:1" x14ac:dyDescent="0.3">
      <c r="A199">
        <v>52</v>
      </c>
    </row>
    <row r="200" spans="1:1" x14ac:dyDescent="0.3">
      <c r="A200">
        <v>53</v>
      </c>
    </row>
    <row r="201" spans="1:1" x14ac:dyDescent="0.3">
      <c r="A201">
        <v>54</v>
      </c>
    </row>
    <row r="202" spans="1:1" x14ac:dyDescent="0.3">
      <c r="A202">
        <v>55</v>
      </c>
    </row>
    <row r="203" spans="1:1" x14ac:dyDescent="0.3">
      <c r="A203">
        <v>56</v>
      </c>
    </row>
    <row r="204" spans="1:1" x14ac:dyDescent="0.3">
      <c r="A204">
        <v>57</v>
      </c>
    </row>
    <row r="205" spans="1:1" x14ac:dyDescent="0.3">
      <c r="A205">
        <v>58</v>
      </c>
    </row>
    <row r="206" spans="1:1" x14ac:dyDescent="0.3">
      <c r="A206">
        <v>59</v>
      </c>
    </row>
    <row r="207" spans="1:1" x14ac:dyDescent="0.3">
      <c r="A207">
        <v>60</v>
      </c>
    </row>
    <row r="208" spans="1:1" x14ac:dyDescent="0.3">
      <c r="A208">
        <v>61</v>
      </c>
    </row>
    <row r="209" spans="1:1" x14ac:dyDescent="0.3">
      <c r="A209">
        <v>62</v>
      </c>
    </row>
    <row r="210" spans="1:1" x14ac:dyDescent="0.3">
      <c r="A210">
        <v>63</v>
      </c>
    </row>
    <row r="211" spans="1:1" x14ac:dyDescent="0.3">
      <c r="A211">
        <v>64</v>
      </c>
    </row>
  </sheetData>
  <mergeCells count="13">
    <mergeCell ref="A134:D134"/>
    <mergeCell ref="A145:D145"/>
    <mergeCell ref="A83:C83"/>
    <mergeCell ref="A95:B95"/>
    <mergeCell ref="A108:B108"/>
    <mergeCell ref="A122:D122"/>
    <mergeCell ref="A58:C58"/>
    <mergeCell ref="A3:B3"/>
    <mergeCell ref="A18:B18"/>
    <mergeCell ref="A14:D14"/>
    <mergeCell ref="A33:B33"/>
    <mergeCell ref="A46:C46"/>
    <mergeCell ref="A17:E17"/>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3"/>
  <cols>
    <col min="1" max="1" width="14.5546875" customWidth="1"/>
    <col min="2" max="2" width="14.44140625" style="12" customWidth="1"/>
    <col min="3" max="3" width="20.109375" customWidth="1"/>
    <col min="4" max="4" width="15.109375" customWidth="1"/>
    <col min="5" max="5" width="12.33203125" customWidth="1"/>
    <col min="6" max="6" width="19.88671875" customWidth="1"/>
    <col min="7" max="7" width="19" customWidth="1"/>
    <col min="8" max="8" width="19.109375" customWidth="1"/>
    <col min="9" max="9" width="18.88671875" customWidth="1"/>
    <col min="10" max="10" width="13.88671875" customWidth="1"/>
    <col min="11" max="11" width="21.33203125" style="12" customWidth="1"/>
    <col min="12" max="13" width="20.6640625" customWidth="1"/>
    <col min="14" max="14" width="16.88671875" customWidth="1"/>
    <col min="15" max="15" width="15.5546875" customWidth="1"/>
    <col min="16" max="16" width="22.44140625" style="12" customWidth="1"/>
    <col min="17" max="17" width="15.5546875" customWidth="1"/>
    <col min="18" max="18" width="15" customWidth="1"/>
    <col min="19" max="19" width="24.44140625" customWidth="1"/>
    <col min="20" max="20" width="19.44140625" customWidth="1"/>
  </cols>
  <sheetData>
    <row r="1" spans="1:22" s="108" customFormat="1" ht="47.25" customHeight="1" x14ac:dyDescent="0.3">
      <c r="A1" s="313" t="s">
        <v>271</v>
      </c>
      <c r="B1" s="313" t="s">
        <v>272</v>
      </c>
      <c r="C1" s="304" t="s">
        <v>685</v>
      </c>
      <c r="D1" s="109" t="s">
        <v>404</v>
      </c>
      <c r="E1" s="109" t="s">
        <v>464</v>
      </c>
      <c r="F1" s="109" t="s">
        <v>465</v>
      </c>
      <c r="G1" s="80" t="s">
        <v>466</v>
      </c>
      <c r="H1" s="80" t="s">
        <v>467</v>
      </c>
      <c r="I1" s="80" t="s">
        <v>468</v>
      </c>
      <c r="K1" s="455" t="s">
        <v>469</v>
      </c>
      <c r="L1" s="455"/>
      <c r="M1" s="455"/>
      <c r="Q1" s="14"/>
    </row>
    <row r="2" spans="1:22" ht="36" customHeight="1" x14ac:dyDescent="0.3">
      <c r="A2" s="127" t="str">
        <f>'Total income package'!B3</f>
        <v xml:space="preserve">Buckingham </v>
      </c>
      <c r="B2" s="79">
        <f>'Total income package'!B32</f>
        <v>5</v>
      </c>
      <c r="C2" s="148">
        <f>'Total income package'!D66</f>
        <v>1</v>
      </c>
      <c r="D2" s="78">
        <f>VLOOKUP($G$6,'Program specific data'!A35:B42,2)</f>
        <v>209</v>
      </c>
      <c r="E2" s="78">
        <f>VLOOKUP(G6,'Program specific data'!A6:D13,3)</f>
        <v>1803.3333333333333</v>
      </c>
      <c r="F2" s="129">
        <f>IF(A3=2,VLOOKUP(G6,'Program specific data'!A60:C67,2,FALSE),VLOOKUP(G6,'Program specific data'!A60:C67,3,FALSE))</f>
        <v>767</v>
      </c>
      <c r="G2" s="311">
        <f>IF(A3=2,VLOOKUP(G6,'Program specific data'!A48:C55,2,FALSE),VLOOKUP(G6,'Program specific data'!A48:C55,3,FALSE))</f>
        <v>385</v>
      </c>
      <c r="H2" s="78">
        <f>VLOOKUP(G6,'Program specific data'!A6:C13,3,FALSE)</f>
        <v>1803.3333333333333</v>
      </c>
      <c r="I2" s="131">
        <f>IF(A3=2,'Program specific data'!B56,'Program specific data'!C56)</f>
        <v>723</v>
      </c>
      <c r="J2" s="5"/>
      <c r="K2" s="443" t="s">
        <v>735</v>
      </c>
      <c r="L2" s="443"/>
      <c r="M2" s="443"/>
      <c r="N2" s="443"/>
      <c r="O2" s="443"/>
      <c r="P2"/>
      <c r="Q2" s="12"/>
    </row>
    <row r="3" spans="1:22" ht="41.4" x14ac:dyDescent="0.3">
      <c r="A3" s="79">
        <f>VLOOKUP('Total income package'!B3,'Location specific data'!A3:B135,2,FALSE)</f>
        <v>2</v>
      </c>
      <c r="B3" s="148" t="s">
        <v>687</v>
      </c>
      <c r="C3" s="304" t="s">
        <v>680</v>
      </c>
      <c r="D3" s="1"/>
      <c r="E3" s="109"/>
      <c r="G3" s="1"/>
      <c r="H3" s="5"/>
      <c r="I3" s="5"/>
      <c r="K3" t="s">
        <v>470</v>
      </c>
    </row>
    <row r="4" spans="1:22" ht="14.4" x14ac:dyDescent="0.3">
      <c r="A4" s="79"/>
      <c r="B4" s="148">
        <f>'Total income package'!B30</f>
        <v>3</v>
      </c>
      <c r="C4" s="148">
        <f>(COUNTIF('Total income package'!E37:E44,"Yes"))</f>
        <v>2</v>
      </c>
      <c r="D4" s="1"/>
      <c r="E4" s="109"/>
      <c r="G4" s="1"/>
      <c r="H4" s="5"/>
      <c r="I4" s="5"/>
    </row>
    <row r="5" spans="1:22" ht="45.75" customHeight="1" x14ac:dyDescent="0.3">
      <c r="A5" s="79"/>
      <c r="B5" s="109" t="s">
        <v>688</v>
      </c>
      <c r="C5" s="382" t="s">
        <v>683</v>
      </c>
      <c r="D5" s="383" t="s">
        <v>690</v>
      </c>
      <c r="E5" s="456" t="s">
        <v>686</v>
      </c>
      <c r="F5" s="456"/>
      <c r="G5" s="456" t="s">
        <v>684</v>
      </c>
      <c r="H5" s="456"/>
      <c r="I5" s="5"/>
    </row>
    <row r="6" spans="1:22" ht="14.4" x14ac:dyDescent="0.3">
      <c r="B6" s="148">
        <f>'Total income package'!B31</f>
        <v>2</v>
      </c>
      <c r="C6" s="148">
        <f>'Total income package'!D61</f>
        <v>1</v>
      </c>
      <c r="D6" s="77">
        <f>C4-C6</f>
        <v>1</v>
      </c>
      <c r="E6" s="457">
        <f>B6-C2</f>
        <v>1</v>
      </c>
      <c r="F6" s="457"/>
      <c r="G6" s="457">
        <f>D6+E6</f>
        <v>2</v>
      </c>
      <c r="H6" s="457"/>
      <c r="L6" s="77"/>
      <c r="M6" s="79"/>
      <c r="N6" s="79"/>
      <c r="O6" s="188"/>
    </row>
    <row r="7" spans="1:22" ht="23.4" x14ac:dyDescent="0.45">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3">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ht="14.4" x14ac:dyDescent="0.3">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385</v>
      </c>
      <c r="L9" s="130">
        <f>IF('Total income package'!$A$20=TRUE,MIN(IF(K9&gt;9.99,K9,0),$I$2),0)</f>
        <v>385</v>
      </c>
      <c r="M9" s="14" t="str">
        <f t="shared" ref="M9:M25" si="2">IF(B9&lt;$H$2,"Yes","No")</f>
        <v>Yes</v>
      </c>
      <c r="N9" s="14" t="str">
        <f>IF(C9&lt;$G$2,"Yes","No")</f>
        <v>Yes</v>
      </c>
      <c r="O9" s="312">
        <f>IF(AND(M9="Yes",N9="Yes"),MIN($G$2,$I$2),0)</f>
        <v>385</v>
      </c>
      <c r="P9" s="63">
        <f t="shared" ref="P9:P72" si="3">I9+O9</f>
        <v>385</v>
      </c>
      <c r="Q9" s="312" t="str">
        <f>IF(P9&lt;$H$2,"Yes","No")</f>
        <v>Yes</v>
      </c>
      <c r="R9" s="312">
        <f>IF(P9&gt;$H$2,P9-$H$2,0)</f>
        <v>0</v>
      </c>
      <c r="S9" s="15">
        <f>IF(P9&gt;$H$2,O9-R9,O9)</f>
        <v>385</v>
      </c>
      <c r="T9" s="189">
        <f>IF(AND('Total income package'!$A$22=TRUE,M9="Yes",S9&gt;9.99),MIN(S9,$I$2),0)</f>
        <v>0</v>
      </c>
    </row>
    <row r="10" spans="1:22" s="14" customFormat="1" ht="14.4" x14ac:dyDescent="0.3">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385</v>
      </c>
      <c r="L10" s="130">
        <f>IF('Total income package'!$A$20=TRUE,MIN(IF(K10&gt;9.99,K10,0),$I$2),0)</f>
        <v>385</v>
      </c>
      <c r="M10" s="14" t="str">
        <f t="shared" si="2"/>
        <v>Yes</v>
      </c>
      <c r="N10" s="14" t="str">
        <f t="shared" ref="N10:N73" si="9">IF(C10&lt;$G$2,"Yes","No")</f>
        <v>Yes</v>
      </c>
      <c r="O10" s="312">
        <f t="shared" ref="O10:O73" si="10">IF(AND(M10="Yes",N10="Yes"),MIN($G$2,$I$2),0)</f>
        <v>385</v>
      </c>
      <c r="P10" s="63">
        <f t="shared" si="3"/>
        <v>385</v>
      </c>
      <c r="Q10" s="312" t="str">
        <f t="shared" ref="Q10:Q73" si="11">IF(P10&lt;$H$2,"Yes","No")</f>
        <v>Yes</v>
      </c>
      <c r="R10" s="312">
        <f t="shared" ref="R10:R73" si="12">IF(P10&gt;$H$2,P10-$H$2,0)</f>
        <v>0</v>
      </c>
      <c r="S10" s="15">
        <f t="shared" ref="S10:S73" si="13">IF(P10&gt;$H$2,O10-R10,O10)</f>
        <v>385</v>
      </c>
      <c r="T10" s="189">
        <f>IF(AND('Total income package'!$A$22=TRUE,M10="Yes",S10&gt;9.99),MIN(S10,$I$2),0)</f>
        <v>0</v>
      </c>
    </row>
    <row r="11" spans="1:22" ht="14.4" x14ac:dyDescent="0.3">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385</v>
      </c>
      <c r="L11" s="130">
        <f>IF('Total income package'!$A$20=TRUE,MIN(IF(K11&gt;9.99,K11,0),$I$2),0)</f>
        <v>385</v>
      </c>
      <c r="M11" s="14" t="str">
        <f t="shared" si="2"/>
        <v>Yes</v>
      </c>
      <c r="N11" s="14" t="str">
        <f t="shared" si="9"/>
        <v>Yes</v>
      </c>
      <c r="O11" s="312">
        <f t="shared" si="10"/>
        <v>385</v>
      </c>
      <c r="P11" s="63">
        <f t="shared" si="3"/>
        <v>385</v>
      </c>
      <c r="Q11" s="312" t="str">
        <f t="shared" si="11"/>
        <v>Yes</v>
      </c>
      <c r="R11" s="312">
        <f t="shared" si="12"/>
        <v>0</v>
      </c>
      <c r="S11" s="15">
        <f t="shared" si="13"/>
        <v>385</v>
      </c>
      <c r="T11" s="189">
        <f>IF(AND('Total income package'!$A$22=TRUE,M11="Yes",S11&gt;9.99),MIN(S11,$I$2),0)</f>
        <v>0</v>
      </c>
      <c r="U11" s="14"/>
      <c r="V11" s="14"/>
    </row>
    <row r="12" spans="1:22" ht="14.4" x14ac:dyDescent="0.3">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385</v>
      </c>
      <c r="L12" s="130">
        <f>IF('Total income package'!$A$20=TRUE,MIN(IF(K12&gt;9.99,K12,0),$I$2),0)</f>
        <v>385</v>
      </c>
      <c r="M12" s="14" t="str">
        <f t="shared" si="2"/>
        <v>Yes</v>
      </c>
      <c r="N12" s="14" t="str">
        <f t="shared" si="9"/>
        <v>Yes</v>
      </c>
      <c r="O12" s="312">
        <f t="shared" si="10"/>
        <v>385</v>
      </c>
      <c r="P12" s="63">
        <f t="shared" si="3"/>
        <v>385</v>
      </c>
      <c r="Q12" s="312" t="str">
        <f t="shared" si="11"/>
        <v>Yes</v>
      </c>
      <c r="R12" s="312">
        <f t="shared" si="12"/>
        <v>0</v>
      </c>
      <c r="S12" s="15">
        <f t="shared" si="13"/>
        <v>385</v>
      </c>
      <c r="T12" s="189">
        <f>IF(AND('Total income package'!$A$22=TRUE,M12="Yes",S12&gt;9.99),MIN(S12,$I$2),0)</f>
        <v>0</v>
      </c>
      <c r="U12" s="4"/>
    </row>
    <row r="13" spans="1:22" ht="14.4" x14ac:dyDescent="0.3">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385</v>
      </c>
      <c r="L13" s="130">
        <f>IF('Total income package'!$A$20=TRUE,MIN(IF(K13&gt;9.99,K13,0),$I$2),0)</f>
        <v>385</v>
      </c>
      <c r="M13" s="14" t="str">
        <f t="shared" si="2"/>
        <v>Yes</v>
      </c>
      <c r="N13" s="14" t="str">
        <f t="shared" si="9"/>
        <v>Yes</v>
      </c>
      <c r="O13" s="312">
        <f t="shared" si="10"/>
        <v>385</v>
      </c>
      <c r="P13" s="63">
        <f t="shared" si="3"/>
        <v>385</v>
      </c>
      <c r="Q13" s="312" t="str">
        <f t="shared" si="11"/>
        <v>Yes</v>
      </c>
      <c r="R13" s="312">
        <f t="shared" si="12"/>
        <v>0</v>
      </c>
      <c r="S13" s="15">
        <f t="shared" si="13"/>
        <v>385</v>
      </c>
      <c r="T13" s="189">
        <f>IF(AND('Total income package'!$A$22=TRUE,M13="Yes",S13&gt;9.99),MIN(S13,$I$2),0)</f>
        <v>0</v>
      </c>
    </row>
    <row r="14" spans="1:22" ht="14.4" x14ac:dyDescent="0.3">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385</v>
      </c>
      <c r="L14" s="130">
        <f>IF('Total income package'!$A$20=TRUE,MIN(IF(K14&gt;9.99,K14,0),$I$2),0)</f>
        <v>385</v>
      </c>
      <c r="M14" s="14" t="str">
        <f t="shared" si="2"/>
        <v>Yes</v>
      </c>
      <c r="N14" s="14" t="str">
        <f t="shared" si="9"/>
        <v>Yes</v>
      </c>
      <c r="O14" s="312">
        <f t="shared" si="10"/>
        <v>385</v>
      </c>
      <c r="P14" s="63">
        <f t="shared" si="3"/>
        <v>385</v>
      </c>
      <c r="Q14" s="312" t="str">
        <f t="shared" si="11"/>
        <v>Yes</v>
      </c>
      <c r="R14" s="312">
        <f t="shared" si="12"/>
        <v>0</v>
      </c>
      <c r="S14" s="15">
        <f t="shared" si="13"/>
        <v>385</v>
      </c>
      <c r="T14" s="189">
        <f>IF(AND('Total income package'!$A$22=TRUE,M14="Yes",S14&gt;9.99),MIN(S14,$I$2),0)</f>
        <v>0</v>
      </c>
    </row>
    <row r="15" spans="1:22" ht="14.4" x14ac:dyDescent="0.3">
      <c r="A15" s="117">
        <v>3000</v>
      </c>
      <c r="B15" s="384">
        <f t="shared" si="15"/>
        <v>250</v>
      </c>
      <c r="C15" s="63">
        <f>'Total income package'!$D$80</f>
        <v>0</v>
      </c>
      <c r="D15" s="63">
        <f t="shared" si="4"/>
        <v>250</v>
      </c>
      <c r="E15" s="14" t="str">
        <f t="shared" si="5"/>
        <v>Yes</v>
      </c>
      <c r="F15" s="63">
        <f t="shared" si="0"/>
        <v>41</v>
      </c>
      <c r="G15" s="63">
        <f>F15*0.2</f>
        <v>8.2000000000000011</v>
      </c>
      <c r="H15" s="63">
        <f t="shared" si="6"/>
        <v>32.799999999999997</v>
      </c>
      <c r="I15" s="312">
        <f t="shared" si="7"/>
        <v>32.799999999999997</v>
      </c>
      <c r="J15" s="14" t="str">
        <f t="shared" si="8"/>
        <v>Yes</v>
      </c>
      <c r="K15" s="63">
        <f t="shared" si="1"/>
        <v>352.2</v>
      </c>
      <c r="L15" s="130">
        <f>IF('Total income package'!$A$20=TRUE,MIN(IF(K15&gt;9.99,K15,0),$I$2),0)</f>
        <v>352.2</v>
      </c>
      <c r="M15" s="14" t="str">
        <f t="shared" si="2"/>
        <v>Yes</v>
      </c>
      <c r="N15" s="14" t="str">
        <f t="shared" si="9"/>
        <v>Yes</v>
      </c>
      <c r="O15" s="312">
        <f t="shared" si="10"/>
        <v>385</v>
      </c>
      <c r="P15" s="63">
        <f t="shared" si="3"/>
        <v>417.8</v>
      </c>
      <c r="Q15" s="312" t="str">
        <f t="shared" si="11"/>
        <v>Yes</v>
      </c>
      <c r="R15" s="312">
        <f t="shared" si="12"/>
        <v>0</v>
      </c>
      <c r="S15" s="15">
        <f t="shared" si="13"/>
        <v>385</v>
      </c>
      <c r="T15" s="189">
        <f>IF(AND('Total income package'!$A$22=TRUE,M15="Yes",S15&gt;9.99),MIN(S15,$I$2),0)</f>
        <v>0</v>
      </c>
    </row>
    <row r="16" spans="1:22" ht="14.4" x14ac:dyDescent="0.3">
      <c r="A16" s="117">
        <v>3500</v>
      </c>
      <c r="B16" s="384">
        <f t="shared" si="15"/>
        <v>291.66666666666669</v>
      </c>
      <c r="C16" s="63">
        <f>'Total income package'!$D$80</f>
        <v>0</v>
      </c>
      <c r="D16" s="63">
        <f t="shared" si="4"/>
        <v>291.66666666666669</v>
      </c>
      <c r="E16" s="14" t="str">
        <f t="shared" si="5"/>
        <v>Yes</v>
      </c>
      <c r="F16" s="63">
        <f t="shared" si="0"/>
        <v>82.666666666666686</v>
      </c>
      <c r="G16" s="63">
        <f t="shared" si="14"/>
        <v>16.533333333333339</v>
      </c>
      <c r="H16" s="63">
        <f t="shared" si="6"/>
        <v>66.133333333333354</v>
      </c>
      <c r="I16" s="312">
        <f t="shared" si="7"/>
        <v>66.133333333333354</v>
      </c>
      <c r="J16" s="14" t="str">
        <f t="shared" si="8"/>
        <v>Yes</v>
      </c>
      <c r="K16" s="63">
        <f t="shared" si="1"/>
        <v>318.86666666666667</v>
      </c>
      <c r="L16" s="130">
        <f>IF('Total income package'!$A$20=TRUE,MIN(IF(K16&gt;9.99,K16,0),$I$2),0)</f>
        <v>318.86666666666667</v>
      </c>
      <c r="M16" s="14" t="str">
        <f t="shared" si="2"/>
        <v>Yes</v>
      </c>
      <c r="N16" s="14" t="str">
        <f t="shared" si="9"/>
        <v>Yes</v>
      </c>
      <c r="O16" s="312">
        <f t="shared" si="10"/>
        <v>385</v>
      </c>
      <c r="P16" s="63">
        <f t="shared" si="3"/>
        <v>451.13333333333333</v>
      </c>
      <c r="Q16" s="312" t="str">
        <f t="shared" si="11"/>
        <v>Yes</v>
      </c>
      <c r="R16" s="312">
        <f t="shared" si="12"/>
        <v>0</v>
      </c>
      <c r="S16" s="15">
        <f t="shared" si="13"/>
        <v>385</v>
      </c>
      <c r="T16" s="189">
        <f>IF(AND('Total income package'!$A$22=TRUE,M16="Yes",S16&gt;9.99),MIN(S16,$I$2),0)</f>
        <v>0</v>
      </c>
    </row>
    <row r="17" spans="1:20" ht="14.4" x14ac:dyDescent="0.3">
      <c r="A17" s="29">
        <v>4000</v>
      </c>
      <c r="B17" s="384">
        <f t="shared" si="15"/>
        <v>333.33333333333331</v>
      </c>
      <c r="C17" s="63">
        <f>'Total income package'!$D$80</f>
        <v>0</v>
      </c>
      <c r="D17" s="63">
        <f t="shared" si="4"/>
        <v>333.33333333333331</v>
      </c>
      <c r="E17" s="14" t="str">
        <f t="shared" si="5"/>
        <v>Yes</v>
      </c>
      <c r="F17" s="63">
        <f t="shared" si="0"/>
        <v>124.33333333333331</v>
      </c>
      <c r="G17" s="63">
        <f t="shared" si="14"/>
        <v>24.866666666666664</v>
      </c>
      <c r="H17" s="63">
        <f t="shared" si="6"/>
        <v>99.466666666666654</v>
      </c>
      <c r="I17" s="312">
        <f t="shared" si="7"/>
        <v>99.466666666666654</v>
      </c>
      <c r="J17" s="14" t="str">
        <f t="shared" si="8"/>
        <v>Yes</v>
      </c>
      <c r="K17" s="63">
        <f t="shared" si="1"/>
        <v>285.53333333333336</v>
      </c>
      <c r="L17" s="130">
        <f>IF('Total income package'!$A$20=TRUE,MIN(IF(K17&gt;9.99,K17,0),$I$2),0)</f>
        <v>285.53333333333336</v>
      </c>
      <c r="M17" s="14" t="str">
        <f t="shared" si="2"/>
        <v>Yes</v>
      </c>
      <c r="N17" s="14" t="str">
        <f t="shared" si="9"/>
        <v>Yes</v>
      </c>
      <c r="O17" s="312">
        <f t="shared" si="10"/>
        <v>385</v>
      </c>
      <c r="P17" s="63">
        <f t="shared" si="3"/>
        <v>484.46666666666664</v>
      </c>
      <c r="Q17" s="312" t="str">
        <f t="shared" si="11"/>
        <v>Yes</v>
      </c>
      <c r="R17" s="312">
        <f t="shared" si="12"/>
        <v>0</v>
      </c>
      <c r="S17" s="15">
        <f t="shared" si="13"/>
        <v>385</v>
      </c>
      <c r="T17" s="189">
        <f>IF(AND('Total income package'!$A$22=TRUE,M17="Yes",S17&gt;9.99),MIN(S17,$I$2),0)</f>
        <v>0</v>
      </c>
    </row>
    <row r="18" spans="1:20" ht="14.4" x14ac:dyDescent="0.3">
      <c r="A18" s="117">
        <v>4500</v>
      </c>
      <c r="B18" s="384">
        <f t="shared" si="15"/>
        <v>375</v>
      </c>
      <c r="C18" s="63">
        <f>'Total income package'!$D$80</f>
        <v>0</v>
      </c>
      <c r="D18" s="63">
        <f t="shared" si="4"/>
        <v>375</v>
      </c>
      <c r="E18" s="14" t="str">
        <f t="shared" si="5"/>
        <v>Yes</v>
      </c>
      <c r="F18" s="63">
        <f t="shared" si="0"/>
        <v>166</v>
      </c>
      <c r="G18" s="63">
        <f t="shared" si="14"/>
        <v>33.200000000000003</v>
      </c>
      <c r="H18" s="63">
        <f t="shared" si="6"/>
        <v>132.80000000000001</v>
      </c>
      <c r="I18" s="312">
        <f t="shared" si="7"/>
        <v>132.80000000000001</v>
      </c>
      <c r="J18" s="14" t="str">
        <f t="shared" si="8"/>
        <v>Yes</v>
      </c>
      <c r="K18" s="63">
        <f t="shared" si="1"/>
        <v>252.2</v>
      </c>
      <c r="L18" s="130">
        <f>IF('Total income package'!$A$20=TRUE,MIN(IF(K18&gt;9.99,K18,0),$I$2),0)</f>
        <v>252.2</v>
      </c>
      <c r="M18" s="14" t="str">
        <f t="shared" si="2"/>
        <v>Yes</v>
      </c>
      <c r="N18" s="14" t="str">
        <f t="shared" si="9"/>
        <v>Yes</v>
      </c>
      <c r="O18" s="312">
        <f t="shared" si="10"/>
        <v>385</v>
      </c>
      <c r="P18" s="63">
        <f t="shared" si="3"/>
        <v>517.79999999999995</v>
      </c>
      <c r="Q18" s="312" t="str">
        <f t="shared" si="11"/>
        <v>Yes</v>
      </c>
      <c r="R18" s="312">
        <f t="shared" si="12"/>
        <v>0</v>
      </c>
      <c r="S18" s="15">
        <f t="shared" si="13"/>
        <v>385</v>
      </c>
      <c r="T18" s="189">
        <f>IF(AND('Total income package'!$A$22=TRUE,M18="Yes",S18&gt;9.99),MIN(S18,$I$2),0)</f>
        <v>0</v>
      </c>
    </row>
    <row r="19" spans="1:20" ht="14.4" x14ac:dyDescent="0.3">
      <c r="A19" s="117">
        <v>5000</v>
      </c>
      <c r="B19" s="384">
        <f t="shared" si="15"/>
        <v>416.66666666666669</v>
      </c>
      <c r="C19" s="63">
        <f>'Total income package'!$D$80</f>
        <v>0</v>
      </c>
      <c r="D19" s="63">
        <f t="shared" si="4"/>
        <v>416.66666666666669</v>
      </c>
      <c r="E19" s="14" t="str">
        <f t="shared" si="5"/>
        <v>Yes</v>
      </c>
      <c r="F19" s="63">
        <f t="shared" si="0"/>
        <v>207.66666666666669</v>
      </c>
      <c r="G19" s="63">
        <f t="shared" si="14"/>
        <v>41.533333333333339</v>
      </c>
      <c r="H19" s="63">
        <f t="shared" si="6"/>
        <v>166.13333333333335</v>
      </c>
      <c r="I19" s="312">
        <f t="shared" si="7"/>
        <v>166.13333333333335</v>
      </c>
      <c r="J19" s="14" t="str">
        <f t="shared" si="8"/>
        <v>Yes</v>
      </c>
      <c r="K19" s="63">
        <f t="shared" si="1"/>
        <v>218.86666666666665</v>
      </c>
      <c r="L19" s="130">
        <f>IF('Total income package'!$A$20=TRUE,MIN(IF(K19&gt;9.99,K19,0),$I$2),0)</f>
        <v>218.86666666666665</v>
      </c>
      <c r="M19" s="14" t="str">
        <f t="shared" si="2"/>
        <v>Yes</v>
      </c>
      <c r="N19" s="14" t="str">
        <f t="shared" si="9"/>
        <v>Yes</v>
      </c>
      <c r="O19" s="312">
        <f t="shared" si="10"/>
        <v>385</v>
      </c>
      <c r="P19" s="63">
        <f t="shared" si="3"/>
        <v>551.13333333333333</v>
      </c>
      <c r="Q19" s="312" t="str">
        <f t="shared" si="11"/>
        <v>Yes</v>
      </c>
      <c r="R19" s="312">
        <f t="shared" si="12"/>
        <v>0</v>
      </c>
      <c r="S19" s="15">
        <f t="shared" si="13"/>
        <v>385</v>
      </c>
      <c r="T19" s="189">
        <f>IF(AND('Total income package'!$A$22=TRUE,M19="Yes",S19&gt;9.99),MIN(S19,$I$2),0)</f>
        <v>0</v>
      </c>
    </row>
    <row r="20" spans="1:20" ht="14.4" x14ac:dyDescent="0.3">
      <c r="A20" s="29">
        <v>5500</v>
      </c>
      <c r="B20" s="384">
        <f t="shared" si="15"/>
        <v>458.33333333333331</v>
      </c>
      <c r="C20" s="63">
        <f>'Total income package'!$D$80</f>
        <v>0</v>
      </c>
      <c r="D20" s="63">
        <f t="shared" si="4"/>
        <v>458.33333333333331</v>
      </c>
      <c r="E20" s="14" t="str">
        <f t="shared" si="5"/>
        <v>Yes</v>
      </c>
      <c r="F20" s="63">
        <f t="shared" si="0"/>
        <v>249.33333333333331</v>
      </c>
      <c r="G20" s="63">
        <f t="shared" si="14"/>
        <v>49.866666666666667</v>
      </c>
      <c r="H20" s="63">
        <f t="shared" si="6"/>
        <v>199.46666666666664</v>
      </c>
      <c r="I20" s="312">
        <f t="shared" si="7"/>
        <v>199.46666666666664</v>
      </c>
      <c r="J20" s="14" t="str">
        <f t="shared" si="8"/>
        <v>Yes</v>
      </c>
      <c r="K20" s="63">
        <f t="shared" si="1"/>
        <v>185.53333333333336</v>
      </c>
      <c r="L20" s="130">
        <f>IF('Total income package'!$A$20=TRUE,MIN(IF(K20&gt;9.99,K20,0),$I$2),0)</f>
        <v>185.53333333333336</v>
      </c>
      <c r="M20" s="14" t="str">
        <f t="shared" si="2"/>
        <v>Yes</v>
      </c>
      <c r="N20" s="14" t="str">
        <f t="shared" si="9"/>
        <v>Yes</v>
      </c>
      <c r="O20" s="312">
        <f t="shared" si="10"/>
        <v>385</v>
      </c>
      <c r="P20" s="63">
        <f t="shared" si="3"/>
        <v>584.4666666666667</v>
      </c>
      <c r="Q20" s="312" t="str">
        <f t="shared" si="11"/>
        <v>Yes</v>
      </c>
      <c r="R20" s="312">
        <f t="shared" si="12"/>
        <v>0</v>
      </c>
      <c r="S20" s="15">
        <f t="shared" si="13"/>
        <v>385</v>
      </c>
      <c r="T20" s="189">
        <f>IF(AND('Total income package'!$A$22=TRUE,M20="Yes",S20&gt;9.99),MIN(S20,$I$2),0)</f>
        <v>0</v>
      </c>
    </row>
    <row r="21" spans="1:20" ht="14.4" x14ac:dyDescent="0.3">
      <c r="A21" s="117">
        <v>6000</v>
      </c>
      <c r="B21" s="384">
        <f t="shared" si="15"/>
        <v>500</v>
      </c>
      <c r="C21" s="63">
        <f>'Total income package'!$D$80</f>
        <v>0</v>
      </c>
      <c r="D21" s="63">
        <f t="shared" si="4"/>
        <v>500</v>
      </c>
      <c r="E21" s="14" t="str">
        <f t="shared" si="5"/>
        <v>Yes</v>
      </c>
      <c r="F21" s="63">
        <f t="shared" si="0"/>
        <v>291</v>
      </c>
      <c r="G21" s="63">
        <f>F21*0.2</f>
        <v>58.2</v>
      </c>
      <c r="H21" s="63">
        <f t="shared" si="6"/>
        <v>232.8</v>
      </c>
      <c r="I21" s="312">
        <f t="shared" si="7"/>
        <v>232.8</v>
      </c>
      <c r="J21" s="14" t="str">
        <f t="shared" si="8"/>
        <v>Yes</v>
      </c>
      <c r="K21" s="63">
        <f t="shared" si="1"/>
        <v>152.19999999999999</v>
      </c>
      <c r="L21" s="130">
        <f>IF('Total income package'!$A$20=TRUE,MIN(IF(K21&gt;9.99,K21,0),$I$2),0)</f>
        <v>152.19999999999999</v>
      </c>
      <c r="M21" s="14" t="str">
        <f t="shared" si="2"/>
        <v>Yes</v>
      </c>
      <c r="N21" s="14" t="str">
        <f t="shared" si="9"/>
        <v>Yes</v>
      </c>
      <c r="O21" s="312">
        <f t="shared" si="10"/>
        <v>385</v>
      </c>
      <c r="P21" s="63">
        <f t="shared" si="3"/>
        <v>617.79999999999995</v>
      </c>
      <c r="Q21" s="312" t="str">
        <f t="shared" si="11"/>
        <v>Yes</v>
      </c>
      <c r="R21" s="312">
        <f t="shared" si="12"/>
        <v>0</v>
      </c>
      <c r="S21" s="15">
        <f t="shared" si="13"/>
        <v>385</v>
      </c>
      <c r="T21" s="189">
        <f>IF(AND('Total income package'!$A$22=TRUE,M21="Yes",S21&gt;9.99),MIN(S21,$I$2),0)</f>
        <v>0</v>
      </c>
    </row>
    <row r="22" spans="1:20" ht="14.4" x14ac:dyDescent="0.3">
      <c r="A22" s="117">
        <v>6500</v>
      </c>
      <c r="B22" s="384">
        <f t="shared" si="15"/>
        <v>541.66666666666663</v>
      </c>
      <c r="C22" s="63">
        <f>'Total income package'!$D$80</f>
        <v>0</v>
      </c>
      <c r="D22" s="63">
        <f t="shared" si="4"/>
        <v>541.66666666666663</v>
      </c>
      <c r="E22" s="14" t="str">
        <f t="shared" si="5"/>
        <v>Yes</v>
      </c>
      <c r="F22" s="63">
        <f t="shared" si="0"/>
        <v>332.66666666666663</v>
      </c>
      <c r="G22" s="63">
        <f t="shared" si="14"/>
        <v>66.533333333333331</v>
      </c>
      <c r="H22" s="63">
        <f t="shared" si="6"/>
        <v>266.13333333333333</v>
      </c>
      <c r="I22" s="312">
        <f t="shared" si="7"/>
        <v>266.13333333333333</v>
      </c>
      <c r="J22" s="14" t="str">
        <f t="shared" si="8"/>
        <v>Yes</v>
      </c>
      <c r="K22" s="63">
        <f t="shared" si="1"/>
        <v>118.86666666666667</v>
      </c>
      <c r="L22" s="130">
        <f>IF('Total income package'!$A$20=TRUE,MIN(IF(K22&gt;9.99,K22,0),$I$2),0)</f>
        <v>118.86666666666667</v>
      </c>
      <c r="M22" s="14" t="str">
        <f t="shared" si="2"/>
        <v>Yes</v>
      </c>
      <c r="N22" s="14" t="str">
        <f t="shared" si="9"/>
        <v>Yes</v>
      </c>
      <c r="O22" s="312">
        <f t="shared" si="10"/>
        <v>385</v>
      </c>
      <c r="P22" s="63">
        <f t="shared" si="3"/>
        <v>651.13333333333333</v>
      </c>
      <c r="Q22" s="312" t="str">
        <f t="shared" si="11"/>
        <v>Yes</v>
      </c>
      <c r="R22" s="312">
        <f t="shared" si="12"/>
        <v>0</v>
      </c>
      <c r="S22" s="15">
        <f t="shared" si="13"/>
        <v>385</v>
      </c>
      <c r="T22" s="189">
        <f>IF(AND('Total income package'!$A$22=TRUE,M22="Yes",S22&gt;9.99),MIN(S22,$I$2),0)</f>
        <v>0</v>
      </c>
    </row>
    <row r="23" spans="1:20" ht="14.4" x14ac:dyDescent="0.3">
      <c r="A23" s="29">
        <v>7000</v>
      </c>
      <c r="B23" s="384">
        <f t="shared" si="15"/>
        <v>583.33333333333337</v>
      </c>
      <c r="C23" s="63">
        <f>'Total income package'!$D$80</f>
        <v>0</v>
      </c>
      <c r="D23" s="63">
        <f t="shared" si="4"/>
        <v>583.33333333333337</v>
      </c>
      <c r="E23" s="14" t="str">
        <f t="shared" si="5"/>
        <v>Yes</v>
      </c>
      <c r="F23" s="63">
        <f t="shared" si="0"/>
        <v>374.33333333333337</v>
      </c>
      <c r="G23" s="63">
        <f t="shared" si="14"/>
        <v>74.866666666666674</v>
      </c>
      <c r="H23" s="63">
        <f t="shared" si="6"/>
        <v>299.4666666666667</v>
      </c>
      <c r="I23" s="312">
        <f t="shared" si="7"/>
        <v>299.4666666666667</v>
      </c>
      <c r="J23" s="14" t="str">
        <f t="shared" si="8"/>
        <v>Yes</v>
      </c>
      <c r="K23" s="63">
        <f t="shared" si="1"/>
        <v>85.533333333333303</v>
      </c>
      <c r="L23" s="130">
        <f>IF('Total income package'!$A$20=TRUE,MIN(IF(K23&gt;9.99,K23,0),$I$2),0)</f>
        <v>85.533333333333303</v>
      </c>
      <c r="M23" s="14" t="str">
        <f t="shared" si="2"/>
        <v>Yes</v>
      </c>
      <c r="N23" s="14" t="str">
        <f t="shared" si="9"/>
        <v>Yes</v>
      </c>
      <c r="O23" s="312">
        <f t="shared" si="10"/>
        <v>385</v>
      </c>
      <c r="P23" s="63">
        <f t="shared" si="3"/>
        <v>684.4666666666667</v>
      </c>
      <c r="Q23" s="312" t="str">
        <f t="shared" si="11"/>
        <v>Yes</v>
      </c>
      <c r="R23" s="312">
        <f t="shared" si="12"/>
        <v>0</v>
      </c>
      <c r="S23" s="15">
        <f t="shared" si="13"/>
        <v>385</v>
      </c>
      <c r="T23" s="189">
        <f>IF(AND('Total income package'!$A$22=TRUE,M23="Yes",S23&gt;9.99),MIN(S23,$I$2),0)</f>
        <v>0</v>
      </c>
    </row>
    <row r="24" spans="1:20" ht="14.4" x14ac:dyDescent="0.3">
      <c r="A24" s="117">
        <v>7500</v>
      </c>
      <c r="B24" s="384">
        <f t="shared" si="15"/>
        <v>625</v>
      </c>
      <c r="C24" s="63">
        <f>'Total income package'!$D$80</f>
        <v>0</v>
      </c>
      <c r="D24" s="63">
        <f t="shared" si="4"/>
        <v>625</v>
      </c>
      <c r="E24" s="14" t="str">
        <f t="shared" si="5"/>
        <v>Yes</v>
      </c>
      <c r="F24" s="63">
        <f t="shared" si="0"/>
        <v>416</v>
      </c>
      <c r="G24" s="63">
        <f t="shared" si="14"/>
        <v>83.2</v>
      </c>
      <c r="H24" s="63">
        <f t="shared" si="6"/>
        <v>332.8</v>
      </c>
      <c r="I24" s="312">
        <f t="shared" si="7"/>
        <v>332.8</v>
      </c>
      <c r="J24" s="14" t="str">
        <f t="shared" si="8"/>
        <v>Yes</v>
      </c>
      <c r="K24" s="63">
        <f t="shared" si="1"/>
        <v>52.199999999999989</v>
      </c>
      <c r="L24" s="130">
        <f>IF('Total income package'!$A$20=TRUE,MIN(IF(K24&gt;9.99,K24,0),$I$2),0)</f>
        <v>52.199999999999989</v>
      </c>
      <c r="M24" s="14" t="str">
        <f t="shared" si="2"/>
        <v>Yes</v>
      </c>
      <c r="N24" s="14" t="str">
        <f t="shared" si="9"/>
        <v>Yes</v>
      </c>
      <c r="O24" s="312">
        <f t="shared" si="10"/>
        <v>385</v>
      </c>
      <c r="P24" s="63">
        <f t="shared" si="3"/>
        <v>717.8</v>
      </c>
      <c r="Q24" s="312" t="str">
        <f t="shared" si="11"/>
        <v>Yes</v>
      </c>
      <c r="R24" s="312">
        <f t="shared" si="12"/>
        <v>0</v>
      </c>
      <c r="S24" s="15">
        <f t="shared" si="13"/>
        <v>385</v>
      </c>
      <c r="T24" s="189">
        <f>IF(AND('Total income package'!$A$22=TRUE,M24="Yes",S24&gt;9.99),MIN(S24,$I$2),0)</f>
        <v>0</v>
      </c>
    </row>
    <row r="25" spans="1:20" ht="14.4" x14ac:dyDescent="0.3">
      <c r="A25" s="117">
        <v>8000</v>
      </c>
      <c r="B25" s="384">
        <f t="shared" si="15"/>
        <v>666.66666666666663</v>
      </c>
      <c r="C25" s="63">
        <f>'Total income package'!$D$80</f>
        <v>0</v>
      </c>
      <c r="D25" s="63">
        <f t="shared" si="4"/>
        <v>666.66666666666663</v>
      </c>
      <c r="E25" s="14" t="str">
        <f t="shared" si="5"/>
        <v>Yes</v>
      </c>
      <c r="F25" s="63">
        <f t="shared" si="0"/>
        <v>457.66666666666663</v>
      </c>
      <c r="G25" s="63">
        <f t="shared" si="14"/>
        <v>91.533333333333331</v>
      </c>
      <c r="H25" s="63">
        <f t="shared" si="6"/>
        <v>366.13333333333333</v>
      </c>
      <c r="I25" s="312">
        <f t="shared" si="7"/>
        <v>366.13333333333333</v>
      </c>
      <c r="J25" s="14" t="str">
        <f t="shared" si="8"/>
        <v>Yes</v>
      </c>
      <c r="K25" s="63">
        <f t="shared" si="1"/>
        <v>18.866666666666674</v>
      </c>
      <c r="L25" s="130">
        <f>IF('Total income package'!$A$20=TRUE,MIN(IF(K25&gt;9.99,K25,0),$I$2),0)</f>
        <v>18.866666666666674</v>
      </c>
      <c r="M25" s="14" t="str">
        <f t="shared" si="2"/>
        <v>Yes</v>
      </c>
      <c r="N25" s="14" t="str">
        <f t="shared" si="9"/>
        <v>Yes</v>
      </c>
      <c r="O25" s="312">
        <f t="shared" si="10"/>
        <v>385</v>
      </c>
      <c r="P25" s="63">
        <f t="shared" si="3"/>
        <v>751.13333333333333</v>
      </c>
      <c r="Q25" s="312" t="str">
        <f t="shared" si="11"/>
        <v>Yes</v>
      </c>
      <c r="R25" s="312">
        <f t="shared" si="12"/>
        <v>0</v>
      </c>
      <c r="S25" s="15">
        <f t="shared" si="13"/>
        <v>385</v>
      </c>
      <c r="T25" s="189">
        <f>IF(AND('Total income package'!$A$22=TRUE,M25="Yes",S25&gt;9.99),MIN(S25,$I$2),0)</f>
        <v>0</v>
      </c>
    </row>
    <row r="26" spans="1:20" ht="14.4" x14ac:dyDescent="0.3">
      <c r="A26" s="29">
        <v>8500</v>
      </c>
      <c r="B26" s="384">
        <f t="shared" si="15"/>
        <v>708.33333333333337</v>
      </c>
      <c r="C26" s="63">
        <f>'Total income package'!$D$80</f>
        <v>0</v>
      </c>
      <c r="D26" s="63">
        <f t="shared" si="4"/>
        <v>708.33333333333337</v>
      </c>
      <c r="E26" s="14" t="str">
        <f t="shared" si="5"/>
        <v>Yes</v>
      </c>
      <c r="F26" s="63">
        <f t="shared" si="0"/>
        <v>499.33333333333337</v>
      </c>
      <c r="G26" s="63">
        <f t="shared" si="14"/>
        <v>99.866666666666674</v>
      </c>
      <c r="H26" s="63">
        <f t="shared" si="6"/>
        <v>399.4666666666667</v>
      </c>
      <c r="I26" s="312">
        <f t="shared" si="7"/>
        <v>399.4666666666667</v>
      </c>
      <c r="J26" s="14" t="str">
        <f t="shared" si="8"/>
        <v>No</v>
      </c>
      <c r="K26" s="63">
        <f t="shared" si="1"/>
        <v>0</v>
      </c>
      <c r="L26" s="130">
        <f>IF('Total income package'!$A$20=TRUE,MIN(IF(K26&gt;9.99,K26,0),$I$2),0)</f>
        <v>0</v>
      </c>
      <c r="M26" s="14" t="str">
        <f>IF(D26&lt;$H$2,"Yes","No")</f>
        <v>Yes</v>
      </c>
      <c r="N26" s="14" t="str">
        <f t="shared" si="9"/>
        <v>Yes</v>
      </c>
      <c r="O26" s="312">
        <f t="shared" si="10"/>
        <v>385</v>
      </c>
      <c r="P26" s="63">
        <f t="shared" si="3"/>
        <v>784.4666666666667</v>
      </c>
      <c r="Q26" s="312" t="str">
        <f t="shared" si="11"/>
        <v>Yes</v>
      </c>
      <c r="R26" s="312">
        <f t="shared" si="12"/>
        <v>0</v>
      </c>
      <c r="S26" s="15">
        <f t="shared" si="13"/>
        <v>385</v>
      </c>
      <c r="T26" s="189">
        <f>IF(AND('Total income package'!$A$22=TRUE,M26="Yes",S26&gt;9.99),MIN(S26,$I$2),0)</f>
        <v>0</v>
      </c>
    </row>
    <row r="27" spans="1:20" ht="14.4" x14ac:dyDescent="0.3">
      <c r="A27" s="117">
        <v>9000</v>
      </c>
      <c r="B27" s="384">
        <f t="shared" si="15"/>
        <v>750</v>
      </c>
      <c r="C27" s="63">
        <f>'Total income package'!$D$80</f>
        <v>0</v>
      </c>
      <c r="D27" s="63">
        <f t="shared" si="4"/>
        <v>750</v>
      </c>
      <c r="E27" s="14" t="str">
        <f t="shared" si="5"/>
        <v>Yes</v>
      </c>
      <c r="F27" s="63">
        <f t="shared" si="0"/>
        <v>541</v>
      </c>
      <c r="G27" s="63">
        <f t="shared" si="14"/>
        <v>108.2</v>
      </c>
      <c r="H27" s="63">
        <f t="shared" si="6"/>
        <v>432.8</v>
      </c>
      <c r="I27" s="312">
        <f t="shared" si="7"/>
        <v>432.8</v>
      </c>
      <c r="J27" s="14" t="str">
        <f t="shared" si="8"/>
        <v>No</v>
      </c>
      <c r="K27" s="63">
        <f t="shared" si="1"/>
        <v>0</v>
      </c>
      <c r="L27" s="130">
        <f>IF('Total income package'!$A$20=TRUE,MIN(IF(K27&gt;9.99,K27,0),$I$2),0)</f>
        <v>0</v>
      </c>
      <c r="M27" s="14" t="str">
        <f t="shared" ref="M27:M90" si="16">IF(D27&lt;$H$2,"Yes","No")</f>
        <v>Yes</v>
      </c>
      <c r="N27" s="14" t="str">
        <f t="shared" si="9"/>
        <v>Yes</v>
      </c>
      <c r="O27" s="312">
        <f t="shared" si="10"/>
        <v>385</v>
      </c>
      <c r="P27" s="63">
        <f t="shared" si="3"/>
        <v>817.8</v>
      </c>
      <c r="Q27" s="312" t="str">
        <f t="shared" si="11"/>
        <v>Yes</v>
      </c>
      <c r="R27" s="312">
        <f t="shared" si="12"/>
        <v>0</v>
      </c>
      <c r="S27" s="15">
        <f t="shared" si="13"/>
        <v>385</v>
      </c>
      <c r="T27" s="189">
        <f>IF(AND('Total income package'!$A$22=TRUE,M27="Yes",S27&gt;9.99),MIN(S27,$I$2),0)</f>
        <v>0</v>
      </c>
    </row>
    <row r="28" spans="1:20" ht="14.4" x14ac:dyDescent="0.3">
      <c r="A28" s="117">
        <v>9500</v>
      </c>
      <c r="B28" s="384">
        <f t="shared" si="15"/>
        <v>791.66666666666663</v>
      </c>
      <c r="C28" s="63">
        <f>'Total income package'!$D$80</f>
        <v>0</v>
      </c>
      <c r="D28" s="63">
        <f t="shared" si="4"/>
        <v>791.66666666666663</v>
      </c>
      <c r="E28" s="14" t="str">
        <f t="shared" si="5"/>
        <v>No</v>
      </c>
      <c r="F28" s="63">
        <f t="shared" si="0"/>
        <v>582.66666666666663</v>
      </c>
      <c r="G28" s="63">
        <f t="shared" si="14"/>
        <v>116.53333333333333</v>
      </c>
      <c r="H28" s="63">
        <f t="shared" si="6"/>
        <v>466.13333333333333</v>
      </c>
      <c r="I28" s="312">
        <f t="shared" si="7"/>
        <v>466.13333333333333</v>
      </c>
      <c r="J28" s="14" t="str">
        <f t="shared" si="8"/>
        <v>No</v>
      </c>
      <c r="K28" s="63">
        <f t="shared" si="1"/>
        <v>0</v>
      </c>
      <c r="L28" s="130">
        <f>IF('Total income package'!$A$20=TRUE,MIN(IF(K28&gt;9.99,K28,0),$I$2),0)</f>
        <v>0</v>
      </c>
      <c r="M28" s="14" t="str">
        <f t="shared" si="16"/>
        <v>Yes</v>
      </c>
      <c r="N28" s="14" t="str">
        <f t="shared" si="9"/>
        <v>Yes</v>
      </c>
      <c r="O28" s="312">
        <f t="shared" si="10"/>
        <v>385</v>
      </c>
      <c r="P28" s="63">
        <f t="shared" si="3"/>
        <v>851.13333333333333</v>
      </c>
      <c r="Q28" s="312" t="str">
        <f t="shared" si="11"/>
        <v>Yes</v>
      </c>
      <c r="R28" s="312">
        <f t="shared" si="12"/>
        <v>0</v>
      </c>
      <c r="S28" s="15">
        <f t="shared" si="13"/>
        <v>385</v>
      </c>
      <c r="T28" s="189">
        <f>IF(AND('Total income package'!$A$22=TRUE,M28="Yes",S28&gt;9.99),MIN(S28,$I$2),0)</f>
        <v>0</v>
      </c>
    </row>
    <row r="29" spans="1:20" ht="14.4" x14ac:dyDescent="0.3">
      <c r="A29" s="29">
        <v>10000</v>
      </c>
      <c r="B29" s="384">
        <f t="shared" si="15"/>
        <v>833.33333333333337</v>
      </c>
      <c r="C29" s="63">
        <f>'Total income package'!$D$80</f>
        <v>0</v>
      </c>
      <c r="D29" s="63">
        <f t="shared" si="4"/>
        <v>833.33333333333337</v>
      </c>
      <c r="E29" s="14" t="str">
        <f t="shared" si="5"/>
        <v>No</v>
      </c>
      <c r="F29" s="63">
        <f t="shared" si="0"/>
        <v>624.33333333333337</v>
      </c>
      <c r="G29" s="63">
        <f t="shared" si="14"/>
        <v>124.86666666666667</v>
      </c>
      <c r="H29" s="63">
        <f t="shared" si="6"/>
        <v>499.4666666666667</v>
      </c>
      <c r="I29" s="312">
        <f t="shared" si="7"/>
        <v>499.4666666666667</v>
      </c>
      <c r="J29" s="14" t="str">
        <f t="shared" si="8"/>
        <v>No</v>
      </c>
      <c r="K29" s="63">
        <f t="shared" si="1"/>
        <v>0</v>
      </c>
      <c r="L29" s="130">
        <f>IF('Total income package'!$A$20=TRUE,MIN(IF(K29&gt;9.99,K29,0),$I$2),0)</f>
        <v>0</v>
      </c>
      <c r="M29" s="14" t="str">
        <f t="shared" si="16"/>
        <v>Yes</v>
      </c>
      <c r="N29" s="14" t="str">
        <f t="shared" si="9"/>
        <v>Yes</v>
      </c>
      <c r="O29" s="312">
        <f t="shared" si="10"/>
        <v>385</v>
      </c>
      <c r="P29" s="63">
        <f t="shared" si="3"/>
        <v>884.4666666666667</v>
      </c>
      <c r="Q29" s="312" t="str">
        <f t="shared" si="11"/>
        <v>Yes</v>
      </c>
      <c r="R29" s="312">
        <f t="shared" si="12"/>
        <v>0</v>
      </c>
      <c r="S29" s="15">
        <f t="shared" si="13"/>
        <v>385</v>
      </c>
      <c r="T29" s="189">
        <f>IF(AND('Total income package'!$A$22=TRUE,M29="Yes",S29&gt;9.99),MIN(S29,$I$2),0)</f>
        <v>0</v>
      </c>
    </row>
    <row r="30" spans="1:20" ht="14.4" x14ac:dyDescent="0.3">
      <c r="A30" s="117">
        <v>10500</v>
      </c>
      <c r="B30" s="384">
        <f t="shared" si="15"/>
        <v>875</v>
      </c>
      <c r="C30" s="63">
        <f>'Total income package'!$D$80</f>
        <v>0</v>
      </c>
      <c r="D30" s="63">
        <f t="shared" si="4"/>
        <v>875</v>
      </c>
      <c r="E30" s="14" t="str">
        <f t="shared" si="5"/>
        <v>No</v>
      </c>
      <c r="F30" s="63">
        <f t="shared" si="0"/>
        <v>666</v>
      </c>
      <c r="G30" s="63">
        <f t="shared" si="14"/>
        <v>133.20000000000002</v>
      </c>
      <c r="H30" s="63">
        <f t="shared" si="6"/>
        <v>532.79999999999995</v>
      </c>
      <c r="I30" s="312">
        <f t="shared" si="7"/>
        <v>532.79999999999995</v>
      </c>
      <c r="J30" s="14" t="str">
        <f t="shared" si="8"/>
        <v>No</v>
      </c>
      <c r="K30" s="63">
        <f t="shared" si="1"/>
        <v>0</v>
      </c>
      <c r="L30" s="130">
        <f>IF('Total income package'!$A$20=TRUE,MIN(IF(K30&gt;9.99,K30,0),$I$2),0)</f>
        <v>0</v>
      </c>
      <c r="M30" s="14" t="str">
        <f t="shared" si="16"/>
        <v>Yes</v>
      </c>
      <c r="N30" s="14" t="str">
        <f t="shared" si="9"/>
        <v>Yes</v>
      </c>
      <c r="O30" s="312">
        <f t="shared" si="10"/>
        <v>385</v>
      </c>
      <c r="P30" s="63">
        <f t="shared" si="3"/>
        <v>917.8</v>
      </c>
      <c r="Q30" s="312" t="str">
        <f t="shared" si="11"/>
        <v>Yes</v>
      </c>
      <c r="R30" s="312">
        <f t="shared" si="12"/>
        <v>0</v>
      </c>
      <c r="S30" s="15">
        <f t="shared" si="13"/>
        <v>385</v>
      </c>
      <c r="T30" s="189">
        <f>IF(AND('Total income package'!$A$22=TRUE,M30="Yes",S30&gt;9.99),MIN(S30,$I$2),0)</f>
        <v>0</v>
      </c>
    </row>
    <row r="31" spans="1:20" ht="14.4" x14ac:dyDescent="0.3">
      <c r="A31" s="117">
        <v>11000</v>
      </c>
      <c r="B31" s="384">
        <f t="shared" si="15"/>
        <v>916.66666666666663</v>
      </c>
      <c r="C31" s="63">
        <f>'Total income package'!$D$80</f>
        <v>0</v>
      </c>
      <c r="D31" s="63">
        <f t="shared" si="4"/>
        <v>916.66666666666663</v>
      </c>
      <c r="E31" s="14" t="str">
        <f t="shared" si="5"/>
        <v>No</v>
      </c>
      <c r="F31" s="63">
        <f t="shared" si="0"/>
        <v>707.66666666666663</v>
      </c>
      <c r="G31" s="63">
        <f t="shared" si="14"/>
        <v>141.53333333333333</v>
      </c>
      <c r="H31" s="63">
        <f t="shared" si="6"/>
        <v>566.13333333333333</v>
      </c>
      <c r="I31" s="312">
        <f t="shared" si="7"/>
        <v>566.13333333333333</v>
      </c>
      <c r="J31" s="14" t="str">
        <f t="shared" si="8"/>
        <v>No</v>
      </c>
      <c r="K31" s="63">
        <f t="shared" si="1"/>
        <v>0</v>
      </c>
      <c r="L31" s="130">
        <f>IF('Total income package'!$A$20=TRUE,MIN(IF(K31&gt;9.99,K31,0),$I$2),0)</f>
        <v>0</v>
      </c>
      <c r="M31" s="14" t="str">
        <f t="shared" si="16"/>
        <v>Yes</v>
      </c>
      <c r="N31" s="14" t="str">
        <f t="shared" si="9"/>
        <v>Yes</v>
      </c>
      <c r="O31" s="312">
        <f t="shared" si="10"/>
        <v>385</v>
      </c>
      <c r="P31" s="63">
        <f t="shared" si="3"/>
        <v>951.13333333333333</v>
      </c>
      <c r="Q31" s="312" t="str">
        <f t="shared" si="11"/>
        <v>Yes</v>
      </c>
      <c r="R31" s="312">
        <f t="shared" si="12"/>
        <v>0</v>
      </c>
      <c r="S31" s="15">
        <f t="shared" si="13"/>
        <v>385</v>
      </c>
      <c r="T31" s="189">
        <f>IF(AND('Total income package'!$A$22=TRUE,M31="Yes",S31&gt;9.99),MIN(S31,$I$2),0)</f>
        <v>0</v>
      </c>
    </row>
    <row r="32" spans="1:20" ht="14.4" x14ac:dyDescent="0.3">
      <c r="A32" s="29">
        <v>11500</v>
      </c>
      <c r="B32" s="384">
        <f t="shared" si="15"/>
        <v>958.33333333333337</v>
      </c>
      <c r="C32" s="63">
        <f>'Total income package'!$D$80</f>
        <v>0</v>
      </c>
      <c r="D32" s="63">
        <f t="shared" si="4"/>
        <v>958.33333333333337</v>
      </c>
      <c r="E32" s="14" t="str">
        <f t="shared" si="5"/>
        <v>No</v>
      </c>
      <c r="F32" s="63">
        <f t="shared" si="0"/>
        <v>749.33333333333337</v>
      </c>
      <c r="G32" s="63">
        <f>F32*0.2</f>
        <v>149.86666666666667</v>
      </c>
      <c r="H32" s="63">
        <f t="shared" si="6"/>
        <v>599.4666666666667</v>
      </c>
      <c r="I32" s="312">
        <f t="shared" si="7"/>
        <v>599.4666666666667</v>
      </c>
      <c r="J32" s="14" t="str">
        <f t="shared" si="8"/>
        <v>No</v>
      </c>
      <c r="K32" s="63">
        <f t="shared" si="1"/>
        <v>0</v>
      </c>
      <c r="L32" s="130">
        <f>IF('Total income package'!$A$20=TRUE,MIN(IF(K32&gt;9.99,K32,0),$I$2),0)</f>
        <v>0</v>
      </c>
      <c r="M32" s="14" t="str">
        <f t="shared" si="16"/>
        <v>Yes</v>
      </c>
      <c r="N32" s="14" t="str">
        <f t="shared" si="9"/>
        <v>Yes</v>
      </c>
      <c r="O32" s="312">
        <f t="shared" si="10"/>
        <v>385</v>
      </c>
      <c r="P32" s="63">
        <f t="shared" si="3"/>
        <v>984.4666666666667</v>
      </c>
      <c r="Q32" s="312" t="str">
        <f t="shared" si="11"/>
        <v>Yes</v>
      </c>
      <c r="R32" s="312">
        <f t="shared" si="12"/>
        <v>0</v>
      </c>
      <c r="S32" s="15">
        <f t="shared" si="13"/>
        <v>385</v>
      </c>
      <c r="T32" s="189">
        <f>IF(AND('Total income package'!$A$22=TRUE,M32="Yes",S32&gt;9.99),MIN(S32,$I$2),0)</f>
        <v>0</v>
      </c>
    </row>
    <row r="33" spans="1:20" ht="14.4" x14ac:dyDescent="0.3">
      <c r="A33" s="117">
        <v>12000</v>
      </c>
      <c r="B33" s="384">
        <f t="shared" si="15"/>
        <v>1000</v>
      </c>
      <c r="C33" s="63">
        <f>'Total income package'!$D$80</f>
        <v>0</v>
      </c>
      <c r="D33" s="63">
        <f t="shared" si="4"/>
        <v>1000</v>
      </c>
      <c r="E33" s="14" t="str">
        <f t="shared" si="5"/>
        <v>No</v>
      </c>
      <c r="F33" s="63">
        <f t="shared" si="0"/>
        <v>791</v>
      </c>
      <c r="G33" s="63">
        <f t="shared" si="14"/>
        <v>158.20000000000002</v>
      </c>
      <c r="H33" s="63">
        <f t="shared" si="6"/>
        <v>632.79999999999995</v>
      </c>
      <c r="I33" s="312">
        <f t="shared" si="7"/>
        <v>632.79999999999995</v>
      </c>
      <c r="J33" s="14" t="str">
        <f t="shared" si="8"/>
        <v>No</v>
      </c>
      <c r="K33" s="63">
        <f t="shared" si="1"/>
        <v>0</v>
      </c>
      <c r="L33" s="130">
        <f>IF('Total income package'!$A$20=TRUE,MIN(IF(K33&gt;9.99,K33,0),$I$2),0)</f>
        <v>0</v>
      </c>
      <c r="M33" s="14" t="str">
        <f t="shared" si="16"/>
        <v>Yes</v>
      </c>
      <c r="N33" s="14" t="str">
        <f t="shared" si="9"/>
        <v>Yes</v>
      </c>
      <c r="O33" s="312">
        <f t="shared" si="10"/>
        <v>385</v>
      </c>
      <c r="P33" s="63">
        <f t="shared" si="3"/>
        <v>1017.8</v>
      </c>
      <c r="Q33" s="312" t="str">
        <f t="shared" si="11"/>
        <v>Yes</v>
      </c>
      <c r="R33" s="312">
        <f t="shared" si="12"/>
        <v>0</v>
      </c>
      <c r="S33" s="15">
        <f t="shared" si="13"/>
        <v>385</v>
      </c>
      <c r="T33" s="189">
        <f>IF(AND('Total income package'!$A$22=TRUE,M33="Yes",S33&gt;9.99),MIN(S33,$I$2),0)</f>
        <v>0</v>
      </c>
    </row>
    <row r="34" spans="1:20" ht="14.4" x14ac:dyDescent="0.3">
      <c r="A34" s="117">
        <v>12500</v>
      </c>
      <c r="B34" s="384">
        <f t="shared" si="15"/>
        <v>1041.6666666666667</v>
      </c>
      <c r="C34" s="63">
        <f>'Total income package'!$D$80</f>
        <v>0</v>
      </c>
      <c r="D34" s="63">
        <f t="shared" si="4"/>
        <v>1041.6666666666667</v>
      </c>
      <c r="E34" s="14" t="str">
        <f t="shared" si="5"/>
        <v>No</v>
      </c>
      <c r="F34" s="63">
        <f t="shared" si="0"/>
        <v>832.66666666666674</v>
      </c>
      <c r="G34" s="63">
        <f t="shared" si="14"/>
        <v>166.53333333333336</v>
      </c>
      <c r="H34" s="63">
        <f t="shared" si="6"/>
        <v>666.13333333333344</v>
      </c>
      <c r="I34" s="312">
        <f t="shared" si="7"/>
        <v>666.13333333333344</v>
      </c>
      <c r="J34" s="14" t="str">
        <f t="shared" si="8"/>
        <v>No</v>
      </c>
      <c r="K34" s="63">
        <f t="shared" si="1"/>
        <v>0</v>
      </c>
      <c r="L34" s="130">
        <f>IF('Total income package'!$A$20=TRUE,MIN(IF(K34&gt;9.99,K34,0),$I$2),0)</f>
        <v>0</v>
      </c>
      <c r="M34" s="14" t="str">
        <f t="shared" si="16"/>
        <v>Yes</v>
      </c>
      <c r="N34" s="14" t="str">
        <f t="shared" si="9"/>
        <v>Yes</v>
      </c>
      <c r="O34" s="312">
        <f t="shared" si="10"/>
        <v>385</v>
      </c>
      <c r="P34" s="63">
        <f t="shared" si="3"/>
        <v>1051.1333333333334</v>
      </c>
      <c r="Q34" s="312" t="str">
        <f t="shared" si="11"/>
        <v>Yes</v>
      </c>
      <c r="R34" s="312">
        <f t="shared" si="12"/>
        <v>0</v>
      </c>
      <c r="S34" s="15">
        <f t="shared" si="13"/>
        <v>385</v>
      </c>
      <c r="T34" s="189">
        <f>IF(AND('Total income package'!$A$22=TRUE,M34="Yes",S34&gt;9.99),MIN(S34,$I$2),0)</f>
        <v>0</v>
      </c>
    </row>
    <row r="35" spans="1:20" ht="14.4" x14ac:dyDescent="0.3">
      <c r="A35" s="29">
        <v>13000</v>
      </c>
      <c r="B35" s="384">
        <f t="shared" si="15"/>
        <v>1083.3333333333333</v>
      </c>
      <c r="C35" s="63">
        <f>'Total income package'!$D$80</f>
        <v>0</v>
      </c>
      <c r="D35" s="63">
        <f t="shared" si="4"/>
        <v>1083.3333333333333</v>
      </c>
      <c r="E35" s="14" t="str">
        <f t="shared" si="5"/>
        <v>No</v>
      </c>
      <c r="F35" s="63">
        <f t="shared" si="0"/>
        <v>874.33333333333326</v>
      </c>
      <c r="G35" s="63">
        <f t="shared" si="14"/>
        <v>174.86666666666667</v>
      </c>
      <c r="H35" s="63">
        <f t="shared" si="6"/>
        <v>699.46666666666658</v>
      </c>
      <c r="I35" s="312">
        <f t="shared" si="7"/>
        <v>699.46666666666658</v>
      </c>
      <c r="J35" s="14" t="str">
        <f t="shared" si="8"/>
        <v>No</v>
      </c>
      <c r="K35" s="63">
        <f t="shared" si="1"/>
        <v>0</v>
      </c>
      <c r="L35" s="130">
        <f>IF('Total income package'!$A$20=TRUE,MIN(IF(K35&gt;9.99,K35,0),$I$2),0)</f>
        <v>0</v>
      </c>
      <c r="M35" s="14" t="str">
        <f t="shared" si="16"/>
        <v>Yes</v>
      </c>
      <c r="N35" s="14" t="str">
        <f t="shared" si="9"/>
        <v>Yes</v>
      </c>
      <c r="O35" s="312">
        <f t="shared" si="10"/>
        <v>385</v>
      </c>
      <c r="P35" s="63">
        <f t="shared" si="3"/>
        <v>1084.4666666666667</v>
      </c>
      <c r="Q35" s="312" t="str">
        <f t="shared" si="11"/>
        <v>Yes</v>
      </c>
      <c r="R35" s="312">
        <f t="shared" si="12"/>
        <v>0</v>
      </c>
      <c r="S35" s="15">
        <f t="shared" si="13"/>
        <v>385</v>
      </c>
      <c r="T35" s="189">
        <f>IF(AND('Total income package'!$A$22=TRUE,M35="Yes",S35&gt;9.99),MIN(S35,$I$2),0)</f>
        <v>0</v>
      </c>
    </row>
    <row r="36" spans="1:20" ht="14.4" x14ac:dyDescent="0.3">
      <c r="A36" s="117">
        <v>13500</v>
      </c>
      <c r="B36" s="384">
        <f t="shared" si="15"/>
        <v>1125</v>
      </c>
      <c r="C36" s="63">
        <f>'Total income package'!$D$80</f>
        <v>0</v>
      </c>
      <c r="D36" s="63">
        <f t="shared" si="4"/>
        <v>1125</v>
      </c>
      <c r="E36" s="14" t="str">
        <f t="shared" si="5"/>
        <v>No</v>
      </c>
      <c r="F36" s="63">
        <f t="shared" si="0"/>
        <v>916</v>
      </c>
      <c r="G36" s="63">
        <f t="shared" si="14"/>
        <v>183.20000000000002</v>
      </c>
      <c r="H36" s="63">
        <f t="shared" si="6"/>
        <v>732.8</v>
      </c>
      <c r="I36" s="312">
        <f t="shared" si="7"/>
        <v>732.8</v>
      </c>
      <c r="J36" s="14" t="str">
        <f t="shared" si="8"/>
        <v>No</v>
      </c>
      <c r="K36" s="63">
        <f t="shared" si="1"/>
        <v>0</v>
      </c>
      <c r="L36" s="130">
        <f>IF('Total income package'!$A$20=TRUE,MIN(IF(K36&gt;9.99,K36,0),$I$2),0)</f>
        <v>0</v>
      </c>
      <c r="M36" s="14" t="str">
        <f t="shared" si="16"/>
        <v>Yes</v>
      </c>
      <c r="N36" s="14" t="str">
        <f t="shared" si="9"/>
        <v>Yes</v>
      </c>
      <c r="O36" s="312">
        <f t="shared" si="10"/>
        <v>385</v>
      </c>
      <c r="P36" s="63">
        <f t="shared" si="3"/>
        <v>1117.8</v>
      </c>
      <c r="Q36" s="312" t="str">
        <f t="shared" si="11"/>
        <v>Yes</v>
      </c>
      <c r="R36" s="312">
        <f t="shared" si="12"/>
        <v>0</v>
      </c>
      <c r="S36" s="15">
        <f t="shared" si="13"/>
        <v>385</v>
      </c>
      <c r="T36" s="189">
        <f>IF(AND('Total income package'!$A$22=TRUE,M36="Yes",S36&gt;9.99),MIN(S36,$I$2),0)</f>
        <v>0</v>
      </c>
    </row>
    <row r="37" spans="1:20" ht="14.4" x14ac:dyDescent="0.3">
      <c r="A37" s="117">
        <v>14000</v>
      </c>
      <c r="B37" s="384">
        <f t="shared" si="15"/>
        <v>1166.6666666666667</v>
      </c>
      <c r="C37" s="63">
        <f>'Total income package'!$D$80</f>
        <v>0</v>
      </c>
      <c r="D37" s="63">
        <f t="shared" si="4"/>
        <v>1166.6666666666667</v>
      </c>
      <c r="E37" s="14" t="str">
        <f t="shared" si="5"/>
        <v>No</v>
      </c>
      <c r="F37" s="63">
        <f t="shared" si="0"/>
        <v>957.66666666666674</v>
      </c>
      <c r="G37" s="63">
        <f t="shared" si="14"/>
        <v>191.53333333333336</v>
      </c>
      <c r="H37" s="63">
        <f t="shared" si="6"/>
        <v>766.13333333333344</v>
      </c>
      <c r="I37" s="312">
        <f t="shared" si="7"/>
        <v>766.13333333333344</v>
      </c>
      <c r="J37" s="14" t="str">
        <f t="shared" si="8"/>
        <v>No</v>
      </c>
      <c r="K37" s="63">
        <f t="shared" si="1"/>
        <v>0</v>
      </c>
      <c r="L37" s="130">
        <f>IF('Total income package'!$A$20=TRUE,MIN(IF(K37&gt;9.99,K37,0),$I$2),0)</f>
        <v>0</v>
      </c>
      <c r="M37" s="14" t="str">
        <f t="shared" si="16"/>
        <v>Yes</v>
      </c>
      <c r="N37" s="14" t="str">
        <f t="shared" si="9"/>
        <v>Yes</v>
      </c>
      <c r="O37" s="312">
        <f t="shared" si="10"/>
        <v>385</v>
      </c>
      <c r="P37" s="63">
        <f t="shared" si="3"/>
        <v>1151.1333333333334</v>
      </c>
      <c r="Q37" s="312" t="str">
        <f t="shared" si="11"/>
        <v>Yes</v>
      </c>
      <c r="R37" s="312">
        <f t="shared" si="12"/>
        <v>0</v>
      </c>
      <c r="S37" s="15">
        <f t="shared" si="13"/>
        <v>385</v>
      </c>
      <c r="T37" s="189">
        <f>IF(AND('Total income package'!$A$22=TRUE,M37="Yes",S37&gt;9.99),MIN(S37,$I$2),0)</f>
        <v>0</v>
      </c>
    </row>
    <row r="38" spans="1:20" ht="14.4" x14ac:dyDescent="0.3">
      <c r="A38" s="29">
        <v>14500</v>
      </c>
      <c r="B38" s="384">
        <f t="shared" si="15"/>
        <v>1208.3333333333333</v>
      </c>
      <c r="C38" s="63">
        <f>'Total income package'!$D$80</f>
        <v>0</v>
      </c>
      <c r="D38" s="63">
        <f t="shared" si="4"/>
        <v>1208.3333333333333</v>
      </c>
      <c r="E38" s="14" t="str">
        <f t="shared" si="5"/>
        <v>No</v>
      </c>
      <c r="F38" s="63">
        <f t="shared" si="0"/>
        <v>999.33333333333326</v>
      </c>
      <c r="G38" s="63">
        <f t="shared" si="14"/>
        <v>199.86666666666667</v>
      </c>
      <c r="H38" s="63">
        <f t="shared" si="6"/>
        <v>799.46666666666658</v>
      </c>
      <c r="I38" s="312">
        <f t="shared" si="7"/>
        <v>799.46666666666658</v>
      </c>
      <c r="J38" s="14" t="str">
        <f t="shared" si="8"/>
        <v>No</v>
      </c>
      <c r="K38" s="63">
        <f t="shared" si="1"/>
        <v>0</v>
      </c>
      <c r="L38" s="130">
        <f>IF('Total income package'!$A$20=TRUE,MIN(IF(K38&gt;9.99,K38,0),$I$2),0)</f>
        <v>0</v>
      </c>
      <c r="M38" s="14" t="str">
        <f t="shared" si="16"/>
        <v>Yes</v>
      </c>
      <c r="N38" s="14" t="str">
        <f t="shared" si="9"/>
        <v>Yes</v>
      </c>
      <c r="O38" s="312">
        <f t="shared" si="10"/>
        <v>385</v>
      </c>
      <c r="P38" s="63">
        <f t="shared" si="3"/>
        <v>1184.4666666666667</v>
      </c>
      <c r="Q38" s="312" t="str">
        <f t="shared" si="11"/>
        <v>Yes</v>
      </c>
      <c r="R38" s="312">
        <f t="shared" si="12"/>
        <v>0</v>
      </c>
      <c r="S38" s="15">
        <f t="shared" si="13"/>
        <v>385</v>
      </c>
      <c r="T38" s="189">
        <f>IF(AND('Total income package'!$A$22=TRUE,M38="Yes",S38&gt;9.99),MIN(S38,$I$2),0)</f>
        <v>0</v>
      </c>
    </row>
    <row r="39" spans="1:20" ht="14.4" x14ac:dyDescent="0.3">
      <c r="A39" s="117">
        <v>15000</v>
      </c>
      <c r="B39" s="384">
        <f t="shared" si="15"/>
        <v>1250</v>
      </c>
      <c r="C39" s="63">
        <f>'Total income package'!$D$80</f>
        <v>0</v>
      </c>
      <c r="D39" s="63">
        <f t="shared" si="4"/>
        <v>1250</v>
      </c>
      <c r="E39" s="14" t="str">
        <f t="shared" si="5"/>
        <v>No</v>
      </c>
      <c r="F39" s="63">
        <f t="shared" si="0"/>
        <v>1041</v>
      </c>
      <c r="G39" s="63">
        <f t="shared" si="14"/>
        <v>208.20000000000002</v>
      </c>
      <c r="H39" s="63">
        <f t="shared" si="6"/>
        <v>832.8</v>
      </c>
      <c r="I39" s="312">
        <f t="shared" si="7"/>
        <v>832.8</v>
      </c>
      <c r="J39" s="14" t="str">
        <f t="shared" si="8"/>
        <v>No</v>
      </c>
      <c r="K39" s="63">
        <f t="shared" si="1"/>
        <v>0</v>
      </c>
      <c r="L39" s="130">
        <f>IF('Total income package'!$A$20=TRUE,MIN(IF(K39&gt;9.99,K39,0),$I$2),0)</f>
        <v>0</v>
      </c>
      <c r="M39" s="14" t="str">
        <f t="shared" si="16"/>
        <v>Yes</v>
      </c>
      <c r="N39" s="14" t="str">
        <f t="shared" si="9"/>
        <v>Yes</v>
      </c>
      <c r="O39" s="312">
        <f t="shared" si="10"/>
        <v>385</v>
      </c>
      <c r="P39" s="63">
        <f t="shared" si="3"/>
        <v>1217.8</v>
      </c>
      <c r="Q39" s="312" t="str">
        <f t="shared" si="11"/>
        <v>Yes</v>
      </c>
      <c r="R39" s="312">
        <f t="shared" si="12"/>
        <v>0</v>
      </c>
      <c r="S39" s="15">
        <f t="shared" si="13"/>
        <v>385</v>
      </c>
      <c r="T39" s="189">
        <f>IF(AND('Total income package'!$A$22=TRUE,M39="Yes",S39&gt;9.99),MIN(S39,$I$2),0)</f>
        <v>0</v>
      </c>
    </row>
    <row r="40" spans="1:20" ht="14.4" x14ac:dyDescent="0.3">
      <c r="A40" s="117">
        <v>15500</v>
      </c>
      <c r="B40" s="384">
        <f t="shared" si="15"/>
        <v>1291.6666666666667</v>
      </c>
      <c r="C40" s="63">
        <f>'Total income package'!$D$80</f>
        <v>0</v>
      </c>
      <c r="D40" s="63">
        <f t="shared" si="4"/>
        <v>1291.6666666666667</v>
      </c>
      <c r="E40" s="14" t="str">
        <f t="shared" si="5"/>
        <v>No</v>
      </c>
      <c r="F40" s="63">
        <f t="shared" si="0"/>
        <v>1082.6666666666667</v>
      </c>
      <c r="G40" s="63">
        <f t="shared" si="14"/>
        <v>216.53333333333336</v>
      </c>
      <c r="H40" s="63">
        <f t="shared" si="6"/>
        <v>866.13333333333344</v>
      </c>
      <c r="I40" s="312">
        <f t="shared" si="7"/>
        <v>866.13333333333344</v>
      </c>
      <c r="J40" s="14" t="str">
        <f t="shared" si="8"/>
        <v>No</v>
      </c>
      <c r="K40" s="63">
        <f t="shared" si="1"/>
        <v>0</v>
      </c>
      <c r="L40" s="130">
        <f>IF('Total income package'!$A$20=TRUE,MIN(IF(K40&gt;9.99,K40,0),$I$2),0)</f>
        <v>0</v>
      </c>
      <c r="M40" s="14" t="str">
        <f t="shared" si="16"/>
        <v>Yes</v>
      </c>
      <c r="N40" s="14" t="str">
        <f t="shared" si="9"/>
        <v>Yes</v>
      </c>
      <c r="O40" s="312">
        <f t="shared" si="10"/>
        <v>385</v>
      </c>
      <c r="P40" s="63">
        <f t="shared" si="3"/>
        <v>1251.1333333333334</v>
      </c>
      <c r="Q40" s="312" t="str">
        <f t="shared" si="11"/>
        <v>Yes</v>
      </c>
      <c r="R40" s="312">
        <f t="shared" si="12"/>
        <v>0</v>
      </c>
      <c r="S40" s="15">
        <f t="shared" si="13"/>
        <v>385</v>
      </c>
      <c r="T40" s="189">
        <f>IF(AND('Total income package'!$A$22=TRUE,M40="Yes",S40&gt;9.99),MIN(S40,$I$2),0)</f>
        <v>0</v>
      </c>
    </row>
    <row r="41" spans="1:20" ht="14.4" x14ac:dyDescent="0.3">
      <c r="A41" s="29">
        <v>16000</v>
      </c>
      <c r="B41" s="384">
        <f t="shared" si="15"/>
        <v>1333.3333333333333</v>
      </c>
      <c r="C41" s="63">
        <f>'Total income package'!$D$80</f>
        <v>0</v>
      </c>
      <c r="D41" s="63">
        <f t="shared" si="4"/>
        <v>1333.3333333333333</v>
      </c>
      <c r="E41" s="14" t="str">
        <f t="shared" si="5"/>
        <v>No</v>
      </c>
      <c r="F41" s="63">
        <f t="shared" si="0"/>
        <v>1124.3333333333333</v>
      </c>
      <c r="G41" s="63">
        <f t="shared" si="14"/>
        <v>224.86666666666667</v>
      </c>
      <c r="H41" s="63">
        <f t="shared" si="6"/>
        <v>899.46666666666658</v>
      </c>
      <c r="I41" s="312">
        <f t="shared" si="7"/>
        <v>899.46666666666658</v>
      </c>
      <c r="J41" s="14" t="str">
        <f t="shared" si="8"/>
        <v>No</v>
      </c>
      <c r="K41" s="63">
        <f t="shared" si="1"/>
        <v>0</v>
      </c>
      <c r="L41" s="130">
        <f>IF('Total income package'!$A$20=TRUE,MIN(IF(K41&gt;9.99,K41,0),$I$2),0)</f>
        <v>0</v>
      </c>
      <c r="M41" s="14" t="str">
        <f t="shared" si="16"/>
        <v>Yes</v>
      </c>
      <c r="N41" s="14" t="str">
        <f t="shared" si="9"/>
        <v>Yes</v>
      </c>
      <c r="O41" s="312">
        <f t="shared" si="10"/>
        <v>385</v>
      </c>
      <c r="P41" s="63">
        <f t="shared" si="3"/>
        <v>1284.4666666666667</v>
      </c>
      <c r="Q41" s="312" t="str">
        <f t="shared" si="11"/>
        <v>Yes</v>
      </c>
      <c r="R41" s="312">
        <f t="shared" si="12"/>
        <v>0</v>
      </c>
      <c r="S41" s="15">
        <f t="shared" si="13"/>
        <v>385</v>
      </c>
      <c r="T41" s="189">
        <f>IF(AND('Total income package'!$A$22=TRUE,M41="Yes",S41&gt;9.99),MIN(S41,$I$2),0)</f>
        <v>0</v>
      </c>
    </row>
    <row r="42" spans="1:20" ht="14.4" x14ac:dyDescent="0.3">
      <c r="A42" s="117">
        <v>16500</v>
      </c>
      <c r="B42" s="384">
        <f t="shared" si="15"/>
        <v>1375</v>
      </c>
      <c r="C42" s="63">
        <f>'Total income package'!$D$80</f>
        <v>0</v>
      </c>
      <c r="D42" s="63">
        <f t="shared" si="4"/>
        <v>1375</v>
      </c>
      <c r="E42" s="14" t="str">
        <f t="shared" si="5"/>
        <v>No</v>
      </c>
      <c r="F42" s="63">
        <f t="shared" si="0"/>
        <v>1166</v>
      </c>
      <c r="G42" s="63">
        <f t="shared" si="14"/>
        <v>233.20000000000002</v>
      </c>
      <c r="H42" s="63">
        <f t="shared" si="6"/>
        <v>932.8</v>
      </c>
      <c r="I42" s="312">
        <f t="shared" si="7"/>
        <v>932.8</v>
      </c>
      <c r="J42" s="14" t="str">
        <f t="shared" si="8"/>
        <v>No</v>
      </c>
      <c r="K42" s="63">
        <f t="shared" si="1"/>
        <v>0</v>
      </c>
      <c r="L42" s="130">
        <f>IF('Total income package'!$A$20=TRUE,MIN(IF(K42&gt;9.99,K42,0),$I$2),0)</f>
        <v>0</v>
      </c>
      <c r="M42" s="14" t="str">
        <f t="shared" si="16"/>
        <v>Yes</v>
      </c>
      <c r="N42" s="14" t="str">
        <f t="shared" si="9"/>
        <v>Yes</v>
      </c>
      <c r="O42" s="312">
        <f t="shared" si="10"/>
        <v>385</v>
      </c>
      <c r="P42" s="63">
        <f t="shared" si="3"/>
        <v>1317.8</v>
      </c>
      <c r="Q42" s="312" t="str">
        <f t="shared" si="11"/>
        <v>Yes</v>
      </c>
      <c r="R42" s="312">
        <f t="shared" si="12"/>
        <v>0</v>
      </c>
      <c r="S42" s="15">
        <f t="shared" si="13"/>
        <v>385</v>
      </c>
      <c r="T42" s="189">
        <f>IF(AND('Total income package'!$A$22=TRUE,M42="Yes",S42&gt;9.99),MIN(S42,$I$2),0)</f>
        <v>0</v>
      </c>
    </row>
    <row r="43" spans="1:20" ht="14.4" x14ac:dyDescent="0.3">
      <c r="A43" s="117">
        <v>17000</v>
      </c>
      <c r="B43" s="384">
        <f t="shared" si="15"/>
        <v>1416.6666666666667</v>
      </c>
      <c r="C43" s="63">
        <f>'Total income package'!$D$80</f>
        <v>0</v>
      </c>
      <c r="D43" s="63">
        <f t="shared" si="4"/>
        <v>1416.6666666666667</v>
      </c>
      <c r="E43" s="14" t="str">
        <f t="shared" si="5"/>
        <v>No</v>
      </c>
      <c r="F43" s="63">
        <f t="shared" si="0"/>
        <v>1207.6666666666667</v>
      </c>
      <c r="G43" s="63">
        <f t="shared" si="14"/>
        <v>241.53333333333336</v>
      </c>
      <c r="H43" s="63">
        <f t="shared" si="6"/>
        <v>966.13333333333344</v>
      </c>
      <c r="I43" s="312">
        <f t="shared" si="7"/>
        <v>966.13333333333344</v>
      </c>
      <c r="J43" s="14" t="str">
        <f t="shared" si="8"/>
        <v>No</v>
      </c>
      <c r="K43" s="63">
        <f t="shared" si="1"/>
        <v>0</v>
      </c>
      <c r="L43" s="130">
        <f>IF('Total income package'!$A$20=TRUE,MIN(IF(K43&gt;9.99,K43,0),$I$2),0)</f>
        <v>0</v>
      </c>
      <c r="M43" s="14" t="str">
        <f t="shared" si="16"/>
        <v>Yes</v>
      </c>
      <c r="N43" s="14" t="str">
        <f t="shared" si="9"/>
        <v>Yes</v>
      </c>
      <c r="O43" s="312">
        <f t="shared" si="10"/>
        <v>385</v>
      </c>
      <c r="P43" s="63">
        <f t="shared" si="3"/>
        <v>1351.1333333333334</v>
      </c>
      <c r="Q43" s="312" t="str">
        <f t="shared" si="11"/>
        <v>Yes</v>
      </c>
      <c r="R43" s="312">
        <f t="shared" si="12"/>
        <v>0</v>
      </c>
      <c r="S43" s="15">
        <f t="shared" si="13"/>
        <v>385</v>
      </c>
      <c r="T43" s="189">
        <f>IF(AND('Total income package'!$A$22=TRUE,M43="Yes",S43&gt;9.99),MIN(S43,$I$2),0)</f>
        <v>0</v>
      </c>
    </row>
    <row r="44" spans="1:20" ht="14.4" x14ac:dyDescent="0.3">
      <c r="A44" s="29">
        <v>17500</v>
      </c>
      <c r="B44" s="384">
        <f t="shared" si="15"/>
        <v>1458.3333333333333</v>
      </c>
      <c r="C44" s="63">
        <f>'Total income package'!$D$80</f>
        <v>0</v>
      </c>
      <c r="D44" s="63">
        <f t="shared" si="4"/>
        <v>1458.3333333333333</v>
      </c>
      <c r="E44" s="14" t="str">
        <f t="shared" si="5"/>
        <v>No</v>
      </c>
      <c r="F44" s="63">
        <f t="shared" si="0"/>
        <v>1249.3333333333333</v>
      </c>
      <c r="G44" s="63">
        <f t="shared" si="14"/>
        <v>249.86666666666667</v>
      </c>
      <c r="H44" s="63">
        <f t="shared" si="6"/>
        <v>999.46666666666658</v>
      </c>
      <c r="I44" s="312">
        <f t="shared" si="7"/>
        <v>999.46666666666658</v>
      </c>
      <c r="J44" s="14" t="str">
        <f t="shared" si="8"/>
        <v>No</v>
      </c>
      <c r="K44" s="63">
        <f t="shared" si="1"/>
        <v>0</v>
      </c>
      <c r="L44" s="130">
        <f>IF('Total income package'!$A$20=TRUE,MIN(IF(K44&gt;9.99,K44,0),$I$2),0)</f>
        <v>0</v>
      </c>
      <c r="M44" s="14" t="str">
        <f t="shared" si="16"/>
        <v>Yes</v>
      </c>
      <c r="N44" s="14" t="str">
        <f t="shared" si="9"/>
        <v>Yes</v>
      </c>
      <c r="O44" s="312">
        <f t="shared" si="10"/>
        <v>385</v>
      </c>
      <c r="P44" s="63">
        <f t="shared" si="3"/>
        <v>1384.4666666666667</v>
      </c>
      <c r="Q44" s="312" t="str">
        <f t="shared" si="11"/>
        <v>Yes</v>
      </c>
      <c r="R44" s="312">
        <f t="shared" si="12"/>
        <v>0</v>
      </c>
      <c r="S44" s="15">
        <f t="shared" si="13"/>
        <v>385</v>
      </c>
      <c r="T44" s="189">
        <f>IF(AND('Total income package'!$A$22=TRUE,M44="Yes",S44&gt;9.99),MIN(S44,$I$2),0)</f>
        <v>0</v>
      </c>
    </row>
    <row r="45" spans="1:20" ht="14.4" x14ac:dyDescent="0.3">
      <c r="A45" s="117">
        <v>18000</v>
      </c>
      <c r="B45" s="384">
        <f t="shared" si="15"/>
        <v>1500</v>
      </c>
      <c r="C45" s="63">
        <f>'Total income package'!$D$80</f>
        <v>0</v>
      </c>
      <c r="D45" s="63">
        <f t="shared" si="4"/>
        <v>1500</v>
      </c>
      <c r="E45" s="14" t="str">
        <f t="shared" si="5"/>
        <v>No</v>
      </c>
      <c r="F45" s="63">
        <f t="shared" si="0"/>
        <v>1291</v>
      </c>
      <c r="G45" s="63">
        <f t="shared" si="14"/>
        <v>258.2</v>
      </c>
      <c r="H45" s="63">
        <f t="shared" si="6"/>
        <v>1032.8</v>
      </c>
      <c r="I45" s="312">
        <f t="shared" si="7"/>
        <v>1032.8</v>
      </c>
      <c r="J45" s="14" t="str">
        <f t="shared" si="8"/>
        <v>No</v>
      </c>
      <c r="K45" s="63">
        <f t="shared" si="1"/>
        <v>0</v>
      </c>
      <c r="L45" s="130">
        <f>IF('Total income package'!$A$20=TRUE,MIN(IF(K45&gt;9.99,K45,0),$I$2),0)</f>
        <v>0</v>
      </c>
      <c r="M45" s="14" t="str">
        <f t="shared" si="16"/>
        <v>Yes</v>
      </c>
      <c r="N45" s="14" t="str">
        <f t="shared" si="9"/>
        <v>Yes</v>
      </c>
      <c r="O45" s="312">
        <f t="shared" si="10"/>
        <v>385</v>
      </c>
      <c r="P45" s="63">
        <f t="shared" si="3"/>
        <v>1417.8</v>
      </c>
      <c r="Q45" s="312" t="str">
        <f t="shared" si="11"/>
        <v>Yes</v>
      </c>
      <c r="R45" s="312">
        <f t="shared" si="12"/>
        <v>0</v>
      </c>
      <c r="S45" s="15">
        <f t="shared" si="13"/>
        <v>385</v>
      </c>
      <c r="T45" s="189">
        <f>IF(AND('Total income package'!$A$22=TRUE,M45="Yes",S45&gt;9.99),MIN(S45,$I$2),0)</f>
        <v>0</v>
      </c>
    </row>
    <row r="46" spans="1:20" ht="14.4" x14ac:dyDescent="0.3">
      <c r="A46" s="117">
        <v>18500</v>
      </c>
      <c r="B46" s="384">
        <f t="shared" si="15"/>
        <v>1541.6666666666667</v>
      </c>
      <c r="C46" s="63">
        <f>'Total income package'!$D$80</f>
        <v>0</v>
      </c>
      <c r="D46" s="63">
        <f t="shared" si="4"/>
        <v>1541.6666666666667</v>
      </c>
      <c r="E46" s="14" t="str">
        <f t="shared" si="5"/>
        <v>No</v>
      </c>
      <c r="F46" s="63">
        <f t="shared" si="0"/>
        <v>1332.6666666666667</v>
      </c>
      <c r="G46" s="63">
        <f t="shared" si="14"/>
        <v>266.53333333333336</v>
      </c>
      <c r="H46" s="63">
        <f t="shared" si="6"/>
        <v>1066.1333333333334</v>
      </c>
      <c r="I46" s="312">
        <f t="shared" si="7"/>
        <v>1066.1333333333334</v>
      </c>
      <c r="J46" s="14" t="str">
        <f t="shared" si="8"/>
        <v>No</v>
      </c>
      <c r="K46" s="63">
        <f t="shared" si="1"/>
        <v>0</v>
      </c>
      <c r="L46" s="130">
        <f>IF('Total income package'!$A$20=TRUE,MIN(IF(K46&gt;9.99,K46,0),$I$2),0)</f>
        <v>0</v>
      </c>
      <c r="M46" s="14" t="str">
        <f t="shared" si="16"/>
        <v>Yes</v>
      </c>
      <c r="N46" s="14" t="str">
        <f t="shared" si="9"/>
        <v>Yes</v>
      </c>
      <c r="O46" s="312">
        <f t="shared" si="10"/>
        <v>385</v>
      </c>
      <c r="P46" s="63">
        <f t="shared" si="3"/>
        <v>1451.1333333333334</v>
      </c>
      <c r="Q46" s="312" t="str">
        <f t="shared" si="11"/>
        <v>Yes</v>
      </c>
      <c r="R46" s="312">
        <f t="shared" si="12"/>
        <v>0</v>
      </c>
      <c r="S46" s="15">
        <f t="shared" si="13"/>
        <v>385</v>
      </c>
      <c r="T46" s="189">
        <f>IF(AND('Total income package'!$A$22=TRUE,M46="Yes",S46&gt;9.99),MIN(S46,$I$2),0)</f>
        <v>0</v>
      </c>
    </row>
    <row r="47" spans="1:20" ht="14.4" x14ac:dyDescent="0.3">
      <c r="A47" s="29">
        <v>19000</v>
      </c>
      <c r="B47" s="384">
        <f t="shared" si="15"/>
        <v>1583.3333333333333</v>
      </c>
      <c r="C47" s="63">
        <f>'Total income package'!$D$80</f>
        <v>0</v>
      </c>
      <c r="D47" s="63">
        <f t="shared" si="4"/>
        <v>1583.3333333333333</v>
      </c>
      <c r="E47" s="14" t="str">
        <f t="shared" si="5"/>
        <v>No</v>
      </c>
      <c r="F47" s="63">
        <f t="shared" si="0"/>
        <v>1374.3333333333333</v>
      </c>
      <c r="G47" s="63">
        <f t="shared" si="14"/>
        <v>274.86666666666667</v>
      </c>
      <c r="H47" s="63">
        <f t="shared" si="6"/>
        <v>1099.4666666666667</v>
      </c>
      <c r="I47" s="312">
        <f t="shared" si="7"/>
        <v>1099.4666666666667</v>
      </c>
      <c r="J47" s="14" t="str">
        <f t="shared" si="8"/>
        <v>No</v>
      </c>
      <c r="K47" s="63">
        <f t="shared" si="1"/>
        <v>0</v>
      </c>
      <c r="L47" s="130">
        <f>IF('Total income package'!$A$20=TRUE,MIN(IF(K47&gt;9.99,K47,0),$I$2),0)</f>
        <v>0</v>
      </c>
      <c r="M47" s="14" t="str">
        <f t="shared" si="16"/>
        <v>Yes</v>
      </c>
      <c r="N47" s="14" t="str">
        <f t="shared" si="9"/>
        <v>Yes</v>
      </c>
      <c r="O47" s="312">
        <f t="shared" si="10"/>
        <v>385</v>
      </c>
      <c r="P47" s="63">
        <f t="shared" si="3"/>
        <v>1484.4666666666667</v>
      </c>
      <c r="Q47" s="312" t="str">
        <f t="shared" si="11"/>
        <v>Yes</v>
      </c>
      <c r="R47" s="312">
        <f t="shared" si="12"/>
        <v>0</v>
      </c>
      <c r="S47" s="15">
        <f t="shared" si="13"/>
        <v>385</v>
      </c>
      <c r="T47" s="189">
        <f>IF(AND('Total income package'!$A$22=TRUE,M47="Yes",S47&gt;9.99),MIN(S47,$I$2),0)</f>
        <v>0</v>
      </c>
    </row>
    <row r="48" spans="1:20" ht="14.4" x14ac:dyDescent="0.3">
      <c r="A48" s="117">
        <v>19500</v>
      </c>
      <c r="B48" s="384">
        <f t="shared" si="15"/>
        <v>1625</v>
      </c>
      <c r="C48" s="63">
        <f>'Total income package'!$D$80</f>
        <v>0</v>
      </c>
      <c r="D48" s="63">
        <f t="shared" si="4"/>
        <v>1625</v>
      </c>
      <c r="E48" s="14" t="str">
        <f t="shared" si="5"/>
        <v>No</v>
      </c>
      <c r="F48" s="63">
        <f t="shared" si="0"/>
        <v>1416</v>
      </c>
      <c r="G48" s="63">
        <f t="shared" si="14"/>
        <v>283.2</v>
      </c>
      <c r="H48" s="63">
        <f t="shared" si="6"/>
        <v>1132.8</v>
      </c>
      <c r="I48" s="312">
        <f t="shared" si="7"/>
        <v>1132.8</v>
      </c>
      <c r="J48" s="14" t="str">
        <f t="shared" si="8"/>
        <v>No</v>
      </c>
      <c r="K48" s="63">
        <f t="shared" si="1"/>
        <v>0</v>
      </c>
      <c r="L48" s="130">
        <f>IF('Total income package'!$A$20=TRUE,MIN(IF(K48&gt;9.99,K48,0),$I$2),0)</f>
        <v>0</v>
      </c>
      <c r="M48" s="14" t="str">
        <f t="shared" si="16"/>
        <v>Yes</v>
      </c>
      <c r="N48" s="14" t="str">
        <f t="shared" si="9"/>
        <v>Yes</v>
      </c>
      <c r="O48" s="312">
        <f t="shared" si="10"/>
        <v>385</v>
      </c>
      <c r="P48" s="63">
        <f t="shared" si="3"/>
        <v>1517.8</v>
      </c>
      <c r="Q48" s="312" t="str">
        <f t="shared" si="11"/>
        <v>Yes</v>
      </c>
      <c r="R48" s="312">
        <f t="shared" si="12"/>
        <v>0</v>
      </c>
      <c r="S48" s="15">
        <f t="shared" si="13"/>
        <v>385</v>
      </c>
      <c r="T48" s="189">
        <f>IF(AND('Total income package'!$A$22=TRUE,M48="Yes",S48&gt;9.99),MIN(S48,$I$2),0)</f>
        <v>0</v>
      </c>
    </row>
    <row r="49" spans="1:21" ht="14.4" x14ac:dyDescent="0.3">
      <c r="A49" s="117">
        <v>20000</v>
      </c>
      <c r="B49" s="384">
        <f t="shared" si="15"/>
        <v>1666.6666666666667</v>
      </c>
      <c r="C49" s="63">
        <f>'Total income package'!$D$80</f>
        <v>0</v>
      </c>
      <c r="D49" s="63">
        <f t="shared" si="4"/>
        <v>1666.6666666666667</v>
      </c>
      <c r="E49" s="14" t="str">
        <f t="shared" si="5"/>
        <v>No</v>
      </c>
      <c r="F49" s="63">
        <f t="shared" si="0"/>
        <v>1457.6666666666667</v>
      </c>
      <c r="G49" s="63">
        <f t="shared" si="14"/>
        <v>291.53333333333336</v>
      </c>
      <c r="H49" s="63">
        <f t="shared" si="6"/>
        <v>1166.1333333333334</v>
      </c>
      <c r="I49" s="312">
        <f t="shared" si="7"/>
        <v>1166.1333333333334</v>
      </c>
      <c r="J49" s="14" t="str">
        <f t="shared" si="8"/>
        <v>No</v>
      </c>
      <c r="K49" s="63">
        <f t="shared" si="1"/>
        <v>0</v>
      </c>
      <c r="L49" s="130">
        <f>IF('Total income package'!$A$20=TRUE,MIN(IF(K49&gt;9.99,K49,0),$I$2),0)</f>
        <v>0</v>
      </c>
      <c r="M49" s="14" t="str">
        <f t="shared" si="16"/>
        <v>Yes</v>
      </c>
      <c r="N49" s="14" t="str">
        <f t="shared" si="9"/>
        <v>Yes</v>
      </c>
      <c r="O49" s="312">
        <f t="shared" si="10"/>
        <v>385</v>
      </c>
      <c r="P49" s="63">
        <f t="shared" si="3"/>
        <v>1551.1333333333334</v>
      </c>
      <c r="Q49" s="312" t="str">
        <f t="shared" si="11"/>
        <v>Yes</v>
      </c>
      <c r="R49" s="312">
        <f t="shared" si="12"/>
        <v>0</v>
      </c>
      <c r="S49" s="15">
        <f t="shared" si="13"/>
        <v>385</v>
      </c>
      <c r="T49" s="189">
        <f>IF(AND('Total income package'!$A$22=TRUE,M49="Yes",S49&gt;9.99),MIN(S49,$I$2),0)</f>
        <v>0</v>
      </c>
    </row>
    <row r="50" spans="1:21" ht="14.4" x14ac:dyDescent="0.3">
      <c r="A50" s="29">
        <v>20500</v>
      </c>
      <c r="B50" s="384">
        <f t="shared" si="15"/>
        <v>1708.3333333333333</v>
      </c>
      <c r="C50" s="63">
        <f>'Total income package'!$D$80</f>
        <v>0</v>
      </c>
      <c r="D50" s="63">
        <f t="shared" si="4"/>
        <v>1708.3333333333333</v>
      </c>
      <c r="E50" s="14" t="str">
        <f t="shared" si="5"/>
        <v>No</v>
      </c>
      <c r="F50" s="63">
        <f t="shared" si="0"/>
        <v>1499.3333333333333</v>
      </c>
      <c r="G50" s="63">
        <f t="shared" si="14"/>
        <v>299.86666666666667</v>
      </c>
      <c r="H50" s="63">
        <f t="shared" si="6"/>
        <v>1199.4666666666667</v>
      </c>
      <c r="I50" s="312">
        <f t="shared" si="7"/>
        <v>1199.4666666666667</v>
      </c>
      <c r="J50" s="14" t="str">
        <f t="shared" si="8"/>
        <v>No</v>
      </c>
      <c r="K50" s="63">
        <f t="shared" si="1"/>
        <v>0</v>
      </c>
      <c r="L50" s="130">
        <f>IF('Total income package'!$A$20=TRUE,MIN(IF(K50&gt;9.99,K50,0),$I$2),0)</f>
        <v>0</v>
      </c>
      <c r="M50" s="14" t="str">
        <f t="shared" si="16"/>
        <v>Yes</v>
      </c>
      <c r="N50" s="14" t="str">
        <f t="shared" si="9"/>
        <v>Yes</v>
      </c>
      <c r="O50" s="312">
        <f t="shared" si="10"/>
        <v>385</v>
      </c>
      <c r="P50" s="63">
        <f t="shared" si="3"/>
        <v>1584.4666666666667</v>
      </c>
      <c r="Q50" s="312" t="str">
        <f t="shared" si="11"/>
        <v>Yes</v>
      </c>
      <c r="R50" s="312">
        <f t="shared" si="12"/>
        <v>0</v>
      </c>
      <c r="S50" s="15">
        <f t="shared" si="13"/>
        <v>385</v>
      </c>
      <c r="T50" s="189">
        <f>IF(AND('Total income package'!$A$22=TRUE,M50="Yes",S50&gt;9.99),MIN(S50,$I$2),0)</f>
        <v>0</v>
      </c>
    </row>
    <row r="51" spans="1:21" ht="14.4" x14ac:dyDescent="0.3">
      <c r="A51" s="117">
        <v>21000</v>
      </c>
      <c r="B51" s="384">
        <f t="shared" si="15"/>
        <v>1750</v>
      </c>
      <c r="C51" s="63">
        <f>'Total income package'!$D$80</f>
        <v>0</v>
      </c>
      <c r="D51" s="63">
        <f t="shared" si="4"/>
        <v>1750</v>
      </c>
      <c r="E51" s="14" t="str">
        <f t="shared" si="5"/>
        <v>No</v>
      </c>
      <c r="F51" s="63">
        <f t="shared" si="0"/>
        <v>1541</v>
      </c>
      <c r="G51" s="63">
        <f t="shared" si="14"/>
        <v>308.20000000000005</v>
      </c>
      <c r="H51" s="63">
        <f t="shared" si="6"/>
        <v>1232.8</v>
      </c>
      <c r="I51" s="312">
        <f t="shared" si="7"/>
        <v>1232.8</v>
      </c>
      <c r="J51" s="14" t="str">
        <f t="shared" si="8"/>
        <v>No</v>
      </c>
      <c r="K51" s="63">
        <f t="shared" si="1"/>
        <v>0</v>
      </c>
      <c r="L51" s="130">
        <f>IF('Total income package'!$A$20=TRUE,MIN(IF(K51&gt;9.99,K51,0),$I$2),0)</f>
        <v>0</v>
      </c>
      <c r="M51" s="14" t="str">
        <f t="shared" si="16"/>
        <v>Yes</v>
      </c>
      <c r="N51" s="14" t="str">
        <f t="shared" si="9"/>
        <v>Yes</v>
      </c>
      <c r="O51" s="312">
        <f t="shared" si="10"/>
        <v>385</v>
      </c>
      <c r="P51" s="63">
        <f t="shared" si="3"/>
        <v>1617.8</v>
      </c>
      <c r="Q51" s="312" t="str">
        <f t="shared" si="11"/>
        <v>Yes</v>
      </c>
      <c r="R51" s="312">
        <f t="shared" si="12"/>
        <v>0</v>
      </c>
      <c r="S51" s="15">
        <f t="shared" si="13"/>
        <v>385</v>
      </c>
      <c r="T51" s="189">
        <f>IF(AND('Total income package'!$A$22=TRUE,M51="Yes",S51&gt;9.99),MIN(S51,$I$2),0)</f>
        <v>0</v>
      </c>
    </row>
    <row r="52" spans="1:21" ht="14.4" x14ac:dyDescent="0.3">
      <c r="A52" s="117">
        <v>21500</v>
      </c>
      <c r="B52" s="384">
        <f t="shared" si="15"/>
        <v>1791.6666666666667</v>
      </c>
      <c r="C52" s="63">
        <f>'Total income package'!$D$80</f>
        <v>0</v>
      </c>
      <c r="D52" s="63">
        <f t="shared" si="4"/>
        <v>1791.6666666666667</v>
      </c>
      <c r="E52" s="14" t="str">
        <f t="shared" si="5"/>
        <v>No</v>
      </c>
      <c r="F52" s="63">
        <f t="shared" si="0"/>
        <v>1582.6666666666667</v>
      </c>
      <c r="G52" s="63">
        <f t="shared" si="14"/>
        <v>316.53333333333336</v>
      </c>
      <c r="H52" s="63">
        <f t="shared" si="6"/>
        <v>1266.1333333333334</v>
      </c>
      <c r="I52" s="312">
        <f t="shared" si="7"/>
        <v>1266.1333333333334</v>
      </c>
      <c r="J52" s="14" t="str">
        <f t="shared" si="8"/>
        <v>No</v>
      </c>
      <c r="K52" s="63">
        <f t="shared" si="1"/>
        <v>0</v>
      </c>
      <c r="L52" s="130">
        <f>IF('Total income package'!$A$20=TRUE,MIN(IF(K52&gt;9.99,K52,0),$I$2),0)</f>
        <v>0</v>
      </c>
      <c r="M52" s="14" t="str">
        <f t="shared" si="16"/>
        <v>Yes</v>
      </c>
      <c r="N52" s="14" t="str">
        <f t="shared" si="9"/>
        <v>Yes</v>
      </c>
      <c r="O52" s="312">
        <f t="shared" si="10"/>
        <v>385</v>
      </c>
      <c r="P52" s="63">
        <f t="shared" si="3"/>
        <v>1651.1333333333334</v>
      </c>
      <c r="Q52" s="312" t="str">
        <f t="shared" si="11"/>
        <v>Yes</v>
      </c>
      <c r="R52" s="312">
        <f t="shared" si="12"/>
        <v>0</v>
      </c>
      <c r="S52" s="15">
        <f t="shared" si="13"/>
        <v>385</v>
      </c>
      <c r="T52" s="189">
        <f>IF(AND('Total income package'!$A$22=TRUE,M52="Yes",S52&gt;9.99),MIN(S52,$I$2),0)</f>
        <v>0</v>
      </c>
    </row>
    <row r="53" spans="1:21" ht="14.4" x14ac:dyDescent="0.3">
      <c r="A53" s="29">
        <v>22000</v>
      </c>
      <c r="B53" s="384">
        <f t="shared" si="15"/>
        <v>1833.3333333333333</v>
      </c>
      <c r="C53" s="63">
        <f>'Total income package'!$D$80</f>
        <v>0</v>
      </c>
      <c r="D53" s="63">
        <f t="shared" si="4"/>
        <v>1833.3333333333333</v>
      </c>
      <c r="E53" s="14" t="str">
        <f t="shared" si="5"/>
        <v>No</v>
      </c>
      <c r="F53" s="63">
        <f t="shared" si="0"/>
        <v>1624.3333333333333</v>
      </c>
      <c r="G53" s="63">
        <f t="shared" si="14"/>
        <v>324.86666666666667</v>
      </c>
      <c r="H53" s="63">
        <f t="shared" si="6"/>
        <v>1299.4666666666667</v>
      </c>
      <c r="I53" s="312">
        <f t="shared" si="7"/>
        <v>1299.4666666666667</v>
      </c>
      <c r="J53" s="14" t="str">
        <f t="shared" si="8"/>
        <v>No</v>
      </c>
      <c r="K53" s="63">
        <f t="shared" si="1"/>
        <v>0</v>
      </c>
      <c r="L53" s="130">
        <f>IF('Total income package'!$A$20=TRUE,MIN(IF(K53&gt;9.99,K53,0),$I$2),0)</f>
        <v>0</v>
      </c>
      <c r="M53" s="14" t="str">
        <f t="shared" si="16"/>
        <v>No</v>
      </c>
      <c r="N53" s="14" t="str">
        <f t="shared" si="9"/>
        <v>Yes</v>
      </c>
      <c r="O53" s="312">
        <f t="shared" si="10"/>
        <v>0</v>
      </c>
      <c r="P53" s="63">
        <f t="shared" si="3"/>
        <v>1299.4666666666667</v>
      </c>
      <c r="Q53" s="312" t="str">
        <f t="shared" si="11"/>
        <v>Yes</v>
      </c>
      <c r="R53" s="312">
        <f t="shared" si="12"/>
        <v>0</v>
      </c>
      <c r="S53" s="15">
        <f t="shared" si="13"/>
        <v>0</v>
      </c>
      <c r="T53" s="189">
        <f>IF(AND('Total income package'!$A$22=TRUE,M53="Yes",S53&gt;9.99),MIN(S53,$I$2),0)</f>
        <v>0</v>
      </c>
    </row>
    <row r="54" spans="1:21" ht="14.4" x14ac:dyDescent="0.3">
      <c r="A54" s="117">
        <v>22500</v>
      </c>
      <c r="B54" s="384">
        <f t="shared" si="15"/>
        <v>1875</v>
      </c>
      <c r="C54" s="63">
        <f>'Total income package'!$D$80</f>
        <v>0</v>
      </c>
      <c r="D54" s="63">
        <f t="shared" si="4"/>
        <v>1875</v>
      </c>
      <c r="E54" s="14" t="str">
        <f t="shared" si="5"/>
        <v>No</v>
      </c>
      <c r="F54" s="63">
        <f t="shared" si="0"/>
        <v>1666</v>
      </c>
      <c r="G54" s="63">
        <f t="shared" si="14"/>
        <v>333.20000000000005</v>
      </c>
      <c r="H54" s="63">
        <f t="shared" si="6"/>
        <v>1332.8</v>
      </c>
      <c r="I54" s="312">
        <f t="shared" si="7"/>
        <v>1332.8</v>
      </c>
      <c r="J54" s="14" t="str">
        <f t="shared" si="8"/>
        <v>No</v>
      </c>
      <c r="K54" s="63">
        <f t="shared" si="1"/>
        <v>0</v>
      </c>
      <c r="L54" s="130">
        <f>IF('Total income package'!$A$20=TRUE,MIN(IF(K54&gt;9.99,K54,0),$I$2),0)</f>
        <v>0</v>
      </c>
      <c r="M54" s="14" t="str">
        <f t="shared" si="16"/>
        <v>No</v>
      </c>
      <c r="N54" s="14" t="str">
        <f t="shared" si="9"/>
        <v>Yes</v>
      </c>
      <c r="O54" s="312">
        <f t="shared" si="10"/>
        <v>0</v>
      </c>
      <c r="P54" s="63">
        <f t="shared" si="3"/>
        <v>1332.8</v>
      </c>
      <c r="Q54" s="312" t="str">
        <f t="shared" si="11"/>
        <v>Yes</v>
      </c>
      <c r="R54" s="312">
        <f t="shared" si="12"/>
        <v>0</v>
      </c>
      <c r="S54" s="15">
        <f t="shared" si="13"/>
        <v>0</v>
      </c>
      <c r="T54" s="189">
        <f>IF(AND('Total income package'!$A$22=TRUE,M54="Yes",S54&gt;9.99),MIN(S54,$I$2),0)</f>
        <v>0</v>
      </c>
    </row>
    <row r="55" spans="1:21" ht="14.4" x14ac:dyDescent="0.3">
      <c r="A55" s="117">
        <v>23000</v>
      </c>
      <c r="B55" s="384">
        <f t="shared" si="15"/>
        <v>1916.6666666666667</v>
      </c>
      <c r="C55" s="63">
        <f>'Total income package'!$D$80</f>
        <v>0</v>
      </c>
      <c r="D55" s="63">
        <f t="shared" si="4"/>
        <v>1916.6666666666667</v>
      </c>
      <c r="E55" s="14" t="str">
        <f t="shared" si="5"/>
        <v>No</v>
      </c>
      <c r="F55" s="63">
        <f t="shared" si="0"/>
        <v>1707.6666666666667</v>
      </c>
      <c r="G55" s="63">
        <f t="shared" si="14"/>
        <v>341.53333333333336</v>
      </c>
      <c r="H55" s="63">
        <f t="shared" si="6"/>
        <v>1366.1333333333334</v>
      </c>
      <c r="I55" s="312">
        <f t="shared" si="7"/>
        <v>1366.1333333333334</v>
      </c>
      <c r="J55" s="14" t="str">
        <f t="shared" si="8"/>
        <v>No</v>
      </c>
      <c r="K55" s="63">
        <f t="shared" si="1"/>
        <v>0</v>
      </c>
      <c r="L55" s="130">
        <f>IF('Total income package'!$A$20=TRUE,MIN(IF(K55&gt;9.99,K55,0),$I$2),0)</f>
        <v>0</v>
      </c>
      <c r="M55" s="14" t="str">
        <f t="shared" si="16"/>
        <v>No</v>
      </c>
      <c r="N55" s="14" t="str">
        <f t="shared" si="9"/>
        <v>Yes</v>
      </c>
      <c r="O55" s="312">
        <f t="shared" si="10"/>
        <v>0</v>
      </c>
      <c r="P55" s="63">
        <f t="shared" si="3"/>
        <v>1366.1333333333334</v>
      </c>
      <c r="Q55" s="312" t="str">
        <f t="shared" si="11"/>
        <v>Yes</v>
      </c>
      <c r="R55" s="312">
        <f t="shared" si="12"/>
        <v>0</v>
      </c>
      <c r="S55" s="15">
        <f t="shared" si="13"/>
        <v>0</v>
      </c>
      <c r="T55" s="189">
        <f>IF(AND('Total income package'!$A$22=TRUE,M55="Yes",S55&gt;9.99),MIN(S55,$I$2),0)</f>
        <v>0</v>
      </c>
    </row>
    <row r="56" spans="1:21" ht="14.4" x14ac:dyDescent="0.3">
      <c r="A56" s="29">
        <v>23500</v>
      </c>
      <c r="B56" s="384">
        <f t="shared" si="15"/>
        <v>1958.3333333333333</v>
      </c>
      <c r="C56" s="63">
        <f>'Total income package'!$D$80</f>
        <v>0</v>
      </c>
      <c r="D56" s="63">
        <f t="shared" si="4"/>
        <v>1958.3333333333333</v>
      </c>
      <c r="E56" s="14" t="str">
        <f t="shared" si="5"/>
        <v>No</v>
      </c>
      <c r="F56" s="63">
        <f t="shared" si="0"/>
        <v>1749.3333333333333</v>
      </c>
      <c r="G56" s="63">
        <f t="shared" si="14"/>
        <v>349.86666666666667</v>
      </c>
      <c r="H56" s="63">
        <f t="shared" si="6"/>
        <v>1399.4666666666667</v>
      </c>
      <c r="I56" s="312">
        <f t="shared" si="7"/>
        <v>1399.4666666666667</v>
      </c>
      <c r="J56" s="14" t="str">
        <f t="shared" si="8"/>
        <v>No</v>
      </c>
      <c r="K56" s="63">
        <f t="shared" si="1"/>
        <v>0</v>
      </c>
      <c r="L56" s="130">
        <f>IF('Total income package'!$A$20=TRUE,MIN(IF(K56&gt;9.99,K56,0),$I$2),0)</f>
        <v>0</v>
      </c>
      <c r="M56" s="14" t="str">
        <f t="shared" si="16"/>
        <v>No</v>
      </c>
      <c r="N56" s="14" t="str">
        <f t="shared" si="9"/>
        <v>Yes</v>
      </c>
      <c r="O56" s="312">
        <f t="shared" si="10"/>
        <v>0</v>
      </c>
      <c r="P56" s="63">
        <f t="shared" si="3"/>
        <v>1399.4666666666667</v>
      </c>
      <c r="Q56" s="312" t="str">
        <f t="shared" si="11"/>
        <v>Yes</v>
      </c>
      <c r="R56" s="312">
        <f t="shared" si="12"/>
        <v>0</v>
      </c>
      <c r="S56" s="15">
        <f t="shared" si="13"/>
        <v>0</v>
      </c>
      <c r="T56" s="189">
        <f>IF(AND('Total income package'!$A$22=TRUE,M56="Yes",S56&gt;9.99),MIN(S56,$I$2),0)</f>
        <v>0</v>
      </c>
    </row>
    <row r="57" spans="1:21" ht="14.4" x14ac:dyDescent="0.3">
      <c r="A57" s="117">
        <v>24000</v>
      </c>
      <c r="B57" s="384">
        <f t="shared" si="15"/>
        <v>2000</v>
      </c>
      <c r="C57" s="63">
        <f>'Total income package'!$D$80</f>
        <v>0</v>
      </c>
      <c r="D57" s="63">
        <f t="shared" si="4"/>
        <v>2000</v>
      </c>
      <c r="E57" s="14" t="str">
        <f t="shared" si="5"/>
        <v>No</v>
      </c>
      <c r="F57" s="63">
        <f t="shared" si="0"/>
        <v>1791</v>
      </c>
      <c r="G57" s="63">
        <f t="shared" si="14"/>
        <v>358.20000000000005</v>
      </c>
      <c r="H57" s="63">
        <f t="shared" si="6"/>
        <v>1432.8</v>
      </c>
      <c r="I57" s="312">
        <f t="shared" si="7"/>
        <v>1432.8</v>
      </c>
      <c r="J57" s="14" t="str">
        <f t="shared" si="8"/>
        <v>No</v>
      </c>
      <c r="K57" s="63">
        <f t="shared" si="1"/>
        <v>0</v>
      </c>
      <c r="L57" s="130">
        <f>IF('Total income package'!$A$20=TRUE,MIN(IF(K57&gt;9.99,K57,0),$I$2),0)</f>
        <v>0</v>
      </c>
      <c r="M57" s="14" t="str">
        <f t="shared" si="16"/>
        <v>No</v>
      </c>
      <c r="N57" s="14" t="str">
        <f t="shared" si="9"/>
        <v>Yes</v>
      </c>
      <c r="O57" s="312">
        <f t="shared" si="10"/>
        <v>0</v>
      </c>
      <c r="P57" s="63">
        <f t="shared" si="3"/>
        <v>1432.8</v>
      </c>
      <c r="Q57" s="312" t="str">
        <f t="shared" si="11"/>
        <v>Yes</v>
      </c>
      <c r="R57" s="312">
        <f t="shared" si="12"/>
        <v>0</v>
      </c>
      <c r="S57" s="15">
        <f t="shared" si="13"/>
        <v>0</v>
      </c>
      <c r="T57" s="189">
        <f>IF(AND('Total income package'!$A$22=TRUE,M57="Yes",S57&gt;9.99),MIN(S57,$I$2),0)</f>
        <v>0</v>
      </c>
    </row>
    <row r="58" spans="1:21" ht="14.4" x14ac:dyDescent="0.3">
      <c r="A58" s="117">
        <v>24500</v>
      </c>
      <c r="B58" s="384">
        <f t="shared" si="15"/>
        <v>2041.6666666666667</v>
      </c>
      <c r="C58" s="63">
        <f>'Total income package'!$D$80</f>
        <v>0</v>
      </c>
      <c r="D58" s="63">
        <f t="shared" si="4"/>
        <v>2041.6666666666667</v>
      </c>
      <c r="E58" s="14" t="str">
        <f t="shared" si="5"/>
        <v>No</v>
      </c>
      <c r="F58" s="63">
        <f t="shared" si="0"/>
        <v>1832.6666666666667</v>
      </c>
      <c r="G58" s="63">
        <f t="shared" si="14"/>
        <v>366.53333333333336</v>
      </c>
      <c r="H58" s="63">
        <f t="shared" si="6"/>
        <v>1466.1333333333334</v>
      </c>
      <c r="I58" s="312">
        <f t="shared" si="7"/>
        <v>1466.1333333333334</v>
      </c>
      <c r="J58" s="14" t="str">
        <f t="shared" si="8"/>
        <v>No</v>
      </c>
      <c r="K58" s="63">
        <f t="shared" si="1"/>
        <v>0</v>
      </c>
      <c r="L58" s="130">
        <f>IF('Total income package'!$A$20=TRUE,MIN(IF(K58&gt;9.99,K58,0),$I$2),0)</f>
        <v>0</v>
      </c>
      <c r="M58" s="14" t="str">
        <f t="shared" si="16"/>
        <v>No</v>
      </c>
      <c r="N58" s="14" t="str">
        <f t="shared" si="9"/>
        <v>Yes</v>
      </c>
      <c r="O58" s="312">
        <f t="shared" si="10"/>
        <v>0</v>
      </c>
      <c r="P58" s="63">
        <f t="shared" si="3"/>
        <v>1466.1333333333334</v>
      </c>
      <c r="Q58" s="312" t="str">
        <f t="shared" si="11"/>
        <v>Yes</v>
      </c>
      <c r="R58" s="312">
        <f t="shared" si="12"/>
        <v>0</v>
      </c>
      <c r="S58" s="15">
        <f t="shared" si="13"/>
        <v>0</v>
      </c>
      <c r="T58" s="189">
        <f>IF(AND('Total income package'!$A$22=TRUE,M58="Yes",S58&gt;9.99),MIN(S58,$I$2),0)</f>
        <v>0</v>
      </c>
    </row>
    <row r="59" spans="1:21" ht="14.4" x14ac:dyDescent="0.3">
      <c r="A59" s="29">
        <v>25000</v>
      </c>
      <c r="B59" s="384">
        <f t="shared" si="15"/>
        <v>2083.3333333333335</v>
      </c>
      <c r="C59" s="63">
        <f>'Total income package'!$D$80</f>
        <v>0</v>
      </c>
      <c r="D59" s="63">
        <f t="shared" si="4"/>
        <v>2083.3333333333335</v>
      </c>
      <c r="E59" s="14" t="str">
        <f t="shared" si="5"/>
        <v>No</v>
      </c>
      <c r="F59" s="63">
        <f t="shared" si="0"/>
        <v>1874.3333333333335</v>
      </c>
      <c r="G59" s="63">
        <f t="shared" si="14"/>
        <v>374.86666666666673</v>
      </c>
      <c r="H59" s="63">
        <f t="shared" si="6"/>
        <v>1499.4666666666667</v>
      </c>
      <c r="I59" s="312">
        <f t="shared" si="7"/>
        <v>1499.4666666666667</v>
      </c>
      <c r="J59" s="14" t="str">
        <f t="shared" si="8"/>
        <v>No</v>
      </c>
      <c r="K59" s="63">
        <f t="shared" si="1"/>
        <v>0</v>
      </c>
      <c r="L59" s="130">
        <f>IF('Total income package'!$A$20=TRUE,MIN(IF(K59&gt;9.99,K59,0),$I$2),0)</f>
        <v>0</v>
      </c>
      <c r="M59" s="14" t="str">
        <f t="shared" si="16"/>
        <v>No</v>
      </c>
      <c r="N59" s="14" t="str">
        <f t="shared" si="9"/>
        <v>Yes</v>
      </c>
      <c r="O59" s="312">
        <f t="shared" si="10"/>
        <v>0</v>
      </c>
      <c r="P59" s="63">
        <f t="shared" si="3"/>
        <v>1499.4666666666667</v>
      </c>
      <c r="Q59" s="312" t="str">
        <f t="shared" si="11"/>
        <v>Yes</v>
      </c>
      <c r="R59" s="312">
        <f t="shared" si="12"/>
        <v>0</v>
      </c>
      <c r="S59" s="15">
        <f t="shared" si="13"/>
        <v>0</v>
      </c>
      <c r="T59" s="189">
        <f>IF(AND('Total income package'!$A$22=TRUE,M59="Yes",S59&gt;9.99),MIN(S59,$I$2),0)</f>
        <v>0</v>
      </c>
    </row>
    <row r="60" spans="1:21" ht="14.4" x14ac:dyDescent="0.3">
      <c r="A60" s="117">
        <v>25500</v>
      </c>
      <c r="B60" s="384">
        <f t="shared" si="15"/>
        <v>2125</v>
      </c>
      <c r="C60" s="63">
        <f>'Total income package'!$D$80</f>
        <v>0</v>
      </c>
      <c r="D60" s="63">
        <f t="shared" si="4"/>
        <v>2125</v>
      </c>
      <c r="E60" s="14" t="str">
        <f t="shared" si="5"/>
        <v>No</v>
      </c>
      <c r="F60" s="63">
        <f t="shared" si="0"/>
        <v>1916</v>
      </c>
      <c r="G60" s="63">
        <f t="shared" si="14"/>
        <v>383.20000000000005</v>
      </c>
      <c r="H60" s="63">
        <f t="shared" si="6"/>
        <v>1532.8</v>
      </c>
      <c r="I60" s="312">
        <f t="shared" si="7"/>
        <v>1532.8</v>
      </c>
      <c r="J60" s="14" t="str">
        <f t="shared" si="8"/>
        <v>No</v>
      </c>
      <c r="K60" s="63">
        <f t="shared" si="1"/>
        <v>0</v>
      </c>
      <c r="L60" s="130">
        <f>IF('Total income package'!$A$20=TRUE,MIN(IF(K60&gt;9.99,K60,0),$I$2),0)</f>
        <v>0</v>
      </c>
      <c r="M60" s="14" t="str">
        <f t="shared" si="16"/>
        <v>No</v>
      </c>
      <c r="N60" s="14" t="str">
        <f t="shared" si="9"/>
        <v>Yes</v>
      </c>
      <c r="O60" s="312">
        <f t="shared" si="10"/>
        <v>0</v>
      </c>
      <c r="P60" s="63">
        <f t="shared" si="3"/>
        <v>1532.8</v>
      </c>
      <c r="Q60" s="312" t="str">
        <f t="shared" si="11"/>
        <v>Yes</v>
      </c>
      <c r="R60" s="312">
        <f t="shared" si="12"/>
        <v>0</v>
      </c>
      <c r="S60" s="15">
        <f t="shared" si="13"/>
        <v>0</v>
      </c>
      <c r="T60" s="189">
        <f>IF(AND('Total income package'!$A$22=TRUE,M60="Yes",S60&gt;9.99),MIN(S60,$I$2),0)</f>
        <v>0</v>
      </c>
    </row>
    <row r="61" spans="1:21" ht="14.4" x14ac:dyDescent="0.3">
      <c r="A61" s="117">
        <v>26000</v>
      </c>
      <c r="B61" s="384">
        <f t="shared" si="15"/>
        <v>2166.6666666666665</v>
      </c>
      <c r="C61" s="63">
        <f>'Total income package'!$D$80</f>
        <v>0</v>
      </c>
      <c r="D61" s="63">
        <f t="shared" si="4"/>
        <v>2166.6666666666665</v>
      </c>
      <c r="E61" s="14" t="str">
        <f t="shared" si="5"/>
        <v>No</v>
      </c>
      <c r="F61" s="63">
        <f t="shared" si="0"/>
        <v>1957.6666666666665</v>
      </c>
      <c r="G61" s="63">
        <f t="shared" si="14"/>
        <v>391.5333333333333</v>
      </c>
      <c r="H61" s="63">
        <f t="shared" si="6"/>
        <v>1566.1333333333332</v>
      </c>
      <c r="I61" s="312">
        <f t="shared" si="7"/>
        <v>1566.1333333333332</v>
      </c>
      <c r="J61" s="14" t="str">
        <f t="shared" si="8"/>
        <v>No</v>
      </c>
      <c r="K61" s="63">
        <f t="shared" si="1"/>
        <v>0</v>
      </c>
      <c r="L61" s="130">
        <f>IF('Total income package'!$A$20=TRUE,MIN(IF(K61&gt;9.99,K61,0),$I$2),0)</f>
        <v>0</v>
      </c>
      <c r="M61" s="14" t="str">
        <f t="shared" si="16"/>
        <v>No</v>
      </c>
      <c r="N61" s="14" t="str">
        <f t="shared" si="9"/>
        <v>Yes</v>
      </c>
      <c r="O61" s="312">
        <f t="shared" si="10"/>
        <v>0</v>
      </c>
      <c r="P61" s="63">
        <f t="shared" si="3"/>
        <v>1566.1333333333332</v>
      </c>
      <c r="Q61" s="312" t="str">
        <f t="shared" si="11"/>
        <v>Yes</v>
      </c>
      <c r="R61" s="312">
        <f t="shared" si="12"/>
        <v>0</v>
      </c>
      <c r="S61" s="15">
        <f t="shared" si="13"/>
        <v>0</v>
      </c>
      <c r="T61" s="189">
        <f>IF(AND('Total income package'!$A$22=TRUE,M61="Yes",S61&gt;9.99),MIN(S61,$I$2),0)</f>
        <v>0</v>
      </c>
    </row>
    <row r="62" spans="1:21" ht="14.4" x14ac:dyDescent="0.3">
      <c r="A62" s="29">
        <v>26500</v>
      </c>
      <c r="B62" s="384">
        <f t="shared" si="15"/>
        <v>2208.3333333333335</v>
      </c>
      <c r="C62" s="63">
        <f>'Total income package'!$D$80</f>
        <v>0</v>
      </c>
      <c r="D62" s="63">
        <f t="shared" si="4"/>
        <v>2208.3333333333335</v>
      </c>
      <c r="E62" s="14" t="str">
        <f t="shared" si="5"/>
        <v>No</v>
      </c>
      <c r="F62" s="63">
        <f t="shared" si="0"/>
        <v>1999.3333333333335</v>
      </c>
      <c r="G62" s="63">
        <f t="shared" si="14"/>
        <v>399.86666666666673</v>
      </c>
      <c r="H62" s="63">
        <f t="shared" si="6"/>
        <v>1599.4666666666667</v>
      </c>
      <c r="I62" s="312">
        <f t="shared" si="7"/>
        <v>1599.4666666666667</v>
      </c>
      <c r="J62" s="14" t="str">
        <f t="shared" si="8"/>
        <v>No</v>
      </c>
      <c r="K62" s="63">
        <f t="shared" si="1"/>
        <v>0</v>
      </c>
      <c r="L62" s="130">
        <f>IF('Total income package'!$A$20=TRUE,MIN(IF(K62&gt;9.99,K62,0),$I$2),0)</f>
        <v>0</v>
      </c>
      <c r="M62" s="14" t="str">
        <f t="shared" si="16"/>
        <v>No</v>
      </c>
      <c r="N62" s="14" t="str">
        <f t="shared" si="9"/>
        <v>Yes</v>
      </c>
      <c r="O62" s="312">
        <f t="shared" si="10"/>
        <v>0</v>
      </c>
      <c r="P62" s="63">
        <f t="shared" si="3"/>
        <v>1599.4666666666667</v>
      </c>
      <c r="Q62" s="312" t="str">
        <f t="shared" si="11"/>
        <v>Yes</v>
      </c>
      <c r="R62" s="312">
        <f t="shared" si="12"/>
        <v>0</v>
      </c>
      <c r="S62" s="15">
        <f t="shared" si="13"/>
        <v>0</v>
      </c>
      <c r="T62" s="189">
        <f>IF(AND('Total income package'!$A$22=TRUE,M62="Yes",S62&gt;9.99),MIN(S62,$I$2),0)</f>
        <v>0</v>
      </c>
    </row>
    <row r="63" spans="1:21" ht="14.4" x14ac:dyDescent="0.3">
      <c r="A63" s="117">
        <v>27000</v>
      </c>
      <c r="B63" s="384">
        <f t="shared" si="15"/>
        <v>2250</v>
      </c>
      <c r="C63" s="63">
        <f>'Total income package'!$D$80</f>
        <v>0</v>
      </c>
      <c r="D63" s="63">
        <f t="shared" si="4"/>
        <v>2250</v>
      </c>
      <c r="E63" s="14" t="str">
        <f t="shared" si="5"/>
        <v>No</v>
      </c>
      <c r="F63" s="63">
        <f t="shared" si="0"/>
        <v>2041</v>
      </c>
      <c r="G63" s="63">
        <f t="shared" si="14"/>
        <v>408.20000000000005</v>
      </c>
      <c r="H63" s="63">
        <f t="shared" si="6"/>
        <v>1632.8</v>
      </c>
      <c r="I63" s="312">
        <f t="shared" si="7"/>
        <v>1632.8</v>
      </c>
      <c r="J63" s="14" t="str">
        <f t="shared" si="8"/>
        <v>No</v>
      </c>
      <c r="K63" s="63">
        <f t="shared" si="1"/>
        <v>0</v>
      </c>
      <c r="L63" s="130">
        <f>IF('Total income package'!$A$20=TRUE,MIN(IF(K63&gt;9.99,K63,0),$I$2),0)</f>
        <v>0</v>
      </c>
      <c r="M63" s="14" t="str">
        <f t="shared" si="16"/>
        <v>No</v>
      </c>
      <c r="N63" s="14" t="str">
        <f t="shared" si="9"/>
        <v>Yes</v>
      </c>
      <c r="O63" s="312">
        <f t="shared" si="10"/>
        <v>0</v>
      </c>
      <c r="P63" s="63">
        <f t="shared" si="3"/>
        <v>1632.8</v>
      </c>
      <c r="Q63" s="312" t="str">
        <f t="shared" si="11"/>
        <v>Yes</v>
      </c>
      <c r="R63" s="312">
        <f t="shared" si="12"/>
        <v>0</v>
      </c>
      <c r="S63" s="15">
        <f t="shared" si="13"/>
        <v>0</v>
      </c>
      <c r="T63" s="189">
        <f>IF(AND('Total income package'!$A$22=TRUE,M63="Yes",S63&gt;9.99),MIN(S63,$I$2),0)</f>
        <v>0</v>
      </c>
      <c r="U63" s="7"/>
    </row>
    <row r="64" spans="1:21" ht="14.4" x14ac:dyDescent="0.3">
      <c r="A64" s="117">
        <v>27500</v>
      </c>
      <c r="B64" s="384">
        <f t="shared" si="15"/>
        <v>2291.6666666666665</v>
      </c>
      <c r="C64" s="63">
        <f>'Total income package'!$D$80</f>
        <v>0</v>
      </c>
      <c r="D64" s="63">
        <f t="shared" si="4"/>
        <v>2291.6666666666665</v>
      </c>
      <c r="E64" s="14" t="str">
        <f t="shared" si="5"/>
        <v>No</v>
      </c>
      <c r="F64" s="63">
        <f t="shared" si="0"/>
        <v>2082.6666666666665</v>
      </c>
      <c r="G64" s="63">
        <f t="shared" si="14"/>
        <v>416.5333333333333</v>
      </c>
      <c r="H64" s="63">
        <f t="shared" si="6"/>
        <v>1666.1333333333332</v>
      </c>
      <c r="I64" s="312">
        <f t="shared" si="7"/>
        <v>1666.1333333333332</v>
      </c>
      <c r="J64" s="14" t="str">
        <f t="shared" si="8"/>
        <v>No</v>
      </c>
      <c r="K64" s="63">
        <f t="shared" si="1"/>
        <v>0</v>
      </c>
      <c r="L64" s="130">
        <f>IF('Total income package'!$A$20=TRUE,MIN(IF(K64&gt;9.99,K64,0),$I$2),0)</f>
        <v>0</v>
      </c>
      <c r="M64" s="14" t="str">
        <f t="shared" si="16"/>
        <v>No</v>
      </c>
      <c r="N64" s="14" t="str">
        <f t="shared" si="9"/>
        <v>Yes</v>
      </c>
      <c r="O64" s="312">
        <f t="shared" si="10"/>
        <v>0</v>
      </c>
      <c r="P64" s="63">
        <f t="shared" si="3"/>
        <v>1666.1333333333332</v>
      </c>
      <c r="Q64" s="312" t="str">
        <f t="shared" si="11"/>
        <v>Yes</v>
      </c>
      <c r="R64" s="312">
        <f t="shared" si="12"/>
        <v>0</v>
      </c>
      <c r="S64" s="15">
        <f t="shared" si="13"/>
        <v>0</v>
      </c>
      <c r="T64" s="189">
        <f>IF(AND('Total income package'!$A$22=TRUE,M64="Yes",S64&gt;9.99),MIN(S64,$I$2),0)</f>
        <v>0</v>
      </c>
    </row>
    <row r="65" spans="1:20" ht="14.4" x14ac:dyDescent="0.3">
      <c r="A65" s="29">
        <v>28000</v>
      </c>
      <c r="B65" s="384">
        <f t="shared" si="15"/>
        <v>2333.3333333333335</v>
      </c>
      <c r="C65" s="63">
        <f>'Total income package'!$D$80</f>
        <v>0</v>
      </c>
      <c r="D65" s="63">
        <f t="shared" si="4"/>
        <v>2333.3333333333335</v>
      </c>
      <c r="E65" s="14" t="str">
        <f t="shared" si="5"/>
        <v>No</v>
      </c>
      <c r="F65" s="63">
        <f t="shared" si="0"/>
        <v>2124.3333333333335</v>
      </c>
      <c r="G65" s="63">
        <f t="shared" si="14"/>
        <v>424.86666666666673</v>
      </c>
      <c r="H65" s="63">
        <f t="shared" si="6"/>
        <v>1699.4666666666667</v>
      </c>
      <c r="I65" s="312">
        <f t="shared" si="7"/>
        <v>1699.4666666666667</v>
      </c>
      <c r="J65" s="14" t="str">
        <f t="shared" si="8"/>
        <v>No</v>
      </c>
      <c r="K65" s="63">
        <f t="shared" si="1"/>
        <v>0</v>
      </c>
      <c r="L65" s="130">
        <f>IF('Total income package'!$A$20=TRUE,MIN(IF(K65&gt;9.99,K65,0),$I$2),0)</f>
        <v>0</v>
      </c>
      <c r="M65" s="14" t="str">
        <f t="shared" si="16"/>
        <v>No</v>
      </c>
      <c r="N65" s="14" t="str">
        <f t="shared" si="9"/>
        <v>Yes</v>
      </c>
      <c r="O65" s="312">
        <f t="shared" si="10"/>
        <v>0</v>
      </c>
      <c r="P65" s="63">
        <f t="shared" si="3"/>
        <v>1699.4666666666667</v>
      </c>
      <c r="Q65" s="312" t="str">
        <f t="shared" si="11"/>
        <v>Yes</v>
      </c>
      <c r="R65" s="312">
        <f t="shared" si="12"/>
        <v>0</v>
      </c>
      <c r="S65" s="15">
        <f t="shared" si="13"/>
        <v>0</v>
      </c>
      <c r="T65" s="189">
        <f>IF(AND('Total income package'!$A$22=TRUE,M65="Yes",S65&gt;9.99),MIN(S65,$I$2),0)</f>
        <v>0</v>
      </c>
    </row>
    <row r="66" spans="1:20" ht="14.4" x14ac:dyDescent="0.3">
      <c r="A66" s="117">
        <v>28500</v>
      </c>
      <c r="B66" s="384">
        <f t="shared" si="15"/>
        <v>2375</v>
      </c>
      <c r="C66" s="63">
        <f>'Total income package'!$D$80</f>
        <v>0</v>
      </c>
      <c r="D66" s="63">
        <f t="shared" si="4"/>
        <v>2375</v>
      </c>
      <c r="E66" s="14" t="str">
        <f t="shared" si="5"/>
        <v>No</v>
      </c>
      <c r="F66" s="63">
        <f t="shared" si="0"/>
        <v>2166</v>
      </c>
      <c r="G66" s="63">
        <f t="shared" si="14"/>
        <v>433.20000000000005</v>
      </c>
      <c r="H66" s="63">
        <f t="shared" si="6"/>
        <v>1732.8</v>
      </c>
      <c r="I66" s="312">
        <f t="shared" si="7"/>
        <v>1732.8</v>
      </c>
      <c r="J66" s="14" t="str">
        <f t="shared" si="8"/>
        <v>No</v>
      </c>
      <c r="K66" s="63">
        <f t="shared" si="1"/>
        <v>0</v>
      </c>
      <c r="L66" s="130">
        <f>IF('Total income package'!$A$20=TRUE,MIN(IF(K66&gt;9.99,K66,0),$I$2),0)</f>
        <v>0</v>
      </c>
      <c r="M66" s="14" t="str">
        <f t="shared" si="16"/>
        <v>No</v>
      </c>
      <c r="N66" s="14" t="str">
        <f t="shared" si="9"/>
        <v>Yes</v>
      </c>
      <c r="O66" s="312">
        <f t="shared" si="10"/>
        <v>0</v>
      </c>
      <c r="P66" s="63">
        <f t="shared" si="3"/>
        <v>1732.8</v>
      </c>
      <c r="Q66" s="312" t="str">
        <f t="shared" si="11"/>
        <v>Yes</v>
      </c>
      <c r="R66" s="312">
        <f t="shared" si="12"/>
        <v>0</v>
      </c>
      <c r="S66" s="15">
        <f t="shared" si="13"/>
        <v>0</v>
      </c>
      <c r="T66" s="189">
        <f>IF(AND('Total income package'!$A$22=TRUE,M66="Yes",S66&gt;9.99),MIN(S66,$I$2),0)</f>
        <v>0</v>
      </c>
    </row>
    <row r="67" spans="1:20" ht="14.4" x14ac:dyDescent="0.3">
      <c r="A67" s="117">
        <v>29000</v>
      </c>
      <c r="B67" s="384">
        <f t="shared" si="15"/>
        <v>2416.6666666666665</v>
      </c>
      <c r="C67" s="63">
        <f>'Total income package'!$D$80</f>
        <v>0</v>
      </c>
      <c r="D67" s="63">
        <f t="shared" si="4"/>
        <v>2416.6666666666665</v>
      </c>
      <c r="E67" s="14" t="str">
        <f t="shared" si="5"/>
        <v>No</v>
      </c>
      <c r="F67" s="63">
        <f t="shared" si="0"/>
        <v>2207.6666666666665</v>
      </c>
      <c r="G67" s="63">
        <f t="shared" si="14"/>
        <v>441.5333333333333</v>
      </c>
      <c r="H67" s="63">
        <f t="shared" si="6"/>
        <v>1766.1333333333332</v>
      </c>
      <c r="I67" s="312">
        <f t="shared" si="7"/>
        <v>1766.1333333333332</v>
      </c>
      <c r="J67" s="14" t="str">
        <f t="shared" si="8"/>
        <v>No</v>
      </c>
      <c r="K67" s="63">
        <f t="shared" si="1"/>
        <v>0</v>
      </c>
      <c r="L67" s="130">
        <f>IF('Total income package'!$A$20=TRUE,MIN(IF(K67&gt;9.99,K67,0),$I$2),0)</f>
        <v>0</v>
      </c>
      <c r="M67" s="14" t="str">
        <f t="shared" si="16"/>
        <v>No</v>
      </c>
      <c r="N67" s="14" t="str">
        <f t="shared" si="9"/>
        <v>Yes</v>
      </c>
      <c r="O67" s="312">
        <f t="shared" si="10"/>
        <v>0</v>
      </c>
      <c r="P67" s="63">
        <f t="shared" si="3"/>
        <v>1766.1333333333332</v>
      </c>
      <c r="Q67" s="312" t="str">
        <f t="shared" si="11"/>
        <v>Yes</v>
      </c>
      <c r="R67" s="312">
        <f t="shared" si="12"/>
        <v>0</v>
      </c>
      <c r="S67" s="15">
        <f t="shared" si="13"/>
        <v>0</v>
      </c>
      <c r="T67" s="189">
        <f>IF(AND('Total income package'!$A$22=TRUE,M67="Yes",S67&gt;9.99),MIN(S67,$I$2),0)</f>
        <v>0</v>
      </c>
    </row>
    <row r="68" spans="1:20" ht="14.4" x14ac:dyDescent="0.3">
      <c r="A68" s="29">
        <v>29500</v>
      </c>
      <c r="B68" s="384">
        <f t="shared" si="15"/>
        <v>2458.3333333333335</v>
      </c>
      <c r="C68" s="63">
        <f>'Total income package'!$D$80</f>
        <v>0</v>
      </c>
      <c r="D68" s="63">
        <f t="shared" si="4"/>
        <v>2458.3333333333335</v>
      </c>
      <c r="E68" s="14" t="str">
        <f t="shared" si="5"/>
        <v>No</v>
      </c>
      <c r="F68" s="63">
        <f t="shared" si="0"/>
        <v>2249.3333333333335</v>
      </c>
      <c r="G68" s="63">
        <f t="shared" si="14"/>
        <v>449.86666666666673</v>
      </c>
      <c r="H68" s="63">
        <f t="shared" si="6"/>
        <v>1799.4666666666667</v>
      </c>
      <c r="I68" s="312">
        <f t="shared" si="7"/>
        <v>1799.4666666666667</v>
      </c>
      <c r="J68" s="14" t="str">
        <f t="shared" si="8"/>
        <v>No</v>
      </c>
      <c r="K68" s="63">
        <f t="shared" si="1"/>
        <v>0</v>
      </c>
      <c r="L68" s="130">
        <f>IF('Total income package'!$A$20=TRUE,MIN(IF(K68&gt;9.99,K68,0),$I$2),0)</f>
        <v>0</v>
      </c>
      <c r="M68" s="14" t="str">
        <f t="shared" si="16"/>
        <v>No</v>
      </c>
      <c r="N68" s="14" t="str">
        <f t="shared" si="9"/>
        <v>Yes</v>
      </c>
      <c r="O68" s="312">
        <f t="shared" si="10"/>
        <v>0</v>
      </c>
      <c r="P68" s="63">
        <f t="shared" si="3"/>
        <v>1799.4666666666667</v>
      </c>
      <c r="Q68" s="312" t="str">
        <f t="shared" si="11"/>
        <v>Yes</v>
      </c>
      <c r="R68" s="312">
        <f t="shared" si="12"/>
        <v>0</v>
      </c>
      <c r="S68" s="15">
        <f t="shared" si="13"/>
        <v>0</v>
      </c>
      <c r="T68" s="189">
        <f>IF(AND('Total income package'!$A$22=TRUE,M68="Yes",S68&gt;9.99),MIN(S68,$I$2),0)</f>
        <v>0</v>
      </c>
    </row>
    <row r="69" spans="1:20" ht="14.4" x14ac:dyDescent="0.3">
      <c r="A69" s="117">
        <v>30000</v>
      </c>
      <c r="B69" s="384">
        <f t="shared" si="15"/>
        <v>2500</v>
      </c>
      <c r="C69" s="63">
        <f>'Total income package'!$D$80</f>
        <v>0</v>
      </c>
      <c r="D69" s="63">
        <f t="shared" si="4"/>
        <v>2500</v>
      </c>
      <c r="E69" s="14" t="str">
        <f t="shared" si="5"/>
        <v>No</v>
      </c>
      <c r="F69" s="63">
        <f t="shared" si="0"/>
        <v>2291</v>
      </c>
      <c r="G69" s="63">
        <f t="shared" si="14"/>
        <v>458.20000000000005</v>
      </c>
      <c r="H69" s="63">
        <f t="shared" si="6"/>
        <v>1832.8</v>
      </c>
      <c r="I69" s="312">
        <f t="shared" si="7"/>
        <v>1832.8</v>
      </c>
      <c r="J69" s="14" t="str">
        <f t="shared" si="8"/>
        <v>No</v>
      </c>
      <c r="K69" s="63">
        <f t="shared" si="1"/>
        <v>0</v>
      </c>
      <c r="L69" s="130">
        <f>IF('Total income package'!$A$20=TRUE,MIN(IF(K69&gt;9.99,K69,0),$I$2),0)</f>
        <v>0</v>
      </c>
      <c r="M69" s="14" t="str">
        <f t="shared" si="16"/>
        <v>No</v>
      </c>
      <c r="N69" s="14" t="str">
        <f t="shared" si="9"/>
        <v>Yes</v>
      </c>
      <c r="O69" s="312">
        <f t="shared" si="10"/>
        <v>0</v>
      </c>
      <c r="P69" s="63">
        <f t="shared" si="3"/>
        <v>1832.8</v>
      </c>
      <c r="Q69" s="312" t="str">
        <f t="shared" si="11"/>
        <v>No</v>
      </c>
      <c r="R69" s="312">
        <f t="shared" si="12"/>
        <v>29.466666666666697</v>
      </c>
      <c r="S69" s="15">
        <f t="shared" si="13"/>
        <v>-29.466666666666697</v>
      </c>
      <c r="T69" s="189">
        <f>IF(AND('Total income package'!$A$22=TRUE,M69="Yes",S69&gt;9.99),MIN(S69,$I$2),0)</f>
        <v>0</v>
      </c>
    </row>
    <row r="70" spans="1:20" ht="14.4" x14ac:dyDescent="0.3">
      <c r="A70" s="117">
        <v>30500</v>
      </c>
      <c r="B70" s="384">
        <f t="shared" si="15"/>
        <v>2541.6666666666665</v>
      </c>
      <c r="C70" s="63">
        <f>'Total income package'!$D$80</f>
        <v>0</v>
      </c>
      <c r="D70" s="63">
        <f t="shared" si="4"/>
        <v>2541.6666666666665</v>
      </c>
      <c r="E70" s="14" t="str">
        <f t="shared" si="5"/>
        <v>No</v>
      </c>
      <c r="F70" s="63">
        <f t="shared" si="0"/>
        <v>2332.6666666666665</v>
      </c>
      <c r="G70" s="63">
        <f t="shared" si="14"/>
        <v>466.5333333333333</v>
      </c>
      <c r="H70" s="63">
        <f t="shared" si="6"/>
        <v>1866.1333333333332</v>
      </c>
      <c r="I70" s="312">
        <f t="shared" si="7"/>
        <v>1866.1333333333332</v>
      </c>
      <c r="J70" s="14" t="str">
        <f t="shared" si="8"/>
        <v>No</v>
      </c>
      <c r="K70" s="63">
        <f t="shared" si="1"/>
        <v>0</v>
      </c>
      <c r="L70" s="130">
        <f>IF('Total income package'!$A$20=TRUE,MIN(IF(K70&gt;9.99,K70,0),$I$2),0)</f>
        <v>0</v>
      </c>
      <c r="M70" s="14" t="str">
        <f t="shared" si="16"/>
        <v>No</v>
      </c>
      <c r="N70" s="14" t="str">
        <f t="shared" si="9"/>
        <v>Yes</v>
      </c>
      <c r="O70" s="312">
        <f t="shared" si="10"/>
        <v>0</v>
      </c>
      <c r="P70" s="63">
        <f t="shared" si="3"/>
        <v>1866.1333333333332</v>
      </c>
      <c r="Q70" s="312" t="str">
        <f t="shared" si="11"/>
        <v>No</v>
      </c>
      <c r="R70" s="312">
        <f t="shared" si="12"/>
        <v>62.799999999999955</v>
      </c>
      <c r="S70" s="15">
        <f t="shared" si="13"/>
        <v>-62.799999999999955</v>
      </c>
      <c r="T70" s="189">
        <f>IF(AND('Total income package'!$A$22=TRUE,M70="Yes",S70&gt;9.99),MIN(S70,$I$2),0)</f>
        <v>0</v>
      </c>
    </row>
    <row r="71" spans="1:20" ht="14.4" x14ac:dyDescent="0.3">
      <c r="A71" s="29">
        <v>31000</v>
      </c>
      <c r="B71" s="384">
        <f t="shared" si="15"/>
        <v>2583.3333333333335</v>
      </c>
      <c r="C71" s="63">
        <f>'Total income package'!$D$80</f>
        <v>0</v>
      </c>
      <c r="D71" s="63">
        <f t="shared" si="4"/>
        <v>2583.3333333333335</v>
      </c>
      <c r="E71" s="14" t="str">
        <f t="shared" si="5"/>
        <v>No</v>
      </c>
      <c r="F71" s="63">
        <f t="shared" si="0"/>
        <v>2374.3333333333335</v>
      </c>
      <c r="G71" s="63">
        <f t="shared" si="14"/>
        <v>474.86666666666673</v>
      </c>
      <c r="H71" s="63">
        <f t="shared" si="6"/>
        <v>1899.4666666666667</v>
      </c>
      <c r="I71" s="312">
        <f t="shared" si="7"/>
        <v>1899.4666666666667</v>
      </c>
      <c r="J71" s="14" t="str">
        <f t="shared" si="8"/>
        <v>No</v>
      </c>
      <c r="K71" s="63">
        <f t="shared" si="1"/>
        <v>0</v>
      </c>
      <c r="L71" s="130">
        <f>IF('Total income package'!$A$20=TRUE,MIN(IF(K71&gt;9.99,K71,0),$I$2),0)</f>
        <v>0</v>
      </c>
      <c r="M71" s="14" t="str">
        <f t="shared" si="16"/>
        <v>No</v>
      </c>
      <c r="N71" s="14" t="str">
        <f t="shared" si="9"/>
        <v>Yes</v>
      </c>
      <c r="O71" s="312">
        <f t="shared" si="10"/>
        <v>0</v>
      </c>
      <c r="P71" s="63">
        <f t="shared" si="3"/>
        <v>1899.4666666666667</v>
      </c>
      <c r="Q71" s="312" t="str">
        <f t="shared" si="11"/>
        <v>No</v>
      </c>
      <c r="R71" s="312">
        <f t="shared" si="12"/>
        <v>96.133333333333439</v>
      </c>
      <c r="S71" s="15">
        <f t="shared" si="13"/>
        <v>-96.133333333333439</v>
      </c>
      <c r="T71" s="189">
        <f>IF(AND('Total income package'!$A$22=TRUE,M71="Yes",S71&gt;9.99),MIN(S71,$I$2),0)</f>
        <v>0</v>
      </c>
    </row>
    <row r="72" spans="1:20" ht="14.4" x14ac:dyDescent="0.3">
      <c r="A72" s="117">
        <v>31500</v>
      </c>
      <c r="B72" s="384">
        <f t="shared" si="15"/>
        <v>2625</v>
      </c>
      <c r="C72" s="63">
        <f>'Total income package'!$D$80</f>
        <v>0</v>
      </c>
      <c r="D72" s="63">
        <f t="shared" si="4"/>
        <v>2625</v>
      </c>
      <c r="E72" s="14" t="str">
        <f t="shared" si="5"/>
        <v>No</v>
      </c>
      <c r="F72" s="63">
        <f t="shared" si="0"/>
        <v>2416</v>
      </c>
      <c r="G72" s="63">
        <f t="shared" si="14"/>
        <v>483.20000000000005</v>
      </c>
      <c r="H72" s="63">
        <f t="shared" si="6"/>
        <v>1932.8</v>
      </c>
      <c r="I72" s="312">
        <f t="shared" si="7"/>
        <v>1932.8</v>
      </c>
      <c r="J72" s="14" t="str">
        <f t="shared" si="8"/>
        <v>No</v>
      </c>
      <c r="K72" s="63">
        <f t="shared" si="1"/>
        <v>0</v>
      </c>
      <c r="L72" s="130">
        <f>IF('Total income package'!$A$20=TRUE,MIN(IF(K72&gt;9.99,K72,0),$I$2),0)</f>
        <v>0</v>
      </c>
      <c r="M72" s="14" t="str">
        <f t="shared" si="16"/>
        <v>No</v>
      </c>
      <c r="N72" s="14" t="str">
        <f t="shared" si="9"/>
        <v>Yes</v>
      </c>
      <c r="O72" s="312">
        <f t="shared" si="10"/>
        <v>0</v>
      </c>
      <c r="P72" s="63">
        <f t="shared" si="3"/>
        <v>1932.8</v>
      </c>
      <c r="Q72" s="312" t="str">
        <f t="shared" si="11"/>
        <v>No</v>
      </c>
      <c r="R72" s="312">
        <f t="shared" si="12"/>
        <v>129.4666666666667</v>
      </c>
      <c r="S72" s="15">
        <f t="shared" si="13"/>
        <v>-129.4666666666667</v>
      </c>
      <c r="T72" s="189">
        <f>IF(AND('Total income package'!$A$22=TRUE,M72="Yes",S72&gt;9.99),MIN(S72,$I$2),0)</f>
        <v>0</v>
      </c>
    </row>
    <row r="73" spans="1:20" ht="14.4" x14ac:dyDescent="0.3">
      <c r="A73" s="117">
        <v>32000</v>
      </c>
      <c r="B73" s="384">
        <f t="shared" si="15"/>
        <v>2666.6666666666665</v>
      </c>
      <c r="C73" s="63">
        <f>'Total income package'!$D$80</f>
        <v>0</v>
      </c>
      <c r="D73" s="63">
        <f t="shared" si="4"/>
        <v>2666.6666666666665</v>
      </c>
      <c r="E73" s="14" t="str">
        <f t="shared" si="5"/>
        <v>No</v>
      </c>
      <c r="F73" s="63">
        <f t="shared" ref="F73:F136" si="17">IF(B73-$D$2&gt;0,B73-$D$2,0)</f>
        <v>2457.6666666666665</v>
      </c>
      <c r="G73" s="63">
        <f t="shared" si="14"/>
        <v>491.5333333333333</v>
      </c>
      <c r="H73" s="63">
        <f t="shared" si="6"/>
        <v>1966.1333333333332</v>
      </c>
      <c r="I73" s="312">
        <f t="shared" si="7"/>
        <v>1966.1333333333332</v>
      </c>
      <c r="J73" s="14" t="str">
        <f t="shared" si="8"/>
        <v>No</v>
      </c>
      <c r="K73" s="63">
        <f t="shared" ref="K73:K136" si="18">IF(E73="Yes",MIN(IF($G$2-I73&gt;0,$G$2-I73,0),$I$2),0)</f>
        <v>0</v>
      </c>
      <c r="L73" s="130">
        <f>IF('Total income package'!$A$20=TRUE,MIN(IF(K73&gt;9.99,K73,0),$I$2),0)</f>
        <v>0</v>
      </c>
      <c r="M73" s="14" t="str">
        <f t="shared" si="16"/>
        <v>No</v>
      </c>
      <c r="N73" s="14" t="str">
        <f t="shared" si="9"/>
        <v>Yes</v>
      </c>
      <c r="O73" s="312">
        <f t="shared" si="10"/>
        <v>0</v>
      </c>
      <c r="P73" s="63">
        <f t="shared" ref="P73:P136" si="19">I73+O73</f>
        <v>1966.1333333333332</v>
      </c>
      <c r="Q73" s="312" t="str">
        <f t="shared" si="11"/>
        <v>No</v>
      </c>
      <c r="R73" s="312">
        <f t="shared" si="12"/>
        <v>162.79999999999995</v>
      </c>
      <c r="S73" s="15">
        <f t="shared" si="13"/>
        <v>-162.79999999999995</v>
      </c>
      <c r="T73" s="189">
        <f>IF(AND('Total income package'!$A$22=TRUE,M73="Yes",S73&gt;9.99),MIN(S73,$I$2),0)</f>
        <v>0</v>
      </c>
    </row>
    <row r="74" spans="1:20" ht="14.4" x14ac:dyDescent="0.3">
      <c r="A74" s="29">
        <v>32500</v>
      </c>
      <c r="B74" s="384">
        <f t="shared" si="15"/>
        <v>2708.3333333333335</v>
      </c>
      <c r="C74" s="63">
        <f>'Total income package'!$D$80</f>
        <v>0</v>
      </c>
      <c r="D74" s="63">
        <f t="shared" ref="D74:D137" si="20">B74+C74</f>
        <v>2708.3333333333335</v>
      </c>
      <c r="E74" s="14" t="str">
        <f t="shared" ref="E74:E137" si="21">IF(D74&lt;=$F$2,"Yes","No")</f>
        <v>No</v>
      </c>
      <c r="F74" s="63">
        <f t="shared" si="17"/>
        <v>2499.3333333333335</v>
      </c>
      <c r="G74" s="63">
        <f t="shared" si="14"/>
        <v>499.86666666666673</v>
      </c>
      <c r="H74" s="63">
        <f t="shared" ref="H74:H137" si="22">F74-G74</f>
        <v>1999.4666666666667</v>
      </c>
      <c r="I74" s="312">
        <f t="shared" ref="I74:I137" si="23">C74+H74</f>
        <v>1999.4666666666667</v>
      </c>
      <c r="J74" s="14" t="str">
        <f t="shared" ref="J74:J137" si="24">IF(I74&lt;$G$2,"Yes","No")</f>
        <v>No</v>
      </c>
      <c r="K74" s="63">
        <f t="shared" si="18"/>
        <v>0</v>
      </c>
      <c r="L74" s="130">
        <f>IF('Total income package'!$A$20=TRUE,MIN(IF(K74&gt;9.99,K74,0),$I$2),0)</f>
        <v>0</v>
      </c>
      <c r="M74" s="14" t="str">
        <f t="shared" si="16"/>
        <v>No</v>
      </c>
      <c r="N74" s="14" t="str">
        <f t="shared" ref="N74:N137" si="25">IF(C74&lt;$G$2,"Yes","No")</f>
        <v>Yes</v>
      </c>
      <c r="O74" s="312">
        <f t="shared" ref="O74:O137" si="26">IF(AND(M74="Yes",N74="Yes"),MIN($G$2,$I$2),0)</f>
        <v>0</v>
      </c>
      <c r="P74" s="63">
        <f t="shared" si="19"/>
        <v>1999.4666666666667</v>
      </c>
      <c r="Q74" s="312" t="str">
        <f t="shared" ref="Q74:Q137" si="27">IF(P74&lt;$H$2,"Yes","No")</f>
        <v>No</v>
      </c>
      <c r="R74" s="312">
        <f t="shared" ref="R74:R137" si="28">IF(P74&gt;$H$2,P74-$H$2,0)</f>
        <v>196.13333333333344</v>
      </c>
      <c r="S74" s="15">
        <f t="shared" ref="S74:S137" si="29">IF(P74&gt;$H$2,O74-R74,O74)</f>
        <v>-196.13333333333344</v>
      </c>
      <c r="T74" s="189">
        <f>IF(AND('Total income package'!$A$22=TRUE,M74="Yes",S74&gt;9.99),MIN(S74,$I$2),0)</f>
        <v>0</v>
      </c>
    </row>
    <row r="75" spans="1:20" ht="14.4" x14ac:dyDescent="0.3">
      <c r="A75" s="117">
        <v>33000</v>
      </c>
      <c r="B75" s="384">
        <f t="shared" si="15"/>
        <v>2750</v>
      </c>
      <c r="C75" s="63">
        <f>'Total income package'!$D$80</f>
        <v>0</v>
      </c>
      <c r="D75" s="63">
        <f t="shared" si="20"/>
        <v>2750</v>
      </c>
      <c r="E75" s="14" t="str">
        <f t="shared" si="21"/>
        <v>No</v>
      </c>
      <c r="F75" s="63">
        <f t="shared" si="17"/>
        <v>2541</v>
      </c>
      <c r="G75" s="63">
        <f t="shared" ref="G75:G138" si="30">F75*0.2</f>
        <v>508.20000000000005</v>
      </c>
      <c r="H75" s="63">
        <f t="shared" si="22"/>
        <v>2032.8</v>
      </c>
      <c r="I75" s="312">
        <f t="shared" si="23"/>
        <v>2032.8</v>
      </c>
      <c r="J75" s="14" t="str">
        <f t="shared" si="24"/>
        <v>No</v>
      </c>
      <c r="K75" s="63">
        <f t="shared" si="18"/>
        <v>0</v>
      </c>
      <c r="L75" s="130">
        <f>IF('Total income package'!$A$20=TRUE,MIN(IF(K75&gt;9.99,K75,0),$I$2),0)</f>
        <v>0</v>
      </c>
      <c r="M75" s="14" t="str">
        <f t="shared" si="16"/>
        <v>No</v>
      </c>
      <c r="N75" s="14" t="str">
        <f t="shared" si="25"/>
        <v>Yes</v>
      </c>
      <c r="O75" s="312">
        <f t="shared" si="26"/>
        <v>0</v>
      </c>
      <c r="P75" s="63">
        <f t="shared" si="19"/>
        <v>2032.8</v>
      </c>
      <c r="Q75" s="312" t="str">
        <f t="shared" si="27"/>
        <v>No</v>
      </c>
      <c r="R75" s="312">
        <f t="shared" si="28"/>
        <v>229.4666666666667</v>
      </c>
      <c r="S75" s="15">
        <f t="shared" si="29"/>
        <v>-229.4666666666667</v>
      </c>
      <c r="T75" s="189">
        <f>IF(AND('Total income package'!$A$22=TRUE,M75="Yes",S75&gt;9.99),MIN(S75,$I$2),0)</f>
        <v>0</v>
      </c>
    </row>
    <row r="76" spans="1:20" ht="14.4" x14ac:dyDescent="0.3">
      <c r="A76" s="117">
        <v>33500</v>
      </c>
      <c r="B76" s="384">
        <f t="shared" ref="B76:B109" si="31">A76/12</f>
        <v>2791.6666666666665</v>
      </c>
      <c r="C76" s="63">
        <f>'Total income package'!$D$80</f>
        <v>0</v>
      </c>
      <c r="D76" s="63">
        <f t="shared" si="20"/>
        <v>2791.6666666666665</v>
      </c>
      <c r="E76" s="14" t="str">
        <f t="shared" si="21"/>
        <v>No</v>
      </c>
      <c r="F76" s="63">
        <f t="shared" si="17"/>
        <v>2582.6666666666665</v>
      </c>
      <c r="G76" s="63">
        <f t="shared" si="30"/>
        <v>516.5333333333333</v>
      </c>
      <c r="H76" s="63">
        <f t="shared" si="22"/>
        <v>2066.1333333333332</v>
      </c>
      <c r="I76" s="312">
        <f t="shared" si="23"/>
        <v>2066.1333333333332</v>
      </c>
      <c r="J76" s="14" t="str">
        <f t="shared" si="24"/>
        <v>No</v>
      </c>
      <c r="K76" s="63">
        <f t="shared" si="18"/>
        <v>0</v>
      </c>
      <c r="L76" s="130">
        <f>IF('Total income package'!$A$20=TRUE,MIN(IF(K76&gt;9.99,K76,0),$I$2),0)</f>
        <v>0</v>
      </c>
      <c r="M76" s="14" t="str">
        <f t="shared" si="16"/>
        <v>No</v>
      </c>
      <c r="N76" s="14" t="str">
        <f t="shared" si="25"/>
        <v>Yes</v>
      </c>
      <c r="O76" s="312">
        <f t="shared" si="26"/>
        <v>0</v>
      </c>
      <c r="P76" s="63">
        <f t="shared" si="19"/>
        <v>2066.1333333333332</v>
      </c>
      <c r="Q76" s="312" t="str">
        <f t="shared" si="27"/>
        <v>No</v>
      </c>
      <c r="R76" s="312">
        <f t="shared" si="28"/>
        <v>262.79999999999995</v>
      </c>
      <c r="S76" s="15">
        <f t="shared" si="29"/>
        <v>-262.79999999999995</v>
      </c>
      <c r="T76" s="189">
        <f>IF(AND('Total income package'!$A$22=TRUE,M76="Yes",S76&gt;9.99),MIN(S76,$I$2),0)</f>
        <v>0</v>
      </c>
    </row>
    <row r="77" spans="1:20" ht="14.4" x14ac:dyDescent="0.3">
      <c r="A77" s="29">
        <v>34000</v>
      </c>
      <c r="B77" s="384">
        <f t="shared" si="31"/>
        <v>2833.3333333333335</v>
      </c>
      <c r="C77" s="63">
        <f>'Total income package'!$D$80</f>
        <v>0</v>
      </c>
      <c r="D77" s="63">
        <f t="shared" si="20"/>
        <v>2833.3333333333335</v>
      </c>
      <c r="E77" s="14" t="str">
        <f t="shared" si="21"/>
        <v>No</v>
      </c>
      <c r="F77" s="63">
        <f t="shared" si="17"/>
        <v>2624.3333333333335</v>
      </c>
      <c r="G77" s="63">
        <f t="shared" si="30"/>
        <v>524.86666666666667</v>
      </c>
      <c r="H77" s="63">
        <f t="shared" si="22"/>
        <v>2099.4666666666667</v>
      </c>
      <c r="I77" s="312">
        <f t="shared" si="23"/>
        <v>2099.4666666666667</v>
      </c>
      <c r="J77" s="14" t="str">
        <f t="shared" si="24"/>
        <v>No</v>
      </c>
      <c r="K77" s="63">
        <f t="shared" si="18"/>
        <v>0</v>
      </c>
      <c r="L77" s="130">
        <f>IF('Total income package'!$A$20=TRUE,MIN(IF(K77&gt;9.99,K77,0),$I$2),0)</f>
        <v>0</v>
      </c>
      <c r="M77" s="14" t="str">
        <f t="shared" si="16"/>
        <v>No</v>
      </c>
      <c r="N77" s="14" t="str">
        <f t="shared" si="25"/>
        <v>Yes</v>
      </c>
      <c r="O77" s="312">
        <f t="shared" si="26"/>
        <v>0</v>
      </c>
      <c r="P77" s="63">
        <f t="shared" si="19"/>
        <v>2099.4666666666667</v>
      </c>
      <c r="Q77" s="312" t="str">
        <f t="shared" si="27"/>
        <v>No</v>
      </c>
      <c r="R77" s="312">
        <f t="shared" si="28"/>
        <v>296.13333333333344</v>
      </c>
      <c r="S77" s="15">
        <f t="shared" si="29"/>
        <v>-296.13333333333344</v>
      </c>
      <c r="T77" s="189">
        <f>IF(AND('Total income package'!$A$22=TRUE,M77="Yes",S77&gt;9.99),MIN(S77,$I$2),0)</f>
        <v>0</v>
      </c>
    </row>
    <row r="78" spans="1:20" ht="14.4" x14ac:dyDescent="0.3">
      <c r="A78" s="117">
        <v>34500</v>
      </c>
      <c r="B78" s="384">
        <f t="shared" si="31"/>
        <v>2875</v>
      </c>
      <c r="C78" s="63">
        <f>'Total income package'!$D$80</f>
        <v>0</v>
      </c>
      <c r="D78" s="63">
        <f t="shared" si="20"/>
        <v>2875</v>
      </c>
      <c r="E78" s="14" t="str">
        <f t="shared" si="21"/>
        <v>No</v>
      </c>
      <c r="F78" s="63">
        <f t="shared" si="17"/>
        <v>2666</v>
      </c>
      <c r="G78" s="63">
        <f t="shared" si="30"/>
        <v>533.20000000000005</v>
      </c>
      <c r="H78" s="63">
        <f t="shared" si="22"/>
        <v>2132.8000000000002</v>
      </c>
      <c r="I78" s="312">
        <f t="shared" si="23"/>
        <v>2132.8000000000002</v>
      </c>
      <c r="J78" s="14" t="str">
        <f t="shared" si="24"/>
        <v>No</v>
      </c>
      <c r="K78" s="63">
        <f t="shared" si="18"/>
        <v>0</v>
      </c>
      <c r="L78" s="130">
        <f>IF('Total income package'!$A$20=TRUE,MIN(IF(K78&gt;9.99,K78,0),$I$2),0)</f>
        <v>0</v>
      </c>
      <c r="M78" s="14" t="str">
        <f t="shared" si="16"/>
        <v>No</v>
      </c>
      <c r="N78" s="14" t="str">
        <f t="shared" si="25"/>
        <v>Yes</v>
      </c>
      <c r="O78" s="312">
        <f t="shared" si="26"/>
        <v>0</v>
      </c>
      <c r="P78" s="63">
        <f t="shared" si="19"/>
        <v>2132.8000000000002</v>
      </c>
      <c r="Q78" s="312" t="str">
        <f t="shared" si="27"/>
        <v>No</v>
      </c>
      <c r="R78" s="312">
        <f t="shared" si="28"/>
        <v>329.46666666666692</v>
      </c>
      <c r="S78" s="15">
        <f t="shared" si="29"/>
        <v>-329.46666666666692</v>
      </c>
      <c r="T78" s="189">
        <f>IF(AND('Total income package'!$A$22=TRUE,M78="Yes",S78&gt;9.99),MIN(S78,$I$2),0)</f>
        <v>0</v>
      </c>
    </row>
    <row r="79" spans="1:20" ht="14.4" x14ac:dyDescent="0.3">
      <c r="A79" s="117">
        <v>35000</v>
      </c>
      <c r="B79" s="384">
        <f t="shared" si="31"/>
        <v>2916.6666666666665</v>
      </c>
      <c r="C79" s="63">
        <f>'Total income package'!$D$80</f>
        <v>0</v>
      </c>
      <c r="D79" s="63">
        <f t="shared" si="20"/>
        <v>2916.6666666666665</v>
      </c>
      <c r="E79" s="14" t="str">
        <f t="shared" si="21"/>
        <v>No</v>
      </c>
      <c r="F79" s="63">
        <f t="shared" si="17"/>
        <v>2707.6666666666665</v>
      </c>
      <c r="G79" s="63">
        <f t="shared" si="30"/>
        <v>541.5333333333333</v>
      </c>
      <c r="H79" s="63">
        <f t="shared" si="22"/>
        <v>2166.1333333333332</v>
      </c>
      <c r="I79" s="312">
        <f t="shared" si="23"/>
        <v>2166.1333333333332</v>
      </c>
      <c r="J79" s="14" t="str">
        <f t="shared" si="24"/>
        <v>No</v>
      </c>
      <c r="K79" s="63">
        <f t="shared" si="18"/>
        <v>0</v>
      </c>
      <c r="L79" s="130">
        <f>IF('Total income package'!$A$20=TRUE,MIN(IF(K79&gt;9.99,K79,0),$I$2),0)</f>
        <v>0</v>
      </c>
      <c r="M79" s="14" t="str">
        <f t="shared" si="16"/>
        <v>No</v>
      </c>
      <c r="N79" s="14" t="str">
        <f t="shared" si="25"/>
        <v>Yes</v>
      </c>
      <c r="O79" s="312">
        <f t="shared" si="26"/>
        <v>0</v>
      </c>
      <c r="P79" s="63">
        <f t="shared" si="19"/>
        <v>2166.1333333333332</v>
      </c>
      <c r="Q79" s="312" t="str">
        <f t="shared" si="27"/>
        <v>No</v>
      </c>
      <c r="R79" s="312">
        <f t="shared" si="28"/>
        <v>362.79999999999995</v>
      </c>
      <c r="S79" s="15">
        <f t="shared" si="29"/>
        <v>-362.79999999999995</v>
      </c>
      <c r="T79" s="189">
        <f>IF(AND('Total income package'!$A$22=TRUE,M79="Yes",S79&gt;9.99),MIN(S79,$I$2),0)</f>
        <v>0</v>
      </c>
    </row>
    <row r="80" spans="1:20" ht="14.4" x14ac:dyDescent="0.3">
      <c r="A80" s="29">
        <v>35500</v>
      </c>
      <c r="B80" s="384">
        <f t="shared" si="31"/>
        <v>2958.3333333333335</v>
      </c>
      <c r="C80" s="63">
        <f>'Total income package'!$D$80</f>
        <v>0</v>
      </c>
      <c r="D80" s="63">
        <f t="shared" si="20"/>
        <v>2958.3333333333335</v>
      </c>
      <c r="E80" s="14" t="str">
        <f t="shared" si="21"/>
        <v>No</v>
      </c>
      <c r="F80" s="63">
        <f t="shared" si="17"/>
        <v>2749.3333333333335</v>
      </c>
      <c r="G80" s="63">
        <f t="shared" si="30"/>
        <v>549.86666666666667</v>
      </c>
      <c r="H80" s="63">
        <f t="shared" si="22"/>
        <v>2199.4666666666667</v>
      </c>
      <c r="I80" s="312">
        <f t="shared" si="23"/>
        <v>2199.4666666666667</v>
      </c>
      <c r="J80" s="14" t="str">
        <f t="shared" si="24"/>
        <v>No</v>
      </c>
      <c r="K80" s="63">
        <f t="shared" si="18"/>
        <v>0</v>
      </c>
      <c r="L80" s="130">
        <f>IF('Total income package'!$A$20=TRUE,MIN(IF(K80&gt;9.99,K80,0),$I$2),0)</f>
        <v>0</v>
      </c>
      <c r="M80" s="14" t="str">
        <f t="shared" si="16"/>
        <v>No</v>
      </c>
      <c r="N80" s="14" t="str">
        <f t="shared" si="25"/>
        <v>Yes</v>
      </c>
      <c r="O80" s="312">
        <f t="shared" si="26"/>
        <v>0</v>
      </c>
      <c r="P80" s="63">
        <f t="shared" si="19"/>
        <v>2199.4666666666667</v>
      </c>
      <c r="Q80" s="312" t="str">
        <f t="shared" si="27"/>
        <v>No</v>
      </c>
      <c r="R80" s="312">
        <f t="shared" si="28"/>
        <v>396.13333333333344</v>
      </c>
      <c r="S80" s="15">
        <f t="shared" si="29"/>
        <v>-396.13333333333344</v>
      </c>
      <c r="T80" s="189">
        <f>IF(AND('Total income package'!$A$22=TRUE,M80="Yes",S80&gt;9.99),MIN(S80,$I$2),0)</f>
        <v>0</v>
      </c>
    </row>
    <row r="81" spans="1:20" ht="14.4" x14ac:dyDescent="0.3">
      <c r="A81" s="117">
        <v>36000</v>
      </c>
      <c r="B81" s="384">
        <f t="shared" si="31"/>
        <v>3000</v>
      </c>
      <c r="C81" s="63">
        <f>'Total income package'!$D$80</f>
        <v>0</v>
      </c>
      <c r="D81" s="63">
        <f t="shared" si="20"/>
        <v>3000</v>
      </c>
      <c r="E81" s="14" t="str">
        <f t="shared" si="21"/>
        <v>No</v>
      </c>
      <c r="F81" s="63">
        <f t="shared" si="17"/>
        <v>2791</v>
      </c>
      <c r="G81" s="63">
        <f t="shared" si="30"/>
        <v>558.20000000000005</v>
      </c>
      <c r="H81" s="63">
        <f t="shared" si="22"/>
        <v>2232.8000000000002</v>
      </c>
      <c r="I81" s="312">
        <f t="shared" si="23"/>
        <v>2232.8000000000002</v>
      </c>
      <c r="J81" s="14" t="str">
        <f t="shared" si="24"/>
        <v>No</v>
      </c>
      <c r="K81" s="63">
        <f t="shared" si="18"/>
        <v>0</v>
      </c>
      <c r="L81" s="130">
        <f>IF('Total income package'!$A$20=TRUE,MIN(IF(K81&gt;9.99,K81,0),$I$2),0)</f>
        <v>0</v>
      </c>
      <c r="M81" s="14" t="str">
        <f t="shared" si="16"/>
        <v>No</v>
      </c>
      <c r="N81" s="14" t="str">
        <f t="shared" si="25"/>
        <v>Yes</v>
      </c>
      <c r="O81" s="312">
        <f t="shared" si="26"/>
        <v>0</v>
      </c>
      <c r="P81" s="63">
        <f t="shared" si="19"/>
        <v>2232.8000000000002</v>
      </c>
      <c r="Q81" s="312" t="str">
        <f t="shared" si="27"/>
        <v>No</v>
      </c>
      <c r="R81" s="312">
        <f t="shared" si="28"/>
        <v>429.46666666666692</v>
      </c>
      <c r="S81" s="15">
        <f>IF(P81&gt;$H$2,O81-R81,O81)</f>
        <v>-429.46666666666692</v>
      </c>
      <c r="T81" s="189">
        <f>IF(AND('Total income package'!$A$22=TRUE,M81="Yes",S81&gt;9.99),MIN(S81,$I$2),0)</f>
        <v>0</v>
      </c>
    </row>
    <row r="82" spans="1:20" ht="14.4" x14ac:dyDescent="0.3">
      <c r="A82" s="117">
        <v>36500</v>
      </c>
      <c r="B82" s="384">
        <f t="shared" si="31"/>
        <v>3041.6666666666665</v>
      </c>
      <c r="C82" s="63">
        <f>'Total income package'!$D$80</f>
        <v>0</v>
      </c>
      <c r="D82" s="63">
        <f t="shared" si="20"/>
        <v>3041.6666666666665</v>
      </c>
      <c r="E82" s="14" t="str">
        <f t="shared" si="21"/>
        <v>No</v>
      </c>
      <c r="F82" s="63">
        <f t="shared" si="17"/>
        <v>2832.6666666666665</v>
      </c>
      <c r="G82" s="63">
        <f t="shared" si="30"/>
        <v>566.5333333333333</v>
      </c>
      <c r="H82" s="63">
        <f t="shared" si="22"/>
        <v>2266.1333333333332</v>
      </c>
      <c r="I82" s="312">
        <f t="shared" si="23"/>
        <v>2266.1333333333332</v>
      </c>
      <c r="J82" s="14" t="str">
        <f t="shared" si="24"/>
        <v>No</v>
      </c>
      <c r="K82" s="63">
        <f t="shared" si="18"/>
        <v>0</v>
      </c>
      <c r="L82" s="130">
        <f>IF('Total income package'!$A$20=TRUE,MIN(IF(K82&gt;9.99,K82,0),$I$2),0)</f>
        <v>0</v>
      </c>
      <c r="M82" s="14" t="str">
        <f t="shared" si="16"/>
        <v>No</v>
      </c>
      <c r="N82" s="14" t="str">
        <f t="shared" si="25"/>
        <v>Yes</v>
      </c>
      <c r="O82" s="312">
        <f t="shared" si="26"/>
        <v>0</v>
      </c>
      <c r="P82" s="63">
        <f t="shared" si="19"/>
        <v>2266.1333333333332</v>
      </c>
      <c r="Q82" s="312" t="str">
        <f t="shared" si="27"/>
        <v>No</v>
      </c>
      <c r="R82" s="312">
        <f t="shared" si="28"/>
        <v>462.79999999999995</v>
      </c>
      <c r="S82" s="15">
        <f t="shared" si="29"/>
        <v>-462.79999999999995</v>
      </c>
      <c r="T82" s="189">
        <f>IF(AND('Total income package'!$A$22=TRUE,M82="Yes",S82&gt;9.99),MIN(S82,$I$2),0)</f>
        <v>0</v>
      </c>
    </row>
    <row r="83" spans="1:20" ht="14.4" x14ac:dyDescent="0.3">
      <c r="A83" s="29">
        <v>37000</v>
      </c>
      <c r="B83" s="384">
        <f t="shared" si="31"/>
        <v>3083.3333333333335</v>
      </c>
      <c r="C83" s="63">
        <f>'Total income package'!$D$80</f>
        <v>0</v>
      </c>
      <c r="D83" s="63">
        <f t="shared" si="20"/>
        <v>3083.3333333333335</v>
      </c>
      <c r="E83" s="14" t="str">
        <f t="shared" si="21"/>
        <v>No</v>
      </c>
      <c r="F83" s="63">
        <f t="shared" si="17"/>
        <v>2874.3333333333335</v>
      </c>
      <c r="G83" s="63">
        <f t="shared" si="30"/>
        <v>574.86666666666667</v>
      </c>
      <c r="H83" s="63">
        <f t="shared" si="22"/>
        <v>2299.4666666666667</v>
      </c>
      <c r="I83" s="312">
        <f t="shared" si="23"/>
        <v>2299.4666666666667</v>
      </c>
      <c r="J83" s="14" t="str">
        <f t="shared" si="24"/>
        <v>No</v>
      </c>
      <c r="K83" s="63">
        <f t="shared" si="18"/>
        <v>0</v>
      </c>
      <c r="L83" s="130">
        <f>IF('Total income package'!$A$20=TRUE,MIN(IF(K83&gt;9.99,K83,0),$I$2),0)</f>
        <v>0</v>
      </c>
      <c r="M83" s="14" t="str">
        <f t="shared" si="16"/>
        <v>No</v>
      </c>
      <c r="N83" s="14" t="str">
        <f t="shared" si="25"/>
        <v>Yes</v>
      </c>
      <c r="O83" s="312">
        <f t="shared" si="26"/>
        <v>0</v>
      </c>
      <c r="P83" s="63">
        <f t="shared" si="19"/>
        <v>2299.4666666666667</v>
      </c>
      <c r="Q83" s="312" t="str">
        <f t="shared" si="27"/>
        <v>No</v>
      </c>
      <c r="R83" s="312">
        <f t="shared" si="28"/>
        <v>496.13333333333344</v>
      </c>
      <c r="S83" s="15">
        <f t="shared" si="29"/>
        <v>-496.13333333333344</v>
      </c>
      <c r="T83" s="189">
        <f>IF(AND('Total income package'!$A$22=TRUE,M83="Yes",S83&gt;9.99),MIN(S83,$I$2),0)</f>
        <v>0</v>
      </c>
    </row>
    <row r="84" spans="1:20" ht="14.4" x14ac:dyDescent="0.3">
      <c r="A84" s="117">
        <v>37500</v>
      </c>
      <c r="B84" s="384">
        <f t="shared" si="31"/>
        <v>3125</v>
      </c>
      <c r="C84" s="63">
        <f>'Total income package'!$D$80</f>
        <v>0</v>
      </c>
      <c r="D84" s="63">
        <f t="shared" si="20"/>
        <v>3125</v>
      </c>
      <c r="E84" s="14" t="str">
        <f t="shared" si="21"/>
        <v>No</v>
      </c>
      <c r="F84" s="63">
        <f t="shared" si="17"/>
        <v>2916</v>
      </c>
      <c r="G84" s="63">
        <f t="shared" si="30"/>
        <v>583.20000000000005</v>
      </c>
      <c r="H84" s="63">
        <f t="shared" si="22"/>
        <v>2332.8000000000002</v>
      </c>
      <c r="I84" s="312">
        <f t="shared" si="23"/>
        <v>2332.8000000000002</v>
      </c>
      <c r="J84" s="14" t="str">
        <f t="shared" si="24"/>
        <v>No</v>
      </c>
      <c r="K84" s="63">
        <f t="shared" si="18"/>
        <v>0</v>
      </c>
      <c r="L84" s="130">
        <f>IF('Total income package'!$A$20=TRUE,MIN(IF(K84&gt;9.99,K84,0),$I$2),0)</f>
        <v>0</v>
      </c>
      <c r="M84" s="14" t="str">
        <f t="shared" si="16"/>
        <v>No</v>
      </c>
      <c r="N84" s="14" t="str">
        <f t="shared" si="25"/>
        <v>Yes</v>
      </c>
      <c r="O84" s="312">
        <f t="shared" si="26"/>
        <v>0</v>
      </c>
      <c r="P84" s="63">
        <f t="shared" si="19"/>
        <v>2332.8000000000002</v>
      </c>
      <c r="Q84" s="312" t="str">
        <f t="shared" si="27"/>
        <v>No</v>
      </c>
      <c r="R84" s="312">
        <f t="shared" si="28"/>
        <v>529.46666666666692</v>
      </c>
      <c r="S84" s="15">
        <f t="shared" si="29"/>
        <v>-529.46666666666692</v>
      </c>
      <c r="T84" s="189">
        <f>IF(AND('Total income package'!$A$22=TRUE,M84="Yes",S84&gt;9.99),MIN(S84,$I$2),0)</f>
        <v>0</v>
      </c>
    </row>
    <row r="85" spans="1:20" ht="14.4" x14ac:dyDescent="0.3">
      <c r="A85" s="117">
        <v>38000</v>
      </c>
      <c r="B85" s="384">
        <f t="shared" si="31"/>
        <v>3166.6666666666665</v>
      </c>
      <c r="C85" s="63">
        <f>'Total income package'!$D$80</f>
        <v>0</v>
      </c>
      <c r="D85" s="63">
        <f t="shared" si="20"/>
        <v>3166.6666666666665</v>
      </c>
      <c r="E85" s="14" t="str">
        <f t="shared" si="21"/>
        <v>No</v>
      </c>
      <c r="F85" s="63">
        <f t="shared" si="17"/>
        <v>2957.6666666666665</v>
      </c>
      <c r="G85" s="63">
        <f t="shared" si="30"/>
        <v>591.5333333333333</v>
      </c>
      <c r="H85" s="63">
        <f t="shared" si="22"/>
        <v>2366.1333333333332</v>
      </c>
      <c r="I85" s="312">
        <f t="shared" si="23"/>
        <v>2366.1333333333332</v>
      </c>
      <c r="J85" s="14" t="str">
        <f t="shared" si="24"/>
        <v>No</v>
      </c>
      <c r="K85" s="63">
        <f t="shared" si="18"/>
        <v>0</v>
      </c>
      <c r="L85" s="130">
        <f>IF('Total income package'!$A$20=TRUE,MIN(IF(K85&gt;9.99,K85,0),$I$2),0)</f>
        <v>0</v>
      </c>
      <c r="M85" s="14" t="str">
        <f t="shared" si="16"/>
        <v>No</v>
      </c>
      <c r="N85" s="14" t="str">
        <f t="shared" si="25"/>
        <v>Yes</v>
      </c>
      <c r="O85" s="312">
        <f t="shared" si="26"/>
        <v>0</v>
      </c>
      <c r="P85" s="63">
        <f t="shared" si="19"/>
        <v>2366.1333333333332</v>
      </c>
      <c r="Q85" s="312" t="str">
        <f t="shared" si="27"/>
        <v>No</v>
      </c>
      <c r="R85" s="312">
        <f t="shared" si="28"/>
        <v>562.79999999999995</v>
      </c>
      <c r="S85" s="15">
        <f t="shared" si="29"/>
        <v>-562.79999999999995</v>
      </c>
      <c r="T85" s="189">
        <f>IF(AND('Total income package'!$A$22=TRUE,M85="Yes",S85&gt;9.99),MIN(S85,$I$2),0)</f>
        <v>0</v>
      </c>
    </row>
    <row r="86" spans="1:20" ht="14.4" x14ac:dyDescent="0.3">
      <c r="A86" s="29">
        <v>38500</v>
      </c>
      <c r="B86" s="384">
        <f t="shared" si="31"/>
        <v>3208.3333333333335</v>
      </c>
      <c r="C86" s="63">
        <f>'Total income package'!$D$80</f>
        <v>0</v>
      </c>
      <c r="D86" s="63">
        <f t="shared" si="20"/>
        <v>3208.3333333333335</v>
      </c>
      <c r="E86" s="14" t="str">
        <f t="shared" si="21"/>
        <v>No</v>
      </c>
      <c r="F86" s="63">
        <f t="shared" si="17"/>
        <v>2999.3333333333335</v>
      </c>
      <c r="G86" s="63">
        <f t="shared" si="30"/>
        <v>599.86666666666667</v>
      </c>
      <c r="H86" s="63">
        <f t="shared" si="22"/>
        <v>2399.4666666666667</v>
      </c>
      <c r="I86" s="312">
        <f t="shared" si="23"/>
        <v>2399.4666666666667</v>
      </c>
      <c r="J86" s="14" t="str">
        <f t="shared" si="24"/>
        <v>No</v>
      </c>
      <c r="K86" s="63">
        <f t="shared" si="18"/>
        <v>0</v>
      </c>
      <c r="L86" s="130">
        <f>IF('Total income package'!$A$20=TRUE,MIN(IF(K86&gt;9.99,K86,0),$I$2),0)</f>
        <v>0</v>
      </c>
      <c r="M86" s="14" t="str">
        <f t="shared" si="16"/>
        <v>No</v>
      </c>
      <c r="N86" s="14" t="str">
        <f t="shared" si="25"/>
        <v>Yes</v>
      </c>
      <c r="O86" s="312">
        <f t="shared" si="26"/>
        <v>0</v>
      </c>
      <c r="P86" s="63">
        <f t="shared" si="19"/>
        <v>2399.4666666666667</v>
      </c>
      <c r="Q86" s="312" t="str">
        <f t="shared" si="27"/>
        <v>No</v>
      </c>
      <c r="R86" s="312">
        <f t="shared" si="28"/>
        <v>596.13333333333344</v>
      </c>
      <c r="S86" s="15">
        <f t="shared" si="29"/>
        <v>-596.13333333333344</v>
      </c>
      <c r="T86" s="189">
        <f>IF(AND('Total income package'!$A$22=TRUE,M86="Yes",S86&gt;9.99),MIN(S86,$I$2),0)</f>
        <v>0</v>
      </c>
    </row>
    <row r="87" spans="1:20" ht="14.4" x14ac:dyDescent="0.3">
      <c r="A87" s="117">
        <v>39000</v>
      </c>
      <c r="B87" s="384">
        <f t="shared" si="31"/>
        <v>3250</v>
      </c>
      <c r="C87" s="63">
        <f>'Total income package'!$D$80</f>
        <v>0</v>
      </c>
      <c r="D87" s="63">
        <f t="shared" si="20"/>
        <v>3250</v>
      </c>
      <c r="E87" s="14" t="str">
        <f t="shared" si="21"/>
        <v>No</v>
      </c>
      <c r="F87" s="63">
        <f t="shared" si="17"/>
        <v>3041</v>
      </c>
      <c r="G87" s="63">
        <f t="shared" si="30"/>
        <v>608.20000000000005</v>
      </c>
      <c r="H87" s="63">
        <f t="shared" si="22"/>
        <v>2432.8000000000002</v>
      </c>
      <c r="I87" s="312">
        <f t="shared" si="23"/>
        <v>2432.8000000000002</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2432.8000000000002</v>
      </c>
      <c r="Q87" s="312" t="str">
        <f t="shared" si="27"/>
        <v>No</v>
      </c>
      <c r="R87" s="312">
        <f t="shared" si="28"/>
        <v>629.46666666666692</v>
      </c>
      <c r="S87" s="15">
        <f t="shared" si="29"/>
        <v>-629.46666666666692</v>
      </c>
      <c r="T87" s="189">
        <f>IF(AND('Total income package'!$A$22=TRUE,M87="Yes",S87&gt;9.99),MIN(S87,$I$2),0)</f>
        <v>0</v>
      </c>
    </row>
    <row r="88" spans="1:20" ht="14.4" x14ac:dyDescent="0.3">
      <c r="A88" s="117">
        <v>39500</v>
      </c>
      <c r="B88" s="384">
        <f t="shared" si="31"/>
        <v>3291.6666666666665</v>
      </c>
      <c r="C88" s="63">
        <f>'Total income package'!$D$80</f>
        <v>0</v>
      </c>
      <c r="D88" s="63">
        <f t="shared" si="20"/>
        <v>3291.6666666666665</v>
      </c>
      <c r="E88" s="14" t="str">
        <f t="shared" si="21"/>
        <v>No</v>
      </c>
      <c r="F88" s="63">
        <f t="shared" si="17"/>
        <v>3082.6666666666665</v>
      </c>
      <c r="G88" s="63">
        <f t="shared" si="30"/>
        <v>616.5333333333333</v>
      </c>
      <c r="H88" s="63">
        <f t="shared" si="22"/>
        <v>2466.1333333333332</v>
      </c>
      <c r="I88" s="312">
        <f t="shared" si="23"/>
        <v>2466.1333333333332</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2466.1333333333332</v>
      </c>
      <c r="Q88" s="312" t="str">
        <f t="shared" si="27"/>
        <v>No</v>
      </c>
      <c r="R88" s="312">
        <f t="shared" si="28"/>
        <v>662.8</v>
      </c>
      <c r="S88" s="15">
        <f t="shared" si="29"/>
        <v>-662.8</v>
      </c>
      <c r="T88" s="189">
        <f>IF(AND('Total income package'!$A$22=TRUE,M88="Yes",S88&gt;9.99),MIN(S88,$I$2),0)</f>
        <v>0</v>
      </c>
    </row>
    <row r="89" spans="1:20" ht="14.4" x14ac:dyDescent="0.3">
      <c r="A89" s="29">
        <v>40000</v>
      </c>
      <c r="B89" s="384">
        <f t="shared" si="31"/>
        <v>3333.3333333333335</v>
      </c>
      <c r="C89" s="63">
        <f>'Total income package'!$D$80</f>
        <v>0</v>
      </c>
      <c r="D89" s="63">
        <f t="shared" si="20"/>
        <v>3333.3333333333335</v>
      </c>
      <c r="E89" s="14" t="str">
        <f t="shared" si="21"/>
        <v>No</v>
      </c>
      <c r="F89" s="63">
        <f t="shared" si="17"/>
        <v>3124.3333333333335</v>
      </c>
      <c r="G89" s="63">
        <f t="shared" si="30"/>
        <v>624.86666666666679</v>
      </c>
      <c r="H89" s="63">
        <f t="shared" si="22"/>
        <v>2499.4666666666667</v>
      </c>
      <c r="I89" s="312">
        <f t="shared" si="23"/>
        <v>2499.4666666666667</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2499.4666666666667</v>
      </c>
      <c r="Q89" s="312" t="str">
        <f t="shared" si="27"/>
        <v>No</v>
      </c>
      <c r="R89" s="312">
        <f t="shared" si="28"/>
        <v>696.13333333333344</v>
      </c>
      <c r="S89" s="15">
        <f t="shared" si="29"/>
        <v>-696.13333333333344</v>
      </c>
      <c r="T89" s="189">
        <f>IF(AND('Total income package'!$A$22=TRUE,M89="Yes",S89&gt;9.99),MIN(S89,$I$2),0)</f>
        <v>0</v>
      </c>
    </row>
    <row r="90" spans="1:20" ht="14.4" x14ac:dyDescent="0.3">
      <c r="A90" s="117">
        <v>40500</v>
      </c>
      <c r="B90" s="384">
        <f t="shared" si="31"/>
        <v>3375</v>
      </c>
      <c r="C90" s="63">
        <f>'Total income package'!$D$80</f>
        <v>0</v>
      </c>
      <c r="D90" s="63">
        <f t="shared" si="20"/>
        <v>3375</v>
      </c>
      <c r="E90" s="14" t="str">
        <f t="shared" si="21"/>
        <v>No</v>
      </c>
      <c r="F90" s="63">
        <f t="shared" si="17"/>
        <v>3166</v>
      </c>
      <c r="G90" s="63">
        <f t="shared" si="30"/>
        <v>633.20000000000005</v>
      </c>
      <c r="H90" s="63">
        <f t="shared" si="22"/>
        <v>2532.8000000000002</v>
      </c>
      <c r="I90" s="312">
        <f t="shared" si="23"/>
        <v>2532.8000000000002</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2532.8000000000002</v>
      </c>
      <c r="Q90" s="312" t="str">
        <f t="shared" si="27"/>
        <v>No</v>
      </c>
      <c r="R90" s="312">
        <f t="shared" si="28"/>
        <v>729.46666666666692</v>
      </c>
      <c r="S90" s="15">
        <f t="shared" si="29"/>
        <v>-729.46666666666692</v>
      </c>
      <c r="T90" s="189">
        <f>IF(AND('Total income package'!$A$22=TRUE,M90="Yes",S90&gt;9.99),MIN(S90,$I$2),0)</f>
        <v>0</v>
      </c>
    </row>
    <row r="91" spans="1:20" ht="14.4" x14ac:dyDescent="0.3">
      <c r="A91" s="117">
        <v>41000</v>
      </c>
      <c r="B91" s="384">
        <f t="shared" si="31"/>
        <v>3416.6666666666665</v>
      </c>
      <c r="C91" s="63">
        <f>'Total income package'!$D$80</f>
        <v>0</v>
      </c>
      <c r="D91" s="63">
        <f t="shared" si="20"/>
        <v>3416.6666666666665</v>
      </c>
      <c r="E91" s="14" t="str">
        <f t="shared" si="21"/>
        <v>No</v>
      </c>
      <c r="F91" s="63">
        <f t="shared" si="17"/>
        <v>3207.6666666666665</v>
      </c>
      <c r="G91" s="63">
        <f t="shared" si="30"/>
        <v>641.5333333333333</v>
      </c>
      <c r="H91" s="63">
        <f t="shared" si="22"/>
        <v>2566.1333333333332</v>
      </c>
      <c r="I91" s="312">
        <f t="shared" si="23"/>
        <v>2566.1333333333332</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2566.1333333333332</v>
      </c>
      <c r="Q91" s="312" t="str">
        <f t="shared" si="27"/>
        <v>No</v>
      </c>
      <c r="R91" s="312">
        <f t="shared" si="28"/>
        <v>762.8</v>
      </c>
      <c r="S91" s="15">
        <f t="shared" si="29"/>
        <v>-762.8</v>
      </c>
      <c r="T91" s="189">
        <f>IF(AND('Total income package'!$A$22=TRUE,M91="Yes",S91&gt;9.99),MIN(S91,$I$2),0)</f>
        <v>0</v>
      </c>
    </row>
    <row r="92" spans="1:20" ht="14.4" x14ac:dyDescent="0.3">
      <c r="A92" s="29">
        <v>41500</v>
      </c>
      <c r="B92" s="384">
        <f t="shared" si="31"/>
        <v>3458.3333333333335</v>
      </c>
      <c r="C92" s="63">
        <f>'Total income package'!$D$80</f>
        <v>0</v>
      </c>
      <c r="D92" s="63">
        <f t="shared" si="20"/>
        <v>3458.3333333333335</v>
      </c>
      <c r="E92" s="14" t="str">
        <f t="shared" si="21"/>
        <v>No</v>
      </c>
      <c r="F92" s="63">
        <f t="shared" si="17"/>
        <v>3249.3333333333335</v>
      </c>
      <c r="G92" s="63">
        <f t="shared" si="30"/>
        <v>649.86666666666679</v>
      </c>
      <c r="H92" s="63">
        <f t="shared" si="22"/>
        <v>2599.4666666666667</v>
      </c>
      <c r="I92" s="312">
        <f t="shared" si="23"/>
        <v>2599.4666666666667</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2599.4666666666667</v>
      </c>
      <c r="Q92" s="312" t="str">
        <f t="shared" si="27"/>
        <v>No</v>
      </c>
      <c r="R92" s="312">
        <f t="shared" si="28"/>
        <v>796.13333333333344</v>
      </c>
      <c r="S92" s="15">
        <f t="shared" si="29"/>
        <v>-796.13333333333344</v>
      </c>
      <c r="T92" s="189">
        <f>IF(AND('Total income package'!$A$22=TRUE,M92="Yes",S92&gt;9.99),MIN(S92,$I$2),0)</f>
        <v>0</v>
      </c>
    </row>
    <row r="93" spans="1:20" ht="14.4" x14ac:dyDescent="0.3">
      <c r="A93" s="117">
        <v>42000</v>
      </c>
      <c r="B93" s="384">
        <f t="shared" si="31"/>
        <v>3500</v>
      </c>
      <c r="C93" s="63">
        <f>'Total income package'!$D$80</f>
        <v>0</v>
      </c>
      <c r="D93" s="63">
        <f t="shared" si="20"/>
        <v>3500</v>
      </c>
      <c r="E93" s="14" t="str">
        <f t="shared" si="21"/>
        <v>No</v>
      </c>
      <c r="F93" s="63">
        <f t="shared" si="17"/>
        <v>3291</v>
      </c>
      <c r="G93" s="63">
        <f t="shared" si="30"/>
        <v>658.2</v>
      </c>
      <c r="H93" s="63">
        <f t="shared" si="22"/>
        <v>2632.8</v>
      </c>
      <c r="I93" s="312">
        <f t="shared" si="23"/>
        <v>2632.8</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2632.8</v>
      </c>
      <c r="Q93" s="312" t="str">
        <f t="shared" si="27"/>
        <v>No</v>
      </c>
      <c r="R93" s="312">
        <f t="shared" si="28"/>
        <v>829.46666666666692</v>
      </c>
      <c r="S93" s="15">
        <f t="shared" si="29"/>
        <v>-829.46666666666692</v>
      </c>
      <c r="T93" s="189">
        <f>IF(AND('Total income package'!$A$22=TRUE,M93="Yes",S93&gt;9.99),MIN(S93,$I$2),0)</f>
        <v>0</v>
      </c>
    </row>
    <row r="94" spans="1:20" ht="14.4" x14ac:dyDescent="0.3">
      <c r="A94" s="117">
        <v>42500</v>
      </c>
      <c r="B94" s="384">
        <f t="shared" si="31"/>
        <v>3541.6666666666665</v>
      </c>
      <c r="C94" s="63">
        <f>'Total income package'!$D$80</f>
        <v>0</v>
      </c>
      <c r="D94" s="63">
        <f t="shared" si="20"/>
        <v>3541.6666666666665</v>
      </c>
      <c r="E94" s="14" t="str">
        <f t="shared" si="21"/>
        <v>No</v>
      </c>
      <c r="F94" s="63">
        <f t="shared" si="17"/>
        <v>3332.6666666666665</v>
      </c>
      <c r="G94" s="63">
        <f t="shared" si="30"/>
        <v>666.5333333333333</v>
      </c>
      <c r="H94" s="63">
        <f t="shared" si="22"/>
        <v>2666.1333333333332</v>
      </c>
      <c r="I94" s="312">
        <f t="shared" si="23"/>
        <v>2666.1333333333332</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2666.1333333333332</v>
      </c>
      <c r="Q94" s="312" t="str">
        <f t="shared" si="27"/>
        <v>No</v>
      </c>
      <c r="R94" s="312">
        <f t="shared" si="28"/>
        <v>862.8</v>
      </c>
      <c r="S94" s="15">
        <f t="shared" si="29"/>
        <v>-862.8</v>
      </c>
      <c r="T94" s="189">
        <f>IF(AND('Total income package'!$A$22=TRUE,M94="Yes",S94&gt;9.99),MIN(S94,$I$2),0)</f>
        <v>0</v>
      </c>
    </row>
    <row r="95" spans="1:20" ht="14.4" x14ac:dyDescent="0.3">
      <c r="A95" s="29">
        <v>43000</v>
      </c>
      <c r="B95" s="384">
        <f t="shared" si="31"/>
        <v>3583.3333333333335</v>
      </c>
      <c r="C95" s="63">
        <f>'Total income package'!$D$80</f>
        <v>0</v>
      </c>
      <c r="D95" s="63">
        <f t="shared" si="20"/>
        <v>3583.3333333333335</v>
      </c>
      <c r="E95" s="14" t="str">
        <f t="shared" si="21"/>
        <v>No</v>
      </c>
      <c r="F95" s="63">
        <f t="shared" si="17"/>
        <v>3374.3333333333335</v>
      </c>
      <c r="G95" s="63">
        <f t="shared" si="30"/>
        <v>674.86666666666679</v>
      </c>
      <c r="H95" s="63">
        <f t="shared" si="22"/>
        <v>2699.4666666666667</v>
      </c>
      <c r="I95" s="312">
        <f t="shared" si="23"/>
        <v>2699.4666666666667</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2699.4666666666667</v>
      </c>
      <c r="Q95" s="312" t="str">
        <f t="shared" si="27"/>
        <v>No</v>
      </c>
      <c r="R95" s="312">
        <f t="shared" si="28"/>
        <v>896.13333333333344</v>
      </c>
      <c r="S95" s="15">
        <f t="shared" si="29"/>
        <v>-896.13333333333344</v>
      </c>
      <c r="T95" s="189">
        <f>IF(AND('Total income package'!$A$22=TRUE,M95="Yes",S95&gt;9.99),MIN(S95,$I$2),0)</f>
        <v>0</v>
      </c>
    </row>
    <row r="96" spans="1:20" ht="14.4" x14ac:dyDescent="0.3">
      <c r="A96" s="117">
        <v>43500</v>
      </c>
      <c r="B96" s="384">
        <f t="shared" si="31"/>
        <v>3625</v>
      </c>
      <c r="C96" s="63">
        <f>'Total income package'!$D$80</f>
        <v>0</v>
      </c>
      <c r="D96" s="63">
        <f t="shared" si="20"/>
        <v>3625</v>
      </c>
      <c r="E96" s="14" t="str">
        <f t="shared" si="21"/>
        <v>No</v>
      </c>
      <c r="F96" s="63">
        <f t="shared" si="17"/>
        <v>3416</v>
      </c>
      <c r="G96" s="63">
        <f t="shared" si="30"/>
        <v>683.2</v>
      </c>
      <c r="H96" s="63">
        <f t="shared" si="22"/>
        <v>2732.8</v>
      </c>
      <c r="I96" s="312">
        <f t="shared" si="23"/>
        <v>2732.8</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2732.8</v>
      </c>
      <c r="Q96" s="312" t="str">
        <f t="shared" si="27"/>
        <v>No</v>
      </c>
      <c r="R96" s="312">
        <f t="shared" si="28"/>
        <v>929.46666666666692</v>
      </c>
      <c r="S96" s="15">
        <f t="shared" si="29"/>
        <v>-929.46666666666692</v>
      </c>
      <c r="T96" s="189">
        <f>IF(AND('Total income package'!$A$22=TRUE,M96="Yes",S96&gt;9.99),MIN(S96,$I$2),0)</f>
        <v>0</v>
      </c>
    </row>
    <row r="97" spans="1:20" ht="14.4" x14ac:dyDescent="0.3">
      <c r="A97" s="117">
        <v>44000</v>
      </c>
      <c r="B97" s="384">
        <f t="shared" si="31"/>
        <v>3666.6666666666665</v>
      </c>
      <c r="C97" s="63">
        <f>'Total income package'!$D$80</f>
        <v>0</v>
      </c>
      <c r="D97" s="63">
        <f t="shared" si="20"/>
        <v>3666.6666666666665</v>
      </c>
      <c r="E97" s="14" t="str">
        <f t="shared" si="21"/>
        <v>No</v>
      </c>
      <c r="F97" s="63">
        <f t="shared" si="17"/>
        <v>3457.6666666666665</v>
      </c>
      <c r="G97" s="63">
        <f t="shared" si="30"/>
        <v>691.5333333333333</v>
      </c>
      <c r="H97" s="63">
        <f t="shared" si="22"/>
        <v>2766.1333333333332</v>
      </c>
      <c r="I97" s="312">
        <f t="shared" si="23"/>
        <v>2766.1333333333332</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2766.1333333333332</v>
      </c>
      <c r="Q97" s="312" t="str">
        <f t="shared" si="27"/>
        <v>No</v>
      </c>
      <c r="R97" s="312">
        <f t="shared" si="28"/>
        <v>962.8</v>
      </c>
      <c r="S97" s="15">
        <f t="shared" si="29"/>
        <v>-962.8</v>
      </c>
      <c r="T97" s="189">
        <f>IF(AND('Total income package'!$A$22=TRUE,M97="Yes",S97&gt;9.99),MIN(S97,$I$2),0)</f>
        <v>0</v>
      </c>
    </row>
    <row r="98" spans="1:20" ht="14.4" x14ac:dyDescent="0.3">
      <c r="A98" s="29">
        <v>44500</v>
      </c>
      <c r="B98" s="384">
        <f t="shared" si="31"/>
        <v>3708.3333333333335</v>
      </c>
      <c r="C98" s="63">
        <f>'Total income package'!$D$80</f>
        <v>0</v>
      </c>
      <c r="D98" s="63">
        <f t="shared" si="20"/>
        <v>3708.3333333333335</v>
      </c>
      <c r="E98" s="14" t="str">
        <f t="shared" si="21"/>
        <v>No</v>
      </c>
      <c r="F98" s="63">
        <f t="shared" si="17"/>
        <v>3499.3333333333335</v>
      </c>
      <c r="G98" s="63">
        <f t="shared" si="30"/>
        <v>699.86666666666679</v>
      </c>
      <c r="H98" s="63">
        <f t="shared" si="22"/>
        <v>2799.4666666666667</v>
      </c>
      <c r="I98" s="312">
        <f t="shared" si="23"/>
        <v>2799.4666666666667</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2799.4666666666667</v>
      </c>
      <c r="Q98" s="312" t="str">
        <f t="shared" si="27"/>
        <v>No</v>
      </c>
      <c r="R98" s="312">
        <f t="shared" si="28"/>
        <v>996.13333333333344</v>
      </c>
      <c r="S98" s="15">
        <f t="shared" si="29"/>
        <v>-996.13333333333344</v>
      </c>
      <c r="T98" s="189">
        <f>IF(AND('Total income package'!$A$22=TRUE,M98="Yes",S98&gt;9.99),MIN(S98,$I$2),0)</f>
        <v>0</v>
      </c>
    </row>
    <row r="99" spans="1:20" ht="14.4" x14ac:dyDescent="0.3">
      <c r="A99" s="117">
        <v>45000</v>
      </c>
      <c r="B99" s="384">
        <f t="shared" si="31"/>
        <v>3750</v>
      </c>
      <c r="C99" s="63">
        <f>'Total income package'!$D$80</f>
        <v>0</v>
      </c>
      <c r="D99" s="63">
        <f t="shared" si="20"/>
        <v>3750</v>
      </c>
      <c r="E99" s="14" t="str">
        <f t="shared" si="21"/>
        <v>No</v>
      </c>
      <c r="F99" s="63">
        <f t="shared" si="17"/>
        <v>3541</v>
      </c>
      <c r="G99" s="63">
        <f t="shared" si="30"/>
        <v>708.2</v>
      </c>
      <c r="H99" s="63">
        <f t="shared" si="22"/>
        <v>2832.8</v>
      </c>
      <c r="I99" s="312">
        <f t="shared" si="23"/>
        <v>2832.8</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2832.8</v>
      </c>
      <c r="Q99" s="312" t="str">
        <f t="shared" si="27"/>
        <v>No</v>
      </c>
      <c r="R99" s="312">
        <f t="shared" si="28"/>
        <v>1029.4666666666669</v>
      </c>
      <c r="S99" s="15">
        <f t="shared" si="29"/>
        <v>-1029.4666666666669</v>
      </c>
      <c r="T99" s="189">
        <f>IF(AND('Total income package'!$A$22=TRUE,M99="Yes",S99&gt;9.99),MIN(S99,$I$2),0)</f>
        <v>0</v>
      </c>
    </row>
    <row r="100" spans="1:20" ht="14.4" x14ac:dyDescent="0.3">
      <c r="A100" s="117">
        <v>45500</v>
      </c>
      <c r="B100" s="384">
        <f t="shared" si="31"/>
        <v>3791.6666666666665</v>
      </c>
      <c r="C100" s="63">
        <f>'Total income package'!$D$80</f>
        <v>0</v>
      </c>
      <c r="D100" s="63">
        <f t="shared" si="20"/>
        <v>3791.6666666666665</v>
      </c>
      <c r="E100" s="14" t="str">
        <f t="shared" si="21"/>
        <v>No</v>
      </c>
      <c r="F100" s="63">
        <f t="shared" si="17"/>
        <v>3582.6666666666665</v>
      </c>
      <c r="G100" s="63">
        <f t="shared" si="30"/>
        <v>716.5333333333333</v>
      </c>
      <c r="H100" s="63">
        <f t="shared" si="22"/>
        <v>2866.1333333333332</v>
      </c>
      <c r="I100" s="312">
        <f t="shared" si="23"/>
        <v>2866.1333333333332</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2866.1333333333332</v>
      </c>
      <c r="Q100" s="312" t="str">
        <f t="shared" si="27"/>
        <v>No</v>
      </c>
      <c r="R100" s="312">
        <f t="shared" si="28"/>
        <v>1062.8</v>
      </c>
      <c r="S100" s="15">
        <f t="shared" si="29"/>
        <v>-1062.8</v>
      </c>
      <c r="T100" s="189">
        <f>IF(AND('Total income package'!$A$22=TRUE,M100="Yes",S100&gt;9.99),MIN(S100,$I$2),0)</f>
        <v>0</v>
      </c>
    </row>
    <row r="101" spans="1:20" ht="14.4" x14ac:dyDescent="0.3">
      <c r="A101" s="29">
        <v>46000</v>
      </c>
      <c r="B101" s="384">
        <f>A101/12</f>
        <v>3833.3333333333335</v>
      </c>
      <c r="C101" s="63">
        <f>'Total income package'!$D$80</f>
        <v>0</v>
      </c>
      <c r="D101" s="63">
        <f t="shared" si="20"/>
        <v>3833.3333333333335</v>
      </c>
      <c r="E101" s="14" t="str">
        <f t="shared" si="21"/>
        <v>No</v>
      </c>
      <c r="F101" s="63">
        <f t="shared" si="17"/>
        <v>3624.3333333333335</v>
      </c>
      <c r="G101" s="63">
        <f t="shared" si="30"/>
        <v>724.86666666666679</v>
      </c>
      <c r="H101" s="63">
        <f t="shared" si="22"/>
        <v>2899.4666666666667</v>
      </c>
      <c r="I101" s="312">
        <f t="shared" si="23"/>
        <v>2899.4666666666667</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2899.4666666666667</v>
      </c>
      <c r="Q101" s="312" t="str">
        <f t="shared" si="27"/>
        <v>No</v>
      </c>
      <c r="R101" s="312">
        <f t="shared" si="28"/>
        <v>1096.1333333333334</v>
      </c>
      <c r="S101" s="15">
        <f t="shared" si="29"/>
        <v>-1096.1333333333334</v>
      </c>
      <c r="T101" s="189">
        <f>IF(AND('Total income package'!$A$22=TRUE,M101="Yes",S101&gt;9.99),MIN(S101,$I$2),0)</f>
        <v>0</v>
      </c>
    </row>
    <row r="102" spans="1:20" ht="14.4" x14ac:dyDescent="0.3">
      <c r="A102" s="117">
        <v>46500</v>
      </c>
      <c r="B102" s="384">
        <f t="shared" si="31"/>
        <v>3875</v>
      </c>
      <c r="C102" s="63">
        <f>'Total income package'!$D$80</f>
        <v>0</v>
      </c>
      <c r="D102" s="63">
        <f t="shared" si="20"/>
        <v>3875</v>
      </c>
      <c r="E102" s="14" t="str">
        <f t="shared" si="21"/>
        <v>No</v>
      </c>
      <c r="F102" s="63">
        <f t="shared" si="17"/>
        <v>3666</v>
      </c>
      <c r="G102" s="63">
        <f t="shared" si="30"/>
        <v>733.2</v>
      </c>
      <c r="H102" s="63">
        <f t="shared" si="22"/>
        <v>2932.8</v>
      </c>
      <c r="I102" s="312">
        <f t="shared" si="23"/>
        <v>2932.8</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2932.8</v>
      </c>
      <c r="Q102" s="312" t="str">
        <f t="shared" si="27"/>
        <v>No</v>
      </c>
      <c r="R102" s="312">
        <f t="shared" si="28"/>
        <v>1129.4666666666669</v>
      </c>
      <c r="S102" s="15">
        <f t="shared" si="29"/>
        <v>-1129.4666666666669</v>
      </c>
      <c r="T102" s="189">
        <f>IF(AND('Total income package'!$A$22=TRUE,M102="Yes",S102&gt;9.99),MIN(S102,$I$2),0)</f>
        <v>0</v>
      </c>
    </row>
    <row r="103" spans="1:20" ht="14.4" x14ac:dyDescent="0.3">
      <c r="A103" s="117">
        <v>47000</v>
      </c>
      <c r="B103" s="384">
        <f t="shared" si="31"/>
        <v>3916.6666666666665</v>
      </c>
      <c r="C103" s="63">
        <f>'Total income package'!$D$80</f>
        <v>0</v>
      </c>
      <c r="D103" s="63">
        <f t="shared" si="20"/>
        <v>3916.6666666666665</v>
      </c>
      <c r="E103" s="14" t="str">
        <f t="shared" si="21"/>
        <v>No</v>
      </c>
      <c r="F103" s="63">
        <f t="shared" si="17"/>
        <v>3707.6666666666665</v>
      </c>
      <c r="G103" s="63">
        <f t="shared" si="30"/>
        <v>741.5333333333333</v>
      </c>
      <c r="H103" s="63">
        <f t="shared" si="22"/>
        <v>2966.1333333333332</v>
      </c>
      <c r="I103" s="312">
        <f t="shared" si="23"/>
        <v>2966.1333333333332</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2966.1333333333332</v>
      </c>
      <c r="Q103" s="312" t="str">
        <f t="shared" si="27"/>
        <v>No</v>
      </c>
      <c r="R103" s="312">
        <f t="shared" si="28"/>
        <v>1162.8</v>
      </c>
      <c r="S103" s="15">
        <f t="shared" si="29"/>
        <v>-1162.8</v>
      </c>
      <c r="T103" s="189">
        <f>IF(AND('Total income package'!$A$22=TRUE,M103="Yes",S103&gt;9.99),MIN(S103,$I$2),0)</f>
        <v>0</v>
      </c>
    </row>
    <row r="104" spans="1:20" ht="14.4" x14ac:dyDescent="0.3">
      <c r="A104" s="29">
        <v>47500</v>
      </c>
      <c r="B104" s="384">
        <f t="shared" si="31"/>
        <v>3958.3333333333335</v>
      </c>
      <c r="C104" s="63">
        <f>'Total income package'!$D$80</f>
        <v>0</v>
      </c>
      <c r="D104" s="63">
        <f t="shared" si="20"/>
        <v>3958.3333333333335</v>
      </c>
      <c r="E104" s="14" t="str">
        <f t="shared" si="21"/>
        <v>No</v>
      </c>
      <c r="F104" s="63">
        <f t="shared" si="17"/>
        <v>3749.3333333333335</v>
      </c>
      <c r="G104" s="63">
        <f t="shared" si="30"/>
        <v>749.86666666666679</v>
      </c>
      <c r="H104" s="63">
        <f t="shared" si="22"/>
        <v>2999.4666666666667</v>
      </c>
      <c r="I104" s="312">
        <f t="shared" si="23"/>
        <v>2999.4666666666667</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2999.4666666666667</v>
      </c>
      <c r="Q104" s="312" t="str">
        <f t="shared" si="27"/>
        <v>No</v>
      </c>
      <c r="R104" s="312">
        <f t="shared" si="28"/>
        <v>1196.1333333333334</v>
      </c>
      <c r="S104" s="15">
        <f t="shared" si="29"/>
        <v>-1196.1333333333334</v>
      </c>
      <c r="T104" s="189">
        <f>IF(AND('Total income package'!$A$22=TRUE,M104="Yes",S104&gt;9.99),MIN(S104,$I$2),0)</f>
        <v>0</v>
      </c>
    </row>
    <row r="105" spans="1:20" ht="14.4" x14ac:dyDescent="0.3">
      <c r="A105" s="117">
        <v>48000</v>
      </c>
      <c r="B105" s="384">
        <f t="shared" si="31"/>
        <v>4000</v>
      </c>
      <c r="C105" s="63">
        <f>'Total income package'!$D$80</f>
        <v>0</v>
      </c>
      <c r="D105" s="63">
        <f t="shared" si="20"/>
        <v>4000</v>
      </c>
      <c r="E105" s="14" t="str">
        <f t="shared" si="21"/>
        <v>No</v>
      </c>
      <c r="F105" s="63">
        <f t="shared" si="17"/>
        <v>3791</v>
      </c>
      <c r="G105" s="63">
        <f t="shared" si="30"/>
        <v>758.2</v>
      </c>
      <c r="H105" s="63">
        <f t="shared" si="22"/>
        <v>3032.8</v>
      </c>
      <c r="I105" s="312">
        <f t="shared" si="23"/>
        <v>3032.8</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3032.8</v>
      </c>
      <c r="Q105" s="312" t="str">
        <f t="shared" si="27"/>
        <v>No</v>
      </c>
      <c r="R105" s="312">
        <f t="shared" si="28"/>
        <v>1229.4666666666669</v>
      </c>
      <c r="S105" s="15">
        <f t="shared" si="29"/>
        <v>-1229.4666666666669</v>
      </c>
      <c r="T105" s="189">
        <f>IF(AND('Total income package'!$A$22=TRUE,M105="Yes",S105&gt;9.99),MIN(S105,$I$2),0)</f>
        <v>0</v>
      </c>
    </row>
    <row r="106" spans="1:20" ht="14.4" x14ac:dyDescent="0.3">
      <c r="A106" s="117">
        <v>48500</v>
      </c>
      <c r="B106" s="384">
        <f t="shared" si="31"/>
        <v>4041.6666666666665</v>
      </c>
      <c r="C106" s="63">
        <f>'Total income package'!$D$80</f>
        <v>0</v>
      </c>
      <c r="D106" s="63">
        <f t="shared" si="20"/>
        <v>4041.6666666666665</v>
      </c>
      <c r="E106" s="14" t="str">
        <f t="shared" si="21"/>
        <v>No</v>
      </c>
      <c r="F106" s="63">
        <f t="shared" si="17"/>
        <v>3832.6666666666665</v>
      </c>
      <c r="G106" s="63">
        <f t="shared" si="30"/>
        <v>766.5333333333333</v>
      </c>
      <c r="H106" s="63">
        <f t="shared" si="22"/>
        <v>3066.1333333333332</v>
      </c>
      <c r="I106" s="312">
        <f t="shared" si="23"/>
        <v>3066.1333333333332</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3066.1333333333332</v>
      </c>
      <c r="Q106" s="312" t="str">
        <f t="shared" si="27"/>
        <v>No</v>
      </c>
      <c r="R106" s="312">
        <f t="shared" si="28"/>
        <v>1262.8</v>
      </c>
      <c r="S106" s="15">
        <f t="shared" si="29"/>
        <v>-1262.8</v>
      </c>
      <c r="T106" s="189">
        <f>IF(AND('Total income package'!$A$22=TRUE,M106="Yes",S106&gt;9.99),MIN(S106,$I$2),0)</f>
        <v>0</v>
      </c>
    </row>
    <row r="107" spans="1:20" ht="14.4" x14ac:dyDescent="0.3">
      <c r="A107" s="29">
        <v>49000</v>
      </c>
      <c r="B107" s="384">
        <f t="shared" si="31"/>
        <v>4083.3333333333335</v>
      </c>
      <c r="C107" s="63">
        <f>'Total income package'!$D$80</f>
        <v>0</v>
      </c>
      <c r="D107" s="63">
        <f t="shared" si="20"/>
        <v>4083.3333333333335</v>
      </c>
      <c r="E107" s="14" t="str">
        <f t="shared" si="21"/>
        <v>No</v>
      </c>
      <c r="F107" s="63">
        <f t="shared" si="17"/>
        <v>3874.3333333333335</v>
      </c>
      <c r="G107" s="63">
        <f t="shared" si="30"/>
        <v>774.86666666666679</v>
      </c>
      <c r="H107" s="63">
        <f t="shared" si="22"/>
        <v>3099.4666666666667</v>
      </c>
      <c r="I107" s="312">
        <f t="shared" si="23"/>
        <v>3099.4666666666667</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3099.4666666666667</v>
      </c>
      <c r="Q107" s="312" t="str">
        <f t="shared" si="27"/>
        <v>No</v>
      </c>
      <c r="R107" s="312">
        <f t="shared" si="28"/>
        <v>1296.1333333333334</v>
      </c>
      <c r="S107" s="15">
        <f t="shared" si="29"/>
        <v>-1296.1333333333334</v>
      </c>
      <c r="T107" s="189">
        <f>IF(AND('Total income package'!$A$22=TRUE,M107="Yes",S107&gt;9.99),MIN(S107,$I$2),0)</f>
        <v>0</v>
      </c>
    </row>
    <row r="108" spans="1:20" ht="14.4" x14ac:dyDescent="0.3">
      <c r="A108" s="117">
        <v>49500</v>
      </c>
      <c r="B108" s="384">
        <f t="shared" si="31"/>
        <v>4125</v>
      </c>
      <c r="C108" s="63">
        <f>'Total income package'!$D$80</f>
        <v>0</v>
      </c>
      <c r="D108" s="63">
        <f t="shared" si="20"/>
        <v>4125</v>
      </c>
      <c r="E108" s="14" t="str">
        <f t="shared" si="21"/>
        <v>No</v>
      </c>
      <c r="F108" s="63">
        <f t="shared" si="17"/>
        <v>3916</v>
      </c>
      <c r="G108" s="63">
        <f t="shared" si="30"/>
        <v>783.2</v>
      </c>
      <c r="H108" s="63">
        <f t="shared" si="22"/>
        <v>3132.8</v>
      </c>
      <c r="I108" s="312">
        <f t="shared" si="23"/>
        <v>3132.8</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3132.8</v>
      </c>
      <c r="Q108" s="312" t="str">
        <f t="shared" si="27"/>
        <v>No</v>
      </c>
      <c r="R108" s="312">
        <f t="shared" si="28"/>
        <v>1329.4666666666669</v>
      </c>
      <c r="S108" s="15">
        <f t="shared" si="29"/>
        <v>-1329.4666666666669</v>
      </c>
      <c r="T108" s="189">
        <f>IF(AND('Total income package'!$A$22=TRUE,M108="Yes",S108&gt;9.99),MIN(S108,$I$2),0)</f>
        <v>0</v>
      </c>
    </row>
    <row r="109" spans="1:20" ht="14.4" x14ac:dyDescent="0.3">
      <c r="A109" s="117">
        <v>50000</v>
      </c>
      <c r="B109" s="384">
        <f t="shared" si="31"/>
        <v>4166.666666666667</v>
      </c>
      <c r="C109" s="63">
        <f>'Total income package'!$D$80</f>
        <v>0</v>
      </c>
      <c r="D109" s="63">
        <f t="shared" si="20"/>
        <v>4166.666666666667</v>
      </c>
      <c r="E109" s="14" t="str">
        <f t="shared" si="21"/>
        <v>No</v>
      </c>
      <c r="F109" s="63">
        <f t="shared" si="17"/>
        <v>3957.666666666667</v>
      </c>
      <c r="G109" s="63">
        <f t="shared" si="30"/>
        <v>791.53333333333342</v>
      </c>
      <c r="H109" s="63">
        <f t="shared" si="22"/>
        <v>3166.1333333333337</v>
      </c>
      <c r="I109" s="312">
        <f t="shared" si="23"/>
        <v>3166.1333333333337</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3166.1333333333337</v>
      </c>
      <c r="Q109" s="312" t="str">
        <f t="shared" si="27"/>
        <v>No</v>
      </c>
      <c r="R109" s="312">
        <f t="shared" si="28"/>
        <v>1362.8000000000004</v>
      </c>
      <c r="S109" s="15">
        <f t="shared" si="29"/>
        <v>-1362.8000000000004</v>
      </c>
      <c r="T109" s="189">
        <f>IF(AND('Total income package'!$A$22=TRUE,M109="Yes",S109&gt;9.99),MIN(S109,$I$2),0)</f>
        <v>0</v>
      </c>
    </row>
    <row r="110" spans="1:20" ht="14.4" x14ac:dyDescent="0.3">
      <c r="A110" s="29">
        <v>50500</v>
      </c>
      <c r="B110" s="384">
        <f>A110/12</f>
        <v>4208.333333333333</v>
      </c>
      <c r="C110" s="63">
        <f>'Total income package'!$D$80</f>
        <v>0</v>
      </c>
      <c r="D110" s="63">
        <f t="shared" si="20"/>
        <v>4208.333333333333</v>
      </c>
      <c r="E110" s="14" t="str">
        <f t="shared" si="21"/>
        <v>No</v>
      </c>
      <c r="F110" s="63">
        <f t="shared" si="17"/>
        <v>3999.333333333333</v>
      </c>
      <c r="G110" s="63">
        <f t="shared" si="30"/>
        <v>799.86666666666667</v>
      </c>
      <c r="H110" s="63">
        <f t="shared" si="22"/>
        <v>3199.4666666666662</v>
      </c>
      <c r="I110" s="312">
        <f t="shared" si="23"/>
        <v>3199.4666666666662</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3199.4666666666662</v>
      </c>
      <c r="Q110" s="312" t="str">
        <f t="shared" si="27"/>
        <v>No</v>
      </c>
      <c r="R110" s="312">
        <f t="shared" si="28"/>
        <v>1396.133333333333</v>
      </c>
      <c r="S110" s="15">
        <f t="shared" si="29"/>
        <v>-1396.133333333333</v>
      </c>
      <c r="T110" s="189">
        <f>IF(AND('Total income package'!$A$22=TRUE,M110="Yes",S110&gt;9.99),MIN(S110,$I$2),0)</f>
        <v>0</v>
      </c>
    </row>
    <row r="111" spans="1:20" ht="15" customHeight="1" x14ac:dyDescent="0.3">
      <c r="A111" s="117">
        <v>51000</v>
      </c>
      <c r="B111" s="384">
        <f t="shared" ref="B111:B174" si="33">A111/12</f>
        <v>4250</v>
      </c>
      <c r="C111" s="63">
        <f>'Total income package'!$D$80</f>
        <v>0</v>
      </c>
      <c r="D111" s="63">
        <f t="shared" si="20"/>
        <v>4250</v>
      </c>
      <c r="E111" s="14" t="str">
        <f t="shared" si="21"/>
        <v>No</v>
      </c>
      <c r="F111" s="63">
        <f t="shared" si="17"/>
        <v>4041</v>
      </c>
      <c r="G111" s="63">
        <f t="shared" si="30"/>
        <v>808.2</v>
      </c>
      <c r="H111" s="63">
        <f t="shared" si="22"/>
        <v>3232.8</v>
      </c>
      <c r="I111" s="312">
        <f t="shared" si="23"/>
        <v>3232.8</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3232.8</v>
      </c>
      <c r="Q111" s="312" t="str">
        <f t="shared" si="27"/>
        <v>No</v>
      </c>
      <c r="R111" s="312">
        <f t="shared" si="28"/>
        <v>1429.4666666666669</v>
      </c>
      <c r="S111" s="15">
        <f t="shared" si="29"/>
        <v>-1429.4666666666669</v>
      </c>
      <c r="T111" s="189">
        <f>IF(AND('Total income package'!$A$22=TRUE,M111="Yes",S111&gt;9.99),MIN(S111,$I$2),0)</f>
        <v>0</v>
      </c>
    </row>
    <row r="112" spans="1:20" ht="15" customHeight="1" x14ac:dyDescent="0.3">
      <c r="A112" s="117">
        <v>51500</v>
      </c>
      <c r="B112" s="384">
        <f t="shared" si="33"/>
        <v>4291.666666666667</v>
      </c>
      <c r="C112" s="63">
        <f>'Total income package'!$D$80</f>
        <v>0</v>
      </c>
      <c r="D112" s="63">
        <f t="shared" si="20"/>
        <v>4291.666666666667</v>
      </c>
      <c r="E112" s="14" t="str">
        <f t="shared" si="21"/>
        <v>No</v>
      </c>
      <c r="F112" s="63">
        <f t="shared" si="17"/>
        <v>4082.666666666667</v>
      </c>
      <c r="G112" s="63">
        <f t="shared" si="30"/>
        <v>816.53333333333342</v>
      </c>
      <c r="H112" s="63">
        <f t="shared" si="22"/>
        <v>3266.1333333333337</v>
      </c>
      <c r="I112" s="312">
        <f t="shared" si="23"/>
        <v>3266.1333333333337</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3266.1333333333337</v>
      </c>
      <c r="Q112" s="312" t="str">
        <f t="shared" si="27"/>
        <v>No</v>
      </c>
      <c r="R112" s="312">
        <f t="shared" si="28"/>
        <v>1462.8000000000004</v>
      </c>
      <c r="S112" s="15">
        <f t="shared" si="29"/>
        <v>-1462.8000000000004</v>
      </c>
      <c r="T112" s="189">
        <f>IF(AND('Total income package'!$A$22=TRUE,M112="Yes",S112&gt;9.99),MIN(S112,$I$2),0)</f>
        <v>0</v>
      </c>
    </row>
    <row r="113" spans="1:20" ht="15" customHeight="1" x14ac:dyDescent="0.3">
      <c r="A113" s="29">
        <v>52000</v>
      </c>
      <c r="B113" s="384">
        <f t="shared" si="33"/>
        <v>4333.333333333333</v>
      </c>
      <c r="C113" s="63">
        <f>'Total income package'!$D$80</f>
        <v>0</v>
      </c>
      <c r="D113" s="63">
        <f t="shared" si="20"/>
        <v>4333.333333333333</v>
      </c>
      <c r="E113" s="14" t="str">
        <f t="shared" si="21"/>
        <v>No</v>
      </c>
      <c r="F113" s="63">
        <f t="shared" si="17"/>
        <v>4124.333333333333</v>
      </c>
      <c r="G113" s="63">
        <f t="shared" si="30"/>
        <v>824.86666666666667</v>
      </c>
      <c r="H113" s="63">
        <f t="shared" si="22"/>
        <v>3299.4666666666662</v>
      </c>
      <c r="I113" s="312">
        <f t="shared" si="23"/>
        <v>3299.4666666666662</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3299.4666666666662</v>
      </c>
      <c r="Q113" s="312" t="str">
        <f t="shared" si="27"/>
        <v>No</v>
      </c>
      <c r="R113" s="312">
        <f t="shared" si="28"/>
        <v>1496.133333333333</v>
      </c>
      <c r="S113" s="15">
        <f t="shared" si="29"/>
        <v>-1496.133333333333</v>
      </c>
      <c r="T113" s="189">
        <f>IF(AND('Total income package'!$A$22=TRUE,M113="Yes",S113&gt;9.99),MIN(S113,$I$2),0)</f>
        <v>0</v>
      </c>
    </row>
    <row r="114" spans="1:20" ht="15" customHeight="1" x14ac:dyDescent="0.3">
      <c r="A114" s="117">
        <v>52500</v>
      </c>
      <c r="B114" s="384">
        <f t="shared" si="33"/>
        <v>4375</v>
      </c>
      <c r="C114" s="63">
        <f>'Total income package'!$D$80</f>
        <v>0</v>
      </c>
      <c r="D114" s="63">
        <f t="shared" si="20"/>
        <v>4375</v>
      </c>
      <c r="E114" s="14" t="str">
        <f t="shared" si="21"/>
        <v>No</v>
      </c>
      <c r="F114" s="63">
        <f t="shared" si="17"/>
        <v>4166</v>
      </c>
      <c r="G114" s="63">
        <f t="shared" si="30"/>
        <v>833.2</v>
      </c>
      <c r="H114" s="63">
        <f t="shared" si="22"/>
        <v>3332.8</v>
      </c>
      <c r="I114" s="312">
        <f t="shared" si="23"/>
        <v>3332.8</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3332.8</v>
      </c>
      <c r="Q114" s="312" t="str">
        <f t="shared" si="27"/>
        <v>No</v>
      </c>
      <c r="R114" s="312">
        <f t="shared" si="28"/>
        <v>1529.4666666666669</v>
      </c>
      <c r="S114" s="15">
        <f t="shared" si="29"/>
        <v>-1529.4666666666669</v>
      </c>
      <c r="T114" s="189">
        <f>IF(AND('Total income package'!$A$22=TRUE,M114="Yes",S114&gt;9.99),MIN(S114,$I$2),0)</f>
        <v>0</v>
      </c>
    </row>
    <row r="115" spans="1:20" ht="15" customHeight="1" x14ac:dyDescent="0.3">
      <c r="A115" s="117">
        <v>53000</v>
      </c>
      <c r="B115" s="384">
        <f t="shared" si="33"/>
        <v>4416.666666666667</v>
      </c>
      <c r="C115" s="63">
        <f>'Total income package'!$D$80</f>
        <v>0</v>
      </c>
      <c r="D115" s="63">
        <f t="shared" si="20"/>
        <v>4416.666666666667</v>
      </c>
      <c r="E115" s="14" t="str">
        <f t="shared" si="21"/>
        <v>No</v>
      </c>
      <c r="F115" s="63">
        <f t="shared" si="17"/>
        <v>4207.666666666667</v>
      </c>
      <c r="G115" s="63">
        <f t="shared" si="30"/>
        <v>841.53333333333342</v>
      </c>
      <c r="H115" s="63">
        <f t="shared" si="22"/>
        <v>3366.1333333333337</v>
      </c>
      <c r="I115" s="312">
        <f t="shared" si="23"/>
        <v>3366.1333333333337</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3366.1333333333337</v>
      </c>
      <c r="Q115" s="312" t="str">
        <f t="shared" si="27"/>
        <v>No</v>
      </c>
      <c r="R115" s="312">
        <f t="shared" si="28"/>
        <v>1562.8000000000004</v>
      </c>
      <c r="S115" s="15">
        <f t="shared" si="29"/>
        <v>-1562.8000000000004</v>
      </c>
      <c r="T115" s="189">
        <f>IF(AND('Total income package'!$A$22=TRUE,M115="Yes",S115&gt;9.99),MIN(S115,$I$2),0)</f>
        <v>0</v>
      </c>
    </row>
    <row r="116" spans="1:20" ht="15" customHeight="1" x14ac:dyDescent="0.3">
      <c r="A116" s="29">
        <v>53500</v>
      </c>
      <c r="B116" s="384">
        <f t="shared" si="33"/>
        <v>4458.333333333333</v>
      </c>
      <c r="C116" s="63">
        <f>'Total income package'!$D$80</f>
        <v>0</v>
      </c>
      <c r="D116" s="63">
        <f t="shared" si="20"/>
        <v>4458.333333333333</v>
      </c>
      <c r="E116" s="14" t="str">
        <f t="shared" si="21"/>
        <v>No</v>
      </c>
      <c r="F116" s="63">
        <f t="shared" si="17"/>
        <v>4249.333333333333</v>
      </c>
      <c r="G116" s="63">
        <f t="shared" si="30"/>
        <v>849.86666666666667</v>
      </c>
      <c r="H116" s="63">
        <f t="shared" si="22"/>
        <v>3399.4666666666662</v>
      </c>
      <c r="I116" s="312">
        <f t="shared" si="23"/>
        <v>3399.4666666666662</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3399.4666666666662</v>
      </c>
      <c r="Q116" s="312" t="str">
        <f t="shared" si="27"/>
        <v>No</v>
      </c>
      <c r="R116" s="312">
        <f t="shared" si="28"/>
        <v>1596.133333333333</v>
      </c>
      <c r="S116" s="15">
        <f t="shared" si="29"/>
        <v>-1596.133333333333</v>
      </c>
      <c r="T116" s="189">
        <f>IF(AND('Total income package'!$A$22=TRUE,M116="Yes",S116&gt;9.99),MIN(S116,$I$2),0)</f>
        <v>0</v>
      </c>
    </row>
    <row r="117" spans="1:20" ht="15" customHeight="1" x14ac:dyDescent="0.3">
      <c r="A117" s="117">
        <v>54000</v>
      </c>
      <c r="B117" s="384">
        <f t="shared" si="33"/>
        <v>4500</v>
      </c>
      <c r="C117" s="63">
        <f>'Total income package'!$D$80</f>
        <v>0</v>
      </c>
      <c r="D117" s="63">
        <f t="shared" si="20"/>
        <v>4500</v>
      </c>
      <c r="E117" s="14" t="str">
        <f t="shared" si="21"/>
        <v>No</v>
      </c>
      <c r="F117" s="63">
        <f t="shared" si="17"/>
        <v>4291</v>
      </c>
      <c r="G117" s="63">
        <f t="shared" si="30"/>
        <v>858.2</v>
      </c>
      <c r="H117" s="63">
        <f t="shared" si="22"/>
        <v>3432.8</v>
      </c>
      <c r="I117" s="312">
        <f t="shared" si="23"/>
        <v>3432.8</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3432.8</v>
      </c>
      <c r="Q117" s="312" t="str">
        <f t="shared" si="27"/>
        <v>No</v>
      </c>
      <c r="R117" s="312">
        <f t="shared" si="28"/>
        <v>1629.4666666666669</v>
      </c>
      <c r="S117" s="15">
        <f t="shared" si="29"/>
        <v>-1629.4666666666669</v>
      </c>
      <c r="T117" s="189">
        <f>IF(AND('Total income package'!$A$22=TRUE,M117="Yes",S117&gt;9.99),MIN(S117,$I$2),0)</f>
        <v>0</v>
      </c>
    </row>
    <row r="118" spans="1:20" ht="15" customHeight="1" x14ac:dyDescent="0.3">
      <c r="A118" s="117">
        <v>54500</v>
      </c>
      <c r="B118" s="384">
        <f t="shared" si="33"/>
        <v>4541.666666666667</v>
      </c>
      <c r="C118" s="63">
        <f>'Total income package'!$D$80</f>
        <v>0</v>
      </c>
      <c r="D118" s="63">
        <f t="shared" si="20"/>
        <v>4541.666666666667</v>
      </c>
      <c r="E118" s="14" t="str">
        <f t="shared" si="21"/>
        <v>No</v>
      </c>
      <c r="F118" s="63">
        <f t="shared" si="17"/>
        <v>4332.666666666667</v>
      </c>
      <c r="G118" s="63">
        <f t="shared" si="30"/>
        <v>866.53333333333342</v>
      </c>
      <c r="H118" s="63">
        <f t="shared" si="22"/>
        <v>3466.1333333333337</v>
      </c>
      <c r="I118" s="312">
        <f t="shared" si="23"/>
        <v>3466.1333333333337</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3466.1333333333337</v>
      </c>
      <c r="Q118" s="312" t="str">
        <f t="shared" si="27"/>
        <v>No</v>
      </c>
      <c r="R118" s="312">
        <f t="shared" si="28"/>
        <v>1662.8000000000004</v>
      </c>
      <c r="S118" s="15">
        <f t="shared" si="29"/>
        <v>-1662.8000000000004</v>
      </c>
      <c r="T118" s="189">
        <f>IF(AND('Total income package'!$A$22=TRUE,M118="Yes",S118&gt;9.99),MIN(S118,$I$2),0)</f>
        <v>0</v>
      </c>
    </row>
    <row r="119" spans="1:20" ht="15" customHeight="1" x14ac:dyDescent="0.3">
      <c r="A119" s="29">
        <v>55000</v>
      </c>
      <c r="B119" s="384">
        <f t="shared" si="33"/>
        <v>4583.333333333333</v>
      </c>
      <c r="C119" s="63">
        <f>'Total income package'!$D$80</f>
        <v>0</v>
      </c>
      <c r="D119" s="63">
        <f t="shared" si="20"/>
        <v>4583.333333333333</v>
      </c>
      <c r="E119" s="14" t="str">
        <f t="shared" si="21"/>
        <v>No</v>
      </c>
      <c r="F119" s="63">
        <f t="shared" si="17"/>
        <v>4374.333333333333</v>
      </c>
      <c r="G119" s="63">
        <f t="shared" si="30"/>
        <v>874.86666666666667</v>
      </c>
      <c r="H119" s="63">
        <f t="shared" si="22"/>
        <v>3499.4666666666662</v>
      </c>
      <c r="I119" s="312">
        <f t="shared" si="23"/>
        <v>3499.4666666666662</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3499.4666666666662</v>
      </c>
      <c r="Q119" s="312" t="str">
        <f t="shared" si="27"/>
        <v>No</v>
      </c>
      <c r="R119" s="312">
        <f t="shared" si="28"/>
        <v>1696.133333333333</v>
      </c>
      <c r="S119" s="15">
        <f t="shared" si="29"/>
        <v>-1696.133333333333</v>
      </c>
      <c r="T119" s="189">
        <f>IF(AND('Total income package'!$A$22=TRUE,M119="Yes",S119&gt;9.99),MIN(S119,$I$2),0)</f>
        <v>0</v>
      </c>
    </row>
    <row r="120" spans="1:20" ht="15" customHeight="1" x14ac:dyDescent="0.3">
      <c r="A120" s="117">
        <v>55500</v>
      </c>
      <c r="B120" s="384">
        <f t="shared" si="33"/>
        <v>4625</v>
      </c>
      <c r="C120" s="63">
        <f>'Total income package'!$D$80</f>
        <v>0</v>
      </c>
      <c r="D120" s="63">
        <f t="shared" si="20"/>
        <v>4625</v>
      </c>
      <c r="E120" s="14" t="str">
        <f t="shared" si="21"/>
        <v>No</v>
      </c>
      <c r="F120" s="63">
        <f t="shared" si="17"/>
        <v>4416</v>
      </c>
      <c r="G120" s="63">
        <f t="shared" si="30"/>
        <v>883.2</v>
      </c>
      <c r="H120" s="63">
        <f t="shared" si="22"/>
        <v>3532.8</v>
      </c>
      <c r="I120" s="312">
        <f t="shared" si="23"/>
        <v>3532.8</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3532.8</v>
      </c>
      <c r="Q120" s="312" t="str">
        <f t="shared" si="27"/>
        <v>No</v>
      </c>
      <c r="R120" s="312">
        <f t="shared" si="28"/>
        <v>1729.4666666666669</v>
      </c>
      <c r="S120" s="15">
        <f t="shared" si="29"/>
        <v>-1729.4666666666669</v>
      </c>
      <c r="T120" s="189">
        <f>IF(AND('Total income package'!$A$22=TRUE,M120="Yes",S120&gt;9.99),MIN(S120,$I$2),0)</f>
        <v>0</v>
      </c>
    </row>
    <row r="121" spans="1:20" ht="15" customHeight="1" x14ac:dyDescent="0.3">
      <c r="A121" s="117">
        <v>56000</v>
      </c>
      <c r="B121" s="384">
        <f t="shared" si="33"/>
        <v>4666.666666666667</v>
      </c>
      <c r="C121" s="63">
        <f>'Total income package'!$D$80</f>
        <v>0</v>
      </c>
      <c r="D121" s="63">
        <f t="shared" si="20"/>
        <v>4666.666666666667</v>
      </c>
      <c r="E121" s="14" t="str">
        <f t="shared" si="21"/>
        <v>No</v>
      </c>
      <c r="F121" s="63">
        <f t="shared" si="17"/>
        <v>4457.666666666667</v>
      </c>
      <c r="G121" s="63">
        <f t="shared" si="30"/>
        <v>891.53333333333342</v>
      </c>
      <c r="H121" s="63">
        <f t="shared" si="22"/>
        <v>3566.1333333333337</v>
      </c>
      <c r="I121" s="312">
        <f t="shared" si="23"/>
        <v>3566.1333333333337</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3566.1333333333337</v>
      </c>
      <c r="Q121" s="312" t="str">
        <f t="shared" si="27"/>
        <v>No</v>
      </c>
      <c r="R121" s="312">
        <f t="shared" si="28"/>
        <v>1762.8000000000004</v>
      </c>
      <c r="S121" s="15">
        <f t="shared" si="29"/>
        <v>-1762.8000000000004</v>
      </c>
      <c r="T121" s="189">
        <f>IF(AND('Total income package'!$A$22=TRUE,M121="Yes",S121&gt;9.99),MIN(S121,$I$2),0)</f>
        <v>0</v>
      </c>
    </row>
    <row r="122" spans="1:20" ht="15" customHeight="1" x14ac:dyDescent="0.3">
      <c r="A122" s="29">
        <v>56500</v>
      </c>
      <c r="B122" s="384">
        <f t="shared" si="33"/>
        <v>4708.333333333333</v>
      </c>
      <c r="C122" s="63">
        <f>'Total income package'!$D$80</f>
        <v>0</v>
      </c>
      <c r="D122" s="63">
        <f t="shared" si="20"/>
        <v>4708.333333333333</v>
      </c>
      <c r="E122" s="14" t="str">
        <f t="shared" si="21"/>
        <v>No</v>
      </c>
      <c r="F122" s="63">
        <f t="shared" si="17"/>
        <v>4499.333333333333</v>
      </c>
      <c r="G122" s="63">
        <f t="shared" si="30"/>
        <v>899.86666666666667</v>
      </c>
      <c r="H122" s="63">
        <f t="shared" si="22"/>
        <v>3599.4666666666662</v>
      </c>
      <c r="I122" s="312">
        <f t="shared" si="23"/>
        <v>3599.4666666666662</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3599.4666666666662</v>
      </c>
      <c r="Q122" s="312" t="str">
        <f t="shared" si="27"/>
        <v>No</v>
      </c>
      <c r="R122" s="312">
        <f t="shared" si="28"/>
        <v>1796.133333333333</v>
      </c>
      <c r="S122" s="15">
        <f t="shared" si="29"/>
        <v>-1796.133333333333</v>
      </c>
      <c r="T122" s="189">
        <f>IF(AND('Total income package'!$A$22=TRUE,M122="Yes",S122&gt;9.99),MIN(S122,$I$2),0)</f>
        <v>0</v>
      </c>
    </row>
    <row r="123" spans="1:20" ht="15" customHeight="1" x14ac:dyDescent="0.3">
      <c r="A123" s="117">
        <v>57000</v>
      </c>
      <c r="B123" s="384">
        <f t="shared" si="33"/>
        <v>4750</v>
      </c>
      <c r="C123" s="63">
        <f>'Total income package'!$D$80</f>
        <v>0</v>
      </c>
      <c r="D123" s="63">
        <f t="shared" si="20"/>
        <v>4750</v>
      </c>
      <c r="E123" s="14" t="str">
        <f t="shared" si="21"/>
        <v>No</v>
      </c>
      <c r="F123" s="63">
        <f t="shared" si="17"/>
        <v>4541</v>
      </c>
      <c r="G123" s="63">
        <f t="shared" si="30"/>
        <v>908.2</v>
      </c>
      <c r="H123" s="63">
        <f t="shared" si="22"/>
        <v>3632.8</v>
      </c>
      <c r="I123" s="312">
        <f t="shared" si="23"/>
        <v>3632.8</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3632.8</v>
      </c>
      <c r="Q123" s="312" t="str">
        <f t="shared" si="27"/>
        <v>No</v>
      </c>
      <c r="R123" s="312">
        <f t="shared" si="28"/>
        <v>1829.4666666666669</v>
      </c>
      <c r="S123" s="15">
        <f t="shared" si="29"/>
        <v>-1829.4666666666669</v>
      </c>
      <c r="T123" s="189">
        <f>IF(AND('Total income package'!$A$22=TRUE,M123="Yes",S123&gt;9.99),MIN(S123,$I$2),0)</f>
        <v>0</v>
      </c>
    </row>
    <row r="124" spans="1:20" ht="15" customHeight="1" x14ac:dyDescent="0.3">
      <c r="A124" s="117">
        <v>57500</v>
      </c>
      <c r="B124" s="384">
        <f t="shared" si="33"/>
        <v>4791.666666666667</v>
      </c>
      <c r="C124" s="63">
        <f>'Total income package'!$D$80</f>
        <v>0</v>
      </c>
      <c r="D124" s="63">
        <f t="shared" si="20"/>
        <v>4791.666666666667</v>
      </c>
      <c r="E124" s="14" t="str">
        <f t="shared" si="21"/>
        <v>No</v>
      </c>
      <c r="F124" s="63">
        <f t="shared" si="17"/>
        <v>4582.666666666667</v>
      </c>
      <c r="G124" s="63">
        <f t="shared" si="30"/>
        <v>916.53333333333342</v>
      </c>
      <c r="H124" s="63">
        <f t="shared" si="22"/>
        <v>3666.1333333333337</v>
      </c>
      <c r="I124" s="312">
        <f t="shared" si="23"/>
        <v>3666.1333333333337</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3666.1333333333337</v>
      </c>
      <c r="Q124" s="312" t="str">
        <f t="shared" si="27"/>
        <v>No</v>
      </c>
      <c r="R124" s="312">
        <f t="shared" si="28"/>
        <v>1862.8000000000004</v>
      </c>
      <c r="S124" s="15">
        <f t="shared" si="29"/>
        <v>-1862.8000000000004</v>
      </c>
      <c r="T124" s="189">
        <f>IF(AND('Total income package'!$A$22=TRUE,M124="Yes",S124&gt;9.99),MIN(S124,$I$2),0)</f>
        <v>0</v>
      </c>
    </row>
    <row r="125" spans="1:20" ht="15" customHeight="1" x14ac:dyDescent="0.3">
      <c r="A125" s="29">
        <v>58000</v>
      </c>
      <c r="B125" s="384">
        <f t="shared" si="33"/>
        <v>4833.333333333333</v>
      </c>
      <c r="C125" s="63">
        <f>'Total income package'!$D$80</f>
        <v>0</v>
      </c>
      <c r="D125" s="63">
        <f t="shared" si="20"/>
        <v>4833.333333333333</v>
      </c>
      <c r="E125" s="14" t="str">
        <f t="shared" si="21"/>
        <v>No</v>
      </c>
      <c r="F125" s="63">
        <f t="shared" si="17"/>
        <v>4624.333333333333</v>
      </c>
      <c r="G125" s="63">
        <f t="shared" si="30"/>
        <v>924.86666666666667</v>
      </c>
      <c r="H125" s="63">
        <f t="shared" si="22"/>
        <v>3699.4666666666662</v>
      </c>
      <c r="I125" s="312">
        <f t="shared" si="23"/>
        <v>3699.4666666666662</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3699.4666666666662</v>
      </c>
      <c r="Q125" s="312" t="str">
        <f t="shared" si="27"/>
        <v>No</v>
      </c>
      <c r="R125" s="312">
        <f t="shared" si="28"/>
        <v>1896.133333333333</v>
      </c>
      <c r="S125" s="15">
        <f t="shared" si="29"/>
        <v>-1896.133333333333</v>
      </c>
      <c r="T125" s="189">
        <f>IF(AND('Total income package'!$A$22=TRUE,M125="Yes",S125&gt;9.99),MIN(S125,$I$2),0)</f>
        <v>0</v>
      </c>
    </row>
    <row r="126" spans="1:20" ht="15" customHeight="1" x14ac:dyDescent="0.3">
      <c r="A126" s="117">
        <v>58500</v>
      </c>
      <c r="B126" s="384">
        <f t="shared" si="33"/>
        <v>4875</v>
      </c>
      <c r="C126" s="63">
        <f>'Total income package'!$D$80</f>
        <v>0</v>
      </c>
      <c r="D126" s="63">
        <f t="shared" si="20"/>
        <v>4875</v>
      </c>
      <c r="E126" s="14" t="str">
        <f t="shared" si="21"/>
        <v>No</v>
      </c>
      <c r="F126" s="63">
        <f t="shared" si="17"/>
        <v>4666</v>
      </c>
      <c r="G126" s="63">
        <f t="shared" si="30"/>
        <v>933.2</v>
      </c>
      <c r="H126" s="63">
        <f t="shared" si="22"/>
        <v>3732.8</v>
      </c>
      <c r="I126" s="312">
        <f t="shared" si="23"/>
        <v>3732.8</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3732.8</v>
      </c>
      <c r="Q126" s="312" t="str">
        <f t="shared" si="27"/>
        <v>No</v>
      </c>
      <c r="R126" s="312">
        <f t="shared" si="28"/>
        <v>1929.4666666666669</v>
      </c>
      <c r="S126" s="15">
        <f t="shared" si="29"/>
        <v>-1929.4666666666669</v>
      </c>
      <c r="T126" s="189">
        <f>IF(AND('Total income package'!$A$22=TRUE,M126="Yes",S126&gt;9.99),MIN(S126,$I$2),0)</f>
        <v>0</v>
      </c>
    </row>
    <row r="127" spans="1:20" ht="15" customHeight="1" x14ac:dyDescent="0.3">
      <c r="A127" s="117">
        <v>59000</v>
      </c>
      <c r="B127" s="384">
        <f t="shared" si="33"/>
        <v>4916.666666666667</v>
      </c>
      <c r="C127" s="63">
        <f>'Total income package'!$D$80</f>
        <v>0</v>
      </c>
      <c r="D127" s="63">
        <f t="shared" si="20"/>
        <v>4916.666666666667</v>
      </c>
      <c r="E127" s="14" t="str">
        <f t="shared" si="21"/>
        <v>No</v>
      </c>
      <c r="F127" s="63">
        <f t="shared" si="17"/>
        <v>4707.666666666667</v>
      </c>
      <c r="G127" s="63">
        <f t="shared" si="30"/>
        <v>941.53333333333342</v>
      </c>
      <c r="H127" s="63">
        <f t="shared" si="22"/>
        <v>3766.1333333333337</v>
      </c>
      <c r="I127" s="312">
        <f t="shared" si="23"/>
        <v>3766.1333333333337</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3766.1333333333337</v>
      </c>
      <c r="Q127" s="312" t="str">
        <f t="shared" si="27"/>
        <v>No</v>
      </c>
      <c r="R127" s="312">
        <f t="shared" si="28"/>
        <v>1962.8000000000004</v>
      </c>
      <c r="S127" s="15">
        <f t="shared" si="29"/>
        <v>-1962.8000000000004</v>
      </c>
      <c r="T127" s="189">
        <f>IF(AND('Total income package'!$A$22=TRUE,M127="Yes",S127&gt;9.99),MIN(S127,$I$2),0)</f>
        <v>0</v>
      </c>
    </row>
    <row r="128" spans="1:20" ht="15" customHeight="1" x14ac:dyDescent="0.3">
      <c r="A128" s="29">
        <v>59500</v>
      </c>
      <c r="B128" s="384">
        <f t="shared" si="33"/>
        <v>4958.333333333333</v>
      </c>
      <c r="C128" s="63">
        <f>'Total income package'!$D$80</f>
        <v>0</v>
      </c>
      <c r="D128" s="63">
        <f t="shared" si="20"/>
        <v>4958.333333333333</v>
      </c>
      <c r="E128" s="14" t="str">
        <f t="shared" si="21"/>
        <v>No</v>
      </c>
      <c r="F128" s="63">
        <f t="shared" si="17"/>
        <v>4749.333333333333</v>
      </c>
      <c r="G128" s="63">
        <f t="shared" si="30"/>
        <v>949.86666666666667</v>
      </c>
      <c r="H128" s="63">
        <f t="shared" si="22"/>
        <v>3799.4666666666662</v>
      </c>
      <c r="I128" s="312">
        <f t="shared" si="23"/>
        <v>3799.4666666666662</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3799.4666666666662</v>
      </c>
      <c r="Q128" s="312" t="str">
        <f t="shared" si="27"/>
        <v>No</v>
      </c>
      <c r="R128" s="312">
        <f t="shared" si="28"/>
        <v>1996.133333333333</v>
      </c>
      <c r="S128" s="15">
        <f t="shared" si="29"/>
        <v>-1996.133333333333</v>
      </c>
      <c r="T128" s="189">
        <f>IF(AND('Total income package'!$A$22=TRUE,M128="Yes",S128&gt;9.99),MIN(S128,$I$2),0)</f>
        <v>0</v>
      </c>
    </row>
    <row r="129" spans="1:20" ht="15" customHeight="1" x14ac:dyDescent="0.3">
      <c r="A129" s="117">
        <v>60000</v>
      </c>
      <c r="B129" s="384">
        <f t="shared" si="33"/>
        <v>5000</v>
      </c>
      <c r="C129" s="63">
        <f>'Total income package'!$D$80</f>
        <v>0</v>
      </c>
      <c r="D129" s="63">
        <f t="shared" si="20"/>
        <v>5000</v>
      </c>
      <c r="E129" s="14" t="str">
        <f t="shared" si="21"/>
        <v>No</v>
      </c>
      <c r="F129" s="63">
        <f t="shared" si="17"/>
        <v>4791</v>
      </c>
      <c r="G129" s="63">
        <f t="shared" si="30"/>
        <v>958.2</v>
      </c>
      <c r="H129" s="63">
        <f t="shared" si="22"/>
        <v>3832.8</v>
      </c>
      <c r="I129" s="312">
        <f t="shared" si="23"/>
        <v>3832.8</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3832.8</v>
      </c>
      <c r="Q129" s="312" t="str">
        <f t="shared" si="27"/>
        <v>No</v>
      </c>
      <c r="R129" s="312">
        <f t="shared" si="28"/>
        <v>2029.4666666666669</v>
      </c>
      <c r="S129" s="15">
        <f t="shared" si="29"/>
        <v>-2029.4666666666669</v>
      </c>
      <c r="T129" s="189">
        <f>IF(AND('Total income package'!$A$22=TRUE,M129="Yes",S129&gt;9.99),MIN(S129,$I$2),0)</f>
        <v>0</v>
      </c>
    </row>
    <row r="130" spans="1:20" ht="15" customHeight="1" x14ac:dyDescent="0.3">
      <c r="A130" s="117">
        <v>60500</v>
      </c>
      <c r="B130" s="384">
        <f t="shared" si="33"/>
        <v>5041.666666666667</v>
      </c>
      <c r="C130" s="63">
        <f>'Total income package'!$D$80</f>
        <v>0</v>
      </c>
      <c r="D130" s="63">
        <f t="shared" si="20"/>
        <v>5041.666666666667</v>
      </c>
      <c r="E130" s="14" t="str">
        <f t="shared" si="21"/>
        <v>No</v>
      </c>
      <c r="F130" s="63">
        <f t="shared" si="17"/>
        <v>4832.666666666667</v>
      </c>
      <c r="G130" s="63">
        <f t="shared" si="30"/>
        <v>966.53333333333342</v>
      </c>
      <c r="H130" s="63">
        <f t="shared" si="22"/>
        <v>3866.1333333333337</v>
      </c>
      <c r="I130" s="312">
        <f t="shared" si="23"/>
        <v>3866.1333333333337</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3866.1333333333337</v>
      </c>
      <c r="Q130" s="312" t="str">
        <f t="shared" si="27"/>
        <v>No</v>
      </c>
      <c r="R130" s="312">
        <f t="shared" si="28"/>
        <v>2062.8000000000002</v>
      </c>
      <c r="S130" s="15">
        <f t="shared" si="29"/>
        <v>-2062.8000000000002</v>
      </c>
      <c r="T130" s="189">
        <f>IF(AND('Total income package'!$A$22=TRUE,M130="Yes",S130&gt;9.99),MIN(S130,$I$2),0)</f>
        <v>0</v>
      </c>
    </row>
    <row r="131" spans="1:20" ht="15" customHeight="1" x14ac:dyDescent="0.3">
      <c r="A131" s="29">
        <v>61000</v>
      </c>
      <c r="B131" s="384">
        <f t="shared" si="33"/>
        <v>5083.333333333333</v>
      </c>
      <c r="C131" s="63">
        <f>'Total income package'!$D$80</f>
        <v>0</v>
      </c>
      <c r="D131" s="63">
        <f t="shared" si="20"/>
        <v>5083.333333333333</v>
      </c>
      <c r="E131" s="14" t="str">
        <f t="shared" si="21"/>
        <v>No</v>
      </c>
      <c r="F131" s="63">
        <f t="shared" si="17"/>
        <v>4874.333333333333</v>
      </c>
      <c r="G131" s="63">
        <f t="shared" si="30"/>
        <v>974.86666666666667</v>
      </c>
      <c r="H131" s="63">
        <f t="shared" si="22"/>
        <v>3899.4666666666662</v>
      </c>
      <c r="I131" s="312">
        <f t="shared" si="23"/>
        <v>3899.4666666666662</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3899.4666666666662</v>
      </c>
      <c r="Q131" s="312" t="str">
        <f t="shared" si="27"/>
        <v>No</v>
      </c>
      <c r="R131" s="312">
        <f t="shared" si="28"/>
        <v>2096.1333333333332</v>
      </c>
      <c r="S131" s="15">
        <f t="shared" si="29"/>
        <v>-2096.1333333333332</v>
      </c>
      <c r="T131" s="189">
        <f>IF(AND('Total income package'!$A$22=TRUE,M131="Yes",S131&gt;9.99),MIN(S131,$I$2),0)</f>
        <v>0</v>
      </c>
    </row>
    <row r="132" spans="1:20" ht="15" customHeight="1" x14ac:dyDescent="0.3">
      <c r="A132" s="117">
        <v>61500</v>
      </c>
      <c r="B132" s="384">
        <f t="shared" si="33"/>
        <v>5125</v>
      </c>
      <c r="C132" s="63">
        <f>'Total income package'!$D$80</f>
        <v>0</v>
      </c>
      <c r="D132" s="63">
        <f t="shared" si="20"/>
        <v>5125</v>
      </c>
      <c r="E132" s="14" t="str">
        <f t="shared" si="21"/>
        <v>No</v>
      </c>
      <c r="F132" s="63">
        <f t="shared" si="17"/>
        <v>4916</v>
      </c>
      <c r="G132" s="63">
        <f t="shared" si="30"/>
        <v>983.2</v>
      </c>
      <c r="H132" s="63">
        <f t="shared" si="22"/>
        <v>3932.8</v>
      </c>
      <c r="I132" s="312">
        <f t="shared" si="23"/>
        <v>3932.8</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3932.8</v>
      </c>
      <c r="Q132" s="312" t="str">
        <f t="shared" si="27"/>
        <v>No</v>
      </c>
      <c r="R132" s="312">
        <f t="shared" si="28"/>
        <v>2129.4666666666672</v>
      </c>
      <c r="S132" s="15">
        <f t="shared" si="29"/>
        <v>-2129.4666666666672</v>
      </c>
      <c r="T132" s="189">
        <f>IF(AND('Total income package'!$A$22=TRUE,M132="Yes",S132&gt;9.99),MIN(S132,$I$2),0)</f>
        <v>0</v>
      </c>
    </row>
    <row r="133" spans="1:20" ht="15" customHeight="1" x14ac:dyDescent="0.3">
      <c r="A133" s="117">
        <v>62000</v>
      </c>
      <c r="B133" s="384">
        <f t="shared" si="33"/>
        <v>5166.666666666667</v>
      </c>
      <c r="C133" s="63">
        <f>'Total income package'!$D$80</f>
        <v>0</v>
      </c>
      <c r="D133" s="63">
        <f t="shared" si="20"/>
        <v>5166.666666666667</v>
      </c>
      <c r="E133" s="14" t="str">
        <f t="shared" si="21"/>
        <v>No</v>
      </c>
      <c r="F133" s="63">
        <f t="shared" si="17"/>
        <v>4957.666666666667</v>
      </c>
      <c r="G133" s="63">
        <f t="shared" si="30"/>
        <v>991.53333333333342</v>
      </c>
      <c r="H133" s="63">
        <f t="shared" si="22"/>
        <v>3966.1333333333337</v>
      </c>
      <c r="I133" s="312">
        <f t="shared" si="23"/>
        <v>3966.1333333333337</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3966.1333333333337</v>
      </c>
      <c r="Q133" s="312" t="str">
        <f t="shared" si="27"/>
        <v>No</v>
      </c>
      <c r="R133" s="312">
        <f t="shared" si="28"/>
        <v>2162.8000000000002</v>
      </c>
      <c r="S133" s="15">
        <f t="shared" si="29"/>
        <v>-2162.8000000000002</v>
      </c>
      <c r="T133" s="189">
        <f>IF(AND('Total income package'!$A$22=TRUE,M133="Yes",S133&gt;9.99),MIN(S133,$I$2),0)</f>
        <v>0</v>
      </c>
    </row>
    <row r="134" spans="1:20" ht="15" customHeight="1" x14ac:dyDescent="0.3">
      <c r="A134" s="29">
        <v>62500</v>
      </c>
      <c r="B134" s="384">
        <f t="shared" si="33"/>
        <v>5208.333333333333</v>
      </c>
      <c r="C134" s="63">
        <f>'Total income package'!$D$80</f>
        <v>0</v>
      </c>
      <c r="D134" s="63">
        <f t="shared" si="20"/>
        <v>5208.333333333333</v>
      </c>
      <c r="E134" s="14" t="str">
        <f t="shared" si="21"/>
        <v>No</v>
      </c>
      <c r="F134" s="63">
        <f t="shared" si="17"/>
        <v>4999.333333333333</v>
      </c>
      <c r="G134" s="63">
        <f t="shared" si="30"/>
        <v>999.86666666666667</v>
      </c>
      <c r="H134" s="63">
        <f t="shared" si="22"/>
        <v>3999.4666666666662</v>
      </c>
      <c r="I134" s="312">
        <f t="shared" si="23"/>
        <v>3999.4666666666662</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3999.4666666666662</v>
      </c>
      <c r="Q134" s="312" t="str">
        <f t="shared" si="27"/>
        <v>No</v>
      </c>
      <c r="R134" s="312">
        <f t="shared" si="28"/>
        <v>2196.1333333333332</v>
      </c>
      <c r="S134" s="15">
        <f t="shared" si="29"/>
        <v>-2196.1333333333332</v>
      </c>
      <c r="T134" s="189">
        <f>IF(AND('Total income package'!$A$22=TRUE,M134="Yes",S134&gt;9.99),MIN(S134,$I$2),0)</f>
        <v>0</v>
      </c>
    </row>
    <row r="135" spans="1:20" ht="15" customHeight="1" x14ac:dyDescent="0.3">
      <c r="A135" s="117">
        <v>63000</v>
      </c>
      <c r="B135" s="384">
        <f t="shared" si="33"/>
        <v>5250</v>
      </c>
      <c r="C135" s="63">
        <f>'Total income package'!$D$80</f>
        <v>0</v>
      </c>
      <c r="D135" s="63">
        <f t="shared" si="20"/>
        <v>5250</v>
      </c>
      <c r="E135" s="14" t="str">
        <f t="shared" si="21"/>
        <v>No</v>
      </c>
      <c r="F135" s="63">
        <f t="shared" si="17"/>
        <v>5041</v>
      </c>
      <c r="G135" s="63">
        <f t="shared" si="30"/>
        <v>1008.2</v>
      </c>
      <c r="H135" s="63">
        <f t="shared" si="22"/>
        <v>4032.8</v>
      </c>
      <c r="I135" s="312">
        <f t="shared" si="23"/>
        <v>4032.8</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4032.8</v>
      </c>
      <c r="Q135" s="312" t="str">
        <f t="shared" si="27"/>
        <v>No</v>
      </c>
      <c r="R135" s="312">
        <f t="shared" si="28"/>
        <v>2229.4666666666672</v>
      </c>
      <c r="S135" s="15">
        <f t="shared" si="29"/>
        <v>-2229.4666666666672</v>
      </c>
      <c r="T135" s="189">
        <f>IF(AND('Total income package'!$A$22=TRUE,M135="Yes",S135&gt;9.99),MIN(S135,$I$2),0)</f>
        <v>0</v>
      </c>
    </row>
    <row r="136" spans="1:20" ht="15" customHeight="1" x14ac:dyDescent="0.3">
      <c r="A136" s="117">
        <v>63500</v>
      </c>
      <c r="B136" s="384">
        <f t="shared" si="33"/>
        <v>5291.666666666667</v>
      </c>
      <c r="C136" s="63">
        <f>'Total income package'!$D$80</f>
        <v>0</v>
      </c>
      <c r="D136" s="63">
        <f t="shared" si="20"/>
        <v>5291.666666666667</v>
      </c>
      <c r="E136" s="14" t="str">
        <f t="shared" si="21"/>
        <v>No</v>
      </c>
      <c r="F136" s="63">
        <f t="shared" si="17"/>
        <v>5082.666666666667</v>
      </c>
      <c r="G136" s="63">
        <f t="shared" si="30"/>
        <v>1016.5333333333334</v>
      </c>
      <c r="H136" s="63">
        <f t="shared" si="22"/>
        <v>4066.1333333333337</v>
      </c>
      <c r="I136" s="312">
        <f t="shared" si="23"/>
        <v>4066.1333333333337</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4066.1333333333337</v>
      </c>
      <c r="Q136" s="312" t="str">
        <f t="shared" si="27"/>
        <v>No</v>
      </c>
      <c r="R136" s="312">
        <f t="shared" si="28"/>
        <v>2262.8000000000002</v>
      </c>
      <c r="S136" s="15">
        <f t="shared" si="29"/>
        <v>-2262.8000000000002</v>
      </c>
      <c r="T136" s="189">
        <f>IF(AND('Total income package'!$A$22=TRUE,M136="Yes",S136&gt;9.99),MIN(S136,$I$2),0)</f>
        <v>0</v>
      </c>
    </row>
    <row r="137" spans="1:20" ht="15" customHeight="1" x14ac:dyDescent="0.3">
      <c r="A137" s="29">
        <v>64000</v>
      </c>
      <c r="B137" s="384">
        <f t="shared" si="33"/>
        <v>5333.333333333333</v>
      </c>
      <c r="C137" s="63">
        <f>'Total income package'!$D$80</f>
        <v>0</v>
      </c>
      <c r="D137" s="63">
        <f t="shared" si="20"/>
        <v>5333.333333333333</v>
      </c>
      <c r="E137" s="14" t="str">
        <f t="shared" si="21"/>
        <v>No</v>
      </c>
      <c r="F137" s="63">
        <f t="shared" ref="F137:F200" si="34">IF(B137-$D$2&gt;0,B137-$D$2,0)</f>
        <v>5124.333333333333</v>
      </c>
      <c r="G137" s="63">
        <f t="shared" si="30"/>
        <v>1024.8666666666666</v>
      </c>
      <c r="H137" s="63">
        <f t="shared" si="22"/>
        <v>4099.4666666666662</v>
      </c>
      <c r="I137" s="312">
        <f t="shared" si="23"/>
        <v>4099.4666666666662</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4099.4666666666662</v>
      </c>
      <c r="Q137" s="312" t="str">
        <f t="shared" si="27"/>
        <v>No</v>
      </c>
      <c r="R137" s="312">
        <f t="shared" si="28"/>
        <v>2296.1333333333332</v>
      </c>
      <c r="S137" s="15">
        <f t="shared" si="29"/>
        <v>-2296.1333333333332</v>
      </c>
      <c r="T137" s="189">
        <f>IF(AND('Total income package'!$A$22=TRUE,M137="Yes",S137&gt;9.99),MIN(S137,$I$2),0)</f>
        <v>0</v>
      </c>
    </row>
    <row r="138" spans="1:20" ht="15" customHeight="1" x14ac:dyDescent="0.3">
      <c r="A138" s="117">
        <v>64500</v>
      </c>
      <c r="B138" s="384">
        <f t="shared" si="33"/>
        <v>5375</v>
      </c>
      <c r="C138" s="63">
        <f>'Total income package'!$D$80</f>
        <v>0</v>
      </c>
      <c r="D138" s="63">
        <f t="shared" ref="D138:D201" si="37">B138+C138</f>
        <v>5375</v>
      </c>
      <c r="E138" s="14" t="str">
        <f t="shared" ref="E138:E201" si="38">IF(D138&lt;=$F$2,"Yes","No")</f>
        <v>No</v>
      </c>
      <c r="F138" s="63">
        <f t="shared" si="34"/>
        <v>5166</v>
      </c>
      <c r="G138" s="63">
        <f t="shared" si="30"/>
        <v>1033.2</v>
      </c>
      <c r="H138" s="63">
        <f t="shared" ref="H138:H201" si="39">F138-G138</f>
        <v>4132.8</v>
      </c>
      <c r="I138" s="312">
        <f t="shared" ref="I138:I201" si="40">C138+H138</f>
        <v>4132.8</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4132.8</v>
      </c>
      <c r="Q138" s="312" t="str">
        <f t="shared" ref="Q138:Q201" si="44">IF(P138&lt;$H$2,"Yes","No")</f>
        <v>No</v>
      </c>
      <c r="R138" s="312">
        <f t="shared" ref="R138:R201" si="45">IF(P138&gt;$H$2,P138-$H$2,0)</f>
        <v>2329.4666666666672</v>
      </c>
      <c r="S138" s="15">
        <f t="shared" ref="S138:S201" si="46">IF(P138&gt;$H$2,O138-R138,O138)</f>
        <v>-2329.4666666666672</v>
      </c>
      <c r="T138" s="189">
        <f>IF(AND('Total income package'!$A$22=TRUE,M138="Yes",S138&gt;9.99),MIN(S138,$I$2),0)</f>
        <v>0</v>
      </c>
    </row>
    <row r="139" spans="1:20" ht="15" customHeight="1" x14ac:dyDescent="0.3">
      <c r="A139" s="117">
        <v>65000</v>
      </c>
      <c r="B139" s="384">
        <f t="shared" si="33"/>
        <v>5416.666666666667</v>
      </c>
      <c r="C139" s="63">
        <f>'Total income package'!$D$80</f>
        <v>0</v>
      </c>
      <c r="D139" s="63">
        <f t="shared" si="37"/>
        <v>5416.666666666667</v>
      </c>
      <c r="E139" s="14" t="str">
        <f t="shared" si="38"/>
        <v>No</v>
      </c>
      <c r="F139" s="63">
        <f t="shared" si="34"/>
        <v>5207.666666666667</v>
      </c>
      <c r="G139" s="63">
        <f t="shared" ref="G139:G202" si="47">F139*0.2</f>
        <v>1041.5333333333335</v>
      </c>
      <c r="H139" s="63">
        <f t="shared" si="39"/>
        <v>4166.1333333333332</v>
      </c>
      <c r="I139" s="312">
        <f t="shared" si="40"/>
        <v>4166.1333333333332</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4166.1333333333332</v>
      </c>
      <c r="Q139" s="312" t="str">
        <f t="shared" si="44"/>
        <v>No</v>
      </c>
      <c r="R139" s="312">
        <f t="shared" si="45"/>
        <v>2362.8000000000002</v>
      </c>
      <c r="S139" s="15">
        <f t="shared" si="46"/>
        <v>-2362.8000000000002</v>
      </c>
      <c r="T139" s="189">
        <f>IF(AND('Total income package'!$A$22=TRUE,M139="Yes",S139&gt;9.99),MIN(S139,$I$2),0)</f>
        <v>0</v>
      </c>
    </row>
    <row r="140" spans="1:20" ht="15" customHeight="1" x14ac:dyDescent="0.3">
      <c r="A140" s="29">
        <v>65500</v>
      </c>
      <c r="B140" s="384">
        <f t="shared" si="33"/>
        <v>5458.333333333333</v>
      </c>
      <c r="C140" s="63">
        <f>'Total income package'!$D$80</f>
        <v>0</v>
      </c>
      <c r="D140" s="63">
        <f t="shared" si="37"/>
        <v>5458.333333333333</v>
      </c>
      <c r="E140" s="14" t="str">
        <f t="shared" si="38"/>
        <v>No</v>
      </c>
      <c r="F140" s="63">
        <f t="shared" si="34"/>
        <v>5249.333333333333</v>
      </c>
      <c r="G140" s="63">
        <f t="shared" si="47"/>
        <v>1049.8666666666666</v>
      </c>
      <c r="H140" s="63">
        <f t="shared" si="39"/>
        <v>4199.4666666666662</v>
      </c>
      <c r="I140" s="312">
        <f t="shared" si="40"/>
        <v>4199.4666666666662</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4199.4666666666662</v>
      </c>
      <c r="Q140" s="312" t="str">
        <f t="shared" si="44"/>
        <v>No</v>
      </c>
      <c r="R140" s="312">
        <f t="shared" si="45"/>
        <v>2396.1333333333332</v>
      </c>
      <c r="S140" s="15">
        <f t="shared" si="46"/>
        <v>-2396.1333333333332</v>
      </c>
      <c r="T140" s="189">
        <f>IF(AND('Total income package'!$A$22=TRUE,M140="Yes",S140&gt;9.99),MIN(S140,$I$2),0)</f>
        <v>0</v>
      </c>
    </row>
    <row r="141" spans="1:20" ht="15" customHeight="1" x14ac:dyDescent="0.3">
      <c r="A141" s="117">
        <v>66000</v>
      </c>
      <c r="B141" s="384">
        <f t="shared" si="33"/>
        <v>5500</v>
      </c>
      <c r="C141" s="63">
        <f>'Total income package'!$D$80</f>
        <v>0</v>
      </c>
      <c r="D141" s="63">
        <f t="shared" si="37"/>
        <v>5500</v>
      </c>
      <c r="E141" s="14" t="str">
        <f t="shared" si="38"/>
        <v>No</v>
      </c>
      <c r="F141" s="63">
        <f t="shared" si="34"/>
        <v>5291</v>
      </c>
      <c r="G141" s="63">
        <f t="shared" si="47"/>
        <v>1058.2</v>
      </c>
      <c r="H141" s="63">
        <f t="shared" si="39"/>
        <v>4232.8</v>
      </c>
      <c r="I141" s="312">
        <f t="shared" si="40"/>
        <v>4232.8</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4232.8</v>
      </c>
      <c r="Q141" s="312" t="str">
        <f t="shared" si="44"/>
        <v>No</v>
      </c>
      <c r="R141" s="312">
        <f t="shared" si="45"/>
        <v>2429.4666666666672</v>
      </c>
      <c r="S141" s="15">
        <f t="shared" si="46"/>
        <v>-2429.4666666666672</v>
      </c>
      <c r="T141" s="189">
        <f>IF(AND('Total income package'!$A$22=TRUE,M141="Yes",S141&gt;9.99),MIN(S141,$I$2),0)</f>
        <v>0</v>
      </c>
    </row>
    <row r="142" spans="1:20" ht="15" customHeight="1" x14ac:dyDescent="0.3">
      <c r="A142" s="117">
        <v>66500</v>
      </c>
      <c r="B142" s="384">
        <f t="shared" si="33"/>
        <v>5541.666666666667</v>
      </c>
      <c r="C142" s="63">
        <f>'Total income package'!$D$80</f>
        <v>0</v>
      </c>
      <c r="D142" s="63">
        <f t="shared" si="37"/>
        <v>5541.666666666667</v>
      </c>
      <c r="E142" s="14" t="str">
        <f t="shared" si="38"/>
        <v>No</v>
      </c>
      <c r="F142" s="63">
        <f t="shared" si="34"/>
        <v>5332.666666666667</v>
      </c>
      <c r="G142" s="63">
        <f t="shared" si="47"/>
        <v>1066.5333333333335</v>
      </c>
      <c r="H142" s="63">
        <f t="shared" si="39"/>
        <v>4266.1333333333332</v>
      </c>
      <c r="I142" s="312">
        <f t="shared" si="40"/>
        <v>4266.1333333333332</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4266.1333333333332</v>
      </c>
      <c r="Q142" s="312" t="str">
        <f t="shared" si="44"/>
        <v>No</v>
      </c>
      <c r="R142" s="312">
        <f t="shared" si="45"/>
        <v>2462.8000000000002</v>
      </c>
      <c r="S142" s="15">
        <f t="shared" si="46"/>
        <v>-2462.8000000000002</v>
      </c>
      <c r="T142" s="189">
        <f>IF(AND('Total income package'!$A$22=TRUE,M142="Yes",S142&gt;9.99),MIN(S142,$I$2),0)</f>
        <v>0</v>
      </c>
    </row>
    <row r="143" spans="1:20" ht="15" customHeight="1" x14ac:dyDescent="0.3">
      <c r="A143" s="29">
        <v>67000</v>
      </c>
      <c r="B143" s="384">
        <f t="shared" si="33"/>
        <v>5583.333333333333</v>
      </c>
      <c r="C143" s="63">
        <f>'Total income package'!$D$80</f>
        <v>0</v>
      </c>
      <c r="D143" s="63">
        <f t="shared" si="37"/>
        <v>5583.333333333333</v>
      </c>
      <c r="E143" s="14" t="str">
        <f t="shared" si="38"/>
        <v>No</v>
      </c>
      <c r="F143" s="63">
        <f t="shared" si="34"/>
        <v>5374.333333333333</v>
      </c>
      <c r="G143" s="63">
        <f t="shared" si="47"/>
        <v>1074.8666666666666</v>
      </c>
      <c r="H143" s="63">
        <f t="shared" si="39"/>
        <v>4299.4666666666662</v>
      </c>
      <c r="I143" s="312">
        <f t="shared" si="40"/>
        <v>4299.4666666666662</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4299.4666666666662</v>
      </c>
      <c r="Q143" s="312" t="str">
        <f t="shared" si="44"/>
        <v>No</v>
      </c>
      <c r="R143" s="312">
        <f t="shared" si="45"/>
        <v>2496.1333333333332</v>
      </c>
      <c r="S143" s="15">
        <f t="shared" si="46"/>
        <v>-2496.1333333333332</v>
      </c>
      <c r="T143" s="189">
        <f>IF(AND('Total income package'!$A$22=TRUE,M143="Yes",S143&gt;9.99),MIN(S143,$I$2),0)</f>
        <v>0</v>
      </c>
    </row>
    <row r="144" spans="1:20" ht="15" customHeight="1" x14ac:dyDescent="0.3">
      <c r="A144" s="117">
        <v>67500</v>
      </c>
      <c r="B144" s="384">
        <f t="shared" si="33"/>
        <v>5625</v>
      </c>
      <c r="C144" s="63">
        <f>'Total income package'!$D$80</f>
        <v>0</v>
      </c>
      <c r="D144" s="63">
        <f t="shared" si="37"/>
        <v>5625</v>
      </c>
      <c r="E144" s="14" t="str">
        <f t="shared" si="38"/>
        <v>No</v>
      </c>
      <c r="F144" s="63">
        <f t="shared" si="34"/>
        <v>5416</v>
      </c>
      <c r="G144" s="63">
        <f t="shared" si="47"/>
        <v>1083.2</v>
      </c>
      <c r="H144" s="63">
        <f t="shared" si="39"/>
        <v>4332.8</v>
      </c>
      <c r="I144" s="312">
        <f t="shared" si="40"/>
        <v>4332.8</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4332.8</v>
      </c>
      <c r="Q144" s="312" t="str">
        <f t="shared" si="44"/>
        <v>No</v>
      </c>
      <c r="R144" s="312">
        <f t="shared" si="45"/>
        <v>2529.4666666666672</v>
      </c>
      <c r="S144" s="15">
        <f t="shared" si="46"/>
        <v>-2529.4666666666672</v>
      </c>
      <c r="T144" s="189">
        <f>IF(AND('Total income package'!$A$22=TRUE,M144="Yes",S144&gt;9.99),MIN(S144,$I$2),0)</f>
        <v>0</v>
      </c>
    </row>
    <row r="145" spans="1:20" ht="15" customHeight="1" x14ac:dyDescent="0.3">
      <c r="A145" s="117">
        <v>68000</v>
      </c>
      <c r="B145" s="384">
        <f t="shared" si="33"/>
        <v>5666.666666666667</v>
      </c>
      <c r="C145" s="63">
        <f>'Total income package'!$D$80</f>
        <v>0</v>
      </c>
      <c r="D145" s="63">
        <f t="shared" si="37"/>
        <v>5666.666666666667</v>
      </c>
      <c r="E145" s="14" t="str">
        <f t="shared" si="38"/>
        <v>No</v>
      </c>
      <c r="F145" s="63">
        <f t="shared" si="34"/>
        <v>5457.666666666667</v>
      </c>
      <c r="G145" s="63">
        <f t="shared" si="47"/>
        <v>1091.5333333333335</v>
      </c>
      <c r="H145" s="63">
        <f t="shared" si="39"/>
        <v>4366.1333333333332</v>
      </c>
      <c r="I145" s="312">
        <f t="shared" si="40"/>
        <v>4366.1333333333332</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4366.1333333333332</v>
      </c>
      <c r="Q145" s="312" t="str">
        <f t="shared" si="44"/>
        <v>No</v>
      </c>
      <c r="R145" s="312">
        <f t="shared" si="45"/>
        <v>2562.8000000000002</v>
      </c>
      <c r="S145" s="15">
        <f t="shared" si="46"/>
        <v>-2562.8000000000002</v>
      </c>
      <c r="T145" s="189">
        <f>IF(AND('Total income package'!$A$22=TRUE,M145="Yes",S145&gt;9.99),MIN(S145,$I$2),0)</f>
        <v>0</v>
      </c>
    </row>
    <row r="146" spans="1:20" ht="15" customHeight="1" x14ac:dyDescent="0.3">
      <c r="A146" s="29">
        <v>68500</v>
      </c>
      <c r="B146" s="384">
        <f t="shared" si="33"/>
        <v>5708.333333333333</v>
      </c>
      <c r="C146" s="63">
        <f>'Total income package'!$D$80</f>
        <v>0</v>
      </c>
      <c r="D146" s="63">
        <f t="shared" si="37"/>
        <v>5708.333333333333</v>
      </c>
      <c r="E146" s="14" t="str">
        <f t="shared" si="38"/>
        <v>No</v>
      </c>
      <c r="F146" s="63">
        <f t="shared" si="34"/>
        <v>5499.333333333333</v>
      </c>
      <c r="G146" s="63">
        <f t="shared" si="47"/>
        <v>1099.8666666666666</v>
      </c>
      <c r="H146" s="63">
        <f t="shared" si="39"/>
        <v>4399.4666666666662</v>
      </c>
      <c r="I146" s="312">
        <f t="shared" si="40"/>
        <v>4399.4666666666662</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4399.4666666666662</v>
      </c>
      <c r="Q146" s="312" t="str">
        <f t="shared" si="44"/>
        <v>No</v>
      </c>
      <c r="R146" s="312">
        <f t="shared" si="45"/>
        <v>2596.1333333333332</v>
      </c>
      <c r="S146" s="15">
        <f t="shared" si="46"/>
        <v>-2596.1333333333332</v>
      </c>
      <c r="T146" s="189">
        <f>IF(AND('Total income package'!$A$22=TRUE,M146="Yes",S146&gt;9.99),MIN(S146,$I$2),0)</f>
        <v>0</v>
      </c>
    </row>
    <row r="147" spans="1:20" ht="15" customHeight="1" x14ac:dyDescent="0.3">
      <c r="A147" s="117">
        <v>69000</v>
      </c>
      <c r="B147" s="384">
        <f t="shared" si="33"/>
        <v>5750</v>
      </c>
      <c r="C147" s="63">
        <f>'Total income package'!$D$80</f>
        <v>0</v>
      </c>
      <c r="D147" s="63">
        <f t="shared" si="37"/>
        <v>5750</v>
      </c>
      <c r="E147" s="14" t="str">
        <f t="shared" si="38"/>
        <v>No</v>
      </c>
      <c r="F147" s="63">
        <f t="shared" si="34"/>
        <v>5541</v>
      </c>
      <c r="G147" s="63">
        <f t="shared" si="47"/>
        <v>1108.2</v>
      </c>
      <c r="H147" s="63">
        <f t="shared" si="39"/>
        <v>4432.8</v>
      </c>
      <c r="I147" s="312">
        <f t="shared" si="40"/>
        <v>4432.8</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4432.8</v>
      </c>
      <c r="Q147" s="312" t="str">
        <f t="shared" si="44"/>
        <v>No</v>
      </c>
      <c r="R147" s="312">
        <f t="shared" si="45"/>
        <v>2629.4666666666672</v>
      </c>
      <c r="S147" s="15">
        <f t="shared" si="46"/>
        <v>-2629.4666666666672</v>
      </c>
      <c r="T147" s="189">
        <f>IF(AND('Total income package'!$A$22=TRUE,M147="Yes",S147&gt;9.99),MIN(S147,$I$2),0)</f>
        <v>0</v>
      </c>
    </row>
    <row r="148" spans="1:20" ht="15" customHeight="1" x14ac:dyDescent="0.3">
      <c r="A148" s="117">
        <v>69500</v>
      </c>
      <c r="B148" s="384">
        <f t="shared" si="33"/>
        <v>5791.666666666667</v>
      </c>
      <c r="C148" s="63">
        <f>'Total income package'!$D$80</f>
        <v>0</v>
      </c>
      <c r="D148" s="63">
        <f t="shared" si="37"/>
        <v>5791.666666666667</v>
      </c>
      <c r="E148" s="14" t="str">
        <f t="shared" si="38"/>
        <v>No</v>
      </c>
      <c r="F148" s="63">
        <f t="shared" si="34"/>
        <v>5582.666666666667</v>
      </c>
      <c r="G148" s="63">
        <f t="shared" si="47"/>
        <v>1116.5333333333335</v>
      </c>
      <c r="H148" s="63">
        <f t="shared" si="39"/>
        <v>4466.1333333333332</v>
      </c>
      <c r="I148" s="312">
        <f t="shared" si="40"/>
        <v>4466.1333333333332</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4466.1333333333332</v>
      </c>
      <c r="Q148" s="312" t="str">
        <f t="shared" si="44"/>
        <v>No</v>
      </c>
      <c r="R148" s="312">
        <f t="shared" si="45"/>
        <v>2662.8</v>
      </c>
      <c r="S148" s="15">
        <f t="shared" si="46"/>
        <v>-2662.8</v>
      </c>
      <c r="T148" s="189">
        <f>IF(AND('Total income package'!$A$22=TRUE,M148="Yes",S148&gt;9.99),MIN(S148,$I$2),0)</f>
        <v>0</v>
      </c>
    </row>
    <row r="149" spans="1:20" ht="15" customHeight="1" x14ac:dyDescent="0.3">
      <c r="A149" s="29">
        <v>70000</v>
      </c>
      <c r="B149" s="384">
        <f t="shared" si="33"/>
        <v>5833.333333333333</v>
      </c>
      <c r="C149" s="63">
        <f>'Total income package'!$D$80</f>
        <v>0</v>
      </c>
      <c r="D149" s="63">
        <f t="shared" si="37"/>
        <v>5833.333333333333</v>
      </c>
      <c r="E149" s="14" t="str">
        <f t="shared" si="38"/>
        <v>No</v>
      </c>
      <c r="F149" s="63">
        <f t="shared" si="34"/>
        <v>5624.333333333333</v>
      </c>
      <c r="G149" s="63">
        <f t="shared" si="47"/>
        <v>1124.8666666666666</v>
      </c>
      <c r="H149" s="63">
        <f t="shared" si="39"/>
        <v>4499.4666666666662</v>
      </c>
      <c r="I149" s="312">
        <f t="shared" si="40"/>
        <v>4499.4666666666662</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4499.4666666666662</v>
      </c>
      <c r="Q149" s="312" t="str">
        <f t="shared" si="44"/>
        <v>No</v>
      </c>
      <c r="R149" s="312">
        <f t="shared" si="45"/>
        <v>2696.1333333333332</v>
      </c>
      <c r="S149" s="15">
        <f t="shared" si="46"/>
        <v>-2696.1333333333332</v>
      </c>
      <c r="T149" s="189">
        <f>IF(AND('Total income package'!$A$22=TRUE,M149="Yes",S149&gt;9.99),MIN(S149,$I$2),0)</f>
        <v>0</v>
      </c>
    </row>
    <row r="150" spans="1:20" ht="15" customHeight="1" x14ac:dyDescent="0.3">
      <c r="A150" s="117">
        <v>70500</v>
      </c>
      <c r="B150" s="384">
        <f t="shared" si="33"/>
        <v>5875</v>
      </c>
      <c r="C150" s="63">
        <f>'Total income package'!$D$80</f>
        <v>0</v>
      </c>
      <c r="D150" s="63">
        <f t="shared" si="37"/>
        <v>5875</v>
      </c>
      <c r="E150" s="14" t="str">
        <f t="shared" si="38"/>
        <v>No</v>
      </c>
      <c r="F150" s="63">
        <f t="shared" si="34"/>
        <v>5666</v>
      </c>
      <c r="G150" s="63">
        <f t="shared" si="47"/>
        <v>1133.2</v>
      </c>
      <c r="H150" s="63">
        <f t="shared" si="39"/>
        <v>4532.8</v>
      </c>
      <c r="I150" s="312">
        <f t="shared" si="40"/>
        <v>4532.8</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4532.8</v>
      </c>
      <c r="Q150" s="312" t="str">
        <f t="shared" si="44"/>
        <v>No</v>
      </c>
      <c r="R150" s="312">
        <f t="shared" si="45"/>
        <v>2729.4666666666672</v>
      </c>
      <c r="S150" s="15">
        <f t="shared" si="46"/>
        <v>-2729.4666666666672</v>
      </c>
      <c r="T150" s="189">
        <f>IF(AND('Total income package'!$A$22=TRUE,M150="Yes",S150&gt;9.99),MIN(S150,$I$2),0)</f>
        <v>0</v>
      </c>
    </row>
    <row r="151" spans="1:20" ht="15" customHeight="1" x14ac:dyDescent="0.3">
      <c r="A151" s="117">
        <v>71000</v>
      </c>
      <c r="B151" s="384">
        <f t="shared" si="33"/>
        <v>5916.666666666667</v>
      </c>
      <c r="C151" s="63">
        <f>'Total income package'!$D$80</f>
        <v>0</v>
      </c>
      <c r="D151" s="63">
        <f t="shared" si="37"/>
        <v>5916.666666666667</v>
      </c>
      <c r="E151" s="14" t="str">
        <f t="shared" si="38"/>
        <v>No</v>
      </c>
      <c r="F151" s="63">
        <f t="shared" si="34"/>
        <v>5707.666666666667</v>
      </c>
      <c r="G151" s="63">
        <f t="shared" si="47"/>
        <v>1141.5333333333335</v>
      </c>
      <c r="H151" s="63">
        <f t="shared" si="39"/>
        <v>4566.1333333333332</v>
      </c>
      <c r="I151" s="312">
        <f t="shared" si="40"/>
        <v>4566.1333333333332</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4566.1333333333332</v>
      </c>
      <c r="Q151" s="312" t="str">
        <f t="shared" si="44"/>
        <v>No</v>
      </c>
      <c r="R151" s="312">
        <f t="shared" si="45"/>
        <v>2762.8</v>
      </c>
      <c r="S151" s="15">
        <f t="shared" si="46"/>
        <v>-2762.8</v>
      </c>
      <c r="T151" s="189">
        <f>IF(AND('Total income package'!$A$22=TRUE,M151="Yes",S151&gt;9.99),MIN(S151,$I$2),0)</f>
        <v>0</v>
      </c>
    </row>
    <row r="152" spans="1:20" ht="15" customHeight="1" x14ac:dyDescent="0.3">
      <c r="A152" s="29">
        <v>71500</v>
      </c>
      <c r="B152" s="384">
        <f t="shared" si="33"/>
        <v>5958.333333333333</v>
      </c>
      <c r="C152" s="63">
        <f>'Total income package'!$D$80</f>
        <v>0</v>
      </c>
      <c r="D152" s="63">
        <f t="shared" si="37"/>
        <v>5958.333333333333</v>
      </c>
      <c r="E152" s="14" t="str">
        <f t="shared" si="38"/>
        <v>No</v>
      </c>
      <c r="F152" s="63">
        <f t="shared" si="34"/>
        <v>5749.333333333333</v>
      </c>
      <c r="G152" s="63">
        <f t="shared" si="47"/>
        <v>1149.8666666666666</v>
      </c>
      <c r="H152" s="63">
        <f t="shared" si="39"/>
        <v>4599.4666666666662</v>
      </c>
      <c r="I152" s="312">
        <f t="shared" si="40"/>
        <v>4599.4666666666662</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4599.4666666666662</v>
      </c>
      <c r="Q152" s="312" t="str">
        <f t="shared" si="44"/>
        <v>No</v>
      </c>
      <c r="R152" s="312">
        <f t="shared" si="45"/>
        <v>2796.1333333333332</v>
      </c>
      <c r="S152" s="15">
        <f t="shared" si="46"/>
        <v>-2796.1333333333332</v>
      </c>
      <c r="T152" s="189">
        <f>IF(AND('Total income package'!$A$22=TRUE,M152="Yes",S152&gt;9.99),MIN(S152,$I$2),0)</f>
        <v>0</v>
      </c>
    </row>
    <row r="153" spans="1:20" ht="15" customHeight="1" x14ac:dyDescent="0.3">
      <c r="A153" s="117">
        <v>72000</v>
      </c>
      <c r="B153" s="384">
        <f t="shared" si="33"/>
        <v>6000</v>
      </c>
      <c r="C153" s="63">
        <f>'Total income package'!$D$80</f>
        <v>0</v>
      </c>
      <c r="D153" s="63">
        <f t="shared" si="37"/>
        <v>6000</v>
      </c>
      <c r="E153" s="14" t="str">
        <f t="shared" si="38"/>
        <v>No</v>
      </c>
      <c r="F153" s="63">
        <f t="shared" si="34"/>
        <v>5791</v>
      </c>
      <c r="G153" s="63">
        <f t="shared" si="47"/>
        <v>1158.2</v>
      </c>
      <c r="H153" s="63">
        <f t="shared" si="39"/>
        <v>4632.8</v>
      </c>
      <c r="I153" s="312">
        <f t="shared" si="40"/>
        <v>4632.8</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4632.8</v>
      </c>
      <c r="Q153" s="312" t="str">
        <f t="shared" si="44"/>
        <v>No</v>
      </c>
      <c r="R153" s="312">
        <f t="shared" si="45"/>
        <v>2829.4666666666672</v>
      </c>
      <c r="S153" s="15">
        <f t="shared" si="46"/>
        <v>-2829.4666666666672</v>
      </c>
      <c r="T153" s="189">
        <f>IF(AND('Total income package'!$A$22=TRUE,M153="Yes",S153&gt;9.99),MIN(S153,$I$2),0)</f>
        <v>0</v>
      </c>
    </row>
    <row r="154" spans="1:20" ht="15" customHeight="1" x14ac:dyDescent="0.3">
      <c r="A154" s="117">
        <v>72500</v>
      </c>
      <c r="B154" s="384">
        <f t="shared" si="33"/>
        <v>6041.666666666667</v>
      </c>
      <c r="C154" s="63">
        <f>'Total income package'!$D$80</f>
        <v>0</v>
      </c>
      <c r="D154" s="63">
        <f t="shared" si="37"/>
        <v>6041.666666666667</v>
      </c>
      <c r="E154" s="14" t="str">
        <f t="shared" si="38"/>
        <v>No</v>
      </c>
      <c r="F154" s="63">
        <f t="shared" si="34"/>
        <v>5832.666666666667</v>
      </c>
      <c r="G154" s="63">
        <f t="shared" si="47"/>
        <v>1166.5333333333335</v>
      </c>
      <c r="H154" s="63">
        <f t="shared" si="39"/>
        <v>4666.1333333333332</v>
      </c>
      <c r="I154" s="312">
        <f t="shared" si="40"/>
        <v>4666.1333333333332</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4666.1333333333332</v>
      </c>
      <c r="Q154" s="312" t="str">
        <f t="shared" si="44"/>
        <v>No</v>
      </c>
      <c r="R154" s="312">
        <f t="shared" si="45"/>
        <v>2862.8</v>
      </c>
      <c r="S154" s="15">
        <f t="shared" si="46"/>
        <v>-2862.8</v>
      </c>
      <c r="T154" s="189">
        <f>IF(AND('Total income package'!$A$22=TRUE,M154="Yes",S154&gt;9.99),MIN(S154,$I$2),0)</f>
        <v>0</v>
      </c>
    </row>
    <row r="155" spans="1:20" ht="15" customHeight="1" x14ac:dyDescent="0.3">
      <c r="A155" s="29">
        <v>73000</v>
      </c>
      <c r="B155" s="384">
        <f t="shared" si="33"/>
        <v>6083.333333333333</v>
      </c>
      <c r="C155" s="63">
        <f>'Total income package'!$D$80</f>
        <v>0</v>
      </c>
      <c r="D155" s="63">
        <f t="shared" si="37"/>
        <v>6083.333333333333</v>
      </c>
      <c r="E155" s="14" t="str">
        <f t="shared" si="38"/>
        <v>No</v>
      </c>
      <c r="F155" s="63">
        <f t="shared" si="34"/>
        <v>5874.333333333333</v>
      </c>
      <c r="G155" s="63">
        <f t="shared" si="47"/>
        <v>1174.8666666666666</v>
      </c>
      <c r="H155" s="63">
        <f t="shared" si="39"/>
        <v>4699.4666666666662</v>
      </c>
      <c r="I155" s="312">
        <f t="shared" si="40"/>
        <v>4699.4666666666662</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4699.4666666666662</v>
      </c>
      <c r="Q155" s="312" t="str">
        <f t="shared" si="44"/>
        <v>No</v>
      </c>
      <c r="R155" s="312">
        <f t="shared" si="45"/>
        <v>2896.1333333333332</v>
      </c>
      <c r="S155" s="15">
        <f t="shared" si="46"/>
        <v>-2896.1333333333332</v>
      </c>
      <c r="T155" s="189">
        <f>IF(AND('Total income package'!$A$22=TRUE,M155="Yes",S155&gt;9.99),MIN(S155,$I$2),0)</f>
        <v>0</v>
      </c>
    </row>
    <row r="156" spans="1:20" ht="15" customHeight="1" x14ac:dyDescent="0.3">
      <c r="A156" s="117">
        <v>73500</v>
      </c>
      <c r="B156" s="384">
        <f t="shared" si="33"/>
        <v>6125</v>
      </c>
      <c r="C156" s="63">
        <f>'Total income package'!$D$80</f>
        <v>0</v>
      </c>
      <c r="D156" s="63">
        <f t="shared" si="37"/>
        <v>6125</v>
      </c>
      <c r="E156" s="14" t="str">
        <f t="shared" si="38"/>
        <v>No</v>
      </c>
      <c r="F156" s="63">
        <f t="shared" si="34"/>
        <v>5916</v>
      </c>
      <c r="G156" s="63">
        <f t="shared" si="47"/>
        <v>1183.2</v>
      </c>
      <c r="H156" s="63">
        <f t="shared" si="39"/>
        <v>4732.8</v>
      </c>
      <c r="I156" s="312">
        <f t="shared" si="40"/>
        <v>4732.8</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4732.8</v>
      </c>
      <c r="Q156" s="312" t="str">
        <f t="shared" si="44"/>
        <v>No</v>
      </c>
      <c r="R156" s="312">
        <f t="shared" si="45"/>
        <v>2929.4666666666672</v>
      </c>
      <c r="S156" s="15">
        <f t="shared" si="46"/>
        <v>-2929.4666666666672</v>
      </c>
      <c r="T156" s="189">
        <f>IF(AND('Total income package'!$A$22=TRUE,M156="Yes",S156&gt;9.99),MIN(S156,$I$2),0)</f>
        <v>0</v>
      </c>
    </row>
    <row r="157" spans="1:20" ht="15" customHeight="1" x14ac:dyDescent="0.3">
      <c r="A157" s="117">
        <v>74000</v>
      </c>
      <c r="B157" s="384">
        <f t="shared" si="33"/>
        <v>6166.666666666667</v>
      </c>
      <c r="C157" s="63">
        <f>'Total income package'!$D$80</f>
        <v>0</v>
      </c>
      <c r="D157" s="63">
        <f t="shared" si="37"/>
        <v>6166.666666666667</v>
      </c>
      <c r="E157" s="14" t="str">
        <f t="shared" si="38"/>
        <v>No</v>
      </c>
      <c r="F157" s="63">
        <f t="shared" si="34"/>
        <v>5957.666666666667</v>
      </c>
      <c r="G157" s="63">
        <f t="shared" si="47"/>
        <v>1191.5333333333335</v>
      </c>
      <c r="H157" s="63">
        <f t="shared" si="39"/>
        <v>4766.1333333333332</v>
      </c>
      <c r="I157" s="312">
        <f t="shared" si="40"/>
        <v>4766.1333333333332</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4766.1333333333332</v>
      </c>
      <c r="Q157" s="312" t="str">
        <f t="shared" si="44"/>
        <v>No</v>
      </c>
      <c r="R157" s="312">
        <f t="shared" si="45"/>
        <v>2962.8</v>
      </c>
      <c r="S157" s="15">
        <f t="shared" si="46"/>
        <v>-2962.8</v>
      </c>
      <c r="T157" s="189">
        <f>IF(AND('Total income package'!$A$22=TRUE,M157="Yes",S157&gt;9.99),MIN(S157,$I$2),0)</f>
        <v>0</v>
      </c>
    </row>
    <row r="158" spans="1:20" ht="15" customHeight="1" x14ac:dyDescent="0.3">
      <c r="A158" s="29">
        <v>74500</v>
      </c>
      <c r="B158" s="384">
        <f t="shared" si="33"/>
        <v>6208.333333333333</v>
      </c>
      <c r="C158" s="63">
        <f>'Total income package'!$D$80</f>
        <v>0</v>
      </c>
      <c r="D158" s="63">
        <f t="shared" si="37"/>
        <v>6208.333333333333</v>
      </c>
      <c r="E158" s="14" t="str">
        <f t="shared" si="38"/>
        <v>No</v>
      </c>
      <c r="F158" s="63">
        <f t="shared" si="34"/>
        <v>5999.333333333333</v>
      </c>
      <c r="G158" s="63">
        <f t="shared" si="47"/>
        <v>1199.8666666666666</v>
      </c>
      <c r="H158" s="63">
        <f t="shared" si="39"/>
        <v>4799.4666666666662</v>
      </c>
      <c r="I158" s="312">
        <f t="shared" si="40"/>
        <v>4799.4666666666662</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4799.4666666666662</v>
      </c>
      <c r="Q158" s="312" t="str">
        <f t="shared" si="44"/>
        <v>No</v>
      </c>
      <c r="R158" s="312">
        <f t="shared" si="45"/>
        <v>2996.1333333333332</v>
      </c>
      <c r="S158" s="15">
        <f t="shared" si="46"/>
        <v>-2996.1333333333332</v>
      </c>
      <c r="T158" s="189">
        <f>IF(AND('Total income package'!$A$22=TRUE,M158="Yes",S158&gt;9.99),MIN(S158,$I$2),0)</f>
        <v>0</v>
      </c>
    </row>
    <row r="159" spans="1:20" ht="15" customHeight="1" x14ac:dyDescent="0.3">
      <c r="A159" s="117">
        <v>75000</v>
      </c>
      <c r="B159" s="384">
        <f t="shared" si="33"/>
        <v>6250</v>
      </c>
      <c r="C159" s="63">
        <f>'Total income package'!$D$80</f>
        <v>0</v>
      </c>
      <c r="D159" s="63">
        <f t="shared" si="37"/>
        <v>6250</v>
      </c>
      <c r="E159" s="14" t="str">
        <f t="shared" si="38"/>
        <v>No</v>
      </c>
      <c r="F159" s="63">
        <f t="shared" si="34"/>
        <v>6041</v>
      </c>
      <c r="G159" s="63">
        <f t="shared" si="47"/>
        <v>1208.2</v>
      </c>
      <c r="H159" s="63">
        <f t="shared" si="39"/>
        <v>4832.8</v>
      </c>
      <c r="I159" s="312">
        <f t="shared" si="40"/>
        <v>4832.8</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4832.8</v>
      </c>
      <c r="Q159" s="312" t="str">
        <f t="shared" si="44"/>
        <v>No</v>
      </c>
      <c r="R159" s="312">
        <f t="shared" si="45"/>
        <v>3029.4666666666672</v>
      </c>
      <c r="S159" s="15">
        <f t="shared" si="46"/>
        <v>-3029.4666666666672</v>
      </c>
      <c r="T159" s="189">
        <f>IF(AND('Total income package'!$A$22=TRUE,M159="Yes",S159&gt;9.99),MIN(S159,$I$2),0)</f>
        <v>0</v>
      </c>
    </row>
    <row r="160" spans="1:20" ht="15" customHeight="1" x14ac:dyDescent="0.3">
      <c r="A160" s="117">
        <v>75500</v>
      </c>
      <c r="B160" s="384">
        <f t="shared" si="33"/>
        <v>6291.666666666667</v>
      </c>
      <c r="C160" s="63">
        <f>'Total income package'!$D$80</f>
        <v>0</v>
      </c>
      <c r="D160" s="63">
        <f t="shared" si="37"/>
        <v>6291.666666666667</v>
      </c>
      <c r="E160" s="14" t="str">
        <f t="shared" si="38"/>
        <v>No</v>
      </c>
      <c r="F160" s="63">
        <f t="shared" si="34"/>
        <v>6082.666666666667</v>
      </c>
      <c r="G160" s="63">
        <f t="shared" si="47"/>
        <v>1216.5333333333335</v>
      </c>
      <c r="H160" s="63">
        <f t="shared" si="39"/>
        <v>4866.1333333333332</v>
      </c>
      <c r="I160" s="312">
        <f t="shared" si="40"/>
        <v>4866.1333333333332</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4866.1333333333332</v>
      </c>
      <c r="Q160" s="312" t="str">
        <f t="shared" si="44"/>
        <v>No</v>
      </c>
      <c r="R160" s="312">
        <f t="shared" si="45"/>
        <v>3062.8</v>
      </c>
      <c r="S160" s="15">
        <f t="shared" si="46"/>
        <v>-3062.8</v>
      </c>
      <c r="T160" s="189">
        <f>IF(AND('Total income package'!$A$22=TRUE,M160="Yes",S160&gt;9.99),MIN(S160,$I$2),0)</f>
        <v>0</v>
      </c>
    </row>
    <row r="161" spans="1:20" ht="15" customHeight="1" x14ac:dyDescent="0.3">
      <c r="A161" s="29">
        <v>76000</v>
      </c>
      <c r="B161" s="384">
        <f t="shared" si="33"/>
        <v>6333.333333333333</v>
      </c>
      <c r="C161" s="63">
        <f>'Total income package'!$D$80</f>
        <v>0</v>
      </c>
      <c r="D161" s="63">
        <f t="shared" si="37"/>
        <v>6333.333333333333</v>
      </c>
      <c r="E161" s="14" t="str">
        <f t="shared" si="38"/>
        <v>No</v>
      </c>
      <c r="F161" s="63">
        <f t="shared" si="34"/>
        <v>6124.333333333333</v>
      </c>
      <c r="G161" s="63">
        <f t="shared" si="47"/>
        <v>1224.8666666666666</v>
      </c>
      <c r="H161" s="63">
        <f t="shared" si="39"/>
        <v>4899.4666666666662</v>
      </c>
      <c r="I161" s="312">
        <f t="shared" si="40"/>
        <v>4899.4666666666662</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4899.4666666666662</v>
      </c>
      <c r="Q161" s="312" t="str">
        <f t="shared" si="44"/>
        <v>No</v>
      </c>
      <c r="R161" s="312">
        <f t="shared" si="45"/>
        <v>3096.1333333333332</v>
      </c>
      <c r="S161" s="15">
        <f t="shared" si="46"/>
        <v>-3096.1333333333332</v>
      </c>
      <c r="T161" s="189">
        <f>IF(AND('Total income package'!$A$22=TRUE,M161="Yes",S161&gt;9.99),MIN(S161,$I$2),0)</f>
        <v>0</v>
      </c>
    </row>
    <row r="162" spans="1:20" ht="15" customHeight="1" x14ac:dyDescent="0.3">
      <c r="A162" s="117">
        <v>76500</v>
      </c>
      <c r="B162" s="384">
        <f t="shared" si="33"/>
        <v>6375</v>
      </c>
      <c r="C162" s="63">
        <f>'Total income package'!$D$80</f>
        <v>0</v>
      </c>
      <c r="D162" s="63">
        <f t="shared" si="37"/>
        <v>6375</v>
      </c>
      <c r="E162" s="14" t="str">
        <f t="shared" si="38"/>
        <v>No</v>
      </c>
      <c r="F162" s="63">
        <f t="shared" si="34"/>
        <v>6166</v>
      </c>
      <c r="G162" s="63">
        <f t="shared" si="47"/>
        <v>1233.2</v>
      </c>
      <c r="H162" s="63">
        <f t="shared" si="39"/>
        <v>4932.8</v>
      </c>
      <c r="I162" s="312">
        <f t="shared" si="40"/>
        <v>4932.8</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4932.8</v>
      </c>
      <c r="Q162" s="312" t="str">
        <f t="shared" si="44"/>
        <v>No</v>
      </c>
      <c r="R162" s="312">
        <f t="shared" si="45"/>
        <v>3129.4666666666672</v>
      </c>
      <c r="S162" s="15">
        <f t="shared" si="46"/>
        <v>-3129.4666666666672</v>
      </c>
      <c r="T162" s="189">
        <f>IF(AND('Total income package'!$A$22=TRUE,M162="Yes",S162&gt;9.99),MIN(S162,$I$2),0)</f>
        <v>0</v>
      </c>
    </row>
    <row r="163" spans="1:20" ht="15" customHeight="1" x14ac:dyDescent="0.3">
      <c r="A163" s="117">
        <v>77000</v>
      </c>
      <c r="B163" s="384">
        <f t="shared" si="33"/>
        <v>6416.666666666667</v>
      </c>
      <c r="C163" s="63">
        <f>'Total income package'!$D$80</f>
        <v>0</v>
      </c>
      <c r="D163" s="63">
        <f t="shared" si="37"/>
        <v>6416.666666666667</v>
      </c>
      <c r="E163" s="14" t="str">
        <f t="shared" si="38"/>
        <v>No</v>
      </c>
      <c r="F163" s="63">
        <f t="shared" si="34"/>
        <v>6207.666666666667</v>
      </c>
      <c r="G163" s="63">
        <f t="shared" si="47"/>
        <v>1241.5333333333335</v>
      </c>
      <c r="H163" s="63">
        <f t="shared" si="39"/>
        <v>4966.1333333333332</v>
      </c>
      <c r="I163" s="312">
        <f t="shared" si="40"/>
        <v>4966.1333333333332</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4966.1333333333332</v>
      </c>
      <c r="Q163" s="312" t="str">
        <f t="shared" si="44"/>
        <v>No</v>
      </c>
      <c r="R163" s="312">
        <f t="shared" si="45"/>
        <v>3162.8</v>
      </c>
      <c r="S163" s="15">
        <f t="shared" si="46"/>
        <v>-3162.8</v>
      </c>
      <c r="T163" s="189">
        <f>IF(AND('Total income package'!$A$22=TRUE,M163="Yes",S163&gt;9.99),MIN(S163,$I$2),0)</f>
        <v>0</v>
      </c>
    </row>
    <row r="164" spans="1:20" ht="15" customHeight="1" x14ac:dyDescent="0.3">
      <c r="A164" s="29">
        <v>77500</v>
      </c>
      <c r="B164" s="384">
        <f t="shared" si="33"/>
        <v>6458.333333333333</v>
      </c>
      <c r="C164" s="63">
        <f>'Total income package'!$D$80</f>
        <v>0</v>
      </c>
      <c r="D164" s="63">
        <f t="shared" si="37"/>
        <v>6458.333333333333</v>
      </c>
      <c r="E164" s="14" t="str">
        <f t="shared" si="38"/>
        <v>No</v>
      </c>
      <c r="F164" s="63">
        <f t="shared" si="34"/>
        <v>6249.333333333333</v>
      </c>
      <c r="G164" s="63">
        <f t="shared" si="47"/>
        <v>1249.8666666666668</v>
      </c>
      <c r="H164" s="63">
        <f t="shared" si="39"/>
        <v>4999.4666666666662</v>
      </c>
      <c r="I164" s="312">
        <f t="shared" si="40"/>
        <v>4999.4666666666662</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4999.4666666666662</v>
      </c>
      <c r="Q164" s="312" t="str">
        <f t="shared" si="44"/>
        <v>No</v>
      </c>
      <c r="R164" s="312">
        <f t="shared" si="45"/>
        <v>3196.1333333333332</v>
      </c>
      <c r="S164" s="15">
        <f t="shared" si="46"/>
        <v>-3196.1333333333332</v>
      </c>
      <c r="T164" s="189">
        <f>IF(AND('Total income package'!$A$22=TRUE,M164="Yes",S164&gt;9.99),MIN(S164,$I$2),0)</f>
        <v>0</v>
      </c>
    </row>
    <row r="165" spans="1:20" ht="15" customHeight="1" x14ac:dyDescent="0.3">
      <c r="A165" s="117">
        <v>78000</v>
      </c>
      <c r="B165" s="384">
        <f t="shared" si="33"/>
        <v>6500</v>
      </c>
      <c r="C165" s="63">
        <f>'Total income package'!$D$80</f>
        <v>0</v>
      </c>
      <c r="D165" s="63">
        <f t="shared" si="37"/>
        <v>6500</v>
      </c>
      <c r="E165" s="14" t="str">
        <f t="shared" si="38"/>
        <v>No</v>
      </c>
      <c r="F165" s="63">
        <f t="shared" si="34"/>
        <v>6291</v>
      </c>
      <c r="G165" s="63">
        <f t="shared" si="47"/>
        <v>1258.2</v>
      </c>
      <c r="H165" s="63">
        <f t="shared" si="39"/>
        <v>5032.8</v>
      </c>
      <c r="I165" s="312">
        <f t="shared" si="40"/>
        <v>5032.8</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5032.8</v>
      </c>
      <c r="Q165" s="312" t="str">
        <f t="shared" si="44"/>
        <v>No</v>
      </c>
      <c r="R165" s="312">
        <f t="shared" si="45"/>
        <v>3229.4666666666672</v>
      </c>
      <c r="S165" s="15">
        <f t="shared" si="46"/>
        <v>-3229.4666666666672</v>
      </c>
      <c r="T165" s="189">
        <f>IF(AND('Total income package'!$A$22=TRUE,M165="Yes",S165&gt;9.99),MIN(S165,$I$2),0)</f>
        <v>0</v>
      </c>
    </row>
    <row r="166" spans="1:20" ht="15" customHeight="1" x14ac:dyDescent="0.3">
      <c r="A166" s="117">
        <v>78500</v>
      </c>
      <c r="B166" s="384">
        <f t="shared" si="33"/>
        <v>6541.666666666667</v>
      </c>
      <c r="C166" s="63">
        <f>'Total income package'!$D$80</f>
        <v>0</v>
      </c>
      <c r="D166" s="63">
        <f t="shared" si="37"/>
        <v>6541.666666666667</v>
      </c>
      <c r="E166" s="14" t="str">
        <f t="shared" si="38"/>
        <v>No</v>
      </c>
      <c r="F166" s="63">
        <f t="shared" si="34"/>
        <v>6332.666666666667</v>
      </c>
      <c r="G166" s="63">
        <f t="shared" si="47"/>
        <v>1266.5333333333335</v>
      </c>
      <c r="H166" s="63">
        <f t="shared" si="39"/>
        <v>5066.1333333333332</v>
      </c>
      <c r="I166" s="312">
        <f t="shared" si="40"/>
        <v>5066.1333333333332</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5066.1333333333332</v>
      </c>
      <c r="Q166" s="312" t="str">
        <f t="shared" si="44"/>
        <v>No</v>
      </c>
      <c r="R166" s="312">
        <f t="shared" si="45"/>
        <v>3262.8</v>
      </c>
      <c r="S166" s="15">
        <f t="shared" si="46"/>
        <v>-3262.8</v>
      </c>
      <c r="T166" s="189">
        <f>IF(AND('Total income package'!$A$22=TRUE,M166="Yes",S166&gt;9.99),MIN(S166,$I$2),0)</f>
        <v>0</v>
      </c>
    </row>
    <row r="167" spans="1:20" ht="15" customHeight="1" x14ac:dyDescent="0.3">
      <c r="A167" s="29">
        <v>79000</v>
      </c>
      <c r="B167" s="384">
        <f t="shared" si="33"/>
        <v>6583.333333333333</v>
      </c>
      <c r="C167" s="63">
        <f>'Total income package'!$D$80</f>
        <v>0</v>
      </c>
      <c r="D167" s="63">
        <f t="shared" si="37"/>
        <v>6583.333333333333</v>
      </c>
      <c r="E167" s="14" t="str">
        <f t="shared" si="38"/>
        <v>No</v>
      </c>
      <c r="F167" s="63">
        <f t="shared" si="34"/>
        <v>6374.333333333333</v>
      </c>
      <c r="G167" s="63">
        <f t="shared" si="47"/>
        <v>1274.8666666666668</v>
      </c>
      <c r="H167" s="63">
        <f t="shared" si="39"/>
        <v>5099.4666666666662</v>
      </c>
      <c r="I167" s="312">
        <f t="shared" si="40"/>
        <v>5099.4666666666662</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5099.4666666666662</v>
      </c>
      <c r="Q167" s="312" t="str">
        <f t="shared" si="44"/>
        <v>No</v>
      </c>
      <c r="R167" s="312">
        <f t="shared" si="45"/>
        <v>3296.1333333333332</v>
      </c>
      <c r="S167" s="15">
        <f t="shared" si="46"/>
        <v>-3296.1333333333332</v>
      </c>
      <c r="T167" s="189">
        <f>IF(AND('Total income package'!$A$22=TRUE,M167="Yes",S167&gt;9.99),MIN(S167,$I$2),0)</f>
        <v>0</v>
      </c>
    </row>
    <row r="168" spans="1:20" ht="15" customHeight="1" x14ac:dyDescent="0.3">
      <c r="A168" s="117">
        <v>79500</v>
      </c>
      <c r="B168" s="384">
        <f t="shared" si="33"/>
        <v>6625</v>
      </c>
      <c r="C168" s="63">
        <f>'Total income package'!$D$80</f>
        <v>0</v>
      </c>
      <c r="D168" s="63">
        <f t="shared" si="37"/>
        <v>6625</v>
      </c>
      <c r="E168" s="14" t="str">
        <f t="shared" si="38"/>
        <v>No</v>
      </c>
      <c r="F168" s="63">
        <f t="shared" si="34"/>
        <v>6416</v>
      </c>
      <c r="G168" s="63">
        <f t="shared" si="47"/>
        <v>1283.2</v>
      </c>
      <c r="H168" s="63">
        <f t="shared" si="39"/>
        <v>5132.8</v>
      </c>
      <c r="I168" s="312">
        <f t="shared" si="40"/>
        <v>5132.8</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5132.8</v>
      </c>
      <c r="Q168" s="312" t="str">
        <f t="shared" si="44"/>
        <v>No</v>
      </c>
      <c r="R168" s="312">
        <f t="shared" si="45"/>
        <v>3329.4666666666672</v>
      </c>
      <c r="S168" s="15">
        <f t="shared" si="46"/>
        <v>-3329.4666666666672</v>
      </c>
      <c r="T168" s="189">
        <f>IF(AND('Total income package'!$A$22=TRUE,M168="Yes",S168&gt;9.99),MIN(S168,$I$2),0)</f>
        <v>0</v>
      </c>
    </row>
    <row r="169" spans="1:20" ht="15" customHeight="1" x14ac:dyDescent="0.3">
      <c r="A169" s="117">
        <v>80000</v>
      </c>
      <c r="B169" s="384">
        <f t="shared" si="33"/>
        <v>6666.666666666667</v>
      </c>
      <c r="C169" s="63">
        <f>'Total income package'!$D$80</f>
        <v>0</v>
      </c>
      <c r="D169" s="63">
        <f t="shared" si="37"/>
        <v>6666.666666666667</v>
      </c>
      <c r="E169" s="14" t="str">
        <f t="shared" si="38"/>
        <v>No</v>
      </c>
      <c r="F169" s="63">
        <f t="shared" si="34"/>
        <v>6457.666666666667</v>
      </c>
      <c r="G169" s="63">
        <f t="shared" si="47"/>
        <v>1291.5333333333335</v>
      </c>
      <c r="H169" s="63">
        <f t="shared" si="39"/>
        <v>5166.1333333333332</v>
      </c>
      <c r="I169" s="312">
        <f t="shared" si="40"/>
        <v>5166.1333333333332</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5166.1333333333332</v>
      </c>
      <c r="Q169" s="312" t="str">
        <f t="shared" si="44"/>
        <v>No</v>
      </c>
      <c r="R169" s="312">
        <f t="shared" si="45"/>
        <v>3362.8</v>
      </c>
      <c r="S169" s="15">
        <f t="shared" si="46"/>
        <v>-3362.8</v>
      </c>
      <c r="T169" s="189">
        <f>IF(AND('Total income package'!$A$22=TRUE,M169="Yes",S169&gt;9.99),MIN(S169,$I$2),0)</f>
        <v>0</v>
      </c>
    </row>
    <row r="170" spans="1:20" ht="15" customHeight="1" x14ac:dyDescent="0.3">
      <c r="A170" s="29">
        <v>80500</v>
      </c>
      <c r="B170" s="384">
        <f t="shared" si="33"/>
        <v>6708.333333333333</v>
      </c>
      <c r="C170" s="63">
        <f>'Total income package'!$D$80</f>
        <v>0</v>
      </c>
      <c r="D170" s="63">
        <f t="shared" si="37"/>
        <v>6708.333333333333</v>
      </c>
      <c r="E170" s="14" t="str">
        <f t="shared" si="38"/>
        <v>No</v>
      </c>
      <c r="F170" s="63">
        <f t="shared" si="34"/>
        <v>6499.333333333333</v>
      </c>
      <c r="G170" s="63">
        <f t="shared" si="47"/>
        <v>1299.8666666666668</v>
      </c>
      <c r="H170" s="63">
        <f t="shared" si="39"/>
        <v>5199.4666666666662</v>
      </c>
      <c r="I170" s="312">
        <f t="shared" si="40"/>
        <v>5199.4666666666662</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5199.4666666666662</v>
      </c>
      <c r="Q170" s="312" t="str">
        <f t="shared" si="44"/>
        <v>No</v>
      </c>
      <c r="R170" s="312">
        <f t="shared" si="45"/>
        <v>3396.1333333333332</v>
      </c>
      <c r="S170" s="15">
        <f t="shared" si="46"/>
        <v>-3396.1333333333332</v>
      </c>
      <c r="T170" s="189">
        <f>IF(AND('Total income package'!$A$22=TRUE,M170="Yes",S170&gt;9.99),MIN(S170,$I$2),0)</f>
        <v>0</v>
      </c>
    </row>
    <row r="171" spans="1:20" ht="15" customHeight="1" x14ac:dyDescent="0.3">
      <c r="A171" s="117">
        <v>81000</v>
      </c>
      <c r="B171" s="384">
        <f t="shared" si="33"/>
        <v>6750</v>
      </c>
      <c r="C171" s="63">
        <f>'Total income package'!$D$80</f>
        <v>0</v>
      </c>
      <c r="D171" s="63">
        <f t="shared" si="37"/>
        <v>6750</v>
      </c>
      <c r="E171" s="14" t="str">
        <f t="shared" si="38"/>
        <v>No</v>
      </c>
      <c r="F171" s="63">
        <f t="shared" si="34"/>
        <v>6541</v>
      </c>
      <c r="G171" s="63">
        <f t="shared" si="47"/>
        <v>1308.2</v>
      </c>
      <c r="H171" s="63">
        <f t="shared" si="39"/>
        <v>5232.8</v>
      </c>
      <c r="I171" s="312">
        <f t="shared" si="40"/>
        <v>5232.8</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5232.8</v>
      </c>
      <c r="Q171" s="312" t="str">
        <f t="shared" si="44"/>
        <v>No</v>
      </c>
      <c r="R171" s="312">
        <f t="shared" si="45"/>
        <v>3429.4666666666672</v>
      </c>
      <c r="S171" s="15">
        <f t="shared" si="46"/>
        <v>-3429.4666666666672</v>
      </c>
      <c r="T171" s="189">
        <f>IF(AND('Total income package'!$A$22=TRUE,M171="Yes",S171&gt;9.99),MIN(S171,$I$2),0)</f>
        <v>0</v>
      </c>
    </row>
    <row r="172" spans="1:20" ht="15" customHeight="1" x14ac:dyDescent="0.3">
      <c r="A172" s="117">
        <v>81500</v>
      </c>
      <c r="B172" s="384">
        <f t="shared" si="33"/>
        <v>6791.666666666667</v>
      </c>
      <c r="C172" s="63">
        <f>'Total income package'!$D$80</f>
        <v>0</v>
      </c>
      <c r="D172" s="63">
        <f t="shared" si="37"/>
        <v>6791.666666666667</v>
      </c>
      <c r="E172" s="14" t="str">
        <f t="shared" si="38"/>
        <v>No</v>
      </c>
      <c r="F172" s="63">
        <f t="shared" si="34"/>
        <v>6582.666666666667</v>
      </c>
      <c r="G172" s="63">
        <f t="shared" si="47"/>
        <v>1316.5333333333335</v>
      </c>
      <c r="H172" s="63">
        <f t="shared" si="39"/>
        <v>5266.1333333333332</v>
      </c>
      <c r="I172" s="312">
        <f t="shared" si="40"/>
        <v>5266.1333333333332</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5266.1333333333332</v>
      </c>
      <c r="Q172" s="312" t="str">
        <f t="shared" si="44"/>
        <v>No</v>
      </c>
      <c r="R172" s="312">
        <f t="shared" si="45"/>
        <v>3462.8</v>
      </c>
      <c r="S172" s="15">
        <f t="shared" si="46"/>
        <v>-3462.8</v>
      </c>
      <c r="T172" s="189">
        <f>IF(AND('Total income package'!$A$22=TRUE,M172="Yes",S172&gt;9.99),MIN(S172,$I$2),0)</f>
        <v>0</v>
      </c>
    </row>
    <row r="173" spans="1:20" ht="15" customHeight="1" x14ac:dyDescent="0.3">
      <c r="A173" s="29">
        <v>82000</v>
      </c>
      <c r="B173" s="384">
        <f t="shared" si="33"/>
        <v>6833.333333333333</v>
      </c>
      <c r="C173" s="63">
        <f>'Total income package'!$D$80</f>
        <v>0</v>
      </c>
      <c r="D173" s="63">
        <f t="shared" si="37"/>
        <v>6833.333333333333</v>
      </c>
      <c r="E173" s="14" t="str">
        <f t="shared" si="38"/>
        <v>No</v>
      </c>
      <c r="F173" s="63">
        <f t="shared" si="34"/>
        <v>6624.333333333333</v>
      </c>
      <c r="G173" s="63">
        <f t="shared" si="47"/>
        <v>1324.8666666666668</v>
      </c>
      <c r="H173" s="63">
        <f t="shared" si="39"/>
        <v>5299.4666666666662</v>
      </c>
      <c r="I173" s="312">
        <f t="shared" si="40"/>
        <v>5299.4666666666662</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5299.4666666666662</v>
      </c>
      <c r="Q173" s="312" t="str">
        <f t="shared" si="44"/>
        <v>No</v>
      </c>
      <c r="R173" s="312">
        <f t="shared" si="45"/>
        <v>3496.1333333333332</v>
      </c>
      <c r="S173" s="15">
        <f t="shared" si="46"/>
        <v>-3496.1333333333332</v>
      </c>
      <c r="T173" s="189">
        <f>IF(AND('Total income package'!$A$22=TRUE,M173="Yes",S173&gt;9.99),MIN(S173,$I$2),0)</f>
        <v>0</v>
      </c>
    </row>
    <row r="174" spans="1:20" ht="15" customHeight="1" x14ac:dyDescent="0.3">
      <c r="A174" s="117">
        <v>82500</v>
      </c>
      <c r="B174" s="384">
        <f t="shared" si="33"/>
        <v>6875</v>
      </c>
      <c r="C174" s="63">
        <f>'Total income package'!$D$80</f>
        <v>0</v>
      </c>
      <c r="D174" s="63">
        <f t="shared" si="37"/>
        <v>6875</v>
      </c>
      <c r="E174" s="14" t="str">
        <f t="shared" si="38"/>
        <v>No</v>
      </c>
      <c r="F174" s="63">
        <f t="shared" si="34"/>
        <v>6666</v>
      </c>
      <c r="G174" s="63">
        <f t="shared" si="47"/>
        <v>1333.2</v>
      </c>
      <c r="H174" s="63">
        <f t="shared" si="39"/>
        <v>5332.8</v>
      </c>
      <c r="I174" s="312">
        <f t="shared" si="40"/>
        <v>5332.8</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5332.8</v>
      </c>
      <c r="Q174" s="312" t="str">
        <f t="shared" si="44"/>
        <v>No</v>
      </c>
      <c r="R174" s="312">
        <f t="shared" si="45"/>
        <v>3529.4666666666672</v>
      </c>
      <c r="S174" s="15">
        <f t="shared" si="46"/>
        <v>-3529.4666666666672</v>
      </c>
      <c r="T174" s="189">
        <f>IF(AND('Total income package'!$A$22=TRUE,M174="Yes",S174&gt;9.99),MIN(S174,$I$2),0)</f>
        <v>0</v>
      </c>
    </row>
    <row r="175" spans="1:20" ht="15" customHeight="1" x14ac:dyDescent="0.3">
      <c r="A175" s="117">
        <v>83000</v>
      </c>
      <c r="B175" s="384">
        <f t="shared" ref="B175:B209" si="49">A175/12</f>
        <v>6916.666666666667</v>
      </c>
      <c r="C175" s="63">
        <f>'Total income package'!$D$80</f>
        <v>0</v>
      </c>
      <c r="D175" s="63">
        <f t="shared" si="37"/>
        <v>6916.666666666667</v>
      </c>
      <c r="E175" s="14" t="str">
        <f t="shared" si="38"/>
        <v>No</v>
      </c>
      <c r="F175" s="63">
        <f t="shared" si="34"/>
        <v>6707.666666666667</v>
      </c>
      <c r="G175" s="63">
        <f t="shared" si="47"/>
        <v>1341.5333333333335</v>
      </c>
      <c r="H175" s="63">
        <f t="shared" si="39"/>
        <v>5366.1333333333332</v>
      </c>
      <c r="I175" s="312">
        <f t="shared" si="40"/>
        <v>5366.1333333333332</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5366.1333333333332</v>
      </c>
      <c r="Q175" s="312" t="str">
        <f t="shared" si="44"/>
        <v>No</v>
      </c>
      <c r="R175" s="312">
        <f t="shared" si="45"/>
        <v>3562.8</v>
      </c>
      <c r="S175" s="15">
        <f t="shared" si="46"/>
        <v>-3562.8</v>
      </c>
      <c r="T175" s="189">
        <f>IF(AND('Total income package'!$A$22=TRUE,M175="Yes",S175&gt;9.99),MIN(S175,$I$2),0)</f>
        <v>0</v>
      </c>
    </row>
    <row r="176" spans="1:20" ht="15" customHeight="1" x14ac:dyDescent="0.3">
      <c r="A176" s="29">
        <v>83500</v>
      </c>
      <c r="B176" s="384">
        <f t="shared" si="49"/>
        <v>6958.333333333333</v>
      </c>
      <c r="C176" s="63">
        <f>'Total income package'!$D$80</f>
        <v>0</v>
      </c>
      <c r="D176" s="63">
        <f t="shared" si="37"/>
        <v>6958.333333333333</v>
      </c>
      <c r="E176" s="14" t="str">
        <f t="shared" si="38"/>
        <v>No</v>
      </c>
      <c r="F176" s="63">
        <f t="shared" si="34"/>
        <v>6749.333333333333</v>
      </c>
      <c r="G176" s="63">
        <f t="shared" si="47"/>
        <v>1349.8666666666668</v>
      </c>
      <c r="H176" s="63">
        <f t="shared" si="39"/>
        <v>5399.4666666666662</v>
      </c>
      <c r="I176" s="312">
        <f t="shared" si="40"/>
        <v>5399.4666666666662</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5399.4666666666662</v>
      </c>
      <c r="Q176" s="312" t="str">
        <f t="shared" si="44"/>
        <v>No</v>
      </c>
      <c r="R176" s="312">
        <f t="shared" si="45"/>
        <v>3596.1333333333332</v>
      </c>
      <c r="S176" s="15">
        <f t="shared" si="46"/>
        <v>-3596.1333333333332</v>
      </c>
      <c r="T176" s="189">
        <f>IF(AND('Total income package'!$A$22=TRUE,M176="Yes",S176&gt;9.99),MIN(S176,$I$2),0)</f>
        <v>0</v>
      </c>
    </row>
    <row r="177" spans="1:20" ht="15" customHeight="1" x14ac:dyDescent="0.3">
      <c r="A177" s="117">
        <v>84000</v>
      </c>
      <c r="B177" s="384">
        <f t="shared" si="49"/>
        <v>7000</v>
      </c>
      <c r="C177" s="63">
        <f>'Total income package'!$D$80</f>
        <v>0</v>
      </c>
      <c r="D177" s="63">
        <f t="shared" si="37"/>
        <v>7000</v>
      </c>
      <c r="E177" s="14" t="str">
        <f t="shared" si="38"/>
        <v>No</v>
      </c>
      <c r="F177" s="63">
        <f t="shared" si="34"/>
        <v>6791</v>
      </c>
      <c r="G177" s="63">
        <f t="shared" si="47"/>
        <v>1358.2</v>
      </c>
      <c r="H177" s="63">
        <f t="shared" si="39"/>
        <v>5432.8</v>
      </c>
      <c r="I177" s="312">
        <f t="shared" si="40"/>
        <v>5432.8</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5432.8</v>
      </c>
      <c r="Q177" s="312" t="str">
        <f t="shared" si="44"/>
        <v>No</v>
      </c>
      <c r="R177" s="312">
        <f t="shared" si="45"/>
        <v>3629.4666666666672</v>
      </c>
      <c r="S177" s="15">
        <f t="shared" si="46"/>
        <v>-3629.4666666666672</v>
      </c>
      <c r="T177" s="189">
        <f>IF(AND('Total income package'!$A$22=TRUE,M177="Yes",S177&gt;9.99),MIN(S177,$I$2),0)</f>
        <v>0</v>
      </c>
    </row>
    <row r="178" spans="1:20" ht="15" customHeight="1" x14ac:dyDescent="0.3">
      <c r="A178" s="117">
        <v>84500</v>
      </c>
      <c r="B178" s="384">
        <f t="shared" si="49"/>
        <v>7041.666666666667</v>
      </c>
      <c r="C178" s="63">
        <f>'Total income package'!$D$80</f>
        <v>0</v>
      </c>
      <c r="D178" s="63">
        <f t="shared" si="37"/>
        <v>7041.666666666667</v>
      </c>
      <c r="E178" s="14" t="str">
        <f t="shared" si="38"/>
        <v>No</v>
      </c>
      <c r="F178" s="63">
        <f t="shared" si="34"/>
        <v>6832.666666666667</v>
      </c>
      <c r="G178" s="63">
        <f t="shared" si="47"/>
        <v>1366.5333333333335</v>
      </c>
      <c r="H178" s="63">
        <f t="shared" si="39"/>
        <v>5466.1333333333332</v>
      </c>
      <c r="I178" s="312">
        <f t="shared" si="40"/>
        <v>5466.1333333333332</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5466.1333333333332</v>
      </c>
      <c r="Q178" s="312" t="str">
        <f t="shared" si="44"/>
        <v>No</v>
      </c>
      <c r="R178" s="312">
        <f t="shared" si="45"/>
        <v>3662.8</v>
      </c>
      <c r="S178" s="15">
        <f t="shared" si="46"/>
        <v>-3662.8</v>
      </c>
      <c r="T178" s="189">
        <f>IF(AND('Total income package'!$A$22=TRUE,M178="Yes",S178&gt;9.99),MIN(S178,$I$2),0)</f>
        <v>0</v>
      </c>
    </row>
    <row r="179" spans="1:20" ht="15" customHeight="1" x14ac:dyDescent="0.3">
      <c r="A179" s="29">
        <v>85000</v>
      </c>
      <c r="B179" s="384">
        <f t="shared" si="49"/>
        <v>7083.333333333333</v>
      </c>
      <c r="C179" s="63">
        <f>'Total income package'!$D$80</f>
        <v>0</v>
      </c>
      <c r="D179" s="63">
        <f t="shared" si="37"/>
        <v>7083.333333333333</v>
      </c>
      <c r="E179" s="14" t="str">
        <f t="shared" si="38"/>
        <v>No</v>
      </c>
      <c r="F179" s="63">
        <f t="shared" si="34"/>
        <v>6874.333333333333</v>
      </c>
      <c r="G179" s="63">
        <f t="shared" si="47"/>
        <v>1374.8666666666668</v>
      </c>
      <c r="H179" s="63">
        <f t="shared" si="39"/>
        <v>5499.4666666666662</v>
      </c>
      <c r="I179" s="312">
        <f t="shared" si="40"/>
        <v>5499.4666666666662</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5499.4666666666662</v>
      </c>
      <c r="Q179" s="312" t="str">
        <f t="shared" si="44"/>
        <v>No</v>
      </c>
      <c r="R179" s="312">
        <f t="shared" si="45"/>
        <v>3696.1333333333332</v>
      </c>
      <c r="S179" s="15">
        <f t="shared" si="46"/>
        <v>-3696.1333333333332</v>
      </c>
      <c r="T179" s="189">
        <f>IF(AND('Total income package'!$A$22=TRUE,M179="Yes",S179&gt;9.99),MIN(S179,$I$2),0)</f>
        <v>0</v>
      </c>
    </row>
    <row r="180" spans="1:20" ht="15" customHeight="1" x14ac:dyDescent="0.3">
      <c r="A180" s="117">
        <v>85500</v>
      </c>
      <c r="B180" s="384">
        <f t="shared" si="49"/>
        <v>7125</v>
      </c>
      <c r="C180" s="63">
        <f>'Total income package'!$D$80</f>
        <v>0</v>
      </c>
      <c r="D180" s="63">
        <f t="shared" si="37"/>
        <v>7125</v>
      </c>
      <c r="E180" s="14" t="str">
        <f t="shared" si="38"/>
        <v>No</v>
      </c>
      <c r="F180" s="63">
        <f t="shared" si="34"/>
        <v>6916</v>
      </c>
      <c r="G180" s="63">
        <f t="shared" si="47"/>
        <v>1383.2</v>
      </c>
      <c r="H180" s="63">
        <f t="shared" si="39"/>
        <v>5532.8</v>
      </c>
      <c r="I180" s="312">
        <f t="shared" si="40"/>
        <v>5532.8</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5532.8</v>
      </c>
      <c r="Q180" s="312" t="str">
        <f t="shared" si="44"/>
        <v>No</v>
      </c>
      <c r="R180" s="312">
        <f t="shared" si="45"/>
        <v>3729.4666666666672</v>
      </c>
      <c r="S180" s="15">
        <f t="shared" si="46"/>
        <v>-3729.4666666666672</v>
      </c>
      <c r="T180" s="189">
        <f>IF(AND('Total income package'!$A$22=TRUE,M180="Yes",S180&gt;9.99),MIN(S180,$I$2),0)</f>
        <v>0</v>
      </c>
    </row>
    <row r="181" spans="1:20" ht="15" customHeight="1" x14ac:dyDescent="0.3">
      <c r="A181" s="117">
        <v>86000</v>
      </c>
      <c r="B181" s="384">
        <f t="shared" si="49"/>
        <v>7166.666666666667</v>
      </c>
      <c r="C181" s="63">
        <f>'Total income package'!$D$80</f>
        <v>0</v>
      </c>
      <c r="D181" s="63">
        <f t="shared" si="37"/>
        <v>7166.666666666667</v>
      </c>
      <c r="E181" s="14" t="str">
        <f t="shared" si="38"/>
        <v>No</v>
      </c>
      <c r="F181" s="63">
        <f t="shared" si="34"/>
        <v>6957.666666666667</v>
      </c>
      <c r="G181" s="63">
        <f t="shared" si="47"/>
        <v>1391.5333333333335</v>
      </c>
      <c r="H181" s="63">
        <f t="shared" si="39"/>
        <v>5566.1333333333332</v>
      </c>
      <c r="I181" s="312">
        <f t="shared" si="40"/>
        <v>5566.1333333333332</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5566.1333333333332</v>
      </c>
      <c r="Q181" s="312" t="str">
        <f t="shared" si="44"/>
        <v>No</v>
      </c>
      <c r="R181" s="312">
        <f t="shared" si="45"/>
        <v>3762.8</v>
      </c>
      <c r="S181" s="15">
        <f t="shared" si="46"/>
        <v>-3762.8</v>
      </c>
      <c r="T181" s="189">
        <f>IF(AND('Total income package'!$A$22=TRUE,M181="Yes",S181&gt;9.99),MIN(S181,$I$2),0)</f>
        <v>0</v>
      </c>
    </row>
    <row r="182" spans="1:20" ht="15" customHeight="1" x14ac:dyDescent="0.3">
      <c r="A182" s="29">
        <v>86500</v>
      </c>
      <c r="B182" s="384">
        <f t="shared" si="49"/>
        <v>7208.333333333333</v>
      </c>
      <c r="C182" s="63">
        <f>'Total income package'!$D$80</f>
        <v>0</v>
      </c>
      <c r="D182" s="63">
        <f t="shared" si="37"/>
        <v>7208.333333333333</v>
      </c>
      <c r="E182" s="14" t="str">
        <f t="shared" si="38"/>
        <v>No</v>
      </c>
      <c r="F182" s="63">
        <f t="shared" si="34"/>
        <v>6999.333333333333</v>
      </c>
      <c r="G182" s="63">
        <f t="shared" si="47"/>
        <v>1399.8666666666668</v>
      </c>
      <c r="H182" s="63">
        <f t="shared" si="39"/>
        <v>5599.4666666666662</v>
      </c>
      <c r="I182" s="312">
        <f t="shared" si="40"/>
        <v>5599.4666666666662</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5599.4666666666662</v>
      </c>
      <c r="Q182" s="312" t="str">
        <f t="shared" si="44"/>
        <v>No</v>
      </c>
      <c r="R182" s="312">
        <f t="shared" si="45"/>
        <v>3796.1333333333332</v>
      </c>
      <c r="S182" s="15">
        <f t="shared" si="46"/>
        <v>-3796.1333333333332</v>
      </c>
      <c r="T182" s="189">
        <f>IF(AND('Total income package'!$A$22=TRUE,M182="Yes",S182&gt;9.99),MIN(S182,$I$2),0)</f>
        <v>0</v>
      </c>
    </row>
    <row r="183" spans="1:20" ht="15" customHeight="1" x14ac:dyDescent="0.3">
      <c r="A183" s="117">
        <v>87000</v>
      </c>
      <c r="B183" s="384">
        <f t="shared" si="49"/>
        <v>7250</v>
      </c>
      <c r="C183" s="63">
        <f>'Total income package'!$D$80</f>
        <v>0</v>
      </c>
      <c r="D183" s="63">
        <f t="shared" si="37"/>
        <v>7250</v>
      </c>
      <c r="E183" s="14" t="str">
        <f t="shared" si="38"/>
        <v>No</v>
      </c>
      <c r="F183" s="63">
        <f t="shared" si="34"/>
        <v>7041</v>
      </c>
      <c r="G183" s="63">
        <f t="shared" si="47"/>
        <v>1408.2</v>
      </c>
      <c r="H183" s="63">
        <f t="shared" si="39"/>
        <v>5632.8</v>
      </c>
      <c r="I183" s="312">
        <f t="shared" si="40"/>
        <v>5632.8</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5632.8</v>
      </c>
      <c r="Q183" s="312" t="str">
        <f t="shared" si="44"/>
        <v>No</v>
      </c>
      <c r="R183" s="312">
        <f t="shared" si="45"/>
        <v>3829.4666666666672</v>
      </c>
      <c r="S183" s="15">
        <f t="shared" si="46"/>
        <v>-3829.4666666666672</v>
      </c>
      <c r="T183" s="189">
        <f>IF(AND('Total income package'!$A$22=TRUE,M183="Yes",S183&gt;9.99),MIN(S183,$I$2),0)</f>
        <v>0</v>
      </c>
    </row>
    <row r="184" spans="1:20" ht="15" customHeight="1" x14ac:dyDescent="0.3">
      <c r="A184" s="117">
        <v>87500</v>
      </c>
      <c r="B184" s="384">
        <f t="shared" si="49"/>
        <v>7291.666666666667</v>
      </c>
      <c r="C184" s="63">
        <f>'Total income package'!$D$80</f>
        <v>0</v>
      </c>
      <c r="D184" s="63">
        <f t="shared" si="37"/>
        <v>7291.666666666667</v>
      </c>
      <c r="E184" s="14" t="str">
        <f t="shared" si="38"/>
        <v>No</v>
      </c>
      <c r="F184" s="63">
        <f t="shared" si="34"/>
        <v>7082.666666666667</v>
      </c>
      <c r="G184" s="63">
        <f t="shared" si="47"/>
        <v>1416.5333333333335</v>
      </c>
      <c r="H184" s="63">
        <f t="shared" si="39"/>
        <v>5666.1333333333332</v>
      </c>
      <c r="I184" s="312">
        <f t="shared" si="40"/>
        <v>5666.1333333333332</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5666.1333333333332</v>
      </c>
      <c r="Q184" s="312" t="str">
        <f t="shared" si="44"/>
        <v>No</v>
      </c>
      <c r="R184" s="312">
        <f t="shared" si="45"/>
        <v>3862.8</v>
      </c>
      <c r="S184" s="15">
        <f t="shared" si="46"/>
        <v>-3862.8</v>
      </c>
      <c r="T184" s="189">
        <f>IF(AND('Total income package'!$A$22=TRUE,M184="Yes",S184&gt;9.99),MIN(S184,$I$2),0)</f>
        <v>0</v>
      </c>
    </row>
    <row r="185" spans="1:20" ht="15" customHeight="1" x14ac:dyDescent="0.3">
      <c r="A185" s="29">
        <v>88000</v>
      </c>
      <c r="B185" s="384">
        <f t="shared" si="49"/>
        <v>7333.333333333333</v>
      </c>
      <c r="C185" s="63">
        <f>'Total income package'!$D$80</f>
        <v>0</v>
      </c>
      <c r="D185" s="63">
        <f t="shared" si="37"/>
        <v>7333.333333333333</v>
      </c>
      <c r="E185" s="14" t="str">
        <f t="shared" si="38"/>
        <v>No</v>
      </c>
      <c r="F185" s="63">
        <f t="shared" si="34"/>
        <v>7124.333333333333</v>
      </c>
      <c r="G185" s="63">
        <f t="shared" si="47"/>
        <v>1424.8666666666668</v>
      </c>
      <c r="H185" s="63">
        <f t="shared" si="39"/>
        <v>5699.4666666666662</v>
      </c>
      <c r="I185" s="312">
        <f t="shared" si="40"/>
        <v>5699.4666666666662</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5699.4666666666662</v>
      </c>
      <c r="Q185" s="312" t="str">
        <f t="shared" si="44"/>
        <v>No</v>
      </c>
      <c r="R185" s="312">
        <f t="shared" si="45"/>
        <v>3896.1333333333332</v>
      </c>
      <c r="S185" s="15">
        <f t="shared" si="46"/>
        <v>-3896.1333333333332</v>
      </c>
      <c r="T185" s="189">
        <f>IF(AND('Total income package'!$A$22=TRUE,M185="Yes",S185&gt;9.99),MIN(S185,$I$2),0)</f>
        <v>0</v>
      </c>
    </row>
    <row r="186" spans="1:20" ht="15" customHeight="1" x14ac:dyDescent="0.3">
      <c r="A186" s="117">
        <v>88500</v>
      </c>
      <c r="B186" s="384">
        <f t="shared" si="49"/>
        <v>7375</v>
      </c>
      <c r="C186" s="63">
        <f>'Total income package'!$D$80</f>
        <v>0</v>
      </c>
      <c r="D186" s="63">
        <f t="shared" si="37"/>
        <v>7375</v>
      </c>
      <c r="E186" s="14" t="str">
        <f t="shared" si="38"/>
        <v>No</v>
      </c>
      <c r="F186" s="63">
        <f t="shared" si="34"/>
        <v>7166</v>
      </c>
      <c r="G186" s="63">
        <f t="shared" si="47"/>
        <v>1433.2</v>
      </c>
      <c r="H186" s="63">
        <f t="shared" si="39"/>
        <v>5732.8</v>
      </c>
      <c r="I186" s="312">
        <f t="shared" si="40"/>
        <v>5732.8</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5732.8</v>
      </c>
      <c r="Q186" s="312" t="str">
        <f t="shared" si="44"/>
        <v>No</v>
      </c>
      <c r="R186" s="312">
        <f t="shared" si="45"/>
        <v>3929.4666666666672</v>
      </c>
      <c r="S186" s="15">
        <f t="shared" si="46"/>
        <v>-3929.4666666666672</v>
      </c>
      <c r="T186" s="189">
        <f>IF(AND('Total income package'!$A$22=TRUE,M186="Yes",S186&gt;9.99),MIN(S186,$I$2),0)</f>
        <v>0</v>
      </c>
    </row>
    <row r="187" spans="1:20" ht="15" customHeight="1" x14ac:dyDescent="0.3">
      <c r="A187" s="117">
        <v>89000</v>
      </c>
      <c r="B187" s="384">
        <f t="shared" si="49"/>
        <v>7416.666666666667</v>
      </c>
      <c r="C187" s="63">
        <f>'Total income package'!$D$80</f>
        <v>0</v>
      </c>
      <c r="D187" s="63">
        <f t="shared" si="37"/>
        <v>7416.666666666667</v>
      </c>
      <c r="E187" s="14" t="str">
        <f t="shared" si="38"/>
        <v>No</v>
      </c>
      <c r="F187" s="63">
        <f t="shared" si="34"/>
        <v>7207.666666666667</v>
      </c>
      <c r="G187" s="63">
        <f t="shared" si="47"/>
        <v>1441.5333333333335</v>
      </c>
      <c r="H187" s="63">
        <f t="shared" si="39"/>
        <v>5766.1333333333332</v>
      </c>
      <c r="I187" s="312">
        <f t="shared" si="40"/>
        <v>5766.1333333333332</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5766.1333333333332</v>
      </c>
      <c r="Q187" s="312" t="str">
        <f t="shared" si="44"/>
        <v>No</v>
      </c>
      <c r="R187" s="312">
        <f t="shared" si="45"/>
        <v>3962.8</v>
      </c>
      <c r="S187" s="15">
        <f t="shared" si="46"/>
        <v>-3962.8</v>
      </c>
      <c r="T187" s="189">
        <f>IF(AND('Total income package'!$A$22=TRUE,M187="Yes",S187&gt;9.99),MIN(S187,$I$2),0)</f>
        <v>0</v>
      </c>
    </row>
    <row r="188" spans="1:20" ht="15" customHeight="1" x14ac:dyDescent="0.3">
      <c r="A188" s="29">
        <v>89500</v>
      </c>
      <c r="B188" s="384">
        <f t="shared" si="49"/>
        <v>7458.333333333333</v>
      </c>
      <c r="C188" s="63">
        <f>'Total income package'!$D$80</f>
        <v>0</v>
      </c>
      <c r="D188" s="63">
        <f t="shared" si="37"/>
        <v>7458.333333333333</v>
      </c>
      <c r="E188" s="14" t="str">
        <f t="shared" si="38"/>
        <v>No</v>
      </c>
      <c r="F188" s="63">
        <f t="shared" si="34"/>
        <v>7249.333333333333</v>
      </c>
      <c r="G188" s="63">
        <f t="shared" si="47"/>
        <v>1449.8666666666668</v>
      </c>
      <c r="H188" s="63">
        <f t="shared" si="39"/>
        <v>5799.4666666666662</v>
      </c>
      <c r="I188" s="312">
        <f t="shared" si="40"/>
        <v>5799.4666666666662</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5799.4666666666662</v>
      </c>
      <c r="Q188" s="312" t="str">
        <f t="shared" si="44"/>
        <v>No</v>
      </c>
      <c r="R188" s="312">
        <f t="shared" si="45"/>
        <v>3996.1333333333332</v>
      </c>
      <c r="S188" s="15">
        <f t="shared" si="46"/>
        <v>-3996.1333333333332</v>
      </c>
      <c r="T188" s="189">
        <f>IF(AND('Total income package'!$A$22=TRUE,M188="Yes",S188&gt;9.99),MIN(S188,$I$2),0)</f>
        <v>0</v>
      </c>
    </row>
    <row r="189" spans="1:20" ht="15" customHeight="1" x14ac:dyDescent="0.3">
      <c r="A189" s="117">
        <v>90000</v>
      </c>
      <c r="B189" s="384">
        <f t="shared" si="49"/>
        <v>7500</v>
      </c>
      <c r="C189" s="63">
        <f>'Total income package'!$D$80</f>
        <v>0</v>
      </c>
      <c r="D189" s="63">
        <f t="shared" si="37"/>
        <v>7500</v>
      </c>
      <c r="E189" s="14" t="str">
        <f t="shared" si="38"/>
        <v>No</v>
      </c>
      <c r="F189" s="63">
        <f t="shared" si="34"/>
        <v>7291</v>
      </c>
      <c r="G189" s="63">
        <f t="shared" si="47"/>
        <v>1458.2</v>
      </c>
      <c r="H189" s="63">
        <f t="shared" si="39"/>
        <v>5832.8</v>
      </c>
      <c r="I189" s="312">
        <f t="shared" si="40"/>
        <v>5832.8</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5832.8</v>
      </c>
      <c r="Q189" s="312" t="str">
        <f t="shared" si="44"/>
        <v>No</v>
      </c>
      <c r="R189" s="312">
        <f t="shared" si="45"/>
        <v>4029.4666666666672</v>
      </c>
      <c r="S189" s="15">
        <f t="shared" si="46"/>
        <v>-4029.4666666666672</v>
      </c>
      <c r="T189" s="189">
        <f>IF(AND('Total income package'!$A$22=TRUE,M189="Yes",S189&gt;9.99),MIN(S189,$I$2),0)</f>
        <v>0</v>
      </c>
    </row>
    <row r="190" spans="1:20" ht="15" customHeight="1" x14ac:dyDescent="0.3">
      <c r="A190" s="117">
        <v>90500</v>
      </c>
      <c r="B190" s="384">
        <f t="shared" si="49"/>
        <v>7541.666666666667</v>
      </c>
      <c r="C190" s="63">
        <f>'Total income package'!$D$80</f>
        <v>0</v>
      </c>
      <c r="D190" s="63">
        <f t="shared" si="37"/>
        <v>7541.666666666667</v>
      </c>
      <c r="E190" s="14" t="str">
        <f t="shared" si="38"/>
        <v>No</v>
      </c>
      <c r="F190" s="63">
        <f t="shared" si="34"/>
        <v>7332.666666666667</v>
      </c>
      <c r="G190" s="63">
        <f t="shared" si="47"/>
        <v>1466.5333333333335</v>
      </c>
      <c r="H190" s="63">
        <f t="shared" si="39"/>
        <v>5866.1333333333332</v>
      </c>
      <c r="I190" s="312">
        <f t="shared" si="40"/>
        <v>5866.1333333333332</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5866.1333333333332</v>
      </c>
      <c r="Q190" s="312" t="str">
        <f t="shared" si="44"/>
        <v>No</v>
      </c>
      <c r="R190" s="312">
        <f t="shared" si="45"/>
        <v>4062.8</v>
      </c>
      <c r="S190" s="15">
        <f t="shared" si="46"/>
        <v>-4062.8</v>
      </c>
      <c r="T190" s="189">
        <f>IF(AND('Total income package'!$A$22=TRUE,M190="Yes",S190&gt;9.99),MIN(S190,$I$2),0)</f>
        <v>0</v>
      </c>
    </row>
    <row r="191" spans="1:20" ht="15" customHeight="1" x14ac:dyDescent="0.3">
      <c r="A191" s="29">
        <v>91000</v>
      </c>
      <c r="B191" s="384">
        <f t="shared" si="49"/>
        <v>7583.333333333333</v>
      </c>
      <c r="C191" s="63">
        <f>'Total income package'!$D$80</f>
        <v>0</v>
      </c>
      <c r="D191" s="63">
        <f t="shared" si="37"/>
        <v>7583.333333333333</v>
      </c>
      <c r="E191" s="14" t="str">
        <f t="shared" si="38"/>
        <v>No</v>
      </c>
      <c r="F191" s="63">
        <f t="shared" si="34"/>
        <v>7374.333333333333</v>
      </c>
      <c r="G191" s="63">
        <f t="shared" si="47"/>
        <v>1474.8666666666668</v>
      </c>
      <c r="H191" s="63">
        <f t="shared" si="39"/>
        <v>5899.4666666666662</v>
      </c>
      <c r="I191" s="312">
        <f t="shared" si="40"/>
        <v>5899.4666666666662</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5899.4666666666662</v>
      </c>
      <c r="Q191" s="312" t="str">
        <f t="shared" si="44"/>
        <v>No</v>
      </c>
      <c r="R191" s="312">
        <f t="shared" si="45"/>
        <v>4096.1333333333332</v>
      </c>
      <c r="S191" s="15">
        <f t="shared" si="46"/>
        <v>-4096.1333333333332</v>
      </c>
      <c r="T191" s="189">
        <f>IF(AND('Total income package'!$A$22=TRUE,M191="Yes",S191&gt;9.99),MIN(S191,$I$2),0)</f>
        <v>0</v>
      </c>
    </row>
    <row r="192" spans="1:20" ht="15" customHeight="1" x14ac:dyDescent="0.3">
      <c r="A192" s="117">
        <v>91500</v>
      </c>
      <c r="B192" s="384">
        <f t="shared" si="49"/>
        <v>7625</v>
      </c>
      <c r="C192" s="63">
        <f>'Total income package'!$D$80</f>
        <v>0</v>
      </c>
      <c r="D192" s="63">
        <f t="shared" si="37"/>
        <v>7625</v>
      </c>
      <c r="E192" s="14" t="str">
        <f t="shared" si="38"/>
        <v>No</v>
      </c>
      <c r="F192" s="63">
        <f t="shared" si="34"/>
        <v>7416</v>
      </c>
      <c r="G192" s="63">
        <f t="shared" si="47"/>
        <v>1483.2</v>
      </c>
      <c r="H192" s="63">
        <f t="shared" si="39"/>
        <v>5932.8</v>
      </c>
      <c r="I192" s="312">
        <f t="shared" si="40"/>
        <v>5932.8</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5932.8</v>
      </c>
      <c r="Q192" s="312" t="str">
        <f t="shared" si="44"/>
        <v>No</v>
      </c>
      <c r="R192" s="312">
        <f t="shared" si="45"/>
        <v>4129.4666666666672</v>
      </c>
      <c r="S192" s="15">
        <f t="shared" si="46"/>
        <v>-4129.4666666666672</v>
      </c>
      <c r="T192" s="189">
        <f>IF(AND('Total income package'!$A$22=TRUE,M192="Yes",S192&gt;9.99),MIN(S192,$I$2),0)</f>
        <v>0</v>
      </c>
    </row>
    <row r="193" spans="1:20" ht="15" customHeight="1" x14ac:dyDescent="0.3">
      <c r="A193" s="117">
        <v>92000</v>
      </c>
      <c r="B193" s="384">
        <f t="shared" si="49"/>
        <v>7666.666666666667</v>
      </c>
      <c r="C193" s="63">
        <f>'Total income package'!$D$80</f>
        <v>0</v>
      </c>
      <c r="D193" s="63">
        <f t="shared" si="37"/>
        <v>7666.666666666667</v>
      </c>
      <c r="E193" s="14" t="str">
        <f t="shared" si="38"/>
        <v>No</v>
      </c>
      <c r="F193" s="63">
        <f t="shared" si="34"/>
        <v>7457.666666666667</v>
      </c>
      <c r="G193" s="63">
        <f t="shared" si="47"/>
        <v>1491.5333333333335</v>
      </c>
      <c r="H193" s="63">
        <f t="shared" si="39"/>
        <v>5966.1333333333332</v>
      </c>
      <c r="I193" s="312">
        <f t="shared" si="40"/>
        <v>5966.1333333333332</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5966.1333333333332</v>
      </c>
      <c r="Q193" s="312" t="str">
        <f t="shared" si="44"/>
        <v>No</v>
      </c>
      <c r="R193" s="312">
        <f t="shared" si="45"/>
        <v>4162.8</v>
      </c>
      <c r="S193" s="15">
        <f t="shared" si="46"/>
        <v>-4162.8</v>
      </c>
      <c r="T193" s="189">
        <f>IF(AND('Total income package'!$A$22=TRUE,M193="Yes",S193&gt;9.99),MIN(S193,$I$2),0)</f>
        <v>0</v>
      </c>
    </row>
    <row r="194" spans="1:20" ht="15" customHeight="1" x14ac:dyDescent="0.3">
      <c r="A194" s="29">
        <v>92500</v>
      </c>
      <c r="B194" s="384">
        <f t="shared" si="49"/>
        <v>7708.333333333333</v>
      </c>
      <c r="C194" s="63">
        <f>'Total income package'!$D$80</f>
        <v>0</v>
      </c>
      <c r="D194" s="63">
        <f t="shared" si="37"/>
        <v>7708.333333333333</v>
      </c>
      <c r="E194" s="14" t="str">
        <f t="shared" si="38"/>
        <v>No</v>
      </c>
      <c r="F194" s="63">
        <f t="shared" si="34"/>
        <v>7499.333333333333</v>
      </c>
      <c r="G194" s="63">
        <f t="shared" si="47"/>
        <v>1499.8666666666668</v>
      </c>
      <c r="H194" s="63">
        <f t="shared" si="39"/>
        <v>5999.4666666666662</v>
      </c>
      <c r="I194" s="312">
        <f t="shared" si="40"/>
        <v>5999.4666666666662</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5999.4666666666662</v>
      </c>
      <c r="Q194" s="312" t="str">
        <f t="shared" si="44"/>
        <v>No</v>
      </c>
      <c r="R194" s="312">
        <f t="shared" si="45"/>
        <v>4196.1333333333332</v>
      </c>
      <c r="S194" s="15">
        <f t="shared" si="46"/>
        <v>-4196.1333333333332</v>
      </c>
      <c r="T194" s="189">
        <f>IF(AND('Total income package'!$A$22=TRUE,M194="Yes",S194&gt;9.99),MIN(S194,$I$2),0)</f>
        <v>0</v>
      </c>
    </row>
    <row r="195" spans="1:20" ht="15" customHeight="1" x14ac:dyDescent="0.3">
      <c r="A195" s="117">
        <v>93000</v>
      </c>
      <c r="B195" s="384">
        <f t="shared" si="49"/>
        <v>7750</v>
      </c>
      <c r="C195" s="63">
        <f>'Total income package'!$D$80</f>
        <v>0</v>
      </c>
      <c r="D195" s="63">
        <f t="shared" si="37"/>
        <v>7750</v>
      </c>
      <c r="E195" s="14" t="str">
        <f t="shared" si="38"/>
        <v>No</v>
      </c>
      <c r="F195" s="63">
        <f t="shared" si="34"/>
        <v>7541</v>
      </c>
      <c r="G195" s="63">
        <f t="shared" si="47"/>
        <v>1508.2</v>
      </c>
      <c r="H195" s="63">
        <f t="shared" si="39"/>
        <v>6032.8</v>
      </c>
      <c r="I195" s="312">
        <f t="shared" si="40"/>
        <v>6032.8</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6032.8</v>
      </c>
      <c r="Q195" s="312" t="str">
        <f t="shared" si="44"/>
        <v>No</v>
      </c>
      <c r="R195" s="312">
        <f t="shared" si="45"/>
        <v>4229.4666666666672</v>
      </c>
      <c r="S195" s="15">
        <f t="shared" si="46"/>
        <v>-4229.4666666666672</v>
      </c>
      <c r="T195" s="189">
        <f>IF(AND('Total income package'!$A$22=TRUE,M195="Yes",S195&gt;9.99),MIN(S195,$I$2),0)</f>
        <v>0</v>
      </c>
    </row>
    <row r="196" spans="1:20" ht="15" customHeight="1" x14ac:dyDescent="0.3">
      <c r="A196" s="117">
        <v>93500</v>
      </c>
      <c r="B196" s="384">
        <f t="shared" si="49"/>
        <v>7791.666666666667</v>
      </c>
      <c r="C196" s="63">
        <f>'Total income package'!$D$80</f>
        <v>0</v>
      </c>
      <c r="D196" s="63">
        <f t="shared" si="37"/>
        <v>7791.666666666667</v>
      </c>
      <c r="E196" s="14" t="str">
        <f t="shared" si="38"/>
        <v>No</v>
      </c>
      <c r="F196" s="63">
        <f t="shared" si="34"/>
        <v>7582.666666666667</v>
      </c>
      <c r="G196" s="63">
        <f t="shared" si="47"/>
        <v>1516.5333333333335</v>
      </c>
      <c r="H196" s="63">
        <f t="shared" si="39"/>
        <v>6066.1333333333332</v>
      </c>
      <c r="I196" s="312">
        <f t="shared" si="40"/>
        <v>6066.1333333333332</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6066.1333333333332</v>
      </c>
      <c r="Q196" s="312" t="str">
        <f t="shared" si="44"/>
        <v>No</v>
      </c>
      <c r="R196" s="312">
        <f t="shared" si="45"/>
        <v>4262.8</v>
      </c>
      <c r="S196" s="15">
        <f t="shared" si="46"/>
        <v>-4262.8</v>
      </c>
      <c r="T196" s="189">
        <f>IF(AND('Total income package'!$A$22=TRUE,M196="Yes",S196&gt;9.99),MIN(S196,$I$2),0)</f>
        <v>0</v>
      </c>
    </row>
    <row r="197" spans="1:20" ht="15" customHeight="1" x14ac:dyDescent="0.3">
      <c r="A197" s="29">
        <v>94000</v>
      </c>
      <c r="B197" s="384">
        <f t="shared" si="49"/>
        <v>7833.333333333333</v>
      </c>
      <c r="C197" s="63">
        <f>'Total income package'!$D$80</f>
        <v>0</v>
      </c>
      <c r="D197" s="63">
        <f t="shared" si="37"/>
        <v>7833.333333333333</v>
      </c>
      <c r="E197" s="14" t="str">
        <f t="shared" si="38"/>
        <v>No</v>
      </c>
      <c r="F197" s="63">
        <f t="shared" si="34"/>
        <v>7624.333333333333</v>
      </c>
      <c r="G197" s="63">
        <f t="shared" si="47"/>
        <v>1524.8666666666668</v>
      </c>
      <c r="H197" s="63">
        <f t="shared" si="39"/>
        <v>6099.4666666666662</v>
      </c>
      <c r="I197" s="312">
        <f t="shared" si="40"/>
        <v>6099.4666666666662</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6099.4666666666662</v>
      </c>
      <c r="Q197" s="312" t="str">
        <f t="shared" si="44"/>
        <v>No</v>
      </c>
      <c r="R197" s="312">
        <f t="shared" si="45"/>
        <v>4296.1333333333332</v>
      </c>
      <c r="S197" s="15">
        <f t="shared" si="46"/>
        <v>-4296.1333333333332</v>
      </c>
      <c r="T197" s="189">
        <f>IF(AND('Total income package'!$A$22=TRUE,M197="Yes",S197&gt;9.99),MIN(S197,$I$2),0)</f>
        <v>0</v>
      </c>
    </row>
    <row r="198" spans="1:20" ht="15" customHeight="1" x14ac:dyDescent="0.3">
      <c r="A198" s="117">
        <v>94500</v>
      </c>
      <c r="B198" s="384">
        <f t="shared" si="49"/>
        <v>7875</v>
      </c>
      <c r="C198" s="63">
        <f>'Total income package'!$D$80</f>
        <v>0</v>
      </c>
      <c r="D198" s="63">
        <f t="shared" si="37"/>
        <v>7875</v>
      </c>
      <c r="E198" s="14" t="str">
        <f t="shared" si="38"/>
        <v>No</v>
      </c>
      <c r="F198" s="63">
        <f t="shared" si="34"/>
        <v>7666</v>
      </c>
      <c r="G198" s="63">
        <f t="shared" si="47"/>
        <v>1533.2</v>
      </c>
      <c r="H198" s="63">
        <f t="shared" si="39"/>
        <v>6132.8</v>
      </c>
      <c r="I198" s="312">
        <f t="shared" si="40"/>
        <v>6132.8</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6132.8</v>
      </c>
      <c r="Q198" s="312" t="str">
        <f t="shared" si="44"/>
        <v>No</v>
      </c>
      <c r="R198" s="312">
        <f t="shared" si="45"/>
        <v>4329.4666666666672</v>
      </c>
      <c r="S198" s="15">
        <f t="shared" si="46"/>
        <v>-4329.4666666666672</v>
      </c>
      <c r="T198" s="189">
        <f>IF(AND('Total income package'!$A$22=TRUE,M198="Yes",S198&gt;9.99),MIN(S198,$I$2),0)</f>
        <v>0</v>
      </c>
    </row>
    <row r="199" spans="1:20" ht="15" customHeight="1" x14ac:dyDescent="0.3">
      <c r="A199" s="117">
        <v>95000</v>
      </c>
      <c r="B199" s="384">
        <f t="shared" si="49"/>
        <v>7916.666666666667</v>
      </c>
      <c r="C199" s="63">
        <f>'Total income package'!$D$80</f>
        <v>0</v>
      </c>
      <c r="D199" s="63">
        <f t="shared" si="37"/>
        <v>7916.666666666667</v>
      </c>
      <c r="E199" s="14" t="str">
        <f t="shared" si="38"/>
        <v>No</v>
      </c>
      <c r="F199" s="63">
        <f t="shared" si="34"/>
        <v>7707.666666666667</v>
      </c>
      <c r="G199" s="63">
        <f t="shared" si="47"/>
        <v>1541.5333333333335</v>
      </c>
      <c r="H199" s="63">
        <f t="shared" si="39"/>
        <v>6166.1333333333332</v>
      </c>
      <c r="I199" s="312">
        <f t="shared" si="40"/>
        <v>6166.1333333333332</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6166.1333333333332</v>
      </c>
      <c r="Q199" s="312" t="str">
        <f t="shared" si="44"/>
        <v>No</v>
      </c>
      <c r="R199" s="312">
        <f t="shared" si="45"/>
        <v>4362.8</v>
      </c>
      <c r="S199" s="15">
        <f t="shared" si="46"/>
        <v>-4362.8</v>
      </c>
      <c r="T199" s="189">
        <f>IF(AND('Total income package'!$A$22=TRUE,M199="Yes",S199&gt;9.99),MIN(S199,$I$2),0)</f>
        <v>0</v>
      </c>
    </row>
    <row r="200" spans="1:20" ht="15" customHeight="1" x14ac:dyDescent="0.3">
      <c r="A200" s="29">
        <v>95500</v>
      </c>
      <c r="B200" s="384">
        <f t="shared" si="49"/>
        <v>7958.333333333333</v>
      </c>
      <c r="C200" s="63">
        <f>'Total income package'!$D$80</f>
        <v>0</v>
      </c>
      <c r="D200" s="63">
        <f t="shared" si="37"/>
        <v>7958.333333333333</v>
      </c>
      <c r="E200" s="14" t="str">
        <f t="shared" si="38"/>
        <v>No</v>
      </c>
      <c r="F200" s="63">
        <f t="shared" si="34"/>
        <v>7749.333333333333</v>
      </c>
      <c r="G200" s="63">
        <f t="shared" si="47"/>
        <v>1549.8666666666668</v>
      </c>
      <c r="H200" s="63">
        <f t="shared" si="39"/>
        <v>6199.4666666666662</v>
      </c>
      <c r="I200" s="312">
        <f t="shared" si="40"/>
        <v>6199.4666666666662</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6199.4666666666662</v>
      </c>
      <c r="Q200" s="312" t="str">
        <f t="shared" si="44"/>
        <v>No</v>
      </c>
      <c r="R200" s="312">
        <f t="shared" si="45"/>
        <v>4396.1333333333332</v>
      </c>
      <c r="S200" s="15">
        <f t="shared" si="46"/>
        <v>-4396.1333333333332</v>
      </c>
      <c r="T200" s="189">
        <f>IF(AND('Total income package'!$A$22=TRUE,M200="Yes",S200&gt;9.99),MIN(S200,$I$2),0)</f>
        <v>0</v>
      </c>
    </row>
    <row r="201" spans="1:20" ht="15" customHeight="1" x14ac:dyDescent="0.3">
      <c r="A201" s="117">
        <v>96000</v>
      </c>
      <c r="B201" s="384">
        <f t="shared" si="49"/>
        <v>8000</v>
      </c>
      <c r="C201" s="63">
        <f>'Total income package'!$D$80</f>
        <v>0</v>
      </c>
      <c r="D201" s="63">
        <f t="shared" si="37"/>
        <v>8000</v>
      </c>
      <c r="E201" s="14" t="str">
        <f t="shared" si="38"/>
        <v>No</v>
      </c>
      <c r="F201" s="63">
        <f t="shared" ref="F201:F209" si="50">IF(B201-$D$2&gt;0,B201-$D$2,0)</f>
        <v>7791</v>
      </c>
      <c r="G201" s="63">
        <f t="shared" si="47"/>
        <v>1558.2</v>
      </c>
      <c r="H201" s="63">
        <f t="shared" si="39"/>
        <v>6232.8</v>
      </c>
      <c r="I201" s="312">
        <f t="shared" si="40"/>
        <v>6232.8</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6232.8</v>
      </c>
      <c r="Q201" s="312" t="str">
        <f t="shared" si="44"/>
        <v>No</v>
      </c>
      <c r="R201" s="312">
        <f t="shared" si="45"/>
        <v>4429.4666666666672</v>
      </c>
      <c r="S201" s="15">
        <f t="shared" si="46"/>
        <v>-4429.4666666666672</v>
      </c>
      <c r="T201" s="189">
        <f>IF(AND('Total income package'!$A$22=TRUE,M201="Yes",S201&gt;9.99),MIN(S201,$I$2),0)</f>
        <v>0</v>
      </c>
    </row>
    <row r="202" spans="1:20" ht="15" customHeight="1" x14ac:dyDescent="0.3">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7832.666666666667</v>
      </c>
      <c r="G202" s="63">
        <f t="shared" si="47"/>
        <v>1566.5333333333335</v>
      </c>
      <c r="H202" s="63">
        <f t="shared" ref="H202:H209" si="55">F202-G202</f>
        <v>6266.1333333333332</v>
      </c>
      <c r="I202" s="312">
        <f t="shared" ref="I202:I209" si="56">C202+H202</f>
        <v>6266.1333333333332</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6266.1333333333332</v>
      </c>
      <c r="Q202" s="312" t="str">
        <f t="shared" ref="Q202:Q209" si="60">IF(P202&lt;$H$2,"Yes","No")</f>
        <v>No</v>
      </c>
      <c r="R202" s="312">
        <f t="shared" ref="R202:R209" si="61">IF(P202&gt;$H$2,P202-$H$2,0)</f>
        <v>4462.8</v>
      </c>
      <c r="S202" s="15">
        <f t="shared" ref="S202:S209" si="62">IF(P202&gt;$H$2,O202-R202,O202)</f>
        <v>-4462.8</v>
      </c>
      <c r="T202" s="189">
        <f>IF(AND('Total income package'!$A$22=TRUE,M202="Yes",S202&gt;9.99),MIN(S202,$I$2),0)</f>
        <v>0</v>
      </c>
    </row>
    <row r="203" spans="1:20" ht="15" customHeight="1" x14ac:dyDescent="0.3">
      <c r="A203" s="29">
        <v>97000</v>
      </c>
      <c r="B203" s="384">
        <f t="shared" si="49"/>
        <v>8083.333333333333</v>
      </c>
      <c r="C203" s="63">
        <f>'Total income package'!$D$80</f>
        <v>0</v>
      </c>
      <c r="D203" s="63">
        <f t="shared" si="53"/>
        <v>8083.333333333333</v>
      </c>
      <c r="E203" s="14" t="str">
        <f t="shared" si="54"/>
        <v>No</v>
      </c>
      <c r="F203" s="63">
        <f t="shared" si="50"/>
        <v>7874.333333333333</v>
      </c>
      <c r="G203" s="63">
        <f t="shared" ref="G203:G209" si="63">F203*0.2</f>
        <v>1574.8666666666668</v>
      </c>
      <c r="H203" s="63">
        <f t="shared" si="55"/>
        <v>6299.4666666666662</v>
      </c>
      <c r="I203" s="312">
        <f t="shared" si="56"/>
        <v>6299.4666666666662</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6299.4666666666662</v>
      </c>
      <c r="Q203" s="312" t="str">
        <f t="shared" si="60"/>
        <v>No</v>
      </c>
      <c r="R203" s="312">
        <f t="shared" si="61"/>
        <v>4496.1333333333332</v>
      </c>
      <c r="S203" s="15">
        <f t="shared" si="62"/>
        <v>-4496.1333333333332</v>
      </c>
      <c r="T203" s="189">
        <f>IF(AND('Total income package'!$A$22=TRUE,M203="Yes",S203&gt;9.99),MIN(S203,$I$2),0)</f>
        <v>0</v>
      </c>
    </row>
    <row r="204" spans="1:20" ht="15" customHeight="1" x14ac:dyDescent="0.3">
      <c r="A204" s="117">
        <v>97500</v>
      </c>
      <c r="B204" s="384">
        <f t="shared" si="49"/>
        <v>8125</v>
      </c>
      <c r="C204" s="63">
        <f>'Total income package'!$D$80</f>
        <v>0</v>
      </c>
      <c r="D204" s="63">
        <f t="shared" si="53"/>
        <v>8125</v>
      </c>
      <c r="E204" s="14" t="str">
        <f t="shared" si="54"/>
        <v>No</v>
      </c>
      <c r="F204" s="63">
        <f t="shared" si="50"/>
        <v>7916</v>
      </c>
      <c r="G204" s="63">
        <f t="shared" si="63"/>
        <v>1583.2</v>
      </c>
      <c r="H204" s="63">
        <f t="shared" si="55"/>
        <v>6332.8</v>
      </c>
      <c r="I204" s="312">
        <f t="shared" si="56"/>
        <v>6332.8</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6332.8</v>
      </c>
      <c r="Q204" s="312" t="str">
        <f t="shared" si="60"/>
        <v>No</v>
      </c>
      <c r="R204" s="312">
        <f t="shared" si="61"/>
        <v>4529.4666666666672</v>
      </c>
      <c r="S204" s="15">
        <f t="shared" si="62"/>
        <v>-4529.4666666666672</v>
      </c>
      <c r="T204" s="189">
        <f>IF(AND('Total income package'!$A$22=TRUE,M204="Yes",S204&gt;9.99),MIN(S204,$I$2),0)</f>
        <v>0</v>
      </c>
    </row>
    <row r="205" spans="1:20" ht="15" customHeight="1" x14ac:dyDescent="0.3">
      <c r="A205" s="117">
        <v>98000</v>
      </c>
      <c r="B205" s="384">
        <f t="shared" si="49"/>
        <v>8166.666666666667</v>
      </c>
      <c r="C205" s="63">
        <f>'Total income package'!$D$80</f>
        <v>0</v>
      </c>
      <c r="D205" s="63">
        <f t="shared" si="53"/>
        <v>8166.666666666667</v>
      </c>
      <c r="E205" s="14" t="str">
        <f t="shared" si="54"/>
        <v>No</v>
      </c>
      <c r="F205" s="63">
        <f t="shared" si="50"/>
        <v>7957.666666666667</v>
      </c>
      <c r="G205" s="63">
        <f t="shared" si="63"/>
        <v>1591.5333333333335</v>
      </c>
      <c r="H205" s="63">
        <f t="shared" si="55"/>
        <v>6366.1333333333332</v>
      </c>
      <c r="I205" s="312">
        <f t="shared" si="56"/>
        <v>6366.1333333333332</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6366.1333333333332</v>
      </c>
      <c r="Q205" s="312" t="str">
        <f t="shared" si="60"/>
        <v>No</v>
      </c>
      <c r="R205" s="312">
        <f t="shared" si="61"/>
        <v>4562.8</v>
      </c>
      <c r="S205" s="15">
        <f t="shared" si="62"/>
        <v>-4562.8</v>
      </c>
      <c r="T205" s="189">
        <f>IF(AND('Total income package'!$A$22=TRUE,M205="Yes",S205&gt;9.99),MIN(S205,$I$2),0)</f>
        <v>0</v>
      </c>
    </row>
    <row r="206" spans="1:20" ht="15" customHeight="1" x14ac:dyDescent="0.3">
      <c r="A206" s="29">
        <v>98500</v>
      </c>
      <c r="B206" s="384">
        <f t="shared" si="49"/>
        <v>8208.3333333333339</v>
      </c>
      <c r="C206" s="63">
        <f>'Total income package'!$D$80</f>
        <v>0</v>
      </c>
      <c r="D206" s="63">
        <f t="shared" si="53"/>
        <v>8208.3333333333339</v>
      </c>
      <c r="E206" s="14" t="str">
        <f t="shared" si="54"/>
        <v>No</v>
      </c>
      <c r="F206" s="63">
        <f t="shared" si="50"/>
        <v>7999.3333333333339</v>
      </c>
      <c r="G206" s="63">
        <f t="shared" si="63"/>
        <v>1599.8666666666668</v>
      </c>
      <c r="H206" s="63">
        <f t="shared" si="55"/>
        <v>6399.4666666666672</v>
      </c>
      <c r="I206" s="312">
        <f t="shared" si="56"/>
        <v>6399.4666666666672</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6399.4666666666672</v>
      </c>
      <c r="Q206" s="312" t="str">
        <f t="shared" si="60"/>
        <v>No</v>
      </c>
      <c r="R206" s="312">
        <f t="shared" si="61"/>
        <v>4596.1333333333341</v>
      </c>
      <c r="S206" s="15">
        <f t="shared" si="62"/>
        <v>-4596.1333333333341</v>
      </c>
      <c r="T206" s="189">
        <f>IF(AND('Total income package'!$A$22=TRUE,M206="Yes",S206&gt;9.99),MIN(S206,$I$2),0)</f>
        <v>0</v>
      </c>
    </row>
    <row r="207" spans="1:20" ht="15" customHeight="1" x14ac:dyDescent="0.3">
      <c r="A207" s="117">
        <v>99000</v>
      </c>
      <c r="B207" s="384">
        <f t="shared" si="49"/>
        <v>8250</v>
      </c>
      <c r="C207" s="63">
        <f>'Total income package'!$D$80</f>
        <v>0</v>
      </c>
      <c r="D207" s="63">
        <f t="shared" si="53"/>
        <v>8250</v>
      </c>
      <c r="E207" s="14" t="str">
        <f t="shared" si="54"/>
        <v>No</v>
      </c>
      <c r="F207" s="63">
        <f t="shared" si="50"/>
        <v>8041</v>
      </c>
      <c r="G207" s="63">
        <f t="shared" si="63"/>
        <v>1608.2</v>
      </c>
      <c r="H207" s="63">
        <f t="shared" si="55"/>
        <v>6432.8</v>
      </c>
      <c r="I207" s="312">
        <f t="shared" si="56"/>
        <v>6432.8</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6432.8</v>
      </c>
      <c r="Q207" s="312" t="str">
        <f t="shared" si="60"/>
        <v>No</v>
      </c>
      <c r="R207" s="312">
        <f t="shared" si="61"/>
        <v>4629.4666666666672</v>
      </c>
      <c r="S207" s="15">
        <f t="shared" si="62"/>
        <v>-4629.4666666666672</v>
      </c>
      <c r="T207" s="189">
        <f>IF(AND('Total income package'!$A$22=TRUE,M207="Yes",S207&gt;9.99),MIN(S207,$I$2),0)</f>
        <v>0</v>
      </c>
    </row>
    <row r="208" spans="1:20" ht="15" customHeight="1" x14ac:dyDescent="0.3">
      <c r="A208" s="117">
        <v>99500</v>
      </c>
      <c r="B208" s="384">
        <f t="shared" si="49"/>
        <v>8291.6666666666661</v>
      </c>
      <c r="C208" s="63">
        <f>'Total income package'!$D$80</f>
        <v>0</v>
      </c>
      <c r="D208" s="63">
        <f t="shared" si="53"/>
        <v>8291.6666666666661</v>
      </c>
      <c r="E208" s="14" t="str">
        <f t="shared" si="54"/>
        <v>No</v>
      </c>
      <c r="F208" s="63">
        <f t="shared" si="50"/>
        <v>8082.6666666666661</v>
      </c>
      <c r="G208" s="63">
        <f t="shared" si="63"/>
        <v>1616.5333333333333</v>
      </c>
      <c r="H208" s="63">
        <f t="shared" si="55"/>
        <v>6466.1333333333332</v>
      </c>
      <c r="I208" s="312">
        <f t="shared" si="56"/>
        <v>6466.1333333333332</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6466.1333333333332</v>
      </c>
      <c r="Q208" s="312" t="str">
        <f t="shared" si="60"/>
        <v>No</v>
      </c>
      <c r="R208" s="312">
        <f t="shared" si="61"/>
        <v>4662.8</v>
      </c>
      <c r="S208" s="15">
        <f t="shared" si="62"/>
        <v>-4662.8</v>
      </c>
      <c r="T208" s="189">
        <f>IF(AND('Total income package'!$A$22=TRUE,M208="Yes",S208&gt;9.99),MIN(S208,$I$2),0)</f>
        <v>0</v>
      </c>
    </row>
    <row r="209" spans="1:20" ht="15" customHeight="1" x14ac:dyDescent="0.3">
      <c r="A209" s="29">
        <v>100000</v>
      </c>
      <c r="B209" s="384">
        <f t="shared" si="49"/>
        <v>8333.3333333333339</v>
      </c>
      <c r="C209" s="63">
        <f>'Total income package'!$D$80</f>
        <v>0</v>
      </c>
      <c r="D209" s="63">
        <f t="shared" si="53"/>
        <v>8333.3333333333339</v>
      </c>
      <c r="E209" s="14" t="str">
        <f t="shared" si="54"/>
        <v>No</v>
      </c>
      <c r="F209" s="63">
        <f t="shared" si="50"/>
        <v>8124.3333333333339</v>
      </c>
      <c r="G209" s="63">
        <f t="shared" si="63"/>
        <v>1624.8666666666668</v>
      </c>
      <c r="H209" s="63">
        <f t="shared" si="55"/>
        <v>6499.4666666666672</v>
      </c>
      <c r="I209" s="312">
        <f t="shared" si="56"/>
        <v>6499.4666666666672</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6499.4666666666672</v>
      </c>
      <c r="Q209" s="312" t="str">
        <f t="shared" si="60"/>
        <v>No</v>
      </c>
      <c r="R209" s="312">
        <f t="shared" si="61"/>
        <v>4696.1333333333341</v>
      </c>
      <c r="S209" s="15">
        <f t="shared" si="62"/>
        <v>-4696.1333333333341</v>
      </c>
      <c r="T209" s="189">
        <f>IF(AND('Total income package'!$A$22=TRUE,M209="Yes",S209&gt;9.99),MIN(S209,$I$2),0)</f>
        <v>0</v>
      </c>
    </row>
    <row r="210" spans="1:20" ht="15" customHeight="1" x14ac:dyDescent="0.3">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3">
      <c r="A211" s="116" t="s">
        <v>302</v>
      </c>
      <c r="B211" s="150"/>
      <c r="C211" s="63"/>
      <c r="D211" s="63"/>
      <c r="E211" s="14"/>
      <c r="H211" s="63"/>
      <c r="I211" s="312"/>
      <c r="K211"/>
      <c r="M211" s="14"/>
      <c r="N211" s="14"/>
      <c r="O211" s="12"/>
      <c r="P211"/>
      <c r="T211" s="12"/>
    </row>
    <row r="212" spans="1:20" ht="15" customHeight="1" x14ac:dyDescent="0.3">
      <c r="A212" s="7"/>
      <c r="B212" s="150">
        <f>IF($D$6&gt;0,'Total income package'!$B$90,0)</f>
        <v>1423</v>
      </c>
      <c r="C212" s="63">
        <f>'Total income package'!$D$80</f>
        <v>0</v>
      </c>
      <c r="D212" s="63">
        <f t="shared" ref="D212:D214" si="64">B212+C212</f>
        <v>1423</v>
      </c>
      <c r="E212" s="14" t="str">
        <f t="shared" ref="E212:E214" si="65">IF(D212&lt;=$F$2,"Yes","No")</f>
        <v>No</v>
      </c>
      <c r="F212" s="63">
        <f>IF(B212-$D$2&gt;0,B212-$D$2,0)</f>
        <v>1214</v>
      </c>
      <c r="G212" s="63">
        <f>F212*0.2</f>
        <v>242.8</v>
      </c>
      <c r="H212" s="63">
        <f t="shared" ref="H212:H214" si="66">F212-G212</f>
        <v>971.2</v>
      </c>
      <c r="I212" s="312">
        <f t="shared" ref="I212:I214" si="67">C212+H212</f>
        <v>971.2</v>
      </c>
      <c r="J212" s="14" t="str">
        <f>IF(I212&lt;$G$2,"Yes","No")</f>
        <v>No</v>
      </c>
      <c r="K212" s="63">
        <f>IF(E212="Yes",MIN(IF($G$2-I212&gt;0,$G$2-I212,0),$I$2),0)</f>
        <v>0</v>
      </c>
      <c r="L212" s="130">
        <f>IF('Total income package'!$A$20=TRUE,MIN(IF(K212&gt;9.99,K212,0),$I$2),0)</f>
        <v>0</v>
      </c>
      <c r="M212" s="14" t="str">
        <f t="shared" ref="M212:M214" si="68">IF(D212&lt;$H$2,"Yes","No")</f>
        <v>Yes</v>
      </c>
      <c r="N212" s="14" t="str">
        <f t="shared" ref="N212:N214" si="69">IF(C212&lt;$G$2,"Yes","No")</f>
        <v>Yes</v>
      </c>
      <c r="O212" s="312">
        <f>IF(M212="Yes",MIN($G$2,$I$2),0)</f>
        <v>385</v>
      </c>
      <c r="P212" s="63">
        <f>I212+O212</f>
        <v>1356.2</v>
      </c>
      <c r="Q212" s="312" t="str">
        <f>IF(P212&lt;$H$2,"Yes","No")</f>
        <v>Yes</v>
      </c>
      <c r="R212" s="312">
        <f>IF(P212&gt;$H$2,P212-$H$2,0)</f>
        <v>0</v>
      </c>
      <c r="S212" s="15">
        <f>IF(P212&gt;$H$2,O212-R212,O212)</f>
        <v>385</v>
      </c>
      <c r="T212" s="189">
        <f>IF(AND('Total income package'!$A$22=TRUE,M212="Yes",S212&gt;9.99),MIN(S212,$I$2),0)</f>
        <v>0</v>
      </c>
    </row>
    <row r="213" spans="1:20" ht="15" customHeight="1" x14ac:dyDescent="0.3">
      <c r="A213" s="116" t="s">
        <v>303</v>
      </c>
      <c r="B213" s="150"/>
      <c r="C213" s="63"/>
      <c r="D213" s="63"/>
      <c r="E213" s="14"/>
      <c r="H213" s="63"/>
      <c r="I213" s="312"/>
      <c r="J213" s="14"/>
      <c r="K213" s="63"/>
      <c r="L213" s="63"/>
      <c r="M213" s="14"/>
      <c r="N213" s="14"/>
      <c r="O213" s="12"/>
      <c r="P213"/>
      <c r="T213" s="12"/>
    </row>
    <row r="214" spans="1:20" ht="15" customHeight="1" x14ac:dyDescent="0.3">
      <c r="A214" s="7"/>
      <c r="B214" s="150">
        <f>IF($D$6&gt;0,'Total income package'!$B$90,0)</f>
        <v>1423</v>
      </c>
      <c r="C214" s="63">
        <f>'Total income package'!$D$80</f>
        <v>0</v>
      </c>
      <c r="D214" s="63">
        <f t="shared" si="64"/>
        <v>1423</v>
      </c>
      <c r="E214" s="14" t="str">
        <f t="shared" si="65"/>
        <v>No</v>
      </c>
      <c r="F214" s="63">
        <f>IF(B214-$D$2&gt;0,B214-$D$2,0)</f>
        <v>1214</v>
      </c>
      <c r="G214" s="63">
        <f>F214*0.2</f>
        <v>242.8</v>
      </c>
      <c r="H214" s="63">
        <f t="shared" si="66"/>
        <v>971.2</v>
      </c>
      <c r="I214" s="312">
        <f t="shared" si="67"/>
        <v>971.2</v>
      </c>
      <c r="J214" s="14" t="str">
        <f>IF(I214&lt;$G$2,"Yes","No")</f>
        <v>No</v>
      </c>
      <c r="K214" s="63">
        <f>IF(E214="Yes",MIN(IF($G$2-I214&gt;0,$G$2-I214,0),$I$2),0)</f>
        <v>0</v>
      </c>
      <c r="L214" s="130">
        <f>IF('Total income package'!$A$20=TRUE,MIN(IF(K214&gt;9.99,K214,0),$I$2),0)</f>
        <v>0</v>
      </c>
      <c r="M214" s="14" t="str">
        <f t="shared" si="68"/>
        <v>Yes</v>
      </c>
      <c r="N214" s="14" t="str">
        <f t="shared" si="69"/>
        <v>Yes</v>
      </c>
      <c r="O214" s="312">
        <f>IF(M214="Yes",MIN($G$2,$I$2),0)</f>
        <v>385</v>
      </c>
      <c r="P214" s="63">
        <f>I214+O214</f>
        <v>1356.2</v>
      </c>
      <c r="Q214" s="312" t="str">
        <f>IF(P214&lt;$H$2,"Yes","No")</f>
        <v>Yes</v>
      </c>
      <c r="R214" s="312">
        <f>IF(P214&gt;$H$2,P214-$H$2,0)</f>
        <v>0</v>
      </c>
      <c r="S214" s="15">
        <f>IF(P214&gt;$H$2,O214-R214,O214)</f>
        <v>385</v>
      </c>
      <c r="T214" s="189">
        <f>IF(AND('Total income package'!$A$22=TRUE,M214="Yes",S214&gt;9.99),MIN(S214,$I$2),0)</f>
        <v>0</v>
      </c>
    </row>
    <row r="215" spans="1:20" ht="15" customHeight="1" x14ac:dyDescent="0.3">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4.4" x14ac:dyDescent="0.3"/>
  <cols>
    <col min="1" max="1" width="24.109375" customWidth="1"/>
    <col min="2" max="5" width="21.88671875" customWidth="1"/>
    <col min="6" max="6" width="20.44140625" style="7" customWidth="1"/>
    <col min="7" max="7" width="26.88671875" customWidth="1"/>
    <col min="8" max="8" width="19.6640625" customWidth="1"/>
    <col min="9" max="9" width="15.44140625" customWidth="1"/>
    <col min="10" max="10" width="13.88671875" customWidth="1"/>
    <col min="11" max="11" width="10.33203125" customWidth="1"/>
    <col min="12" max="12" width="10.88671875" customWidth="1"/>
    <col min="15" max="15" width="32.88671875" customWidth="1"/>
  </cols>
  <sheetData>
    <row r="1" spans="1:17" ht="47.25" customHeight="1" x14ac:dyDescent="0.3">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3.2" x14ac:dyDescent="0.3">
      <c r="A2" s="78" t="str">
        <f>'Total income package'!B3</f>
        <v xml:space="preserve">Buckingham </v>
      </c>
      <c r="B2" s="77">
        <f>'Total income package'!B32</f>
        <v>5</v>
      </c>
      <c r="C2" s="77">
        <f>COUNTIF('Total income package'!$B$48:$B$54,"Infant")</f>
        <v>1</v>
      </c>
      <c r="D2" s="77">
        <f>COUNTIF('Total income package'!$B$48:$B$54,"Toddler")</f>
        <v>0</v>
      </c>
      <c r="E2" s="77">
        <f>COUNTIF('Total income package'!$B$48:$B$54,"Two year old")</f>
        <v>0</v>
      </c>
      <c r="F2" s="77">
        <f>COUNTIF('Total income package'!$B$48:$B$54,"Preschool")</f>
        <v>0</v>
      </c>
      <c r="G2" s="77">
        <f>SUM(C2:F2)</f>
        <v>1</v>
      </c>
      <c r="H2" s="78">
        <f>'Total income package'!H61+'Total income package'!F66+'Total income package'!D80</f>
        <v>250</v>
      </c>
      <c r="I2" s="151">
        <f>VLOOKUP(B2,'Program specific data'!A109:B116,2)</f>
        <v>5805</v>
      </c>
      <c r="J2" s="313" t="s">
        <v>495</v>
      </c>
      <c r="K2" s="313" t="s">
        <v>496</v>
      </c>
      <c r="L2" s="313" t="s">
        <v>497</v>
      </c>
      <c r="M2" s="313" t="s">
        <v>498</v>
      </c>
    </row>
    <row r="6" spans="1:17" x14ac:dyDescent="0.3">
      <c r="E6" t="s">
        <v>499</v>
      </c>
    </row>
    <row r="7" spans="1:17" ht="28.8" x14ac:dyDescent="0.3">
      <c r="A7" s="18" t="s">
        <v>348</v>
      </c>
      <c r="B7" s="18" t="s">
        <v>349</v>
      </c>
      <c r="C7" s="13" t="s">
        <v>491</v>
      </c>
      <c r="D7" s="13" t="s">
        <v>408</v>
      </c>
      <c r="E7" s="18" t="s">
        <v>500</v>
      </c>
      <c r="F7" s="178" t="s">
        <v>501</v>
      </c>
    </row>
    <row r="8" spans="1:17" x14ac:dyDescent="0.3">
      <c r="A8" s="19">
        <v>0</v>
      </c>
      <c r="B8" s="20">
        <f t="shared" ref="B8:B73" si="0">A8/12</f>
        <v>0</v>
      </c>
      <c r="C8" s="20">
        <f>$H$2</f>
        <v>250</v>
      </c>
      <c r="D8" s="20">
        <f>MAX('TANF-VIEW'!L9,'TANF-VIEW'!T9)</f>
        <v>385</v>
      </c>
      <c r="E8" s="20">
        <f>B8+C8+D8</f>
        <v>635</v>
      </c>
      <c r="F8" s="178">
        <f>IF(AND('Total income package'!$A$24=TRUE,E8&lt;$I$2),'Program specific data'!$B$119*WIC!$G$2,0)</f>
        <v>36.76</v>
      </c>
    </row>
    <row r="9" spans="1:17" x14ac:dyDescent="0.3">
      <c r="A9" s="19">
        <v>500</v>
      </c>
      <c r="B9" s="20">
        <f t="shared" si="0"/>
        <v>41.666666666666664</v>
      </c>
      <c r="C9" s="20">
        <f>$H$2</f>
        <v>250</v>
      </c>
      <c r="D9" s="20">
        <f>MAX('TANF-VIEW'!L10,'TANF-VIEW'!T10)</f>
        <v>385</v>
      </c>
      <c r="E9" s="20">
        <f t="shared" ref="E9:E72" si="1">B9+C9+D9</f>
        <v>676.66666666666674</v>
      </c>
      <c r="F9" s="178">
        <f>IF(AND('Total income package'!$A$24=TRUE,E9&lt;$I$2),'Program specific data'!$B$119*WIC!$G$2,0)</f>
        <v>36.76</v>
      </c>
    </row>
    <row r="10" spans="1:17" x14ac:dyDescent="0.3">
      <c r="A10" s="19">
        <v>1000</v>
      </c>
      <c r="B10" s="20">
        <f t="shared" si="0"/>
        <v>83.333333333333329</v>
      </c>
      <c r="C10" s="20">
        <f t="shared" ref="C10:C72" si="2">$H$2</f>
        <v>250</v>
      </c>
      <c r="D10" s="20">
        <f>MAX('TANF-VIEW'!L11,'TANF-VIEW'!T11)</f>
        <v>385</v>
      </c>
      <c r="E10" s="20">
        <f t="shared" si="1"/>
        <v>718.33333333333326</v>
      </c>
      <c r="F10" s="178">
        <f>IF(AND('Total income package'!$A$24=TRUE,E10&lt;$I$2),'Program specific data'!$B$119*WIC!$G$2,0)</f>
        <v>36.76</v>
      </c>
    </row>
    <row r="11" spans="1:17" x14ac:dyDescent="0.3">
      <c r="A11" s="19">
        <v>1500</v>
      </c>
      <c r="B11" s="20">
        <f t="shared" si="0"/>
        <v>125</v>
      </c>
      <c r="C11" s="20">
        <f t="shared" si="2"/>
        <v>250</v>
      </c>
      <c r="D11" s="20">
        <f>MAX('TANF-VIEW'!L12,'TANF-VIEW'!T12)</f>
        <v>385</v>
      </c>
      <c r="E11" s="20">
        <f t="shared" si="1"/>
        <v>760</v>
      </c>
      <c r="F11" s="178">
        <f>IF(AND('Total income package'!$A$24=TRUE,E11&lt;$I$2),'Program specific data'!$B$119*WIC!$G$2,0)</f>
        <v>36.76</v>
      </c>
    </row>
    <row r="12" spans="1:17" x14ac:dyDescent="0.3">
      <c r="A12" s="19">
        <v>2000</v>
      </c>
      <c r="B12" s="20">
        <f t="shared" si="0"/>
        <v>166.66666666666666</v>
      </c>
      <c r="C12" s="20">
        <f t="shared" si="2"/>
        <v>250</v>
      </c>
      <c r="D12" s="20">
        <f>MAX('TANF-VIEW'!L13,'TANF-VIEW'!T13)</f>
        <v>385</v>
      </c>
      <c r="E12" s="20">
        <f t="shared" si="1"/>
        <v>801.66666666666663</v>
      </c>
      <c r="F12" s="178">
        <f>IF(AND('Total income package'!$A$24=TRUE,E12&lt;$I$2),'Program specific data'!$B$119*WIC!$G$2,0)</f>
        <v>36.76</v>
      </c>
      <c r="L12" s="16"/>
      <c r="M12" s="16"/>
      <c r="N12" s="16"/>
      <c r="O12" s="16"/>
      <c r="P12" s="16"/>
      <c r="Q12" s="7"/>
    </row>
    <row r="13" spans="1:17" x14ac:dyDescent="0.3">
      <c r="A13" s="19">
        <v>2500</v>
      </c>
      <c r="B13" s="20">
        <f t="shared" si="0"/>
        <v>208.33333333333334</v>
      </c>
      <c r="C13" s="20">
        <f t="shared" si="2"/>
        <v>250</v>
      </c>
      <c r="D13" s="20">
        <f>MAX('TANF-VIEW'!L14,'TANF-VIEW'!T14)</f>
        <v>385</v>
      </c>
      <c r="E13" s="20">
        <f t="shared" si="1"/>
        <v>843.33333333333337</v>
      </c>
      <c r="F13" s="178">
        <f>IF(AND('Total income package'!$A$24=TRUE,E13&lt;$I$2),'Program specific data'!$B$119*WIC!$G$2,0)</f>
        <v>36.76</v>
      </c>
      <c r="L13" s="17"/>
      <c r="Q13" s="7"/>
    </row>
    <row r="14" spans="1:17" x14ac:dyDescent="0.3">
      <c r="A14" s="19">
        <v>3000</v>
      </c>
      <c r="B14" s="20">
        <f t="shared" si="0"/>
        <v>250</v>
      </c>
      <c r="C14" s="20">
        <f t="shared" si="2"/>
        <v>250</v>
      </c>
      <c r="D14" s="20">
        <f>MAX('TANF-VIEW'!L15,'TANF-VIEW'!T15)</f>
        <v>352.2</v>
      </c>
      <c r="E14" s="20">
        <f t="shared" si="1"/>
        <v>852.2</v>
      </c>
      <c r="F14" s="178">
        <f>IF(AND('Total income package'!$A$24=TRUE,E14&lt;$I$2),'Program specific data'!$B$119*WIC!$G$2,0)</f>
        <v>36.76</v>
      </c>
      <c r="M14" s="7"/>
      <c r="Q14" s="7"/>
    </row>
    <row r="15" spans="1:17" x14ac:dyDescent="0.3">
      <c r="A15" s="19">
        <v>3500</v>
      </c>
      <c r="B15" s="20">
        <f t="shared" si="0"/>
        <v>291.66666666666669</v>
      </c>
      <c r="C15" s="20">
        <f t="shared" si="2"/>
        <v>250</v>
      </c>
      <c r="D15" s="20">
        <f>MAX('TANF-VIEW'!L16,'TANF-VIEW'!T16)</f>
        <v>318.86666666666667</v>
      </c>
      <c r="E15" s="20">
        <f t="shared" si="1"/>
        <v>860.53333333333342</v>
      </c>
      <c r="F15" s="178">
        <f>IF(AND('Total income package'!$A$24=TRUE,E15&lt;$I$2),'Program specific data'!$B$119*WIC!$G$2,0)</f>
        <v>36.76</v>
      </c>
      <c r="N15" s="7"/>
      <c r="O15" s="7"/>
      <c r="Q15" s="7"/>
    </row>
    <row r="16" spans="1:17" x14ac:dyDescent="0.3">
      <c r="A16" s="19">
        <v>4000</v>
      </c>
      <c r="B16" s="20">
        <f t="shared" si="0"/>
        <v>333.33333333333331</v>
      </c>
      <c r="C16" s="20">
        <f t="shared" si="2"/>
        <v>250</v>
      </c>
      <c r="D16" s="20">
        <f>MAX('TANF-VIEW'!L17,'TANF-VIEW'!T17)</f>
        <v>285.53333333333336</v>
      </c>
      <c r="E16" s="20">
        <f t="shared" si="1"/>
        <v>868.86666666666656</v>
      </c>
      <c r="F16" s="178">
        <f>IF(AND('Total income package'!$A$24=TRUE,E16&lt;$I$2),'Program specific data'!$B$119*WIC!$G$2,0)</f>
        <v>36.76</v>
      </c>
    </row>
    <row r="17" spans="1:6" x14ac:dyDescent="0.3">
      <c r="A17" s="19">
        <v>4500</v>
      </c>
      <c r="B17" s="20">
        <f t="shared" si="0"/>
        <v>375</v>
      </c>
      <c r="C17" s="20">
        <f t="shared" si="2"/>
        <v>250</v>
      </c>
      <c r="D17" s="20">
        <f>MAX('TANF-VIEW'!L18,'TANF-VIEW'!T18)</f>
        <v>252.2</v>
      </c>
      <c r="E17" s="20">
        <f t="shared" si="1"/>
        <v>877.2</v>
      </c>
      <c r="F17" s="178">
        <f>IF(AND('Total income package'!$A$24=TRUE,E17&lt;$I$2),'Program specific data'!$B$119*WIC!$G$2,0)</f>
        <v>36.76</v>
      </c>
    </row>
    <row r="18" spans="1:6" x14ac:dyDescent="0.3">
      <c r="A18" s="19">
        <v>5000</v>
      </c>
      <c r="B18" s="20">
        <f t="shared" si="0"/>
        <v>416.66666666666669</v>
      </c>
      <c r="C18" s="20">
        <f t="shared" si="2"/>
        <v>250</v>
      </c>
      <c r="D18" s="20">
        <f>MAX('TANF-VIEW'!L19,'TANF-VIEW'!T19)</f>
        <v>218.86666666666665</v>
      </c>
      <c r="E18" s="20">
        <f t="shared" si="1"/>
        <v>885.53333333333342</v>
      </c>
      <c r="F18" s="178">
        <f>IF(AND('Total income package'!$A$24=TRUE,E18&lt;$I$2),'Program specific data'!$B$119*WIC!$G$2,0)</f>
        <v>36.76</v>
      </c>
    </row>
    <row r="19" spans="1:6" x14ac:dyDescent="0.3">
      <c r="A19" s="19">
        <v>5500</v>
      </c>
      <c r="B19" s="20">
        <f t="shared" si="0"/>
        <v>458.33333333333331</v>
      </c>
      <c r="C19" s="20">
        <f t="shared" si="2"/>
        <v>250</v>
      </c>
      <c r="D19" s="20">
        <f>MAX('TANF-VIEW'!L20,'TANF-VIEW'!T20)</f>
        <v>185.53333333333336</v>
      </c>
      <c r="E19" s="20">
        <f t="shared" si="1"/>
        <v>893.86666666666656</v>
      </c>
      <c r="F19" s="178">
        <f>IF(AND('Total income package'!$A$24=TRUE,E19&lt;$I$2),'Program specific data'!$B$119*WIC!$G$2,0)</f>
        <v>36.76</v>
      </c>
    </row>
    <row r="20" spans="1:6" x14ac:dyDescent="0.3">
      <c r="A20" s="19">
        <v>6000</v>
      </c>
      <c r="B20" s="20">
        <f t="shared" si="0"/>
        <v>500</v>
      </c>
      <c r="C20" s="20">
        <f t="shared" si="2"/>
        <v>250</v>
      </c>
      <c r="D20" s="20">
        <f>MAX('TANF-VIEW'!L21,'TANF-VIEW'!T21)</f>
        <v>152.19999999999999</v>
      </c>
      <c r="E20" s="20">
        <f t="shared" si="1"/>
        <v>902.2</v>
      </c>
      <c r="F20" s="178">
        <f>IF(AND('Total income package'!$A$24=TRUE,E20&lt;$I$2),'Program specific data'!$B$119*WIC!$G$2,0)</f>
        <v>36.76</v>
      </c>
    </row>
    <row r="21" spans="1:6" x14ac:dyDescent="0.3">
      <c r="A21" s="19">
        <v>6500</v>
      </c>
      <c r="B21" s="20">
        <f t="shared" si="0"/>
        <v>541.66666666666663</v>
      </c>
      <c r="C21" s="20">
        <f t="shared" si="2"/>
        <v>250</v>
      </c>
      <c r="D21" s="20">
        <f>MAX('TANF-VIEW'!L22,'TANF-VIEW'!T22)</f>
        <v>118.86666666666667</v>
      </c>
      <c r="E21" s="20">
        <f t="shared" si="1"/>
        <v>910.5333333333333</v>
      </c>
      <c r="F21" s="178">
        <f>IF(AND('Total income package'!$A$24=TRUE,E21&lt;$I$2),'Program specific data'!$B$119*WIC!$G$2,0)</f>
        <v>36.76</v>
      </c>
    </row>
    <row r="22" spans="1:6" x14ac:dyDescent="0.3">
      <c r="A22" s="19">
        <v>7000</v>
      </c>
      <c r="B22" s="20">
        <f t="shared" si="0"/>
        <v>583.33333333333337</v>
      </c>
      <c r="C22" s="20">
        <f t="shared" si="2"/>
        <v>250</v>
      </c>
      <c r="D22" s="20">
        <f>MAX('TANF-VIEW'!L23,'TANF-VIEW'!T23)</f>
        <v>85.533333333333303</v>
      </c>
      <c r="E22" s="20">
        <f t="shared" si="1"/>
        <v>918.86666666666667</v>
      </c>
      <c r="F22" s="178">
        <f>IF(AND('Total income package'!$A$24=TRUE,E22&lt;$I$2),'Program specific data'!$B$119*WIC!$G$2,0)</f>
        <v>36.76</v>
      </c>
    </row>
    <row r="23" spans="1:6" x14ac:dyDescent="0.3">
      <c r="A23" s="19">
        <v>7500</v>
      </c>
      <c r="B23" s="20">
        <f t="shared" si="0"/>
        <v>625</v>
      </c>
      <c r="C23" s="20">
        <f t="shared" si="2"/>
        <v>250</v>
      </c>
      <c r="D23" s="20">
        <f>MAX('TANF-VIEW'!L24,'TANF-VIEW'!T24)</f>
        <v>52.199999999999989</v>
      </c>
      <c r="E23" s="20">
        <f t="shared" si="1"/>
        <v>927.2</v>
      </c>
      <c r="F23" s="178">
        <f>IF(AND('Total income package'!$A$24=TRUE,E23&lt;$I$2),'Program specific data'!$B$119*WIC!$G$2,0)</f>
        <v>36.76</v>
      </c>
    </row>
    <row r="24" spans="1:6" x14ac:dyDescent="0.3">
      <c r="A24" s="19">
        <v>8000</v>
      </c>
      <c r="B24" s="20">
        <f t="shared" si="0"/>
        <v>666.66666666666663</v>
      </c>
      <c r="C24" s="20">
        <f t="shared" si="2"/>
        <v>250</v>
      </c>
      <c r="D24" s="20">
        <f>MAX('TANF-VIEW'!L25,'TANF-VIEW'!T25)</f>
        <v>18.866666666666674</v>
      </c>
      <c r="E24" s="20">
        <f t="shared" si="1"/>
        <v>935.5333333333333</v>
      </c>
      <c r="F24" s="178">
        <f>IF(AND('Total income package'!$A$24=TRUE,E24&lt;$I$2),'Program specific data'!$B$119*WIC!$G$2,0)</f>
        <v>36.76</v>
      </c>
    </row>
    <row r="25" spans="1:6" x14ac:dyDescent="0.3">
      <c r="A25" s="19">
        <v>8500</v>
      </c>
      <c r="B25" s="20">
        <f t="shared" si="0"/>
        <v>708.33333333333337</v>
      </c>
      <c r="C25" s="20">
        <f t="shared" si="2"/>
        <v>250</v>
      </c>
      <c r="D25" s="20">
        <f>MAX('TANF-VIEW'!L26,'TANF-VIEW'!T26)</f>
        <v>0</v>
      </c>
      <c r="E25" s="20">
        <f t="shared" si="1"/>
        <v>958.33333333333337</v>
      </c>
      <c r="F25" s="178">
        <f>IF(AND('Total income package'!$A$24=TRUE,E25&lt;$I$2),'Program specific data'!$B$119*WIC!$G$2,0)</f>
        <v>36.76</v>
      </c>
    </row>
    <row r="26" spans="1:6" x14ac:dyDescent="0.3">
      <c r="A26" s="19">
        <v>9000</v>
      </c>
      <c r="B26" s="20">
        <f t="shared" si="0"/>
        <v>750</v>
      </c>
      <c r="C26" s="20">
        <f t="shared" si="2"/>
        <v>250</v>
      </c>
      <c r="D26" s="20">
        <f>MAX('TANF-VIEW'!L27,'TANF-VIEW'!T27)</f>
        <v>0</v>
      </c>
      <c r="E26" s="20">
        <f t="shared" si="1"/>
        <v>1000</v>
      </c>
      <c r="F26" s="178">
        <f>IF(AND('Total income package'!$A$24=TRUE,E26&lt;$I$2),'Program specific data'!$B$119*WIC!$G$2,0)</f>
        <v>36.76</v>
      </c>
    </row>
    <row r="27" spans="1:6" x14ac:dyDescent="0.3">
      <c r="A27" s="19">
        <v>9500</v>
      </c>
      <c r="B27" s="20">
        <f t="shared" si="0"/>
        <v>791.66666666666663</v>
      </c>
      <c r="C27" s="20">
        <f t="shared" si="2"/>
        <v>250</v>
      </c>
      <c r="D27" s="20">
        <f>MAX('TANF-VIEW'!L28,'TANF-VIEW'!T28)</f>
        <v>0</v>
      </c>
      <c r="E27" s="20">
        <f t="shared" si="1"/>
        <v>1041.6666666666665</v>
      </c>
      <c r="F27" s="178">
        <f>IF(AND('Total income package'!$A$24=TRUE,E27&lt;$I$2),'Program specific data'!$B$119*WIC!$G$2,0)</f>
        <v>36.76</v>
      </c>
    </row>
    <row r="28" spans="1:6" x14ac:dyDescent="0.3">
      <c r="A28" s="19">
        <v>10000</v>
      </c>
      <c r="B28" s="20">
        <f t="shared" si="0"/>
        <v>833.33333333333337</v>
      </c>
      <c r="C28" s="20">
        <f t="shared" si="2"/>
        <v>250</v>
      </c>
      <c r="D28" s="20">
        <f>MAX('TANF-VIEW'!L29,'TANF-VIEW'!T29)</f>
        <v>0</v>
      </c>
      <c r="E28" s="20">
        <f t="shared" si="1"/>
        <v>1083.3333333333335</v>
      </c>
      <c r="F28" s="178">
        <f>IF(AND('Total income package'!$A$24=TRUE,E28&lt;$I$2),'Program specific data'!$B$119*WIC!$G$2,0)</f>
        <v>36.76</v>
      </c>
    </row>
    <row r="29" spans="1:6" x14ac:dyDescent="0.3">
      <c r="A29" s="19">
        <v>10500</v>
      </c>
      <c r="B29" s="20">
        <f t="shared" si="0"/>
        <v>875</v>
      </c>
      <c r="C29" s="20">
        <f t="shared" si="2"/>
        <v>250</v>
      </c>
      <c r="D29" s="20">
        <f>MAX('TANF-VIEW'!L30,'TANF-VIEW'!T30)</f>
        <v>0</v>
      </c>
      <c r="E29" s="20">
        <f t="shared" si="1"/>
        <v>1125</v>
      </c>
      <c r="F29" s="178">
        <f>IF(AND('Total income package'!$A$24=TRUE,E29&lt;$I$2),'Program specific data'!$B$119*WIC!$G$2,0)</f>
        <v>36.76</v>
      </c>
    </row>
    <row r="30" spans="1:6" x14ac:dyDescent="0.3">
      <c r="A30" s="19">
        <v>11000</v>
      </c>
      <c r="B30" s="20">
        <f t="shared" si="0"/>
        <v>916.66666666666663</v>
      </c>
      <c r="C30" s="20">
        <f t="shared" si="2"/>
        <v>250</v>
      </c>
      <c r="D30" s="20">
        <f>MAX('TANF-VIEW'!L31,'TANF-VIEW'!T31)</f>
        <v>0</v>
      </c>
      <c r="E30" s="20">
        <f t="shared" si="1"/>
        <v>1166.6666666666665</v>
      </c>
      <c r="F30" s="178">
        <f>IF(AND('Total income package'!$A$24=TRUE,E30&lt;$I$2),'Program specific data'!$B$119*WIC!$G$2,0)</f>
        <v>36.76</v>
      </c>
    </row>
    <row r="31" spans="1:6" x14ac:dyDescent="0.3">
      <c r="A31" s="19">
        <v>11500</v>
      </c>
      <c r="B31" s="20">
        <f t="shared" si="0"/>
        <v>958.33333333333337</v>
      </c>
      <c r="C31" s="20">
        <f t="shared" si="2"/>
        <v>250</v>
      </c>
      <c r="D31" s="20">
        <f>MAX('TANF-VIEW'!L32,'TANF-VIEW'!T32)</f>
        <v>0</v>
      </c>
      <c r="E31" s="20">
        <f t="shared" si="1"/>
        <v>1208.3333333333335</v>
      </c>
      <c r="F31" s="178">
        <f>IF(AND('Total income package'!$A$24=TRUE,E31&lt;$I$2),'Program specific data'!$B$119*WIC!$G$2,0)</f>
        <v>36.76</v>
      </c>
    </row>
    <row r="32" spans="1:6" x14ac:dyDescent="0.3">
      <c r="A32" s="19">
        <v>12000</v>
      </c>
      <c r="B32" s="20">
        <f t="shared" si="0"/>
        <v>1000</v>
      </c>
      <c r="C32" s="20">
        <f t="shared" si="2"/>
        <v>250</v>
      </c>
      <c r="D32" s="20">
        <f>MAX('TANF-VIEW'!L33,'TANF-VIEW'!T33)</f>
        <v>0</v>
      </c>
      <c r="E32" s="20">
        <f t="shared" si="1"/>
        <v>1250</v>
      </c>
      <c r="F32" s="178">
        <f>IF(AND('Total income package'!$A$24=TRUE,E32&lt;$I$2),'Program specific data'!$B$119*WIC!$G$2,0)</f>
        <v>36.76</v>
      </c>
    </row>
    <row r="33" spans="1:6" x14ac:dyDescent="0.3">
      <c r="A33" s="19">
        <v>12500</v>
      </c>
      <c r="B33" s="20">
        <f t="shared" si="0"/>
        <v>1041.6666666666667</v>
      </c>
      <c r="C33" s="20">
        <f t="shared" si="2"/>
        <v>250</v>
      </c>
      <c r="D33" s="20">
        <f>MAX('TANF-VIEW'!L34,'TANF-VIEW'!T34)</f>
        <v>0</v>
      </c>
      <c r="E33" s="20">
        <f t="shared" si="1"/>
        <v>1291.6666666666667</v>
      </c>
      <c r="F33" s="178">
        <f>IF(AND('Total income package'!$A$24=TRUE,E33&lt;$I$2),'Program specific data'!$B$119*WIC!$G$2,0)</f>
        <v>36.76</v>
      </c>
    </row>
    <row r="34" spans="1:6" x14ac:dyDescent="0.3">
      <c r="A34" s="19">
        <v>13000</v>
      </c>
      <c r="B34" s="20">
        <f t="shared" si="0"/>
        <v>1083.3333333333333</v>
      </c>
      <c r="C34" s="20">
        <f t="shared" si="2"/>
        <v>250</v>
      </c>
      <c r="D34" s="20">
        <f>MAX('TANF-VIEW'!L35,'TANF-VIEW'!T35)</f>
        <v>0</v>
      </c>
      <c r="E34" s="20">
        <f t="shared" si="1"/>
        <v>1333.3333333333333</v>
      </c>
      <c r="F34" s="178">
        <f>IF(AND('Total income package'!$A$24=TRUE,E34&lt;$I$2),'Program specific data'!$B$119*WIC!$G$2,0)</f>
        <v>36.76</v>
      </c>
    </row>
    <row r="35" spans="1:6" x14ac:dyDescent="0.3">
      <c r="A35" s="19">
        <v>13500</v>
      </c>
      <c r="B35" s="20">
        <f t="shared" si="0"/>
        <v>1125</v>
      </c>
      <c r="C35" s="20">
        <f t="shared" si="2"/>
        <v>250</v>
      </c>
      <c r="D35" s="20">
        <f>MAX('TANF-VIEW'!L36,'TANF-VIEW'!T36)</f>
        <v>0</v>
      </c>
      <c r="E35" s="20">
        <f t="shared" si="1"/>
        <v>1375</v>
      </c>
      <c r="F35" s="178">
        <f>IF(AND('Total income package'!$A$24=TRUE,E35&lt;$I$2),'Program specific data'!$B$119*WIC!$G$2,0)</f>
        <v>36.76</v>
      </c>
    </row>
    <row r="36" spans="1:6" x14ac:dyDescent="0.3">
      <c r="A36" s="19">
        <v>14000</v>
      </c>
      <c r="B36" s="20">
        <f t="shared" si="0"/>
        <v>1166.6666666666667</v>
      </c>
      <c r="C36" s="20">
        <f t="shared" si="2"/>
        <v>250</v>
      </c>
      <c r="D36" s="20">
        <f>MAX('TANF-VIEW'!L37,'TANF-VIEW'!T37)</f>
        <v>0</v>
      </c>
      <c r="E36" s="20">
        <f t="shared" si="1"/>
        <v>1416.6666666666667</v>
      </c>
      <c r="F36" s="178">
        <f>IF(AND('Total income package'!$A$24=TRUE,E36&lt;$I$2),'Program specific data'!$B$119*WIC!$G$2,0)</f>
        <v>36.76</v>
      </c>
    </row>
    <row r="37" spans="1:6" x14ac:dyDescent="0.3">
      <c r="A37" s="19">
        <v>14500</v>
      </c>
      <c r="B37" s="20">
        <f t="shared" si="0"/>
        <v>1208.3333333333333</v>
      </c>
      <c r="C37" s="20">
        <f t="shared" si="2"/>
        <v>250</v>
      </c>
      <c r="D37" s="20">
        <f>MAX('TANF-VIEW'!L38,'TANF-VIEW'!T38)</f>
        <v>0</v>
      </c>
      <c r="E37" s="20">
        <f t="shared" si="1"/>
        <v>1458.3333333333333</v>
      </c>
      <c r="F37" s="178">
        <f>IF(AND('Total income package'!$A$24=TRUE,E37&lt;$I$2),'Program specific data'!$B$119*WIC!$G$2,0)</f>
        <v>36.76</v>
      </c>
    </row>
    <row r="38" spans="1:6" x14ac:dyDescent="0.3">
      <c r="A38" s="19">
        <v>15000</v>
      </c>
      <c r="B38" s="20">
        <f t="shared" si="0"/>
        <v>1250</v>
      </c>
      <c r="C38" s="20">
        <f t="shared" si="2"/>
        <v>250</v>
      </c>
      <c r="D38" s="20">
        <f>MAX('TANF-VIEW'!L39,'TANF-VIEW'!T39)</f>
        <v>0</v>
      </c>
      <c r="E38" s="20">
        <f t="shared" si="1"/>
        <v>1500</v>
      </c>
      <c r="F38" s="178">
        <f>IF(AND('Total income package'!$A$24=TRUE,E38&lt;$I$2),'Program specific data'!$B$119*WIC!$G$2,0)</f>
        <v>36.76</v>
      </c>
    </row>
    <row r="39" spans="1:6" x14ac:dyDescent="0.3">
      <c r="A39" s="19">
        <v>15500</v>
      </c>
      <c r="B39" s="20">
        <f t="shared" si="0"/>
        <v>1291.6666666666667</v>
      </c>
      <c r="C39" s="20">
        <f t="shared" si="2"/>
        <v>250</v>
      </c>
      <c r="D39" s="20">
        <f>MAX('TANF-VIEW'!L40,'TANF-VIEW'!T40)</f>
        <v>0</v>
      </c>
      <c r="E39" s="20">
        <f t="shared" si="1"/>
        <v>1541.6666666666667</v>
      </c>
      <c r="F39" s="178">
        <f>IF(AND('Total income package'!$A$24=TRUE,E39&lt;$I$2),'Program specific data'!$B$119*WIC!$G$2,0)</f>
        <v>36.76</v>
      </c>
    </row>
    <row r="40" spans="1:6" x14ac:dyDescent="0.3">
      <c r="A40" s="19">
        <v>16000</v>
      </c>
      <c r="B40" s="20">
        <f t="shared" si="0"/>
        <v>1333.3333333333333</v>
      </c>
      <c r="C40" s="20">
        <f t="shared" si="2"/>
        <v>250</v>
      </c>
      <c r="D40" s="20">
        <f>MAX('TANF-VIEW'!L41,'TANF-VIEW'!T41)</f>
        <v>0</v>
      </c>
      <c r="E40" s="20">
        <f t="shared" si="1"/>
        <v>1583.3333333333333</v>
      </c>
      <c r="F40" s="178">
        <f>IF(AND('Total income package'!$A$24=TRUE,E40&lt;$I$2),'Program specific data'!$B$119*WIC!$G$2,0)</f>
        <v>36.76</v>
      </c>
    </row>
    <row r="41" spans="1:6" x14ac:dyDescent="0.3">
      <c r="A41" s="19">
        <v>16500</v>
      </c>
      <c r="B41" s="20">
        <f t="shared" si="0"/>
        <v>1375</v>
      </c>
      <c r="C41" s="20">
        <f t="shared" si="2"/>
        <v>250</v>
      </c>
      <c r="D41" s="20">
        <f>MAX('TANF-VIEW'!L42,'TANF-VIEW'!T42)</f>
        <v>0</v>
      </c>
      <c r="E41" s="20">
        <f t="shared" si="1"/>
        <v>1625</v>
      </c>
      <c r="F41" s="178">
        <f>IF(AND('Total income package'!$A$24=TRUE,E41&lt;$I$2),'Program specific data'!$B$119*WIC!$G$2,0)</f>
        <v>36.76</v>
      </c>
    </row>
    <row r="42" spans="1:6" x14ac:dyDescent="0.3">
      <c r="A42" s="19">
        <v>17000</v>
      </c>
      <c r="B42" s="20">
        <f t="shared" si="0"/>
        <v>1416.6666666666667</v>
      </c>
      <c r="C42" s="20">
        <f t="shared" si="2"/>
        <v>250</v>
      </c>
      <c r="D42" s="20">
        <f>MAX('TANF-VIEW'!L43,'TANF-VIEW'!T43)</f>
        <v>0</v>
      </c>
      <c r="E42" s="20">
        <f t="shared" si="1"/>
        <v>1666.6666666666667</v>
      </c>
      <c r="F42" s="178">
        <f>IF(AND('Total income package'!$A$24=TRUE,E42&lt;$I$2),'Program specific data'!$B$119*WIC!$G$2,0)</f>
        <v>36.76</v>
      </c>
    </row>
    <row r="43" spans="1:6" x14ac:dyDescent="0.3">
      <c r="A43" s="19">
        <v>17500</v>
      </c>
      <c r="B43" s="20">
        <f t="shared" si="0"/>
        <v>1458.3333333333333</v>
      </c>
      <c r="C43" s="20">
        <f t="shared" si="2"/>
        <v>250</v>
      </c>
      <c r="D43" s="20">
        <f>MAX('TANF-VIEW'!L44,'TANF-VIEW'!T44)</f>
        <v>0</v>
      </c>
      <c r="E43" s="20">
        <f t="shared" si="1"/>
        <v>1708.3333333333333</v>
      </c>
      <c r="F43" s="178">
        <f>IF(AND('Total income package'!$A$24=TRUE,E43&lt;$I$2),'Program specific data'!$B$119*WIC!$G$2,0)</f>
        <v>36.76</v>
      </c>
    </row>
    <row r="44" spans="1:6" x14ac:dyDescent="0.3">
      <c r="A44" s="19">
        <v>18000</v>
      </c>
      <c r="B44" s="20">
        <f t="shared" si="0"/>
        <v>1500</v>
      </c>
      <c r="C44" s="20">
        <f t="shared" si="2"/>
        <v>250</v>
      </c>
      <c r="D44" s="20">
        <f>MAX('TANF-VIEW'!L45,'TANF-VIEW'!T45)</f>
        <v>0</v>
      </c>
      <c r="E44" s="20">
        <f t="shared" si="1"/>
        <v>1750</v>
      </c>
      <c r="F44" s="178">
        <f>IF(AND('Total income package'!$A$24=TRUE,E44&lt;$I$2),'Program specific data'!$B$119*WIC!$G$2,0)</f>
        <v>36.76</v>
      </c>
    </row>
    <row r="45" spans="1:6" x14ac:dyDescent="0.3">
      <c r="A45" s="19">
        <v>18500</v>
      </c>
      <c r="B45" s="20">
        <f t="shared" si="0"/>
        <v>1541.6666666666667</v>
      </c>
      <c r="C45" s="20">
        <f t="shared" si="2"/>
        <v>250</v>
      </c>
      <c r="D45" s="20">
        <f>MAX('TANF-VIEW'!L46,'TANF-VIEW'!T46)</f>
        <v>0</v>
      </c>
      <c r="E45" s="20">
        <f t="shared" si="1"/>
        <v>1791.6666666666667</v>
      </c>
      <c r="F45" s="178">
        <f>IF(AND('Total income package'!$A$24=TRUE,E45&lt;$I$2),'Program specific data'!$B$119*WIC!$G$2,0)</f>
        <v>36.76</v>
      </c>
    </row>
    <row r="46" spans="1:6" x14ac:dyDescent="0.3">
      <c r="A46" s="19">
        <v>19000</v>
      </c>
      <c r="B46" s="20">
        <f t="shared" si="0"/>
        <v>1583.3333333333333</v>
      </c>
      <c r="C46" s="20">
        <f t="shared" si="2"/>
        <v>250</v>
      </c>
      <c r="D46" s="20">
        <f>MAX('TANF-VIEW'!L47,'TANF-VIEW'!T47)</f>
        <v>0</v>
      </c>
      <c r="E46" s="20">
        <f t="shared" si="1"/>
        <v>1833.3333333333333</v>
      </c>
      <c r="F46" s="178">
        <f>IF(AND('Total income package'!$A$24=TRUE,E46&lt;$I$2),'Program specific data'!$B$119*WIC!$G$2,0)</f>
        <v>36.76</v>
      </c>
    </row>
    <row r="47" spans="1:6" x14ac:dyDescent="0.3">
      <c r="A47" s="19">
        <v>19500</v>
      </c>
      <c r="B47" s="20">
        <f t="shared" si="0"/>
        <v>1625</v>
      </c>
      <c r="C47" s="20">
        <f t="shared" si="2"/>
        <v>250</v>
      </c>
      <c r="D47" s="20">
        <f>MAX('TANF-VIEW'!L48,'TANF-VIEW'!T48)</f>
        <v>0</v>
      </c>
      <c r="E47" s="20">
        <f t="shared" si="1"/>
        <v>1875</v>
      </c>
      <c r="F47" s="178">
        <f>IF(AND('Total income package'!$A$24=TRUE,E47&lt;$I$2),'Program specific data'!$B$119*WIC!$G$2,0)</f>
        <v>36.76</v>
      </c>
    </row>
    <row r="48" spans="1:6" x14ac:dyDescent="0.3">
      <c r="A48" s="19">
        <v>20000</v>
      </c>
      <c r="B48" s="20">
        <f t="shared" si="0"/>
        <v>1666.6666666666667</v>
      </c>
      <c r="C48" s="20">
        <f t="shared" si="2"/>
        <v>250</v>
      </c>
      <c r="D48" s="20">
        <f>MAX('TANF-VIEW'!L49,'TANF-VIEW'!T49)</f>
        <v>0</v>
      </c>
      <c r="E48" s="20">
        <f t="shared" si="1"/>
        <v>1916.6666666666667</v>
      </c>
      <c r="F48" s="178">
        <f>IF(AND('Total income package'!$A$24=TRUE,E48&lt;$I$2),'Program specific data'!$B$119*WIC!$G$2,0)</f>
        <v>36.76</v>
      </c>
    </row>
    <row r="49" spans="1:6" x14ac:dyDescent="0.3">
      <c r="A49" s="19">
        <v>20500</v>
      </c>
      <c r="B49" s="20">
        <f t="shared" si="0"/>
        <v>1708.3333333333333</v>
      </c>
      <c r="C49" s="20">
        <f t="shared" si="2"/>
        <v>250</v>
      </c>
      <c r="D49" s="20">
        <f>MAX('TANF-VIEW'!L50,'TANF-VIEW'!T50)</f>
        <v>0</v>
      </c>
      <c r="E49" s="20">
        <f t="shared" si="1"/>
        <v>1958.3333333333333</v>
      </c>
      <c r="F49" s="178">
        <f>IF(AND('Total income package'!$A$24=TRUE,E49&lt;$I$2),'Program specific data'!$B$119*WIC!$G$2,0)</f>
        <v>36.76</v>
      </c>
    </row>
    <row r="50" spans="1:6" x14ac:dyDescent="0.3">
      <c r="A50" s="19">
        <v>21000</v>
      </c>
      <c r="B50" s="20">
        <f t="shared" si="0"/>
        <v>1750</v>
      </c>
      <c r="C50" s="20">
        <f t="shared" si="2"/>
        <v>250</v>
      </c>
      <c r="D50" s="20">
        <f>MAX('TANF-VIEW'!L51,'TANF-VIEW'!T51)</f>
        <v>0</v>
      </c>
      <c r="E50" s="20">
        <f t="shared" si="1"/>
        <v>2000</v>
      </c>
      <c r="F50" s="178">
        <f>IF(AND('Total income package'!$A$24=TRUE,E50&lt;$I$2),'Program specific data'!$B$119*WIC!$G$2,0)</f>
        <v>36.76</v>
      </c>
    </row>
    <row r="51" spans="1:6" x14ac:dyDescent="0.3">
      <c r="A51" s="19">
        <v>21500</v>
      </c>
      <c r="B51" s="20">
        <f t="shared" si="0"/>
        <v>1791.6666666666667</v>
      </c>
      <c r="C51" s="20">
        <f t="shared" si="2"/>
        <v>250</v>
      </c>
      <c r="D51" s="20">
        <f>MAX('TANF-VIEW'!L52,'TANF-VIEW'!T52)</f>
        <v>0</v>
      </c>
      <c r="E51" s="20">
        <f t="shared" si="1"/>
        <v>2041.6666666666667</v>
      </c>
      <c r="F51" s="178">
        <f>IF(AND('Total income package'!$A$24=TRUE,E51&lt;$I$2),'Program specific data'!$B$119*WIC!$G$2,0)</f>
        <v>36.76</v>
      </c>
    </row>
    <row r="52" spans="1:6" x14ac:dyDescent="0.3">
      <c r="A52" s="19">
        <v>22000</v>
      </c>
      <c r="B52" s="20">
        <f t="shared" si="0"/>
        <v>1833.3333333333333</v>
      </c>
      <c r="C52" s="20">
        <f t="shared" si="2"/>
        <v>250</v>
      </c>
      <c r="D52" s="20">
        <f>MAX('TANF-VIEW'!L53,'TANF-VIEW'!T53)</f>
        <v>0</v>
      </c>
      <c r="E52" s="20">
        <f t="shared" si="1"/>
        <v>2083.333333333333</v>
      </c>
      <c r="F52" s="178">
        <f>IF(AND('Total income package'!$A$24=TRUE,E52&lt;$I$2),'Program specific data'!$B$119*WIC!$G$2,0)</f>
        <v>36.76</v>
      </c>
    </row>
    <row r="53" spans="1:6" x14ac:dyDescent="0.3">
      <c r="A53" s="19">
        <v>22500</v>
      </c>
      <c r="B53" s="20">
        <f t="shared" si="0"/>
        <v>1875</v>
      </c>
      <c r="C53" s="20">
        <f t="shared" si="2"/>
        <v>250</v>
      </c>
      <c r="D53" s="20">
        <f>MAX('TANF-VIEW'!L54,'TANF-VIEW'!T54)</f>
        <v>0</v>
      </c>
      <c r="E53" s="20">
        <f t="shared" si="1"/>
        <v>2125</v>
      </c>
      <c r="F53" s="178">
        <f>IF(AND('Total income package'!$A$24=TRUE,E53&lt;$I$2),'Program specific data'!$B$119*WIC!$G$2,0)</f>
        <v>36.76</v>
      </c>
    </row>
    <row r="54" spans="1:6" x14ac:dyDescent="0.3">
      <c r="A54" s="19">
        <v>23000</v>
      </c>
      <c r="B54" s="20">
        <f t="shared" si="0"/>
        <v>1916.6666666666667</v>
      </c>
      <c r="C54" s="20">
        <f t="shared" si="2"/>
        <v>250</v>
      </c>
      <c r="D54" s="20">
        <f>MAX('TANF-VIEW'!L55,'TANF-VIEW'!T55)</f>
        <v>0</v>
      </c>
      <c r="E54" s="20">
        <f t="shared" si="1"/>
        <v>2166.666666666667</v>
      </c>
      <c r="F54" s="178">
        <f>IF(AND('Total income package'!$A$24=TRUE,E54&lt;$I$2),'Program specific data'!$B$119*WIC!$G$2,0)</f>
        <v>36.76</v>
      </c>
    </row>
    <row r="55" spans="1:6" x14ac:dyDescent="0.3">
      <c r="A55" s="19">
        <v>23500</v>
      </c>
      <c r="B55" s="20">
        <f t="shared" si="0"/>
        <v>1958.3333333333333</v>
      </c>
      <c r="C55" s="20">
        <f t="shared" si="2"/>
        <v>250</v>
      </c>
      <c r="D55" s="20">
        <f>MAX('TANF-VIEW'!L56,'TANF-VIEW'!T56)</f>
        <v>0</v>
      </c>
      <c r="E55" s="20">
        <f t="shared" si="1"/>
        <v>2208.333333333333</v>
      </c>
      <c r="F55" s="178">
        <f>IF(AND('Total income package'!$A$24=TRUE,E55&lt;$I$2),'Program specific data'!$B$119*WIC!$G$2,0)</f>
        <v>36.76</v>
      </c>
    </row>
    <row r="56" spans="1:6" x14ac:dyDescent="0.3">
      <c r="A56" s="19">
        <v>24000</v>
      </c>
      <c r="B56" s="20">
        <f t="shared" si="0"/>
        <v>2000</v>
      </c>
      <c r="C56" s="20">
        <f t="shared" si="2"/>
        <v>250</v>
      </c>
      <c r="D56" s="20">
        <f>MAX('TANF-VIEW'!L57,'TANF-VIEW'!T57)</f>
        <v>0</v>
      </c>
      <c r="E56" s="20">
        <f t="shared" si="1"/>
        <v>2250</v>
      </c>
      <c r="F56" s="178">
        <f>IF(AND('Total income package'!$A$24=TRUE,E56&lt;$I$2),'Program specific data'!$B$119*WIC!$G$2,0)</f>
        <v>36.76</v>
      </c>
    </row>
    <row r="57" spans="1:6" x14ac:dyDescent="0.3">
      <c r="A57" s="19">
        <v>24500</v>
      </c>
      <c r="B57" s="20">
        <f t="shared" si="0"/>
        <v>2041.6666666666667</v>
      </c>
      <c r="C57" s="20">
        <f t="shared" si="2"/>
        <v>250</v>
      </c>
      <c r="D57" s="20">
        <f>MAX('TANF-VIEW'!L58,'TANF-VIEW'!T58)</f>
        <v>0</v>
      </c>
      <c r="E57" s="20">
        <f t="shared" si="1"/>
        <v>2291.666666666667</v>
      </c>
      <c r="F57" s="178">
        <f>IF(AND('Total income package'!$A$24=TRUE,E57&lt;$I$2),'Program specific data'!$B$119*WIC!$G$2,0)</f>
        <v>36.76</v>
      </c>
    </row>
    <row r="58" spans="1:6" x14ac:dyDescent="0.3">
      <c r="A58" s="19">
        <v>25000</v>
      </c>
      <c r="B58" s="20">
        <f t="shared" si="0"/>
        <v>2083.3333333333335</v>
      </c>
      <c r="C58" s="20">
        <f t="shared" si="2"/>
        <v>250</v>
      </c>
      <c r="D58" s="20">
        <f>MAX('TANF-VIEW'!L59,'TANF-VIEW'!T59)</f>
        <v>0</v>
      </c>
      <c r="E58" s="20">
        <f t="shared" si="1"/>
        <v>2333.3333333333335</v>
      </c>
      <c r="F58" s="178">
        <f>IF(AND('Total income package'!$A$24=TRUE,E58&lt;$I$2),'Program specific data'!$B$119*WIC!$G$2,0)</f>
        <v>36.76</v>
      </c>
    </row>
    <row r="59" spans="1:6" x14ac:dyDescent="0.3">
      <c r="A59" s="19">
        <v>25500</v>
      </c>
      <c r="B59" s="20">
        <f t="shared" si="0"/>
        <v>2125</v>
      </c>
      <c r="C59" s="20">
        <f t="shared" si="2"/>
        <v>250</v>
      </c>
      <c r="D59" s="20">
        <f>MAX('TANF-VIEW'!L60,'TANF-VIEW'!T60)</f>
        <v>0</v>
      </c>
      <c r="E59" s="20">
        <f t="shared" si="1"/>
        <v>2375</v>
      </c>
      <c r="F59" s="178">
        <f>IF(AND('Total income package'!$A$24=TRUE,E59&lt;$I$2),'Program specific data'!$B$119*WIC!$G$2,0)</f>
        <v>36.76</v>
      </c>
    </row>
    <row r="60" spans="1:6" x14ac:dyDescent="0.3">
      <c r="A60" s="19">
        <v>26000</v>
      </c>
      <c r="B60" s="20">
        <f t="shared" si="0"/>
        <v>2166.6666666666665</v>
      </c>
      <c r="C60" s="20">
        <f t="shared" si="2"/>
        <v>250</v>
      </c>
      <c r="D60" s="20">
        <f>MAX('TANF-VIEW'!L61,'TANF-VIEW'!T61)</f>
        <v>0</v>
      </c>
      <c r="E60" s="20">
        <f t="shared" si="1"/>
        <v>2416.6666666666665</v>
      </c>
      <c r="F60" s="178">
        <f>IF(AND('Total income package'!$A$24=TRUE,E60&lt;$I$2),'Program specific data'!$B$119*WIC!$G$2,0)</f>
        <v>36.76</v>
      </c>
    </row>
    <row r="61" spans="1:6" x14ac:dyDescent="0.3">
      <c r="A61" s="19">
        <v>26500</v>
      </c>
      <c r="B61" s="20">
        <f t="shared" si="0"/>
        <v>2208.3333333333335</v>
      </c>
      <c r="C61" s="20">
        <f t="shared" si="2"/>
        <v>250</v>
      </c>
      <c r="D61" s="20">
        <f>MAX('TANF-VIEW'!L62,'TANF-VIEW'!T62)</f>
        <v>0</v>
      </c>
      <c r="E61" s="20">
        <f t="shared" si="1"/>
        <v>2458.3333333333335</v>
      </c>
      <c r="F61" s="178">
        <f>IF(AND('Total income package'!$A$24=TRUE,E61&lt;$I$2),'Program specific data'!$B$119*WIC!$G$2,0)</f>
        <v>36.76</v>
      </c>
    </row>
    <row r="62" spans="1:6" x14ac:dyDescent="0.3">
      <c r="A62" s="19">
        <v>27000</v>
      </c>
      <c r="B62" s="20">
        <f t="shared" si="0"/>
        <v>2250</v>
      </c>
      <c r="C62" s="20">
        <f t="shared" si="2"/>
        <v>250</v>
      </c>
      <c r="D62" s="20">
        <f>MAX('TANF-VIEW'!L63,'TANF-VIEW'!T63)</f>
        <v>0</v>
      </c>
      <c r="E62" s="20">
        <f t="shared" si="1"/>
        <v>2500</v>
      </c>
      <c r="F62" s="178">
        <f>IF(AND('Total income package'!$A$24=TRUE,E62&lt;$I$2),'Program specific data'!$B$119*WIC!$G$2,0)</f>
        <v>36.76</v>
      </c>
    </row>
    <row r="63" spans="1:6" x14ac:dyDescent="0.3">
      <c r="A63" s="19">
        <v>27500</v>
      </c>
      <c r="B63" s="20">
        <f t="shared" si="0"/>
        <v>2291.6666666666665</v>
      </c>
      <c r="C63" s="20">
        <f t="shared" si="2"/>
        <v>250</v>
      </c>
      <c r="D63" s="20">
        <f>MAX('TANF-VIEW'!L64,'TANF-VIEW'!T64)</f>
        <v>0</v>
      </c>
      <c r="E63" s="20">
        <f t="shared" si="1"/>
        <v>2541.6666666666665</v>
      </c>
      <c r="F63" s="178">
        <f>IF(AND('Total income package'!$A$24=TRUE,E63&lt;$I$2),'Program specific data'!$B$119*WIC!$G$2,0)</f>
        <v>36.76</v>
      </c>
    </row>
    <row r="64" spans="1:6" x14ac:dyDescent="0.3">
      <c r="A64" s="19">
        <v>28000</v>
      </c>
      <c r="B64" s="20">
        <f t="shared" si="0"/>
        <v>2333.3333333333335</v>
      </c>
      <c r="C64" s="20">
        <f t="shared" si="2"/>
        <v>250</v>
      </c>
      <c r="D64" s="20">
        <f>MAX('TANF-VIEW'!L65,'TANF-VIEW'!T65)</f>
        <v>0</v>
      </c>
      <c r="E64" s="20">
        <f t="shared" si="1"/>
        <v>2583.3333333333335</v>
      </c>
      <c r="F64" s="178">
        <f>IF(AND('Total income package'!$A$24=TRUE,E64&lt;$I$2),'Program specific data'!$B$119*WIC!$G$2,0)</f>
        <v>36.76</v>
      </c>
    </row>
    <row r="65" spans="1:6" x14ac:dyDescent="0.3">
      <c r="A65" s="19">
        <v>28500</v>
      </c>
      <c r="B65" s="20">
        <f t="shared" si="0"/>
        <v>2375</v>
      </c>
      <c r="C65" s="20">
        <f t="shared" si="2"/>
        <v>250</v>
      </c>
      <c r="D65" s="20">
        <f>MAX('TANF-VIEW'!L66,'TANF-VIEW'!T66)</f>
        <v>0</v>
      </c>
      <c r="E65" s="20">
        <f t="shared" si="1"/>
        <v>2625</v>
      </c>
      <c r="F65" s="178">
        <f>IF(AND('Total income package'!$A$24=TRUE,E65&lt;$I$2),'Program specific data'!$B$119*WIC!$G$2,0)</f>
        <v>36.76</v>
      </c>
    </row>
    <row r="66" spans="1:6" x14ac:dyDescent="0.3">
      <c r="A66" s="19">
        <v>29000</v>
      </c>
      <c r="B66" s="20">
        <f t="shared" si="0"/>
        <v>2416.6666666666665</v>
      </c>
      <c r="C66" s="20">
        <f t="shared" si="2"/>
        <v>250</v>
      </c>
      <c r="D66" s="20">
        <f>MAX('TANF-VIEW'!L67,'TANF-VIEW'!T67)</f>
        <v>0</v>
      </c>
      <c r="E66" s="20">
        <f t="shared" si="1"/>
        <v>2666.6666666666665</v>
      </c>
      <c r="F66" s="178">
        <f>IF(AND('Total income package'!$A$24=TRUE,E66&lt;$I$2),'Program specific data'!$B$119*WIC!$G$2,0)</f>
        <v>36.76</v>
      </c>
    </row>
    <row r="67" spans="1:6" x14ac:dyDescent="0.3">
      <c r="A67" s="19">
        <v>29500</v>
      </c>
      <c r="B67" s="20">
        <f t="shared" si="0"/>
        <v>2458.3333333333335</v>
      </c>
      <c r="C67" s="20">
        <f t="shared" si="2"/>
        <v>250</v>
      </c>
      <c r="D67" s="20">
        <f>MAX('TANF-VIEW'!L68,'TANF-VIEW'!T68)</f>
        <v>0</v>
      </c>
      <c r="E67" s="20">
        <f t="shared" si="1"/>
        <v>2708.3333333333335</v>
      </c>
      <c r="F67" s="178">
        <f>IF(AND('Total income package'!$A$24=TRUE,E67&lt;$I$2),'Program specific data'!$B$119*WIC!$G$2,0)</f>
        <v>36.76</v>
      </c>
    </row>
    <row r="68" spans="1:6" x14ac:dyDescent="0.3">
      <c r="A68" s="19">
        <v>30000</v>
      </c>
      <c r="B68" s="20">
        <f t="shared" si="0"/>
        <v>2500</v>
      </c>
      <c r="C68" s="20">
        <f t="shared" si="2"/>
        <v>250</v>
      </c>
      <c r="D68" s="20">
        <f>MAX('TANF-VIEW'!L69,'TANF-VIEW'!T69)</f>
        <v>0</v>
      </c>
      <c r="E68" s="20">
        <f t="shared" si="1"/>
        <v>2750</v>
      </c>
      <c r="F68" s="178">
        <f>IF(AND('Total income package'!$A$24=TRUE,E68&lt;$I$2),'Program specific data'!$B$119*WIC!$G$2,0)</f>
        <v>36.76</v>
      </c>
    </row>
    <row r="69" spans="1:6" x14ac:dyDescent="0.3">
      <c r="A69" s="19">
        <v>30500</v>
      </c>
      <c r="B69" s="20">
        <f t="shared" si="0"/>
        <v>2541.6666666666665</v>
      </c>
      <c r="C69" s="20">
        <f t="shared" si="2"/>
        <v>250</v>
      </c>
      <c r="D69" s="20">
        <f>MAX('TANF-VIEW'!L70,'TANF-VIEW'!T70)</f>
        <v>0</v>
      </c>
      <c r="E69" s="20">
        <f t="shared" si="1"/>
        <v>2791.6666666666665</v>
      </c>
      <c r="F69" s="178">
        <f>IF(AND('Total income package'!$A$24=TRUE,E69&lt;$I$2),'Program specific data'!$B$119*WIC!$G$2,0)</f>
        <v>36.76</v>
      </c>
    </row>
    <row r="70" spans="1:6" x14ac:dyDescent="0.3">
      <c r="A70" s="19">
        <v>31000</v>
      </c>
      <c r="B70" s="20">
        <f t="shared" si="0"/>
        <v>2583.3333333333335</v>
      </c>
      <c r="C70" s="20">
        <f t="shared" si="2"/>
        <v>250</v>
      </c>
      <c r="D70" s="20">
        <f>MAX('TANF-VIEW'!L71,'TANF-VIEW'!T71)</f>
        <v>0</v>
      </c>
      <c r="E70" s="20">
        <f t="shared" si="1"/>
        <v>2833.3333333333335</v>
      </c>
      <c r="F70" s="178">
        <f>IF(AND('Total income package'!$A$24=TRUE,E70&lt;$I$2),'Program specific data'!$B$119*WIC!$G$2,0)</f>
        <v>36.76</v>
      </c>
    </row>
    <row r="71" spans="1:6" x14ac:dyDescent="0.3">
      <c r="A71" s="19">
        <v>31500</v>
      </c>
      <c r="B71" s="20">
        <f t="shared" si="0"/>
        <v>2625</v>
      </c>
      <c r="C71" s="20">
        <f t="shared" si="2"/>
        <v>250</v>
      </c>
      <c r="D71" s="20">
        <f>MAX('TANF-VIEW'!L72,'TANF-VIEW'!T72)</f>
        <v>0</v>
      </c>
      <c r="E71" s="20">
        <f t="shared" si="1"/>
        <v>2875</v>
      </c>
      <c r="F71" s="178">
        <f>IF(AND('Total income package'!$A$24=TRUE,E71&lt;$I$2),'Program specific data'!$B$119*WIC!$G$2,0)</f>
        <v>36.76</v>
      </c>
    </row>
    <row r="72" spans="1:6" x14ac:dyDescent="0.3">
      <c r="A72" s="19">
        <v>32000</v>
      </c>
      <c r="B72" s="20">
        <f t="shared" si="0"/>
        <v>2666.6666666666665</v>
      </c>
      <c r="C72" s="20">
        <f t="shared" si="2"/>
        <v>250</v>
      </c>
      <c r="D72" s="20">
        <f>MAX('TANF-VIEW'!L73,'TANF-VIEW'!T73)</f>
        <v>0</v>
      </c>
      <c r="E72" s="20">
        <f t="shared" si="1"/>
        <v>2916.6666666666665</v>
      </c>
      <c r="F72" s="178">
        <f>IF(AND('Total income package'!$A$24=TRUE,E72&lt;$I$2),'Program specific data'!$B$119*WIC!$G$2,0)</f>
        <v>36.76</v>
      </c>
    </row>
    <row r="73" spans="1:6" x14ac:dyDescent="0.3">
      <c r="A73" s="19">
        <v>32500</v>
      </c>
      <c r="B73" s="20">
        <f t="shared" si="0"/>
        <v>2708.3333333333335</v>
      </c>
      <c r="C73" s="20">
        <f t="shared" ref="C73:C136" si="3">$H$2</f>
        <v>250</v>
      </c>
      <c r="D73" s="20">
        <f>MAX('TANF-VIEW'!L74,'TANF-VIEW'!T74)</f>
        <v>0</v>
      </c>
      <c r="E73" s="20">
        <f t="shared" ref="E73:E136" si="4">B73+C73+D73</f>
        <v>2958.3333333333335</v>
      </c>
      <c r="F73" s="178">
        <f>IF(AND('Total income package'!$A$24=TRUE,E73&lt;$I$2),'Program specific data'!$B$119*WIC!$G$2,0)</f>
        <v>36.76</v>
      </c>
    </row>
    <row r="74" spans="1:6" x14ac:dyDescent="0.3">
      <c r="A74" s="19">
        <v>33000</v>
      </c>
      <c r="B74" s="20">
        <f t="shared" ref="B74:B137" si="5">A74/12</f>
        <v>2750</v>
      </c>
      <c r="C74" s="20">
        <f t="shared" si="3"/>
        <v>250</v>
      </c>
      <c r="D74" s="20">
        <f>MAX('TANF-VIEW'!L75,'TANF-VIEW'!T75)</f>
        <v>0</v>
      </c>
      <c r="E74" s="20">
        <f t="shared" si="4"/>
        <v>3000</v>
      </c>
      <c r="F74" s="178">
        <f>IF(AND('Total income package'!$A$24=TRUE,E74&lt;$I$2),'Program specific data'!$B$119*WIC!$G$2,0)</f>
        <v>36.76</v>
      </c>
    </row>
    <row r="75" spans="1:6" x14ac:dyDescent="0.3">
      <c r="A75" s="19">
        <v>33500</v>
      </c>
      <c r="B75" s="20">
        <f t="shared" si="5"/>
        <v>2791.6666666666665</v>
      </c>
      <c r="C75" s="20">
        <f t="shared" si="3"/>
        <v>250</v>
      </c>
      <c r="D75" s="20">
        <f>MAX('TANF-VIEW'!L76,'TANF-VIEW'!T76)</f>
        <v>0</v>
      </c>
      <c r="E75" s="20">
        <f t="shared" si="4"/>
        <v>3041.6666666666665</v>
      </c>
      <c r="F75" s="178">
        <f>IF(AND('Total income package'!$A$24=TRUE,E75&lt;$I$2),'Program specific data'!$B$119*WIC!$G$2,0)</f>
        <v>36.76</v>
      </c>
    </row>
    <row r="76" spans="1:6" x14ac:dyDescent="0.3">
      <c r="A76" s="19">
        <v>34000</v>
      </c>
      <c r="B76" s="20">
        <f t="shared" si="5"/>
        <v>2833.3333333333335</v>
      </c>
      <c r="C76" s="20">
        <f t="shared" si="3"/>
        <v>250</v>
      </c>
      <c r="D76" s="20">
        <f>MAX('TANF-VIEW'!L77,'TANF-VIEW'!T77)</f>
        <v>0</v>
      </c>
      <c r="E76" s="20">
        <f t="shared" si="4"/>
        <v>3083.3333333333335</v>
      </c>
      <c r="F76" s="178">
        <f>IF(AND('Total income package'!$A$24=TRUE,E76&lt;$I$2),'Program specific data'!$B$119*WIC!$G$2,0)</f>
        <v>36.76</v>
      </c>
    </row>
    <row r="77" spans="1:6" x14ac:dyDescent="0.3">
      <c r="A77" s="19">
        <v>34500</v>
      </c>
      <c r="B77" s="20">
        <f t="shared" si="5"/>
        <v>2875</v>
      </c>
      <c r="C77" s="20">
        <f t="shared" si="3"/>
        <v>250</v>
      </c>
      <c r="D77" s="20">
        <f>MAX('TANF-VIEW'!L78,'TANF-VIEW'!T78)</f>
        <v>0</v>
      </c>
      <c r="E77" s="20">
        <f t="shared" si="4"/>
        <v>3125</v>
      </c>
      <c r="F77" s="178">
        <f>IF(AND('Total income package'!$A$24=TRUE,E77&lt;$I$2),'Program specific data'!$B$119*WIC!$G$2,0)</f>
        <v>36.76</v>
      </c>
    </row>
    <row r="78" spans="1:6" x14ac:dyDescent="0.3">
      <c r="A78" s="19">
        <v>35000</v>
      </c>
      <c r="B78" s="20">
        <f t="shared" si="5"/>
        <v>2916.6666666666665</v>
      </c>
      <c r="C78" s="20">
        <f t="shared" si="3"/>
        <v>250</v>
      </c>
      <c r="D78" s="20">
        <f>MAX('TANF-VIEW'!L79,'TANF-VIEW'!T79)</f>
        <v>0</v>
      </c>
      <c r="E78" s="20">
        <f t="shared" si="4"/>
        <v>3166.6666666666665</v>
      </c>
      <c r="F78" s="178">
        <f>IF(AND('Total income package'!$A$24=TRUE,E78&lt;$I$2),'Program specific data'!$B$119*WIC!$G$2,0)</f>
        <v>36.76</v>
      </c>
    </row>
    <row r="79" spans="1:6" x14ac:dyDescent="0.3">
      <c r="A79" s="19">
        <v>35500</v>
      </c>
      <c r="B79" s="20">
        <f t="shared" si="5"/>
        <v>2958.3333333333335</v>
      </c>
      <c r="C79" s="20">
        <f t="shared" si="3"/>
        <v>250</v>
      </c>
      <c r="D79" s="20">
        <f>MAX('TANF-VIEW'!L80,'TANF-VIEW'!T80)</f>
        <v>0</v>
      </c>
      <c r="E79" s="20">
        <f t="shared" si="4"/>
        <v>3208.3333333333335</v>
      </c>
      <c r="F79" s="178">
        <f>IF(AND('Total income package'!$A$24=TRUE,E79&lt;$I$2),'Program specific data'!$B$119*WIC!$G$2,0)</f>
        <v>36.76</v>
      </c>
    </row>
    <row r="80" spans="1:6" x14ac:dyDescent="0.3">
      <c r="A80" s="19">
        <v>36000</v>
      </c>
      <c r="B80" s="20">
        <f t="shared" si="5"/>
        <v>3000</v>
      </c>
      <c r="C80" s="20">
        <f t="shared" si="3"/>
        <v>250</v>
      </c>
      <c r="D80" s="20">
        <f>MAX('TANF-VIEW'!L81,'TANF-VIEW'!T81)</f>
        <v>0</v>
      </c>
      <c r="E80" s="20">
        <f t="shared" si="4"/>
        <v>3250</v>
      </c>
      <c r="F80" s="178">
        <f>IF(AND('Total income package'!$A$24=TRUE,E80&lt;$I$2),'Program specific data'!$B$119*WIC!$G$2,0)</f>
        <v>36.76</v>
      </c>
    </row>
    <row r="81" spans="1:6" x14ac:dyDescent="0.3">
      <c r="A81" s="19">
        <v>36500</v>
      </c>
      <c r="B81" s="20">
        <f t="shared" si="5"/>
        <v>3041.6666666666665</v>
      </c>
      <c r="C81" s="20">
        <f t="shared" si="3"/>
        <v>250</v>
      </c>
      <c r="D81" s="20">
        <f>MAX('TANF-VIEW'!L82,'TANF-VIEW'!T82)</f>
        <v>0</v>
      </c>
      <c r="E81" s="20">
        <f t="shared" si="4"/>
        <v>3291.6666666666665</v>
      </c>
      <c r="F81" s="178">
        <f>IF(AND('Total income package'!$A$24=TRUE,E81&lt;$I$2),'Program specific data'!$B$119*WIC!$G$2,0)</f>
        <v>36.76</v>
      </c>
    </row>
    <row r="82" spans="1:6" x14ac:dyDescent="0.3">
      <c r="A82" s="19">
        <v>37000</v>
      </c>
      <c r="B82" s="20">
        <f t="shared" si="5"/>
        <v>3083.3333333333335</v>
      </c>
      <c r="C82" s="20">
        <f t="shared" si="3"/>
        <v>250</v>
      </c>
      <c r="D82" s="20">
        <f>MAX('TANF-VIEW'!L83,'TANF-VIEW'!T83)</f>
        <v>0</v>
      </c>
      <c r="E82" s="20">
        <f t="shared" si="4"/>
        <v>3333.3333333333335</v>
      </c>
      <c r="F82" s="178">
        <f>IF(AND('Total income package'!$A$24=TRUE,E82&lt;$I$2),'Program specific data'!$B$119*WIC!$G$2,0)</f>
        <v>36.76</v>
      </c>
    </row>
    <row r="83" spans="1:6" x14ac:dyDescent="0.3">
      <c r="A83" s="19">
        <v>37500</v>
      </c>
      <c r="B83" s="20">
        <f t="shared" si="5"/>
        <v>3125</v>
      </c>
      <c r="C83" s="20">
        <f t="shared" si="3"/>
        <v>250</v>
      </c>
      <c r="D83" s="20">
        <f>MAX('TANF-VIEW'!L84,'TANF-VIEW'!T84)</f>
        <v>0</v>
      </c>
      <c r="E83" s="20">
        <f t="shared" si="4"/>
        <v>3375</v>
      </c>
      <c r="F83" s="178">
        <f>IF(AND('Total income package'!$A$24=TRUE,E83&lt;$I$2),'Program specific data'!$B$119*WIC!$G$2,0)</f>
        <v>36.76</v>
      </c>
    </row>
    <row r="84" spans="1:6" x14ac:dyDescent="0.3">
      <c r="A84" s="19">
        <v>38000</v>
      </c>
      <c r="B84" s="20">
        <f t="shared" si="5"/>
        <v>3166.6666666666665</v>
      </c>
      <c r="C84" s="20">
        <f t="shared" si="3"/>
        <v>250</v>
      </c>
      <c r="D84" s="20">
        <f>MAX('TANF-VIEW'!L85,'TANF-VIEW'!T85)</f>
        <v>0</v>
      </c>
      <c r="E84" s="20">
        <f t="shared" si="4"/>
        <v>3416.6666666666665</v>
      </c>
      <c r="F84" s="178">
        <f>IF(AND('Total income package'!$A$24=TRUE,E84&lt;$I$2),'Program specific data'!$B$119*WIC!$G$2,0)</f>
        <v>36.76</v>
      </c>
    </row>
    <row r="85" spans="1:6" x14ac:dyDescent="0.3">
      <c r="A85" s="19">
        <v>38500</v>
      </c>
      <c r="B85" s="20">
        <f t="shared" si="5"/>
        <v>3208.3333333333335</v>
      </c>
      <c r="C85" s="20">
        <f t="shared" si="3"/>
        <v>250</v>
      </c>
      <c r="D85" s="20">
        <f>MAX('TANF-VIEW'!L86,'TANF-VIEW'!T86)</f>
        <v>0</v>
      </c>
      <c r="E85" s="20">
        <f t="shared" si="4"/>
        <v>3458.3333333333335</v>
      </c>
      <c r="F85" s="178">
        <f>IF(AND('Total income package'!$A$24=TRUE,E85&lt;$I$2),'Program specific data'!$B$119*WIC!$G$2,0)</f>
        <v>36.76</v>
      </c>
    </row>
    <row r="86" spans="1:6" x14ac:dyDescent="0.3">
      <c r="A86" s="19">
        <v>39000</v>
      </c>
      <c r="B86" s="20">
        <f t="shared" si="5"/>
        <v>3250</v>
      </c>
      <c r="C86" s="20">
        <f t="shared" si="3"/>
        <v>250</v>
      </c>
      <c r="D86" s="20">
        <f>MAX('TANF-VIEW'!L87,'TANF-VIEW'!T87)</f>
        <v>0</v>
      </c>
      <c r="E86" s="20">
        <f t="shared" si="4"/>
        <v>3500</v>
      </c>
      <c r="F86" s="178">
        <f>IF(AND('Total income package'!$A$24=TRUE,E86&lt;$I$2),'Program specific data'!$B$119*WIC!$G$2,0)</f>
        <v>36.76</v>
      </c>
    </row>
    <row r="87" spans="1:6" x14ac:dyDescent="0.3">
      <c r="A87" s="19">
        <v>39500</v>
      </c>
      <c r="B87" s="20">
        <f t="shared" si="5"/>
        <v>3291.6666666666665</v>
      </c>
      <c r="C87" s="20">
        <f t="shared" si="3"/>
        <v>250</v>
      </c>
      <c r="D87" s="20">
        <f>MAX('TANF-VIEW'!L88,'TANF-VIEW'!T88)</f>
        <v>0</v>
      </c>
      <c r="E87" s="20">
        <f t="shared" si="4"/>
        <v>3541.6666666666665</v>
      </c>
      <c r="F87" s="178">
        <f>IF(AND('Total income package'!$A$24=TRUE,E87&lt;$I$2),'Program specific data'!$B$119*WIC!$G$2,0)</f>
        <v>36.76</v>
      </c>
    </row>
    <row r="88" spans="1:6" x14ac:dyDescent="0.3">
      <c r="A88" s="19">
        <v>40000</v>
      </c>
      <c r="B88" s="20">
        <f t="shared" si="5"/>
        <v>3333.3333333333335</v>
      </c>
      <c r="C88" s="20">
        <f t="shared" si="3"/>
        <v>250</v>
      </c>
      <c r="D88" s="20">
        <f>MAX('TANF-VIEW'!L89,'TANF-VIEW'!T89)</f>
        <v>0</v>
      </c>
      <c r="E88" s="20">
        <f t="shared" si="4"/>
        <v>3583.3333333333335</v>
      </c>
      <c r="F88" s="178">
        <f>IF(AND('Total income package'!$A$24=TRUE,E88&lt;$I$2),'Program specific data'!$B$119*WIC!$G$2,0)</f>
        <v>36.76</v>
      </c>
    </row>
    <row r="89" spans="1:6" x14ac:dyDescent="0.3">
      <c r="A89" s="19">
        <v>40500</v>
      </c>
      <c r="B89" s="20">
        <f t="shared" si="5"/>
        <v>3375</v>
      </c>
      <c r="C89" s="20">
        <f t="shared" si="3"/>
        <v>250</v>
      </c>
      <c r="D89" s="20">
        <f>MAX('TANF-VIEW'!L90,'TANF-VIEW'!T90)</f>
        <v>0</v>
      </c>
      <c r="E89" s="20">
        <f t="shared" si="4"/>
        <v>3625</v>
      </c>
      <c r="F89" s="178">
        <f>IF(AND('Total income package'!$A$24=TRUE,E89&lt;$I$2),'Program specific data'!$B$119*WIC!$G$2,0)</f>
        <v>36.76</v>
      </c>
    </row>
    <row r="90" spans="1:6" x14ac:dyDescent="0.3">
      <c r="A90" s="19">
        <v>41000</v>
      </c>
      <c r="B90" s="20">
        <f t="shared" si="5"/>
        <v>3416.6666666666665</v>
      </c>
      <c r="C90" s="20">
        <f t="shared" si="3"/>
        <v>250</v>
      </c>
      <c r="D90" s="20">
        <f>MAX('TANF-VIEW'!L91,'TANF-VIEW'!T91)</f>
        <v>0</v>
      </c>
      <c r="E90" s="20">
        <f t="shared" si="4"/>
        <v>3666.6666666666665</v>
      </c>
      <c r="F90" s="178">
        <f>IF(AND('Total income package'!$A$24=TRUE,E90&lt;$I$2),'Program specific data'!$B$119*WIC!$G$2,0)</f>
        <v>36.76</v>
      </c>
    </row>
    <row r="91" spans="1:6" x14ac:dyDescent="0.3">
      <c r="A91" s="19">
        <v>41500</v>
      </c>
      <c r="B91" s="20">
        <f t="shared" si="5"/>
        <v>3458.3333333333335</v>
      </c>
      <c r="C91" s="20">
        <f t="shared" si="3"/>
        <v>250</v>
      </c>
      <c r="D91" s="20">
        <f>MAX('TANF-VIEW'!L92,'TANF-VIEW'!T92)</f>
        <v>0</v>
      </c>
      <c r="E91" s="20">
        <f t="shared" si="4"/>
        <v>3708.3333333333335</v>
      </c>
      <c r="F91" s="178">
        <f>IF(AND('Total income package'!$A$24=TRUE,E91&lt;$I$2),'Program specific data'!$B$119*WIC!$G$2,0)</f>
        <v>36.76</v>
      </c>
    </row>
    <row r="92" spans="1:6" x14ac:dyDescent="0.3">
      <c r="A92" s="19">
        <v>42000</v>
      </c>
      <c r="B92" s="20">
        <f t="shared" si="5"/>
        <v>3500</v>
      </c>
      <c r="C92" s="20">
        <f t="shared" si="3"/>
        <v>250</v>
      </c>
      <c r="D92" s="20">
        <f>MAX('TANF-VIEW'!L93,'TANF-VIEW'!T93)</f>
        <v>0</v>
      </c>
      <c r="E92" s="20">
        <f t="shared" si="4"/>
        <v>3750</v>
      </c>
      <c r="F92" s="178">
        <f>IF(AND('Total income package'!$A$24=TRUE,E92&lt;$I$2),'Program specific data'!$B$119*WIC!$G$2,0)</f>
        <v>36.76</v>
      </c>
    </row>
    <row r="93" spans="1:6" x14ac:dyDescent="0.3">
      <c r="A93" s="19">
        <v>42500</v>
      </c>
      <c r="B93" s="20">
        <f t="shared" si="5"/>
        <v>3541.6666666666665</v>
      </c>
      <c r="C93" s="20">
        <f t="shared" si="3"/>
        <v>250</v>
      </c>
      <c r="D93" s="20">
        <f>MAX('TANF-VIEW'!L94,'TANF-VIEW'!T94)</f>
        <v>0</v>
      </c>
      <c r="E93" s="20">
        <f t="shared" si="4"/>
        <v>3791.6666666666665</v>
      </c>
      <c r="F93" s="178">
        <f>IF(AND('Total income package'!$A$24=TRUE,E93&lt;$I$2),'Program specific data'!$B$119*WIC!$G$2,0)</f>
        <v>36.76</v>
      </c>
    </row>
    <row r="94" spans="1:6" x14ac:dyDescent="0.3">
      <c r="A94" s="19">
        <v>43000</v>
      </c>
      <c r="B94" s="20">
        <f t="shared" si="5"/>
        <v>3583.3333333333335</v>
      </c>
      <c r="C94" s="20">
        <f t="shared" si="3"/>
        <v>250</v>
      </c>
      <c r="D94" s="20">
        <f>MAX('TANF-VIEW'!L95,'TANF-VIEW'!T95)</f>
        <v>0</v>
      </c>
      <c r="E94" s="20">
        <f t="shared" si="4"/>
        <v>3833.3333333333335</v>
      </c>
      <c r="F94" s="178">
        <f>IF(AND('Total income package'!$A$24=TRUE,E94&lt;$I$2),'Program specific data'!$B$119*WIC!$G$2,0)</f>
        <v>36.76</v>
      </c>
    </row>
    <row r="95" spans="1:6" x14ac:dyDescent="0.3">
      <c r="A95" s="19">
        <v>43500</v>
      </c>
      <c r="B95" s="20">
        <f t="shared" si="5"/>
        <v>3625</v>
      </c>
      <c r="C95" s="20">
        <f t="shared" si="3"/>
        <v>250</v>
      </c>
      <c r="D95" s="20">
        <f>MAX('TANF-VIEW'!L96,'TANF-VIEW'!T96)</f>
        <v>0</v>
      </c>
      <c r="E95" s="20">
        <f t="shared" si="4"/>
        <v>3875</v>
      </c>
      <c r="F95" s="178">
        <f>IF(AND('Total income package'!$A$24=TRUE,E95&lt;$I$2),'Program specific data'!$B$119*WIC!$G$2,0)</f>
        <v>36.76</v>
      </c>
    </row>
    <row r="96" spans="1:6" x14ac:dyDescent="0.3">
      <c r="A96" s="19">
        <v>44000</v>
      </c>
      <c r="B96" s="20">
        <f t="shared" si="5"/>
        <v>3666.6666666666665</v>
      </c>
      <c r="C96" s="20">
        <f t="shared" si="3"/>
        <v>250</v>
      </c>
      <c r="D96" s="20">
        <f>MAX('TANF-VIEW'!L97,'TANF-VIEW'!T97)</f>
        <v>0</v>
      </c>
      <c r="E96" s="20">
        <f t="shared" si="4"/>
        <v>3916.6666666666665</v>
      </c>
      <c r="F96" s="178">
        <f>IF(AND('Total income package'!$A$24=TRUE,E96&lt;$I$2),'Program specific data'!$B$119*WIC!$G$2,0)</f>
        <v>36.76</v>
      </c>
    </row>
    <row r="97" spans="1:6" x14ac:dyDescent="0.3">
      <c r="A97" s="19">
        <v>44500</v>
      </c>
      <c r="B97" s="20">
        <f t="shared" si="5"/>
        <v>3708.3333333333335</v>
      </c>
      <c r="C97" s="20">
        <f t="shared" si="3"/>
        <v>250</v>
      </c>
      <c r="D97" s="20">
        <f>MAX('TANF-VIEW'!L98,'TANF-VIEW'!T98)</f>
        <v>0</v>
      </c>
      <c r="E97" s="20">
        <f t="shared" si="4"/>
        <v>3958.3333333333335</v>
      </c>
      <c r="F97" s="178">
        <f>IF(AND('Total income package'!$A$24=TRUE,E97&lt;$I$2),'Program specific data'!$B$119*WIC!$G$2,0)</f>
        <v>36.76</v>
      </c>
    </row>
    <row r="98" spans="1:6" x14ac:dyDescent="0.3">
      <c r="A98" s="19">
        <v>45000</v>
      </c>
      <c r="B98" s="20">
        <f t="shared" si="5"/>
        <v>3750</v>
      </c>
      <c r="C98" s="20">
        <f t="shared" si="3"/>
        <v>250</v>
      </c>
      <c r="D98" s="20">
        <f>MAX('TANF-VIEW'!L99,'TANF-VIEW'!T99)</f>
        <v>0</v>
      </c>
      <c r="E98" s="20">
        <f t="shared" si="4"/>
        <v>4000</v>
      </c>
      <c r="F98" s="178">
        <f>IF(AND('Total income package'!$A$24=TRUE,E98&lt;$I$2),'Program specific data'!$B$119*WIC!$G$2,0)</f>
        <v>36.76</v>
      </c>
    </row>
    <row r="99" spans="1:6" x14ac:dyDescent="0.3">
      <c r="A99" s="19">
        <v>45500</v>
      </c>
      <c r="B99" s="20">
        <f t="shared" si="5"/>
        <v>3791.6666666666665</v>
      </c>
      <c r="C99" s="20">
        <f t="shared" si="3"/>
        <v>250</v>
      </c>
      <c r="D99" s="20">
        <f>MAX('TANF-VIEW'!L100,'TANF-VIEW'!T100)</f>
        <v>0</v>
      </c>
      <c r="E99" s="20">
        <f t="shared" si="4"/>
        <v>4041.6666666666665</v>
      </c>
      <c r="F99" s="178">
        <f>IF(AND('Total income package'!$A$24=TRUE,E99&lt;$I$2),'Program specific data'!$B$119*WIC!$G$2,0)</f>
        <v>36.76</v>
      </c>
    </row>
    <row r="100" spans="1:6" x14ac:dyDescent="0.3">
      <c r="A100" s="19">
        <v>46000</v>
      </c>
      <c r="B100" s="20">
        <f t="shared" si="5"/>
        <v>3833.3333333333335</v>
      </c>
      <c r="C100" s="20">
        <f t="shared" si="3"/>
        <v>250</v>
      </c>
      <c r="D100" s="20">
        <f>MAX('TANF-VIEW'!L101,'TANF-VIEW'!T101)</f>
        <v>0</v>
      </c>
      <c r="E100" s="20">
        <f t="shared" si="4"/>
        <v>4083.3333333333335</v>
      </c>
      <c r="F100" s="178">
        <f>IF(AND('Total income package'!$A$24=TRUE,E100&lt;$I$2),'Program specific data'!$B$119*WIC!$G$2,0)</f>
        <v>36.76</v>
      </c>
    </row>
    <row r="101" spans="1:6" x14ac:dyDescent="0.3">
      <c r="A101" s="19">
        <v>46500</v>
      </c>
      <c r="B101" s="20">
        <f t="shared" si="5"/>
        <v>3875</v>
      </c>
      <c r="C101" s="20">
        <f t="shared" si="3"/>
        <v>250</v>
      </c>
      <c r="D101" s="20">
        <f>MAX('TANF-VIEW'!L102,'TANF-VIEW'!T102)</f>
        <v>0</v>
      </c>
      <c r="E101" s="20">
        <f t="shared" si="4"/>
        <v>4125</v>
      </c>
      <c r="F101" s="178">
        <f>IF(AND('Total income package'!$A$24=TRUE,E101&lt;$I$2),'Program specific data'!$B$119*WIC!$G$2,0)</f>
        <v>36.76</v>
      </c>
    </row>
    <row r="102" spans="1:6" x14ac:dyDescent="0.3">
      <c r="A102" s="19">
        <v>47000</v>
      </c>
      <c r="B102" s="20">
        <f t="shared" si="5"/>
        <v>3916.6666666666665</v>
      </c>
      <c r="C102" s="20">
        <f t="shared" si="3"/>
        <v>250</v>
      </c>
      <c r="D102" s="20">
        <f>MAX('TANF-VIEW'!L103,'TANF-VIEW'!T103)</f>
        <v>0</v>
      </c>
      <c r="E102" s="20">
        <f t="shared" si="4"/>
        <v>4166.6666666666661</v>
      </c>
      <c r="F102" s="178">
        <f>IF(AND('Total income package'!$A$24=TRUE,E102&lt;$I$2),'Program specific data'!$B$119*WIC!$G$2,0)</f>
        <v>36.76</v>
      </c>
    </row>
    <row r="103" spans="1:6" x14ac:dyDescent="0.3">
      <c r="A103" s="19">
        <v>47500</v>
      </c>
      <c r="B103" s="20">
        <f t="shared" si="5"/>
        <v>3958.3333333333335</v>
      </c>
      <c r="C103" s="20">
        <f t="shared" si="3"/>
        <v>250</v>
      </c>
      <c r="D103" s="20">
        <f>MAX('TANF-VIEW'!L104,'TANF-VIEW'!T104)</f>
        <v>0</v>
      </c>
      <c r="E103" s="20">
        <f t="shared" si="4"/>
        <v>4208.3333333333339</v>
      </c>
      <c r="F103" s="178">
        <f>IF(AND('Total income package'!$A$24=TRUE,E103&lt;$I$2),'Program specific data'!$B$119*WIC!$G$2,0)</f>
        <v>36.76</v>
      </c>
    </row>
    <row r="104" spans="1:6" x14ac:dyDescent="0.3">
      <c r="A104" s="19">
        <v>48000</v>
      </c>
      <c r="B104" s="20">
        <f t="shared" si="5"/>
        <v>4000</v>
      </c>
      <c r="C104" s="20">
        <f t="shared" si="3"/>
        <v>250</v>
      </c>
      <c r="D104" s="20">
        <f>MAX('TANF-VIEW'!L105,'TANF-VIEW'!T105)</f>
        <v>0</v>
      </c>
      <c r="E104" s="20">
        <f t="shared" si="4"/>
        <v>4250</v>
      </c>
      <c r="F104" s="178">
        <f>IF(AND('Total income package'!$A$24=TRUE,E104&lt;$I$2),'Program specific data'!$B$119*WIC!$G$2,0)</f>
        <v>36.76</v>
      </c>
    </row>
    <row r="105" spans="1:6" x14ac:dyDescent="0.3">
      <c r="A105" s="19">
        <v>48500</v>
      </c>
      <c r="B105" s="20">
        <f t="shared" si="5"/>
        <v>4041.6666666666665</v>
      </c>
      <c r="C105" s="20">
        <f t="shared" si="3"/>
        <v>250</v>
      </c>
      <c r="D105" s="20">
        <f>MAX('TANF-VIEW'!L106,'TANF-VIEW'!T106)</f>
        <v>0</v>
      </c>
      <c r="E105" s="20">
        <f t="shared" si="4"/>
        <v>4291.6666666666661</v>
      </c>
      <c r="F105" s="178">
        <f>IF(AND('Total income package'!$A$24=TRUE,E105&lt;$I$2),'Program specific data'!$B$119*WIC!$G$2,0)</f>
        <v>36.76</v>
      </c>
    </row>
    <row r="106" spans="1:6" x14ac:dyDescent="0.3">
      <c r="A106" s="19">
        <v>49000</v>
      </c>
      <c r="B106" s="20">
        <f t="shared" si="5"/>
        <v>4083.3333333333335</v>
      </c>
      <c r="C106" s="20">
        <f t="shared" si="3"/>
        <v>250</v>
      </c>
      <c r="D106" s="20">
        <f>MAX('TANF-VIEW'!L107,'TANF-VIEW'!T107)</f>
        <v>0</v>
      </c>
      <c r="E106" s="20">
        <f t="shared" si="4"/>
        <v>4333.3333333333339</v>
      </c>
      <c r="F106" s="178">
        <f>IF(AND('Total income package'!$A$24=TRUE,E106&lt;$I$2),'Program specific data'!$B$119*WIC!$G$2,0)</f>
        <v>36.76</v>
      </c>
    </row>
    <row r="107" spans="1:6" x14ac:dyDescent="0.3">
      <c r="A107" s="19">
        <v>49500</v>
      </c>
      <c r="B107" s="20">
        <f t="shared" si="5"/>
        <v>4125</v>
      </c>
      <c r="C107" s="20">
        <f t="shared" si="3"/>
        <v>250</v>
      </c>
      <c r="D107" s="20">
        <f>MAX('TANF-VIEW'!L108,'TANF-VIEW'!T108)</f>
        <v>0</v>
      </c>
      <c r="E107" s="20">
        <f t="shared" si="4"/>
        <v>4375</v>
      </c>
      <c r="F107" s="178">
        <f>IF(AND('Total income package'!$A$24=TRUE,E107&lt;$I$2),'Program specific data'!$B$119*WIC!$G$2,0)</f>
        <v>36.76</v>
      </c>
    </row>
    <row r="108" spans="1:6" x14ac:dyDescent="0.3">
      <c r="A108" s="19">
        <v>50000</v>
      </c>
      <c r="B108" s="20">
        <f t="shared" si="5"/>
        <v>4166.666666666667</v>
      </c>
      <c r="C108" s="20">
        <f t="shared" si="3"/>
        <v>250</v>
      </c>
      <c r="D108" s="20">
        <f>MAX('TANF-VIEW'!L109,'TANF-VIEW'!T109)</f>
        <v>0</v>
      </c>
      <c r="E108" s="20">
        <f t="shared" si="4"/>
        <v>4416.666666666667</v>
      </c>
      <c r="F108" s="178">
        <f>IF(AND('Total income package'!$A$24=TRUE,E108&lt;$I$2),'Program specific data'!$B$119*WIC!$G$2,0)</f>
        <v>36.76</v>
      </c>
    </row>
    <row r="109" spans="1:6" x14ac:dyDescent="0.3">
      <c r="A109" s="19">
        <v>50500</v>
      </c>
      <c r="B109" s="20">
        <f t="shared" si="5"/>
        <v>4208.333333333333</v>
      </c>
      <c r="C109" s="20">
        <f t="shared" si="3"/>
        <v>250</v>
      </c>
      <c r="D109" s="20">
        <f>MAX('TANF-VIEW'!L110,'TANF-VIEW'!T110)</f>
        <v>0</v>
      </c>
      <c r="E109" s="20">
        <f t="shared" si="4"/>
        <v>4458.333333333333</v>
      </c>
      <c r="F109" s="178">
        <f>IF(AND('Total income package'!$A$24=TRUE,E109&lt;$I$2),'Program specific data'!$B$119*WIC!$G$2,0)</f>
        <v>36.76</v>
      </c>
    </row>
    <row r="110" spans="1:6" x14ac:dyDescent="0.3">
      <c r="A110" s="19">
        <v>51000</v>
      </c>
      <c r="B110" s="20">
        <f t="shared" si="5"/>
        <v>4250</v>
      </c>
      <c r="C110" s="20">
        <f t="shared" si="3"/>
        <v>250</v>
      </c>
      <c r="D110" s="20">
        <f>MAX('TANF-VIEW'!L111,'TANF-VIEW'!T111)</f>
        <v>0</v>
      </c>
      <c r="E110" s="20">
        <f t="shared" si="4"/>
        <v>4500</v>
      </c>
      <c r="F110" s="178">
        <f>IF(AND('Total income package'!$A$24=TRUE,E110&lt;$I$2),'Program specific data'!$B$119*WIC!$G$2,0)</f>
        <v>36.76</v>
      </c>
    </row>
    <row r="111" spans="1:6" x14ac:dyDescent="0.3">
      <c r="A111" s="19">
        <v>51500</v>
      </c>
      <c r="B111" s="20">
        <f t="shared" si="5"/>
        <v>4291.666666666667</v>
      </c>
      <c r="C111" s="20">
        <f t="shared" si="3"/>
        <v>250</v>
      </c>
      <c r="D111" s="20">
        <f>MAX('TANF-VIEW'!L112,'TANF-VIEW'!T112)</f>
        <v>0</v>
      </c>
      <c r="E111" s="20">
        <f t="shared" si="4"/>
        <v>4541.666666666667</v>
      </c>
      <c r="F111" s="178">
        <f>IF(AND('Total income package'!$A$24=TRUE,E111&lt;$I$2),'Program specific data'!$B$119*WIC!$G$2,0)</f>
        <v>36.76</v>
      </c>
    </row>
    <row r="112" spans="1:6" x14ac:dyDescent="0.3">
      <c r="A112" s="19">
        <v>52000</v>
      </c>
      <c r="B112" s="20">
        <f t="shared" si="5"/>
        <v>4333.333333333333</v>
      </c>
      <c r="C112" s="20">
        <f t="shared" si="3"/>
        <v>250</v>
      </c>
      <c r="D112" s="20">
        <f>MAX('TANF-VIEW'!L113,'TANF-VIEW'!T113)</f>
        <v>0</v>
      </c>
      <c r="E112" s="20">
        <f t="shared" si="4"/>
        <v>4583.333333333333</v>
      </c>
      <c r="F112" s="178">
        <f>IF(AND('Total income package'!$A$24=TRUE,E112&lt;$I$2),'Program specific data'!$B$119*WIC!$G$2,0)</f>
        <v>36.76</v>
      </c>
    </row>
    <row r="113" spans="1:6" x14ac:dyDescent="0.3">
      <c r="A113" s="19">
        <v>52500</v>
      </c>
      <c r="B113" s="20">
        <f t="shared" si="5"/>
        <v>4375</v>
      </c>
      <c r="C113" s="20">
        <f t="shared" si="3"/>
        <v>250</v>
      </c>
      <c r="D113" s="20">
        <f>MAX('TANF-VIEW'!L114,'TANF-VIEW'!T114)</f>
        <v>0</v>
      </c>
      <c r="E113" s="20">
        <f t="shared" si="4"/>
        <v>4625</v>
      </c>
      <c r="F113" s="178">
        <f>IF(AND('Total income package'!$A$24=TRUE,E113&lt;$I$2),'Program specific data'!$B$119*WIC!$G$2,0)</f>
        <v>36.76</v>
      </c>
    </row>
    <row r="114" spans="1:6" x14ac:dyDescent="0.3">
      <c r="A114" s="19">
        <v>53000</v>
      </c>
      <c r="B114" s="20">
        <f t="shared" si="5"/>
        <v>4416.666666666667</v>
      </c>
      <c r="C114" s="20">
        <f t="shared" si="3"/>
        <v>250</v>
      </c>
      <c r="D114" s="20">
        <f>MAX('TANF-VIEW'!L115,'TANF-VIEW'!T115)</f>
        <v>0</v>
      </c>
      <c r="E114" s="20">
        <f t="shared" si="4"/>
        <v>4666.666666666667</v>
      </c>
      <c r="F114" s="178">
        <f>IF(AND('Total income package'!$A$24=TRUE,E114&lt;$I$2),'Program specific data'!$B$119*WIC!$G$2,0)</f>
        <v>36.76</v>
      </c>
    </row>
    <row r="115" spans="1:6" x14ac:dyDescent="0.3">
      <c r="A115" s="19">
        <v>53500</v>
      </c>
      <c r="B115" s="20">
        <f t="shared" si="5"/>
        <v>4458.333333333333</v>
      </c>
      <c r="C115" s="20">
        <f t="shared" si="3"/>
        <v>250</v>
      </c>
      <c r="D115" s="20">
        <f>MAX('TANF-VIEW'!L116,'TANF-VIEW'!T116)</f>
        <v>0</v>
      </c>
      <c r="E115" s="20">
        <f t="shared" si="4"/>
        <v>4708.333333333333</v>
      </c>
      <c r="F115" s="178">
        <f>IF(AND('Total income package'!$A$24=TRUE,E115&lt;$I$2),'Program specific data'!$B$119*WIC!$G$2,0)</f>
        <v>36.76</v>
      </c>
    </row>
    <row r="116" spans="1:6" x14ac:dyDescent="0.3">
      <c r="A116" s="19">
        <v>54000</v>
      </c>
      <c r="B116" s="20">
        <f t="shared" si="5"/>
        <v>4500</v>
      </c>
      <c r="C116" s="20">
        <f t="shared" si="3"/>
        <v>250</v>
      </c>
      <c r="D116" s="20">
        <f>MAX('TANF-VIEW'!L117,'TANF-VIEW'!T117)</f>
        <v>0</v>
      </c>
      <c r="E116" s="20">
        <f t="shared" si="4"/>
        <v>4750</v>
      </c>
      <c r="F116" s="178">
        <f>IF(AND('Total income package'!$A$24=TRUE,E116&lt;$I$2),'Program specific data'!$B$119*WIC!$G$2,0)</f>
        <v>36.76</v>
      </c>
    </row>
    <row r="117" spans="1:6" x14ac:dyDescent="0.3">
      <c r="A117" s="19">
        <v>54500</v>
      </c>
      <c r="B117" s="20">
        <f t="shared" si="5"/>
        <v>4541.666666666667</v>
      </c>
      <c r="C117" s="20">
        <f t="shared" si="3"/>
        <v>250</v>
      </c>
      <c r="D117" s="20">
        <f>MAX('TANF-VIEW'!L118,'TANF-VIEW'!T118)</f>
        <v>0</v>
      </c>
      <c r="E117" s="20">
        <f t="shared" si="4"/>
        <v>4791.666666666667</v>
      </c>
      <c r="F117" s="178">
        <f>IF(AND('Total income package'!$A$24=TRUE,E117&lt;$I$2),'Program specific data'!$B$119*WIC!$G$2,0)</f>
        <v>36.76</v>
      </c>
    </row>
    <row r="118" spans="1:6" x14ac:dyDescent="0.3">
      <c r="A118" s="19">
        <v>55000</v>
      </c>
      <c r="B118" s="20">
        <f t="shared" si="5"/>
        <v>4583.333333333333</v>
      </c>
      <c r="C118" s="20">
        <f t="shared" si="3"/>
        <v>250</v>
      </c>
      <c r="D118" s="20">
        <f>MAX('TANF-VIEW'!L119,'TANF-VIEW'!T119)</f>
        <v>0</v>
      </c>
      <c r="E118" s="20">
        <f t="shared" si="4"/>
        <v>4833.333333333333</v>
      </c>
      <c r="F118" s="178">
        <f>IF(AND('Total income package'!$A$24=TRUE,E118&lt;$I$2),'Program specific data'!$B$119*WIC!$G$2,0)</f>
        <v>36.76</v>
      </c>
    </row>
    <row r="119" spans="1:6" x14ac:dyDescent="0.3">
      <c r="A119" s="19">
        <v>55500</v>
      </c>
      <c r="B119" s="20">
        <f t="shared" si="5"/>
        <v>4625</v>
      </c>
      <c r="C119" s="20">
        <f t="shared" si="3"/>
        <v>250</v>
      </c>
      <c r="D119" s="20">
        <f>MAX('TANF-VIEW'!L120,'TANF-VIEW'!T120)</f>
        <v>0</v>
      </c>
      <c r="E119" s="20">
        <f t="shared" si="4"/>
        <v>4875</v>
      </c>
      <c r="F119" s="178">
        <f>IF(AND('Total income package'!$A$24=TRUE,E119&lt;$I$2),'Program specific data'!$B$119*WIC!$G$2,0)</f>
        <v>36.76</v>
      </c>
    </row>
    <row r="120" spans="1:6" x14ac:dyDescent="0.3">
      <c r="A120" s="19">
        <v>56000</v>
      </c>
      <c r="B120" s="20">
        <f t="shared" si="5"/>
        <v>4666.666666666667</v>
      </c>
      <c r="C120" s="20">
        <f t="shared" si="3"/>
        <v>250</v>
      </c>
      <c r="D120" s="20">
        <f>MAX('TANF-VIEW'!L121,'TANF-VIEW'!T121)</f>
        <v>0</v>
      </c>
      <c r="E120" s="20">
        <f t="shared" si="4"/>
        <v>4916.666666666667</v>
      </c>
      <c r="F120" s="178">
        <f>IF(AND('Total income package'!$A$24=TRUE,E120&lt;$I$2),'Program specific data'!$B$119*WIC!$G$2,0)</f>
        <v>36.76</v>
      </c>
    </row>
    <row r="121" spans="1:6" x14ac:dyDescent="0.3">
      <c r="A121" s="19">
        <v>56500</v>
      </c>
      <c r="B121" s="20">
        <f t="shared" si="5"/>
        <v>4708.333333333333</v>
      </c>
      <c r="C121" s="20">
        <f t="shared" si="3"/>
        <v>250</v>
      </c>
      <c r="D121" s="20">
        <f>MAX('TANF-VIEW'!L122,'TANF-VIEW'!T122)</f>
        <v>0</v>
      </c>
      <c r="E121" s="20">
        <f t="shared" si="4"/>
        <v>4958.333333333333</v>
      </c>
      <c r="F121" s="178">
        <f>IF(AND('Total income package'!$A$24=TRUE,E121&lt;$I$2),'Program specific data'!$B$119*WIC!$G$2,0)</f>
        <v>36.76</v>
      </c>
    </row>
    <row r="122" spans="1:6" x14ac:dyDescent="0.3">
      <c r="A122" s="19">
        <v>57000</v>
      </c>
      <c r="B122" s="20">
        <f t="shared" si="5"/>
        <v>4750</v>
      </c>
      <c r="C122" s="20">
        <f t="shared" si="3"/>
        <v>250</v>
      </c>
      <c r="D122" s="20">
        <f>MAX('TANF-VIEW'!L123,'TANF-VIEW'!T123)</f>
        <v>0</v>
      </c>
      <c r="E122" s="20">
        <f t="shared" si="4"/>
        <v>5000</v>
      </c>
      <c r="F122" s="178">
        <f>IF(AND('Total income package'!$A$24=TRUE,E122&lt;$I$2),'Program specific data'!$B$119*WIC!$G$2,0)</f>
        <v>36.76</v>
      </c>
    </row>
    <row r="123" spans="1:6" x14ac:dyDescent="0.3">
      <c r="A123" s="19">
        <v>57500</v>
      </c>
      <c r="B123" s="20">
        <f t="shared" si="5"/>
        <v>4791.666666666667</v>
      </c>
      <c r="C123" s="20">
        <f t="shared" si="3"/>
        <v>250</v>
      </c>
      <c r="D123" s="20">
        <f>MAX('TANF-VIEW'!L124,'TANF-VIEW'!T124)</f>
        <v>0</v>
      </c>
      <c r="E123" s="20">
        <f t="shared" si="4"/>
        <v>5041.666666666667</v>
      </c>
      <c r="F123" s="178">
        <f>IF(AND('Total income package'!$A$24=TRUE,E123&lt;$I$2),'Program specific data'!$B$119*WIC!$G$2,0)</f>
        <v>36.76</v>
      </c>
    </row>
    <row r="124" spans="1:6" x14ac:dyDescent="0.3">
      <c r="A124" s="19">
        <v>58000</v>
      </c>
      <c r="B124" s="20">
        <f t="shared" si="5"/>
        <v>4833.333333333333</v>
      </c>
      <c r="C124" s="20">
        <f t="shared" si="3"/>
        <v>250</v>
      </c>
      <c r="D124" s="20">
        <f>MAX('TANF-VIEW'!L125,'TANF-VIEW'!T125)</f>
        <v>0</v>
      </c>
      <c r="E124" s="20">
        <f t="shared" si="4"/>
        <v>5083.333333333333</v>
      </c>
      <c r="F124" s="178">
        <f>IF(AND('Total income package'!$A$24=TRUE,E124&lt;$I$2),'Program specific data'!$B$119*WIC!$G$2,0)</f>
        <v>36.76</v>
      </c>
    </row>
    <row r="125" spans="1:6" x14ac:dyDescent="0.3">
      <c r="A125" s="19">
        <v>58500</v>
      </c>
      <c r="B125" s="20">
        <f t="shared" si="5"/>
        <v>4875</v>
      </c>
      <c r="C125" s="20">
        <f t="shared" si="3"/>
        <v>250</v>
      </c>
      <c r="D125" s="20">
        <f>MAX('TANF-VIEW'!L126,'TANF-VIEW'!T126)</f>
        <v>0</v>
      </c>
      <c r="E125" s="20">
        <f t="shared" si="4"/>
        <v>5125</v>
      </c>
      <c r="F125" s="178">
        <f>IF(AND('Total income package'!$A$24=TRUE,E125&lt;$I$2),'Program specific data'!$B$119*WIC!$G$2,0)</f>
        <v>36.76</v>
      </c>
    </row>
    <row r="126" spans="1:6" x14ac:dyDescent="0.3">
      <c r="A126" s="19">
        <v>59000</v>
      </c>
      <c r="B126" s="20">
        <f t="shared" si="5"/>
        <v>4916.666666666667</v>
      </c>
      <c r="C126" s="20">
        <f t="shared" si="3"/>
        <v>250</v>
      </c>
      <c r="D126" s="20">
        <f>MAX('TANF-VIEW'!L127,'TANF-VIEW'!T127)</f>
        <v>0</v>
      </c>
      <c r="E126" s="20">
        <f t="shared" si="4"/>
        <v>5166.666666666667</v>
      </c>
      <c r="F126" s="178">
        <f>IF(AND('Total income package'!$A$24=TRUE,E126&lt;$I$2),'Program specific data'!$B$119*WIC!$G$2,0)</f>
        <v>36.76</v>
      </c>
    </row>
    <row r="127" spans="1:6" x14ac:dyDescent="0.3">
      <c r="A127" s="19">
        <v>59500</v>
      </c>
      <c r="B127" s="20">
        <f t="shared" si="5"/>
        <v>4958.333333333333</v>
      </c>
      <c r="C127" s="20">
        <f t="shared" si="3"/>
        <v>250</v>
      </c>
      <c r="D127" s="20">
        <f>MAX('TANF-VIEW'!L128,'TANF-VIEW'!T128)</f>
        <v>0</v>
      </c>
      <c r="E127" s="20">
        <f t="shared" si="4"/>
        <v>5208.333333333333</v>
      </c>
      <c r="F127" s="178">
        <f>IF(AND('Total income package'!$A$24=TRUE,E127&lt;$I$2),'Program specific data'!$B$119*WIC!$G$2,0)</f>
        <v>36.76</v>
      </c>
    </row>
    <row r="128" spans="1:6" x14ac:dyDescent="0.3">
      <c r="A128" s="19">
        <v>60000</v>
      </c>
      <c r="B128" s="20">
        <f t="shared" si="5"/>
        <v>5000</v>
      </c>
      <c r="C128" s="20">
        <f t="shared" si="3"/>
        <v>250</v>
      </c>
      <c r="D128" s="20">
        <f>MAX('TANF-VIEW'!L129,'TANF-VIEW'!T129)</f>
        <v>0</v>
      </c>
      <c r="E128" s="20">
        <f t="shared" si="4"/>
        <v>5250</v>
      </c>
      <c r="F128" s="178">
        <f>IF(AND('Total income package'!$A$24=TRUE,E128&lt;$I$2),'Program specific data'!$B$119*WIC!$G$2,0)</f>
        <v>36.76</v>
      </c>
    </row>
    <row r="129" spans="1:6" x14ac:dyDescent="0.3">
      <c r="A129" s="19">
        <v>60500</v>
      </c>
      <c r="B129" s="20">
        <f t="shared" si="5"/>
        <v>5041.666666666667</v>
      </c>
      <c r="C129" s="20">
        <f t="shared" si="3"/>
        <v>250</v>
      </c>
      <c r="D129" s="20">
        <f>MAX('TANF-VIEW'!L130,'TANF-VIEW'!T130)</f>
        <v>0</v>
      </c>
      <c r="E129" s="20">
        <f t="shared" si="4"/>
        <v>5291.666666666667</v>
      </c>
      <c r="F129" s="178">
        <f>IF(AND('Total income package'!$A$24=TRUE,E129&lt;$I$2),'Program specific data'!$B$119*WIC!$G$2,0)</f>
        <v>36.76</v>
      </c>
    </row>
    <row r="130" spans="1:6" x14ac:dyDescent="0.3">
      <c r="A130" s="19">
        <v>61000</v>
      </c>
      <c r="B130" s="20">
        <f t="shared" si="5"/>
        <v>5083.333333333333</v>
      </c>
      <c r="C130" s="20">
        <f t="shared" si="3"/>
        <v>250</v>
      </c>
      <c r="D130" s="20">
        <f>MAX('TANF-VIEW'!L131,'TANF-VIEW'!T131)</f>
        <v>0</v>
      </c>
      <c r="E130" s="20">
        <f t="shared" si="4"/>
        <v>5333.333333333333</v>
      </c>
      <c r="F130" s="178">
        <f>IF(AND('Total income package'!$A$24=TRUE,E130&lt;$I$2),'Program specific data'!$B$119*WIC!$G$2,0)</f>
        <v>36.76</v>
      </c>
    </row>
    <row r="131" spans="1:6" x14ac:dyDescent="0.3">
      <c r="A131" s="19">
        <v>61500</v>
      </c>
      <c r="B131" s="20">
        <f t="shared" si="5"/>
        <v>5125</v>
      </c>
      <c r="C131" s="20">
        <f t="shared" si="3"/>
        <v>250</v>
      </c>
      <c r="D131" s="20">
        <f>MAX('TANF-VIEW'!L132,'TANF-VIEW'!T132)</f>
        <v>0</v>
      </c>
      <c r="E131" s="20">
        <f t="shared" si="4"/>
        <v>5375</v>
      </c>
      <c r="F131" s="178">
        <f>IF(AND('Total income package'!$A$24=TRUE,E131&lt;$I$2),'Program specific data'!$B$119*WIC!$G$2,0)</f>
        <v>36.76</v>
      </c>
    </row>
    <row r="132" spans="1:6" x14ac:dyDescent="0.3">
      <c r="A132" s="19">
        <v>62000</v>
      </c>
      <c r="B132" s="20">
        <f t="shared" si="5"/>
        <v>5166.666666666667</v>
      </c>
      <c r="C132" s="20">
        <f t="shared" si="3"/>
        <v>250</v>
      </c>
      <c r="D132" s="20">
        <f>MAX('TANF-VIEW'!L133,'TANF-VIEW'!T133)</f>
        <v>0</v>
      </c>
      <c r="E132" s="20">
        <f t="shared" si="4"/>
        <v>5416.666666666667</v>
      </c>
      <c r="F132" s="178">
        <f>IF(AND('Total income package'!$A$24=TRUE,E132&lt;$I$2),'Program specific data'!$B$119*WIC!$G$2,0)</f>
        <v>36.76</v>
      </c>
    </row>
    <row r="133" spans="1:6" x14ac:dyDescent="0.3">
      <c r="A133" s="19">
        <v>62500</v>
      </c>
      <c r="B133" s="20">
        <f t="shared" si="5"/>
        <v>5208.333333333333</v>
      </c>
      <c r="C133" s="20">
        <f t="shared" si="3"/>
        <v>250</v>
      </c>
      <c r="D133" s="20">
        <f>MAX('TANF-VIEW'!L134,'TANF-VIEW'!T134)</f>
        <v>0</v>
      </c>
      <c r="E133" s="20">
        <f t="shared" si="4"/>
        <v>5458.333333333333</v>
      </c>
      <c r="F133" s="178">
        <f>IF(AND('Total income package'!$A$24=TRUE,E133&lt;$I$2),'Program specific data'!$B$119*WIC!$G$2,0)</f>
        <v>36.76</v>
      </c>
    </row>
    <row r="134" spans="1:6" x14ac:dyDescent="0.3">
      <c r="A134" s="19">
        <v>63000</v>
      </c>
      <c r="B134" s="20">
        <f t="shared" si="5"/>
        <v>5250</v>
      </c>
      <c r="C134" s="20">
        <f t="shared" si="3"/>
        <v>250</v>
      </c>
      <c r="D134" s="20">
        <f>MAX('TANF-VIEW'!L135,'TANF-VIEW'!T135)</f>
        <v>0</v>
      </c>
      <c r="E134" s="20">
        <f t="shared" si="4"/>
        <v>5500</v>
      </c>
      <c r="F134" s="178">
        <f>IF(AND('Total income package'!$A$24=TRUE,E134&lt;$I$2),'Program specific data'!$B$119*WIC!$G$2,0)</f>
        <v>36.76</v>
      </c>
    </row>
    <row r="135" spans="1:6" x14ac:dyDescent="0.3">
      <c r="A135" s="19">
        <v>63500</v>
      </c>
      <c r="B135" s="20">
        <f t="shared" si="5"/>
        <v>5291.666666666667</v>
      </c>
      <c r="C135" s="20">
        <f t="shared" si="3"/>
        <v>250</v>
      </c>
      <c r="D135" s="20">
        <f>MAX('TANF-VIEW'!L136,'TANF-VIEW'!T136)</f>
        <v>0</v>
      </c>
      <c r="E135" s="20">
        <f t="shared" si="4"/>
        <v>5541.666666666667</v>
      </c>
      <c r="F135" s="178">
        <f>IF(AND('Total income package'!$A$24=TRUE,E135&lt;$I$2),'Program specific data'!$B$119*WIC!$G$2,0)</f>
        <v>36.76</v>
      </c>
    </row>
    <row r="136" spans="1:6" x14ac:dyDescent="0.3">
      <c r="A136" s="19">
        <v>64000</v>
      </c>
      <c r="B136" s="20">
        <f t="shared" si="5"/>
        <v>5333.333333333333</v>
      </c>
      <c r="C136" s="20">
        <f t="shared" si="3"/>
        <v>250</v>
      </c>
      <c r="D136" s="20">
        <f>MAX('TANF-VIEW'!L137,'TANF-VIEW'!T137)</f>
        <v>0</v>
      </c>
      <c r="E136" s="20">
        <f t="shared" si="4"/>
        <v>5583.333333333333</v>
      </c>
      <c r="F136" s="178">
        <f>IF(AND('Total income package'!$A$24=TRUE,E136&lt;$I$2),'Program specific data'!$B$119*WIC!$G$2,0)</f>
        <v>36.76</v>
      </c>
    </row>
    <row r="137" spans="1:6" x14ac:dyDescent="0.3">
      <c r="A137" s="19">
        <v>64500</v>
      </c>
      <c r="B137" s="20">
        <f t="shared" si="5"/>
        <v>5375</v>
      </c>
      <c r="C137" s="20">
        <f t="shared" ref="C137:C200" si="6">$H$2</f>
        <v>250</v>
      </c>
      <c r="D137" s="20">
        <f>MAX('TANF-VIEW'!L138,'TANF-VIEW'!T138)</f>
        <v>0</v>
      </c>
      <c r="E137" s="20">
        <f t="shared" ref="E137:E200" si="7">B137+C137+D137</f>
        <v>5625</v>
      </c>
      <c r="F137" s="178">
        <f>IF(AND('Total income package'!$A$24=TRUE,E137&lt;$I$2),'Program specific data'!$B$119*WIC!$G$2,0)</f>
        <v>36.76</v>
      </c>
    </row>
    <row r="138" spans="1:6" x14ac:dyDescent="0.3">
      <c r="A138" s="19">
        <v>65000</v>
      </c>
      <c r="B138" s="20">
        <f t="shared" ref="B138:B201" si="8">A138/12</f>
        <v>5416.666666666667</v>
      </c>
      <c r="C138" s="20">
        <f t="shared" si="6"/>
        <v>250</v>
      </c>
      <c r="D138" s="20">
        <f>MAX('TANF-VIEW'!L139,'TANF-VIEW'!T139)</f>
        <v>0</v>
      </c>
      <c r="E138" s="20">
        <f t="shared" si="7"/>
        <v>5666.666666666667</v>
      </c>
      <c r="F138" s="178">
        <f>IF(AND('Total income package'!$A$24=TRUE,E138&lt;$I$2),'Program specific data'!$B$119*WIC!$G$2,0)</f>
        <v>36.76</v>
      </c>
    </row>
    <row r="139" spans="1:6" x14ac:dyDescent="0.3">
      <c r="A139" s="19">
        <v>65500</v>
      </c>
      <c r="B139" s="20">
        <f t="shared" si="8"/>
        <v>5458.333333333333</v>
      </c>
      <c r="C139" s="20">
        <f t="shared" si="6"/>
        <v>250</v>
      </c>
      <c r="D139" s="20">
        <f>MAX('TANF-VIEW'!L140,'TANF-VIEW'!T140)</f>
        <v>0</v>
      </c>
      <c r="E139" s="20">
        <f t="shared" si="7"/>
        <v>5708.333333333333</v>
      </c>
      <c r="F139" s="178">
        <f>IF(AND('Total income package'!$A$24=TRUE,E139&lt;$I$2),'Program specific data'!$B$119*WIC!$G$2,0)</f>
        <v>36.76</v>
      </c>
    </row>
    <row r="140" spans="1:6" x14ac:dyDescent="0.3">
      <c r="A140" s="19">
        <v>66000</v>
      </c>
      <c r="B140" s="20">
        <f t="shared" si="8"/>
        <v>5500</v>
      </c>
      <c r="C140" s="20">
        <f t="shared" si="6"/>
        <v>250</v>
      </c>
      <c r="D140" s="20">
        <f>MAX('TANF-VIEW'!L141,'TANF-VIEW'!T141)</f>
        <v>0</v>
      </c>
      <c r="E140" s="20">
        <f t="shared" si="7"/>
        <v>5750</v>
      </c>
      <c r="F140" s="178">
        <f>IF(AND('Total income package'!$A$24=TRUE,E140&lt;$I$2),'Program specific data'!$B$119*WIC!$G$2,0)</f>
        <v>36.76</v>
      </c>
    </row>
    <row r="141" spans="1:6" x14ac:dyDescent="0.3">
      <c r="A141" s="19">
        <v>66500</v>
      </c>
      <c r="B141" s="20">
        <f t="shared" si="8"/>
        <v>5541.666666666667</v>
      </c>
      <c r="C141" s="20">
        <f t="shared" si="6"/>
        <v>250</v>
      </c>
      <c r="D141" s="20">
        <f>MAX('TANF-VIEW'!L142,'TANF-VIEW'!T142)</f>
        <v>0</v>
      </c>
      <c r="E141" s="20">
        <f t="shared" si="7"/>
        <v>5791.666666666667</v>
      </c>
      <c r="F141" s="178">
        <f>IF(AND('Total income package'!$A$24=TRUE,E141&lt;$I$2),'Program specific data'!$B$119*WIC!$G$2,0)</f>
        <v>36.76</v>
      </c>
    </row>
    <row r="142" spans="1:6" x14ac:dyDescent="0.3">
      <c r="A142" s="19">
        <v>67000</v>
      </c>
      <c r="B142" s="20">
        <f t="shared" si="8"/>
        <v>5583.333333333333</v>
      </c>
      <c r="C142" s="20">
        <f t="shared" si="6"/>
        <v>250</v>
      </c>
      <c r="D142" s="20">
        <f>MAX('TANF-VIEW'!L143,'TANF-VIEW'!T143)</f>
        <v>0</v>
      </c>
      <c r="E142" s="20">
        <f t="shared" si="7"/>
        <v>5833.333333333333</v>
      </c>
      <c r="F142" s="178">
        <f>IF(AND('Total income package'!$A$24=TRUE,E142&lt;$I$2),'Program specific data'!$B$119*WIC!$G$2,0)</f>
        <v>0</v>
      </c>
    </row>
    <row r="143" spans="1:6" x14ac:dyDescent="0.3">
      <c r="A143" s="19">
        <v>67500</v>
      </c>
      <c r="B143" s="20">
        <f t="shared" si="8"/>
        <v>5625</v>
      </c>
      <c r="C143" s="20">
        <f t="shared" si="6"/>
        <v>250</v>
      </c>
      <c r="D143" s="20">
        <f>MAX('TANF-VIEW'!L144,'TANF-VIEW'!T144)</f>
        <v>0</v>
      </c>
      <c r="E143" s="20">
        <f t="shared" si="7"/>
        <v>5875</v>
      </c>
      <c r="F143" s="178">
        <f>IF(AND('Total income package'!$A$24=TRUE,E143&lt;$I$2),'Program specific data'!$B$119*WIC!$G$2,0)</f>
        <v>0</v>
      </c>
    </row>
    <row r="144" spans="1:6" x14ac:dyDescent="0.3">
      <c r="A144" s="19">
        <v>68000</v>
      </c>
      <c r="B144" s="20">
        <f t="shared" si="8"/>
        <v>5666.666666666667</v>
      </c>
      <c r="C144" s="20">
        <f t="shared" si="6"/>
        <v>250</v>
      </c>
      <c r="D144" s="20">
        <f>MAX('TANF-VIEW'!L145,'TANF-VIEW'!T145)</f>
        <v>0</v>
      </c>
      <c r="E144" s="20">
        <f t="shared" si="7"/>
        <v>5916.666666666667</v>
      </c>
      <c r="F144" s="178">
        <f>IF(AND('Total income package'!$A$24=TRUE,E144&lt;$I$2),'Program specific data'!$B$119*WIC!$G$2,0)</f>
        <v>0</v>
      </c>
    </row>
    <row r="145" spans="1:6" x14ac:dyDescent="0.3">
      <c r="A145" s="19">
        <v>68500</v>
      </c>
      <c r="B145" s="20">
        <f t="shared" si="8"/>
        <v>5708.333333333333</v>
      </c>
      <c r="C145" s="20">
        <f t="shared" si="6"/>
        <v>250</v>
      </c>
      <c r="D145" s="20">
        <f>MAX('TANF-VIEW'!L146,'TANF-VIEW'!T146)</f>
        <v>0</v>
      </c>
      <c r="E145" s="20">
        <f t="shared" si="7"/>
        <v>5958.333333333333</v>
      </c>
      <c r="F145" s="178">
        <f>IF(AND('Total income package'!$A$24=TRUE,E145&lt;$I$2),'Program specific data'!$B$119*WIC!$G$2,0)</f>
        <v>0</v>
      </c>
    </row>
    <row r="146" spans="1:6" x14ac:dyDescent="0.3">
      <c r="A146" s="19">
        <v>69000</v>
      </c>
      <c r="B146" s="20">
        <f t="shared" si="8"/>
        <v>5750</v>
      </c>
      <c r="C146" s="20">
        <f t="shared" si="6"/>
        <v>250</v>
      </c>
      <c r="D146" s="20">
        <f>MAX('TANF-VIEW'!L147,'TANF-VIEW'!T147)</f>
        <v>0</v>
      </c>
      <c r="E146" s="20">
        <f t="shared" si="7"/>
        <v>6000</v>
      </c>
      <c r="F146" s="178">
        <f>IF(AND('Total income package'!$A$24=TRUE,E146&lt;$I$2),'Program specific data'!$B$119*WIC!$G$2,0)</f>
        <v>0</v>
      </c>
    </row>
    <row r="147" spans="1:6" x14ac:dyDescent="0.3">
      <c r="A147" s="19">
        <v>69500</v>
      </c>
      <c r="B147" s="20">
        <f t="shared" si="8"/>
        <v>5791.666666666667</v>
      </c>
      <c r="C147" s="20">
        <f t="shared" si="6"/>
        <v>250</v>
      </c>
      <c r="D147" s="20">
        <f>MAX('TANF-VIEW'!L148,'TANF-VIEW'!T148)</f>
        <v>0</v>
      </c>
      <c r="E147" s="20">
        <f t="shared" si="7"/>
        <v>6041.666666666667</v>
      </c>
      <c r="F147" s="178">
        <f>IF(AND('Total income package'!$A$24=TRUE,E147&lt;$I$2),'Program specific data'!$B$119*WIC!$G$2,0)</f>
        <v>0</v>
      </c>
    </row>
    <row r="148" spans="1:6" x14ac:dyDescent="0.3">
      <c r="A148" s="19">
        <v>70000</v>
      </c>
      <c r="B148" s="20">
        <f t="shared" si="8"/>
        <v>5833.333333333333</v>
      </c>
      <c r="C148" s="20">
        <f t="shared" si="6"/>
        <v>250</v>
      </c>
      <c r="D148" s="20">
        <f>MAX('TANF-VIEW'!L149,'TANF-VIEW'!T149)</f>
        <v>0</v>
      </c>
      <c r="E148" s="20">
        <f t="shared" si="7"/>
        <v>6083.333333333333</v>
      </c>
      <c r="F148" s="178">
        <f>IF(AND('Total income package'!$A$24=TRUE,E148&lt;$I$2),'Program specific data'!$B$119*WIC!$G$2,0)</f>
        <v>0</v>
      </c>
    </row>
    <row r="149" spans="1:6" x14ac:dyDescent="0.3">
      <c r="A149" s="19">
        <v>70500</v>
      </c>
      <c r="B149" s="20">
        <f t="shared" si="8"/>
        <v>5875</v>
      </c>
      <c r="C149" s="20">
        <f t="shared" si="6"/>
        <v>250</v>
      </c>
      <c r="D149" s="20">
        <f>MAX('TANF-VIEW'!L150,'TANF-VIEW'!T150)</f>
        <v>0</v>
      </c>
      <c r="E149" s="20">
        <f t="shared" si="7"/>
        <v>6125</v>
      </c>
      <c r="F149" s="178">
        <f>IF(AND('Total income package'!$A$24=TRUE,E149&lt;$I$2),'Program specific data'!$B$119*WIC!$G$2,0)</f>
        <v>0</v>
      </c>
    </row>
    <row r="150" spans="1:6" x14ac:dyDescent="0.3">
      <c r="A150" s="19">
        <v>71000</v>
      </c>
      <c r="B150" s="20">
        <f t="shared" si="8"/>
        <v>5916.666666666667</v>
      </c>
      <c r="C150" s="20">
        <f t="shared" si="6"/>
        <v>250</v>
      </c>
      <c r="D150" s="20">
        <f>MAX('TANF-VIEW'!L151,'TANF-VIEW'!T151)</f>
        <v>0</v>
      </c>
      <c r="E150" s="20">
        <f t="shared" si="7"/>
        <v>6166.666666666667</v>
      </c>
      <c r="F150" s="178">
        <f>IF(AND('Total income package'!$A$24=TRUE,E150&lt;$I$2),'Program specific data'!$B$119*WIC!$G$2,0)</f>
        <v>0</v>
      </c>
    </row>
    <row r="151" spans="1:6" x14ac:dyDescent="0.3">
      <c r="A151" s="19">
        <v>71500</v>
      </c>
      <c r="B151" s="20">
        <f t="shared" si="8"/>
        <v>5958.333333333333</v>
      </c>
      <c r="C151" s="20">
        <f t="shared" si="6"/>
        <v>250</v>
      </c>
      <c r="D151" s="20">
        <f>MAX('TANF-VIEW'!L152,'TANF-VIEW'!T152)</f>
        <v>0</v>
      </c>
      <c r="E151" s="20">
        <f t="shared" si="7"/>
        <v>6208.333333333333</v>
      </c>
      <c r="F151" s="178">
        <f>IF(AND('Total income package'!$A$24=TRUE,E151&lt;$I$2),'Program specific data'!$B$119*WIC!$G$2,0)</f>
        <v>0</v>
      </c>
    </row>
    <row r="152" spans="1:6" x14ac:dyDescent="0.3">
      <c r="A152" s="19">
        <v>72000</v>
      </c>
      <c r="B152" s="20">
        <f t="shared" si="8"/>
        <v>6000</v>
      </c>
      <c r="C152" s="20">
        <f t="shared" si="6"/>
        <v>250</v>
      </c>
      <c r="D152" s="20">
        <f>MAX('TANF-VIEW'!L153,'TANF-VIEW'!T153)</f>
        <v>0</v>
      </c>
      <c r="E152" s="20">
        <f t="shared" si="7"/>
        <v>6250</v>
      </c>
      <c r="F152" s="178">
        <f>IF(AND('Total income package'!$A$24=TRUE,E152&lt;$I$2),'Program specific data'!$B$119*WIC!$G$2,0)</f>
        <v>0</v>
      </c>
    </row>
    <row r="153" spans="1:6" x14ac:dyDescent="0.3">
      <c r="A153" s="19">
        <v>72500</v>
      </c>
      <c r="B153" s="20">
        <f t="shared" si="8"/>
        <v>6041.666666666667</v>
      </c>
      <c r="C153" s="20">
        <f t="shared" si="6"/>
        <v>250</v>
      </c>
      <c r="D153" s="20">
        <f>MAX('TANF-VIEW'!L154,'TANF-VIEW'!T154)</f>
        <v>0</v>
      </c>
      <c r="E153" s="20">
        <f t="shared" si="7"/>
        <v>6291.666666666667</v>
      </c>
      <c r="F153" s="178">
        <f>IF(AND('Total income package'!$A$24=TRUE,E153&lt;$I$2),'Program specific data'!$B$119*WIC!$G$2,0)</f>
        <v>0</v>
      </c>
    </row>
    <row r="154" spans="1:6" x14ac:dyDescent="0.3">
      <c r="A154" s="19">
        <v>73000</v>
      </c>
      <c r="B154" s="20">
        <f t="shared" si="8"/>
        <v>6083.333333333333</v>
      </c>
      <c r="C154" s="20">
        <f t="shared" si="6"/>
        <v>250</v>
      </c>
      <c r="D154" s="20">
        <f>MAX('TANF-VIEW'!L155,'TANF-VIEW'!T155)</f>
        <v>0</v>
      </c>
      <c r="E154" s="20">
        <f t="shared" si="7"/>
        <v>6333.333333333333</v>
      </c>
      <c r="F154" s="178">
        <f>IF(AND('Total income package'!$A$24=TRUE,E154&lt;$I$2),'Program specific data'!$B$119*WIC!$G$2,0)</f>
        <v>0</v>
      </c>
    </row>
    <row r="155" spans="1:6" x14ac:dyDescent="0.3">
      <c r="A155" s="19">
        <v>73500</v>
      </c>
      <c r="B155" s="20">
        <f t="shared" si="8"/>
        <v>6125</v>
      </c>
      <c r="C155" s="20">
        <f t="shared" si="6"/>
        <v>250</v>
      </c>
      <c r="D155" s="20">
        <f>MAX('TANF-VIEW'!L156,'TANF-VIEW'!T156)</f>
        <v>0</v>
      </c>
      <c r="E155" s="20">
        <f t="shared" si="7"/>
        <v>6375</v>
      </c>
      <c r="F155" s="178">
        <f>IF(AND('Total income package'!$A$24=TRUE,E155&lt;$I$2),'Program specific data'!$B$119*WIC!$G$2,0)</f>
        <v>0</v>
      </c>
    </row>
    <row r="156" spans="1:6" x14ac:dyDescent="0.3">
      <c r="A156" s="19">
        <v>74000</v>
      </c>
      <c r="B156" s="20">
        <f t="shared" si="8"/>
        <v>6166.666666666667</v>
      </c>
      <c r="C156" s="20">
        <f t="shared" si="6"/>
        <v>250</v>
      </c>
      <c r="D156" s="20">
        <f>MAX('TANF-VIEW'!L157,'TANF-VIEW'!T157)</f>
        <v>0</v>
      </c>
      <c r="E156" s="20">
        <f t="shared" si="7"/>
        <v>6416.666666666667</v>
      </c>
      <c r="F156" s="178">
        <f>IF(AND('Total income package'!$A$24=TRUE,E156&lt;$I$2),'Program specific data'!$B$119*WIC!$G$2,0)</f>
        <v>0</v>
      </c>
    </row>
    <row r="157" spans="1:6" x14ac:dyDescent="0.3">
      <c r="A157" s="19">
        <v>74500</v>
      </c>
      <c r="B157" s="20">
        <f t="shared" si="8"/>
        <v>6208.333333333333</v>
      </c>
      <c r="C157" s="20">
        <f t="shared" si="6"/>
        <v>250</v>
      </c>
      <c r="D157" s="20">
        <f>MAX('TANF-VIEW'!L158,'TANF-VIEW'!T158)</f>
        <v>0</v>
      </c>
      <c r="E157" s="20">
        <f t="shared" si="7"/>
        <v>6458.333333333333</v>
      </c>
      <c r="F157" s="178">
        <f>IF(AND('Total income package'!$A$24=TRUE,E157&lt;$I$2),'Program specific data'!$B$119*WIC!$G$2,0)</f>
        <v>0</v>
      </c>
    </row>
    <row r="158" spans="1:6" x14ac:dyDescent="0.3">
      <c r="A158" s="19">
        <v>75000</v>
      </c>
      <c r="B158" s="20">
        <f t="shared" si="8"/>
        <v>6250</v>
      </c>
      <c r="C158" s="20">
        <f t="shared" si="6"/>
        <v>250</v>
      </c>
      <c r="D158" s="20">
        <f>MAX('TANF-VIEW'!L159,'TANF-VIEW'!T159)</f>
        <v>0</v>
      </c>
      <c r="E158" s="20">
        <f t="shared" si="7"/>
        <v>6500</v>
      </c>
      <c r="F158" s="178">
        <f>IF(AND('Total income package'!$A$24=TRUE,E158&lt;$I$2),'Program specific data'!$B$119*WIC!$G$2,0)</f>
        <v>0</v>
      </c>
    </row>
    <row r="159" spans="1:6" x14ac:dyDescent="0.3">
      <c r="A159" s="19">
        <v>75500</v>
      </c>
      <c r="B159" s="20">
        <f t="shared" si="8"/>
        <v>6291.666666666667</v>
      </c>
      <c r="C159" s="20">
        <f t="shared" si="6"/>
        <v>250</v>
      </c>
      <c r="D159" s="20">
        <f>MAX('TANF-VIEW'!L160,'TANF-VIEW'!T160)</f>
        <v>0</v>
      </c>
      <c r="E159" s="20">
        <f t="shared" si="7"/>
        <v>6541.666666666667</v>
      </c>
      <c r="F159" s="178">
        <f>IF(AND('Total income package'!$A$24=TRUE,E159&lt;$I$2),'Program specific data'!$B$119*WIC!$G$2,0)</f>
        <v>0</v>
      </c>
    </row>
    <row r="160" spans="1:6" x14ac:dyDescent="0.3">
      <c r="A160" s="19">
        <v>76000</v>
      </c>
      <c r="B160" s="20">
        <f t="shared" si="8"/>
        <v>6333.333333333333</v>
      </c>
      <c r="C160" s="20">
        <f t="shared" si="6"/>
        <v>250</v>
      </c>
      <c r="D160" s="20">
        <f>MAX('TANF-VIEW'!L161,'TANF-VIEW'!T161)</f>
        <v>0</v>
      </c>
      <c r="E160" s="20">
        <f t="shared" si="7"/>
        <v>6583.333333333333</v>
      </c>
      <c r="F160" s="178">
        <f>IF(AND('Total income package'!$A$24=TRUE,E160&lt;$I$2),'Program specific data'!$B$119*WIC!$G$2,0)</f>
        <v>0</v>
      </c>
    </row>
    <row r="161" spans="1:6" x14ac:dyDescent="0.3">
      <c r="A161" s="19">
        <v>76500</v>
      </c>
      <c r="B161" s="20">
        <f t="shared" si="8"/>
        <v>6375</v>
      </c>
      <c r="C161" s="20">
        <f t="shared" si="6"/>
        <v>250</v>
      </c>
      <c r="D161" s="20">
        <f>MAX('TANF-VIEW'!L162,'TANF-VIEW'!T162)</f>
        <v>0</v>
      </c>
      <c r="E161" s="20">
        <f t="shared" si="7"/>
        <v>6625</v>
      </c>
      <c r="F161" s="178">
        <f>IF(AND('Total income package'!$A$24=TRUE,E161&lt;$I$2),'Program specific data'!$B$119*WIC!$G$2,0)</f>
        <v>0</v>
      </c>
    </row>
    <row r="162" spans="1:6" x14ac:dyDescent="0.3">
      <c r="A162" s="19">
        <v>77000</v>
      </c>
      <c r="B162" s="20">
        <f t="shared" si="8"/>
        <v>6416.666666666667</v>
      </c>
      <c r="C162" s="20">
        <f t="shared" si="6"/>
        <v>250</v>
      </c>
      <c r="D162" s="20">
        <f>MAX('TANF-VIEW'!L163,'TANF-VIEW'!T163)</f>
        <v>0</v>
      </c>
      <c r="E162" s="20">
        <f t="shared" si="7"/>
        <v>6666.666666666667</v>
      </c>
      <c r="F162" s="178">
        <f>IF(AND('Total income package'!$A$24=TRUE,E162&lt;$I$2),'Program specific data'!$B$119*WIC!$G$2,0)</f>
        <v>0</v>
      </c>
    </row>
    <row r="163" spans="1:6" x14ac:dyDescent="0.3">
      <c r="A163" s="19">
        <v>77500</v>
      </c>
      <c r="B163" s="20">
        <f t="shared" si="8"/>
        <v>6458.333333333333</v>
      </c>
      <c r="C163" s="20">
        <f t="shared" si="6"/>
        <v>250</v>
      </c>
      <c r="D163" s="20">
        <f>MAX('TANF-VIEW'!L164,'TANF-VIEW'!T164)</f>
        <v>0</v>
      </c>
      <c r="E163" s="20">
        <f t="shared" si="7"/>
        <v>6708.333333333333</v>
      </c>
      <c r="F163" s="178">
        <f>IF(AND('Total income package'!$A$24=TRUE,E163&lt;$I$2),'Program specific data'!$B$119*WIC!$G$2,0)</f>
        <v>0</v>
      </c>
    </row>
    <row r="164" spans="1:6" x14ac:dyDescent="0.3">
      <c r="A164" s="19">
        <v>78000</v>
      </c>
      <c r="B164" s="20">
        <f t="shared" si="8"/>
        <v>6500</v>
      </c>
      <c r="C164" s="20">
        <f t="shared" si="6"/>
        <v>250</v>
      </c>
      <c r="D164" s="20">
        <f>MAX('TANF-VIEW'!L165,'TANF-VIEW'!T165)</f>
        <v>0</v>
      </c>
      <c r="E164" s="20">
        <f t="shared" si="7"/>
        <v>6750</v>
      </c>
      <c r="F164" s="178">
        <f>IF(AND('Total income package'!$A$24=TRUE,E164&lt;$I$2),'Program specific data'!$B$119*WIC!$G$2,0)</f>
        <v>0</v>
      </c>
    </row>
    <row r="165" spans="1:6" x14ac:dyDescent="0.3">
      <c r="A165" s="19">
        <v>78500</v>
      </c>
      <c r="B165" s="20">
        <f t="shared" si="8"/>
        <v>6541.666666666667</v>
      </c>
      <c r="C165" s="20">
        <f t="shared" si="6"/>
        <v>250</v>
      </c>
      <c r="D165" s="20">
        <f>MAX('TANF-VIEW'!L166,'TANF-VIEW'!T166)</f>
        <v>0</v>
      </c>
      <c r="E165" s="20">
        <f t="shared" si="7"/>
        <v>6791.666666666667</v>
      </c>
      <c r="F165" s="178">
        <f>IF(AND('Total income package'!$A$24=TRUE,E165&lt;$I$2),'Program specific data'!$B$119*WIC!$G$2,0)</f>
        <v>0</v>
      </c>
    </row>
    <row r="166" spans="1:6" x14ac:dyDescent="0.3">
      <c r="A166" s="19">
        <v>79000</v>
      </c>
      <c r="B166" s="20">
        <f t="shared" si="8"/>
        <v>6583.333333333333</v>
      </c>
      <c r="C166" s="20">
        <f t="shared" si="6"/>
        <v>250</v>
      </c>
      <c r="D166" s="20">
        <f>MAX('TANF-VIEW'!L167,'TANF-VIEW'!T167)</f>
        <v>0</v>
      </c>
      <c r="E166" s="20">
        <f t="shared" si="7"/>
        <v>6833.333333333333</v>
      </c>
      <c r="F166" s="178">
        <f>IF(AND('Total income package'!$A$24=TRUE,E166&lt;$I$2),'Program specific data'!$B$119*WIC!$G$2,0)</f>
        <v>0</v>
      </c>
    </row>
    <row r="167" spans="1:6" x14ac:dyDescent="0.3">
      <c r="A167" s="19">
        <v>79500</v>
      </c>
      <c r="B167" s="20">
        <f t="shared" si="8"/>
        <v>6625</v>
      </c>
      <c r="C167" s="20">
        <f t="shared" si="6"/>
        <v>250</v>
      </c>
      <c r="D167" s="20">
        <f>MAX('TANF-VIEW'!L168,'TANF-VIEW'!T168)</f>
        <v>0</v>
      </c>
      <c r="E167" s="20">
        <f t="shared" si="7"/>
        <v>6875</v>
      </c>
      <c r="F167" s="178">
        <f>IF(AND('Total income package'!$A$24=TRUE,E167&lt;$I$2),'Program specific data'!$B$119*WIC!$G$2,0)</f>
        <v>0</v>
      </c>
    </row>
    <row r="168" spans="1:6" x14ac:dyDescent="0.3">
      <c r="A168" s="19">
        <v>80000</v>
      </c>
      <c r="B168" s="20">
        <f t="shared" si="8"/>
        <v>6666.666666666667</v>
      </c>
      <c r="C168" s="20">
        <f t="shared" si="6"/>
        <v>250</v>
      </c>
      <c r="D168" s="20">
        <f>MAX('TANF-VIEW'!L169,'TANF-VIEW'!T169)</f>
        <v>0</v>
      </c>
      <c r="E168" s="20">
        <f t="shared" si="7"/>
        <v>6916.666666666667</v>
      </c>
      <c r="F168" s="178">
        <f>IF(AND('Total income package'!$A$24=TRUE,E168&lt;$I$2),'Program specific data'!$B$119*WIC!$G$2,0)</f>
        <v>0</v>
      </c>
    </row>
    <row r="169" spans="1:6" x14ac:dyDescent="0.3">
      <c r="A169" s="19">
        <v>80500</v>
      </c>
      <c r="B169" s="20">
        <f t="shared" si="8"/>
        <v>6708.333333333333</v>
      </c>
      <c r="C169" s="20">
        <f t="shared" si="6"/>
        <v>250</v>
      </c>
      <c r="D169" s="20">
        <f>MAX('TANF-VIEW'!L170,'TANF-VIEW'!T170)</f>
        <v>0</v>
      </c>
      <c r="E169" s="20">
        <f t="shared" si="7"/>
        <v>6958.333333333333</v>
      </c>
      <c r="F169" s="178">
        <f>IF(AND('Total income package'!$A$24=TRUE,E169&lt;$I$2),'Program specific data'!$B$119*WIC!$G$2,0)</f>
        <v>0</v>
      </c>
    </row>
    <row r="170" spans="1:6" x14ac:dyDescent="0.3">
      <c r="A170" s="19">
        <v>81000</v>
      </c>
      <c r="B170" s="20">
        <f t="shared" si="8"/>
        <v>6750</v>
      </c>
      <c r="C170" s="20">
        <f t="shared" si="6"/>
        <v>250</v>
      </c>
      <c r="D170" s="20">
        <f>MAX('TANF-VIEW'!L171,'TANF-VIEW'!T171)</f>
        <v>0</v>
      </c>
      <c r="E170" s="20">
        <f t="shared" si="7"/>
        <v>7000</v>
      </c>
      <c r="F170" s="178">
        <f>IF(AND('Total income package'!$A$24=TRUE,E170&lt;$I$2),'Program specific data'!$B$119*WIC!$G$2,0)</f>
        <v>0</v>
      </c>
    </row>
    <row r="171" spans="1:6" x14ac:dyDescent="0.3">
      <c r="A171" s="19">
        <v>81500</v>
      </c>
      <c r="B171" s="20">
        <f t="shared" si="8"/>
        <v>6791.666666666667</v>
      </c>
      <c r="C171" s="20">
        <f t="shared" si="6"/>
        <v>250</v>
      </c>
      <c r="D171" s="20">
        <f>MAX('TANF-VIEW'!L172,'TANF-VIEW'!T172)</f>
        <v>0</v>
      </c>
      <c r="E171" s="20">
        <f t="shared" si="7"/>
        <v>7041.666666666667</v>
      </c>
      <c r="F171" s="178">
        <f>IF(AND('Total income package'!$A$24=TRUE,E171&lt;$I$2),'Program specific data'!$B$119*WIC!$G$2,0)</f>
        <v>0</v>
      </c>
    </row>
    <row r="172" spans="1:6" x14ac:dyDescent="0.3">
      <c r="A172" s="19">
        <v>82000</v>
      </c>
      <c r="B172" s="20">
        <f t="shared" si="8"/>
        <v>6833.333333333333</v>
      </c>
      <c r="C172" s="20">
        <f t="shared" si="6"/>
        <v>250</v>
      </c>
      <c r="D172" s="20">
        <f>MAX('TANF-VIEW'!L173,'TANF-VIEW'!T173)</f>
        <v>0</v>
      </c>
      <c r="E172" s="20">
        <f t="shared" si="7"/>
        <v>7083.333333333333</v>
      </c>
      <c r="F172" s="178">
        <f>IF(AND('Total income package'!$A$24=TRUE,E172&lt;$I$2),'Program specific data'!$B$119*WIC!$G$2,0)</f>
        <v>0</v>
      </c>
    </row>
    <row r="173" spans="1:6" x14ac:dyDescent="0.3">
      <c r="A173" s="19">
        <v>82500</v>
      </c>
      <c r="B173" s="20">
        <f t="shared" si="8"/>
        <v>6875</v>
      </c>
      <c r="C173" s="20">
        <f t="shared" si="6"/>
        <v>250</v>
      </c>
      <c r="D173" s="20">
        <f>MAX('TANF-VIEW'!L174,'TANF-VIEW'!T174)</f>
        <v>0</v>
      </c>
      <c r="E173" s="20">
        <f t="shared" si="7"/>
        <v>7125</v>
      </c>
      <c r="F173" s="178">
        <f>IF(AND('Total income package'!$A$24=TRUE,E173&lt;$I$2),'Program specific data'!$B$119*WIC!$G$2,0)</f>
        <v>0</v>
      </c>
    </row>
    <row r="174" spans="1:6" x14ac:dyDescent="0.3">
      <c r="A174" s="19">
        <v>83000</v>
      </c>
      <c r="B174" s="20">
        <f t="shared" si="8"/>
        <v>6916.666666666667</v>
      </c>
      <c r="C174" s="20">
        <f t="shared" si="6"/>
        <v>250</v>
      </c>
      <c r="D174" s="20">
        <f>MAX('TANF-VIEW'!L175,'TANF-VIEW'!T175)</f>
        <v>0</v>
      </c>
      <c r="E174" s="20">
        <f t="shared" si="7"/>
        <v>7166.666666666667</v>
      </c>
      <c r="F174" s="178">
        <f>IF(AND('Total income package'!$A$24=TRUE,E174&lt;$I$2),'Program specific data'!$B$119*WIC!$G$2,0)</f>
        <v>0</v>
      </c>
    </row>
    <row r="175" spans="1:6" x14ac:dyDescent="0.3">
      <c r="A175" s="19">
        <v>83500</v>
      </c>
      <c r="B175" s="20">
        <f t="shared" si="8"/>
        <v>6958.333333333333</v>
      </c>
      <c r="C175" s="20">
        <f t="shared" si="6"/>
        <v>250</v>
      </c>
      <c r="D175" s="20">
        <f>MAX('TANF-VIEW'!L176,'TANF-VIEW'!T176)</f>
        <v>0</v>
      </c>
      <c r="E175" s="20">
        <f t="shared" si="7"/>
        <v>7208.333333333333</v>
      </c>
      <c r="F175" s="178">
        <f>IF(AND('Total income package'!$A$24=TRUE,E175&lt;$I$2),'Program specific data'!$B$119*WIC!$G$2,0)</f>
        <v>0</v>
      </c>
    </row>
    <row r="176" spans="1:6" x14ac:dyDescent="0.3">
      <c r="A176" s="19">
        <v>84000</v>
      </c>
      <c r="B176" s="20">
        <f t="shared" si="8"/>
        <v>7000</v>
      </c>
      <c r="C176" s="20">
        <f t="shared" si="6"/>
        <v>250</v>
      </c>
      <c r="D176" s="20">
        <f>MAX('TANF-VIEW'!L177,'TANF-VIEW'!T177)</f>
        <v>0</v>
      </c>
      <c r="E176" s="20">
        <f t="shared" si="7"/>
        <v>7250</v>
      </c>
      <c r="F176" s="178">
        <f>IF(AND('Total income package'!$A$24=TRUE,E176&lt;$I$2),'Program specific data'!$B$119*WIC!$G$2,0)</f>
        <v>0</v>
      </c>
    </row>
    <row r="177" spans="1:6" x14ac:dyDescent="0.3">
      <c r="A177" s="19">
        <v>84500</v>
      </c>
      <c r="B177" s="20">
        <f t="shared" si="8"/>
        <v>7041.666666666667</v>
      </c>
      <c r="C177" s="20">
        <f t="shared" si="6"/>
        <v>250</v>
      </c>
      <c r="D177" s="20">
        <f>MAX('TANF-VIEW'!L178,'TANF-VIEW'!T178)</f>
        <v>0</v>
      </c>
      <c r="E177" s="20">
        <f t="shared" si="7"/>
        <v>7291.666666666667</v>
      </c>
      <c r="F177" s="178">
        <f>IF(AND('Total income package'!$A$24=TRUE,E177&lt;$I$2),'Program specific data'!$B$119*WIC!$G$2,0)</f>
        <v>0</v>
      </c>
    </row>
    <row r="178" spans="1:6" x14ac:dyDescent="0.3">
      <c r="A178" s="19">
        <v>85000</v>
      </c>
      <c r="B178" s="20">
        <f t="shared" si="8"/>
        <v>7083.333333333333</v>
      </c>
      <c r="C178" s="20">
        <f t="shared" si="6"/>
        <v>250</v>
      </c>
      <c r="D178" s="20">
        <f>MAX('TANF-VIEW'!L179,'TANF-VIEW'!T179)</f>
        <v>0</v>
      </c>
      <c r="E178" s="20">
        <f t="shared" si="7"/>
        <v>7333.333333333333</v>
      </c>
      <c r="F178" s="178">
        <f>IF(AND('Total income package'!$A$24=TRUE,E178&lt;$I$2),'Program specific data'!$B$119*WIC!$G$2,0)</f>
        <v>0</v>
      </c>
    </row>
    <row r="179" spans="1:6" x14ac:dyDescent="0.3">
      <c r="A179" s="19">
        <v>85500</v>
      </c>
      <c r="B179" s="20">
        <f t="shared" si="8"/>
        <v>7125</v>
      </c>
      <c r="C179" s="20">
        <f t="shared" si="6"/>
        <v>250</v>
      </c>
      <c r="D179" s="20">
        <f>MAX('TANF-VIEW'!L180,'TANF-VIEW'!T180)</f>
        <v>0</v>
      </c>
      <c r="E179" s="20">
        <f t="shared" si="7"/>
        <v>7375</v>
      </c>
      <c r="F179" s="178">
        <f>IF(AND('Total income package'!$A$24=TRUE,E179&lt;$I$2),'Program specific data'!$B$119*WIC!$G$2,0)</f>
        <v>0</v>
      </c>
    </row>
    <row r="180" spans="1:6" x14ac:dyDescent="0.3">
      <c r="A180" s="19">
        <v>86000</v>
      </c>
      <c r="B180" s="20">
        <f t="shared" si="8"/>
        <v>7166.666666666667</v>
      </c>
      <c r="C180" s="20">
        <f t="shared" si="6"/>
        <v>250</v>
      </c>
      <c r="D180" s="20">
        <f>MAX('TANF-VIEW'!L181,'TANF-VIEW'!T181)</f>
        <v>0</v>
      </c>
      <c r="E180" s="20">
        <f t="shared" si="7"/>
        <v>7416.666666666667</v>
      </c>
      <c r="F180" s="178">
        <f>IF(AND('Total income package'!$A$24=TRUE,E180&lt;$I$2),'Program specific data'!$B$119*WIC!$G$2,0)</f>
        <v>0</v>
      </c>
    </row>
    <row r="181" spans="1:6" x14ac:dyDescent="0.3">
      <c r="A181" s="19">
        <v>86500</v>
      </c>
      <c r="B181" s="20">
        <f t="shared" si="8"/>
        <v>7208.333333333333</v>
      </c>
      <c r="C181" s="20">
        <f t="shared" si="6"/>
        <v>250</v>
      </c>
      <c r="D181" s="20">
        <f>MAX('TANF-VIEW'!L182,'TANF-VIEW'!T182)</f>
        <v>0</v>
      </c>
      <c r="E181" s="20">
        <f t="shared" si="7"/>
        <v>7458.333333333333</v>
      </c>
      <c r="F181" s="178">
        <f>IF(AND('Total income package'!$A$24=TRUE,E181&lt;$I$2),'Program specific data'!$B$119*WIC!$G$2,0)</f>
        <v>0</v>
      </c>
    </row>
    <row r="182" spans="1:6" x14ac:dyDescent="0.3">
      <c r="A182" s="19">
        <v>87000</v>
      </c>
      <c r="B182" s="20">
        <f t="shared" si="8"/>
        <v>7250</v>
      </c>
      <c r="C182" s="20">
        <f t="shared" si="6"/>
        <v>250</v>
      </c>
      <c r="D182" s="20">
        <f>MAX('TANF-VIEW'!L183,'TANF-VIEW'!T183)</f>
        <v>0</v>
      </c>
      <c r="E182" s="20">
        <f t="shared" si="7"/>
        <v>7500</v>
      </c>
      <c r="F182" s="178">
        <f>IF(AND('Total income package'!$A$24=TRUE,E182&lt;$I$2),'Program specific data'!$B$119*WIC!$G$2,0)</f>
        <v>0</v>
      </c>
    </row>
    <row r="183" spans="1:6" x14ac:dyDescent="0.3">
      <c r="A183" s="19">
        <v>87500</v>
      </c>
      <c r="B183" s="20">
        <f t="shared" si="8"/>
        <v>7291.666666666667</v>
      </c>
      <c r="C183" s="20">
        <f t="shared" si="6"/>
        <v>250</v>
      </c>
      <c r="D183" s="20">
        <f>MAX('TANF-VIEW'!L184,'TANF-VIEW'!T184)</f>
        <v>0</v>
      </c>
      <c r="E183" s="20">
        <f t="shared" si="7"/>
        <v>7541.666666666667</v>
      </c>
      <c r="F183" s="178">
        <f>IF(AND('Total income package'!$A$24=TRUE,E183&lt;$I$2),'Program specific data'!$B$119*WIC!$G$2,0)</f>
        <v>0</v>
      </c>
    </row>
    <row r="184" spans="1:6" x14ac:dyDescent="0.3">
      <c r="A184" s="19">
        <v>88000</v>
      </c>
      <c r="B184" s="20">
        <f t="shared" si="8"/>
        <v>7333.333333333333</v>
      </c>
      <c r="C184" s="20">
        <f t="shared" si="6"/>
        <v>250</v>
      </c>
      <c r="D184" s="20">
        <f>MAX('TANF-VIEW'!L185,'TANF-VIEW'!T185)</f>
        <v>0</v>
      </c>
      <c r="E184" s="20">
        <f t="shared" si="7"/>
        <v>7583.333333333333</v>
      </c>
      <c r="F184" s="178">
        <f>IF(AND('Total income package'!$A$24=TRUE,E184&lt;$I$2),'Program specific data'!$B$119*WIC!$G$2,0)</f>
        <v>0</v>
      </c>
    </row>
    <row r="185" spans="1:6" x14ac:dyDescent="0.3">
      <c r="A185" s="19">
        <v>88500</v>
      </c>
      <c r="B185" s="20">
        <f t="shared" si="8"/>
        <v>7375</v>
      </c>
      <c r="C185" s="20">
        <f t="shared" si="6"/>
        <v>250</v>
      </c>
      <c r="D185" s="20">
        <f>MAX('TANF-VIEW'!L186,'TANF-VIEW'!T186)</f>
        <v>0</v>
      </c>
      <c r="E185" s="20">
        <f t="shared" si="7"/>
        <v>7625</v>
      </c>
      <c r="F185" s="178">
        <f>IF(AND('Total income package'!$A$24=TRUE,E185&lt;$I$2),'Program specific data'!$B$119*WIC!$G$2,0)</f>
        <v>0</v>
      </c>
    </row>
    <row r="186" spans="1:6" x14ac:dyDescent="0.3">
      <c r="A186" s="19">
        <v>89000</v>
      </c>
      <c r="B186" s="20">
        <f t="shared" si="8"/>
        <v>7416.666666666667</v>
      </c>
      <c r="C186" s="20">
        <f t="shared" si="6"/>
        <v>250</v>
      </c>
      <c r="D186" s="20">
        <f>MAX('TANF-VIEW'!L187,'TANF-VIEW'!T187)</f>
        <v>0</v>
      </c>
      <c r="E186" s="20">
        <f t="shared" si="7"/>
        <v>7666.666666666667</v>
      </c>
      <c r="F186" s="178">
        <f>IF(AND('Total income package'!$A$24=TRUE,E186&lt;$I$2),'Program specific data'!$B$119*WIC!$G$2,0)</f>
        <v>0</v>
      </c>
    </row>
    <row r="187" spans="1:6" x14ac:dyDescent="0.3">
      <c r="A187" s="19">
        <v>89500</v>
      </c>
      <c r="B187" s="20">
        <f t="shared" si="8"/>
        <v>7458.333333333333</v>
      </c>
      <c r="C187" s="20">
        <f t="shared" si="6"/>
        <v>250</v>
      </c>
      <c r="D187" s="20">
        <f>MAX('TANF-VIEW'!L188,'TANF-VIEW'!T188)</f>
        <v>0</v>
      </c>
      <c r="E187" s="20">
        <f t="shared" si="7"/>
        <v>7708.333333333333</v>
      </c>
      <c r="F187" s="178">
        <f>IF(AND('Total income package'!$A$24=TRUE,E187&lt;$I$2),'Program specific data'!$B$119*WIC!$G$2,0)</f>
        <v>0</v>
      </c>
    </row>
    <row r="188" spans="1:6" x14ac:dyDescent="0.3">
      <c r="A188" s="19">
        <v>90000</v>
      </c>
      <c r="B188" s="20">
        <f t="shared" si="8"/>
        <v>7500</v>
      </c>
      <c r="C188" s="20">
        <f t="shared" si="6"/>
        <v>250</v>
      </c>
      <c r="D188" s="20">
        <f>MAX('TANF-VIEW'!L189,'TANF-VIEW'!T189)</f>
        <v>0</v>
      </c>
      <c r="E188" s="20">
        <f t="shared" si="7"/>
        <v>7750</v>
      </c>
      <c r="F188" s="178">
        <f>IF(AND('Total income package'!$A$24=TRUE,E188&lt;$I$2),'Program specific data'!$B$119*WIC!$G$2,0)</f>
        <v>0</v>
      </c>
    </row>
    <row r="189" spans="1:6" x14ac:dyDescent="0.3">
      <c r="A189" s="19">
        <v>90500</v>
      </c>
      <c r="B189" s="20">
        <f t="shared" si="8"/>
        <v>7541.666666666667</v>
      </c>
      <c r="C189" s="20">
        <f t="shared" si="6"/>
        <v>250</v>
      </c>
      <c r="D189" s="20">
        <f>MAX('TANF-VIEW'!L190,'TANF-VIEW'!T190)</f>
        <v>0</v>
      </c>
      <c r="E189" s="20">
        <f t="shared" si="7"/>
        <v>7791.666666666667</v>
      </c>
      <c r="F189" s="178">
        <f>IF(AND('Total income package'!$A$24=TRUE,E189&lt;$I$2),'Program specific data'!$B$119*WIC!$G$2,0)</f>
        <v>0</v>
      </c>
    </row>
    <row r="190" spans="1:6" x14ac:dyDescent="0.3">
      <c r="A190" s="19">
        <v>91000</v>
      </c>
      <c r="B190" s="20">
        <f t="shared" si="8"/>
        <v>7583.333333333333</v>
      </c>
      <c r="C190" s="20">
        <f t="shared" si="6"/>
        <v>250</v>
      </c>
      <c r="D190" s="20">
        <f>MAX('TANF-VIEW'!L191,'TANF-VIEW'!T191)</f>
        <v>0</v>
      </c>
      <c r="E190" s="20">
        <f t="shared" si="7"/>
        <v>7833.333333333333</v>
      </c>
      <c r="F190" s="178">
        <f>IF(AND('Total income package'!$A$24=TRUE,E190&lt;$I$2),'Program specific data'!$B$119*WIC!$G$2,0)</f>
        <v>0</v>
      </c>
    </row>
    <row r="191" spans="1:6" x14ac:dyDescent="0.3">
      <c r="A191" s="19">
        <v>91500</v>
      </c>
      <c r="B191" s="20">
        <f t="shared" si="8"/>
        <v>7625</v>
      </c>
      <c r="C191" s="20">
        <f t="shared" si="6"/>
        <v>250</v>
      </c>
      <c r="D191" s="20">
        <f>MAX('TANF-VIEW'!L192,'TANF-VIEW'!T192)</f>
        <v>0</v>
      </c>
      <c r="E191" s="20">
        <f t="shared" si="7"/>
        <v>7875</v>
      </c>
      <c r="F191" s="178">
        <f>IF(AND('Total income package'!$A$24=TRUE,E191&lt;$I$2),'Program specific data'!$B$119*WIC!$G$2,0)</f>
        <v>0</v>
      </c>
    </row>
    <row r="192" spans="1:6" x14ac:dyDescent="0.3">
      <c r="A192" s="19">
        <v>92000</v>
      </c>
      <c r="B192" s="20">
        <f t="shared" si="8"/>
        <v>7666.666666666667</v>
      </c>
      <c r="C192" s="20">
        <f t="shared" si="6"/>
        <v>250</v>
      </c>
      <c r="D192" s="20">
        <f>MAX('TANF-VIEW'!L193,'TANF-VIEW'!T193)</f>
        <v>0</v>
      </c>
      <c r="E192" s="20">
        <f t="shared" si="7"/>
        <v>7916.666666666667</v>
      </c>
      <c r="F192" s="178">
        <f>IF(AND('Total income package'!$A$24=TRUE,E192&lt;$I$2),'Program specific data'!$B$119*WIC!$G$2,0)</f>
        <v>0</v>
      </c>
    </row>
    <row r="193" spans="1:6" x14ac:dyDescent="0.3">
      <c r="A193" s="19">
        <v>92500</v>
      </c>
      <c r="B193" s="20">
        <f t="shared" si="8"/>
        <v>7708.333333333333</v>
      </c>
      <c r="C193" s="20">
        <f t="shared" si="6"/>
        <v>250</v>
      </c>
      <c r="D193" s="20">
        <f>MAX('TANF-VIEW'!L194,'TANF-VIEW'!T194)</f>
        <v>0</v>
      </c>
      <c r="E193" s="20">
        <f t="shared" si="7"/>
        <v>7958.333333333333</v>
      </c>
      <c r="F193" s="178">
        <f>IF(AND('Total income package'!$A$24=TRUE,E193&lt;$I$2),'Program specific data'!$B$119*WIC!$G$2,0)</f>
        <v>0</v>
      </c>
    </row>
    <row r="194" spans="1:6" x14ac:dyDescent="0.3">
      <c r="A194" s="19">
        <v>93000</v>
      </c>
      <c r="B194" s="20">
        <f t="shared" si="8"/>
        <v>7750</v>
      </c>
      <c r="C194" s="20">
        <f t="shared" si="6"/>
        <v>250</v>
      </c>
      <c r="D194" s="20">
        <f>MAX('TANF-VIEW'!L195,'TANF-VIEW'!T195)</f>
        <v>0</v>
      </c>
      <c r="E194" s="20">
        <f t="shared" si="7"/>
        <v>8000</v>
      </c>
      <c r="F194" s="178">
        <f>IF(AND('Total income package'!$A$24=TRUE,E194&lt;$I$2),'Program specific data'!$B$119*WIC!$G$2,0)</f>
        <v>0</v>
      </c>
    </row>
    <row r="195" spans="1:6" x14ac:dyDescent="0.3">
      <c r="A195" s="19">
        <v>93500</v>
      </c>
      <c r="B195" s="20">
        <f t="shared" si="8"/>
        <v>7791.666666666667</v>
      </c>
      <c r="C195" s="20">
        <f t="shared" si="6"/>
        <v>250</v>
      </c>
      <c r="D195" s="20">
        <f>MAX('TANF-VIEW'!L196,'TANF-VIEW'!T196)</f>
        <v>0</v>
      </c>
      <c r="E195" s="20">
        <f t="shared" si="7"/>
        <v>8041.666666666667</v>
      </c>
      <c r="F195" s="178">
        <f>IF(AND('Total income package'!$A$24=TRUE,E195&lt;$I$2),'Program specific data'!$B$119*WIC!$G$2,0)</f>
        <v>0</v>
      </c>
    </row>
    <row r="196" spans="1:6" x14ac:dyDescent="0.3">
      <c r="A196" s="19">
        <v>94000</v>
      </c>
      <c r="B196" s="20">
        <f t="shared" si="8"/>
        <v>7833.333333333333</v>
      </c>
      <c r="C196" s="20">
        <f t="shared" si="6"/>
        <v>250</v>
      </c>
      <c r="D196" s="20">
        <f>MAX('TANF-VIEW'!L197,'TANF-VIEW'!T197)</f>
        <v>0</v>
      </c>
      <c r="E196" s="20">
        <f t="shared" si="7"/>
        <v>8083.333333333333</v>
      </c>
      <c r="F196" s="178">
        <f>IF(AND('Total income package'!$A$24=TRUE,E196&lt;$I$2),'Program specific data'!$B$119*WIC!$G$2,0)</f>
        <v>0</v>
      </c>
    </row>
    <row r="197" spans="1:6" x14ac:dyDescent="0.3">
      <c r="A197" s="19">
        <v>94500</v>
      </c>
      <c r="B197" s="20">
        <f t="shared" si="8"/>
        <v>7875</v>
      </c>
      <c r="C197" s="20">
        <f t="shared" si="6"/>
        <v>250</v>
      </c>
      <c r="D197" s="20">
        <f>MAX('TANF-VIEW'!L198,'TANF-VIEW'!T198)</f>
        <v>0</v>
      </c>
      <c r="E197" s="20">
        <f t="shared" si="7"/>
        <v>8125</v>
      </c>
      <c r="F197" s="178">
        <f>IF(AND('Total income package'!$A$24=TRUE,E197&lt;$I$2),'Program specific data'!$B$119*WIC!$G$2,0)</f>
        <v>0</v>
      </c>
    </row>
    <row r="198" spans="1:6" x14ac:dyDescent="0.3">
      <c r="A198" s="19">
        <v>95000</v>
      </c>
      <c r="B198" s="20">
        <f t="shared" si="8"/>
        <v>7916.666666666667</v>
      </c>
      <c r="C198" s="20">
        <f t="shared" si="6"/>
        <v>250</v>
      </c>
      <c r="D198" s="20">
        <f>MAX('TANF-VIEW'!L199,'TANF-VIEW'!T199)</f>
        <v>0</v>
      </c>
      <c r="E198" s="20">
        <f t="shared" si="7"/>
        <v>8166.666666666667</v>
      </c>
      <c r="F198" s="178">
        <f>IF(AND('Total income package'!$A$24=TRUE,E198&lt;$I$2),'Program specific data'!$B$119*WIC!$G$2,0)</f>
        <v>0</v>
      </c>
    </row>
    <row r="199" spans="1:6" x14ac:dyDescent="0.3">
      <c r="A199" s="19">
        <v>95500</v>
      </c>
      <c r="B199" s="20">
        <f t="shared" si="8"/>
        <v>7958.333333333333</v>
      </c>
      <c r="C199" s="20">
        <f t="shared" si="6"/>
        <v>250</v>
      </c>
      <c r="D199" s="20">
        <f>MAX('TANF-VIEW'!L200,'TANF-VIEW'!T200)</f>
        <v>0</v>
      </c>
      <c r="E199" s="20">
        <f t="shared" si="7"/>
        <v>8208.3333333333321</v>
      </c>
      <c r="F199" s="178">
        <f>IF(AND('Total income package'!$A$24=TRUE,E199&lt;$I$2),'Program specific data'!$B$119*WIC!$G$2,0)</f>
        <v>0</v>
      </c>
    </row>
    <row r="200" spans="1:6" x14ac:dyDescent="0.3">
      <c r="A200" s="19">
        <v>96000</v>
      </c>
      <c r="B200" s="20">
        <f t="shared" si="8"/>
        <v>8000</v>
      </c>
      <c r="C200" s="20">
        <f t="shared" si="6"/>
        <v>250</v>
      </c>
      <c r="D200" s="20">
        <f>MAX('TANF-VIEW'!L201,'TANF-VIEW'!T201)</f>
        <v>0</v>
      </c>
      <c r="E200" s="20">
        <f t="shared" si="7"/>
        <v>8250</v>
      </c>
      <c r="F200" s="178">
        <f>IF(AND('Total income package'!$A$24=TRUE,E200&lt;$I$2),'Program specific data'!$B$119*WIC!$G$2,0)</f>
        <v>0</v>
      </c>
    </row>
    <row r="201" spans="1:6" x14ac:dyDescent="0.3">
      <c r="A201" s="19">
        <v>96500</v>
      </c>
      <c r="B201" s="20">
        <f t="shared" si="8"/>
        <v>8041.666666666667</v>
      </c>
      <c r="C201" s="20">
        <f t="shared" ref="C201:C213" si="9">$H$2</f>
        <v>250</v>
      </c>
      <c r="D201" s="20">
        <f>MAX('TANF-VIEW'!L202,'TANF-VIEW'!T202)</f>
        <v>0</v>
      </c>
      <c r="E201" s="20">
        <f t="shared" ref="E201:E208" si="10">B201+C201+D201</f>
        <v>8291.6666666666679</v>
      </c>
      <c r="F201" s="178">
        <f>IF(AND('Total income package'!$A$24=TRUE,E201&lt;$I$2),'Program specific data'!$B$119*WIC!$G$2,0)</f>
        <v>0</v>
      </c>
    </row>
    <row r="202" spans="1:6" x14ac:dyDescent="0.3">
      <c r="A202" s="19">
        <v>97000</v>
      </c>
      <c r="B202" s="20">
        <f t="shared" ref="B202:B208" si="11">A202/12</f>
        <v>8083.333333333333</v>
      </c>
      <c r="C202" s="20">
        <f t="shared" si="9"/>
        <v>250</v>
      </c>
      <c r="D202" s="20">
        <f>MAX('TANF-VIEW'!L203,'TANF-VIEW'!T203)</f>
        <v>0</v>
      </c>
      <c r="E202" s="20">
        <f t="shared" si="10"/>
        <v>8333.3333333333321</v>
      </c>
      <c r="F202" s="178">
        <f>IF(AND('Total income package'!$A$24=TRUE,E202&lt;$I$2),'Program specific data'!$B$119*WIC!$G$2,0)</f>
        <v>0</v>
      </c>
    </row>
    <row r="203" spans="1:6" x14ac:dyDescent="0.3">
      <c r="A203" s="19">
        <v>97500</v>
      </c>
      <c r="B203" s="20">
        <f t="shared" si="11"/>
        <v>8125</v>
      </c>
      <c r="C203" s="20">
        <f t="shared" si="9"/>
        <v>250</v>
      </c>
      <c r="D203" s="20">
        <f>MAX('TANF-VIEW'!L204,'TANF-VIEW'!T204)</f>
        <v>0</v>
      </c>
      <c r="E203" s="20">
        <f t="shared" si="10"/>
        <v>8375</v>
      </c>
      <c r="F203" s="178">
        <f>IF(AND('Total income package'!$A$24=TRUE,E203&lt;$I$2),'Program specific data'!$B$119*WIC!$G$2,0)</f>
        <v>0</v>
      </c>
    </row>
    <row r="204" spans="1:6" x14ac:dyDescent="0.3">
      <c r="A204" s="19">
        <v>98000</v>
      </c>
      <c r="B204" s="20">
        <f t="shared" si="11"/>
        <v>8166.666666666667</v>
      </c>
      <c r="C204" s="20">
        <f t="shared" si="9"/>
        <v>250</v>
      </c>
      <c r="D204" s="20">
        <f>MAX('TANF-VIEW'!L205,'TANF-VIEW'!T205)</f>
        <v>0</v>
      </c>
      <c r="E204" s="20">
        <f t="shared" si="10"/>
        <v>8416.6666666666679</v>
      </c>
      <c r="F204" s="178">
        <f>IF(AND('Total income package'!$A$24=TRUE,E204&lt;$I$2),'Program specific data'!$B$119*WIC!$G$2,0)</f>
        <v>0</v>
      </c>
    </row>
    <row r="205" spans="1:6" x14ac:dyDescent="0.3">
      <c r="A205" s="19">
        <v>98500</v>
      </c>
      <c r="B205" s="20">
        <f t="shared" si="11"/>
        <v>8208.3333333333339</v>
      </c>
      <c r="C205" s="20">
        <f t="shared" si="9"/>
        <v>250</v>
      </c>
      <c r="D205" s="20">
        <f>MAX('TANF-VIEW'!L206,'TANF-VIEW'!T206)</f>
        <v>0</v>
      </c>
      <c r="E205" s="20">
        <f t="shared" si="10"/>
        <v>8458.3333333333339</v>
      </c>
      <c r="F205" s="178">
        <f>IF(AND('Total income package'!$A$24=TRUE,E205&lt;$I$2),'Program specific data'!$B$119*WIC!$G$2,0)</f>
        <v>0</v>
      </c>
    </row>
    <row r="206" spans="1:6" x14ac:dyDescent="0.3">
      <c r="A206" s="19">
        <v>99000</v>
      </c>
      <c r="B206" s="20">
        <f t="shared" si="11"/>
        <v>8250</v>
      </c>
      <c r="C206" s="20">
        <f t="shared" si="9"/>
        <v>250</v>
      </c>
      <c r="D206" s="20">
        <f>MAX('TANF-VIEW'!L207,'TANF-VIEW'!T207)</f>
        <v>0</v>
      </c>
      <c r="E206" s="20">
        <f t="shared" si="10"/>
        <v>8500</v>
      </c>
      <c r="F206" s="178">
        <f>IF(AND('Total income package'!$A$24=TRUE,E206&lt;$I$2),'Program specific data'!$B$119*WIC!$G$2,0)</f>
        <v>0</v>
      </c>
    </row>
    <row r="207" spans="1:6" x14ac:dyDescent="0.3">
      <c r="A207" s="19">
        <v>99500</v>
      </c>
      <c r="B207" s="20">
        <f t="shared" si="11"/>
        <v>8291.6666666666661</v>
      </c>
      <c r="C207" s="20">
        <f t="shared" si="9"/>
        <v>250</v>
      </c>
      <c r="D207" s="20">
        <f>MAX('TANF-VIEW'!L208,'TANF-VIEW'!T208)</f>
        <v>0</v>
      </c>
      <c r="E207" s="20">
        <f t="shared" si="10"/>
        <v>8541.6666666666661</v>
      </c>
      <c r="F207" s="178">
        <f>IF(AND('Total income package'!$A$24=TRUE,E207&lt;$I$2),'Program specific data'!$B$119*WIC!$G$2,0)</f>
        <v>0</v>
      </c>
    </row>
    <row r="208" spans="1:6" x14ac:dyDescent="0.3">
      <c r="A208" s="19">
        <v>100000</v>
      </c>
      <c r="B208" s="20">
        <f t="shared" si="11"/>
        <v>8333.3333333333339</v>
      </c>
      <c r="C208" s="20">
        <f t="shared" si="9"/>
        <v>250</v>
      </c>
      <c r="D208" s="20">
        <f>MAX('TANF-VIEW'!L209,'TANF-VIEW'!T209)</f>
        <v>0</v>
      </c>
      <c r="E208" s="20">
        <f t="shared" si="10"/>
        <v>8583.3333333333339</v>
      </c>
      <c r="F208" s="178">
        <f>IF(AND('Total income package'!$A$24=TRUE,E208&lt;$I$2),'Program specific data'!$B$119*WIC!$G$2,0)</f>
        <v>0</v>
      </c>
    </row>
    <row r="209" spans="1:6" x14ac:dyDescent="0.3">
      <c r="C209" s="20"/>
    </row>
    <row r="210" spans="1:6" x14ac:dyDescent="0.3">
      <c r="A210" s="116" t="s">
        <v>302</v>
      </c>
      <c r="B210" s="7"/>
    </row>
    <row r="211" spans="1:6" x14ac:dyDescent="0.3">
      <c r="A211" s="7"/>
      <c r="B211" s="7">
        <f>'Total income package'!$B$90</f>
        <v>1423</v>
      </c>
      <c r="C211" s="7">
        <f t="shared" si="9"/>
        <v>250</v>
      </c>
      <c r="D211" s="4">
        <f>MAX('TANF-VIEW'!L212,'TANF-VIEW'!T212)</f>
        <v>0</v>
      </c>
      <c r="E211" s="4">
        <f>B211+C211+D211</f>
        <v>1673</v>
      </c>
      <c r="F211" s="179">
        <f>IF(AND('Total income package'!$A$24=TRUE,E211&lt;$I$2),'Program specific data'!$B$119*WIC!$G$2,0)</f>
        <v>36.76</v>
      </c>
    </row>
    <row r="212" spans="1:6" x14ac:dyDescent="0.3">
      <c r="A212" s="116" t="s">
        <v>303</v>
      </c>
      <c r="B212" s="7"/>
      <c r="C212" s="7"/>
    </row>
    <row r="213" spans="1:6" x14ac:dyDescent="0.3">
      <c r="A213" s="7"/>
      <c r="B213" s="7">
        <f>'Total income package'!$B$91</f>
        <v>3000</v>
      </c>
      <c r="C213" s="7">
        <f t="shared" si="9"/>
        <v>250</v>
      </c>
      <c r="D213" s="4">
        <f>MAX('TANF-VIEW'!L214,'TANF-VIEW'!T214)</f>
        <v>0</v>
      </c>
      <c r="E213" s="4">
        <f>B213+C213+D213</f>
        <v>3250</v>
      </c>
      <c r="F213" s="179">
        <f>IF(AND('Total income package'!$A$24=TRUE,E213&lt;$I$2),'Program specific data'!$B$119*WIC!$G$2,0)</f>
        <v>36.76</v>
      </c>
    </row>
    <row r="214" spans="1:6" x14ac:dyDescent="0.3">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4.4" x14ac:dyDescent="0.3"/>
  <cols>
    <col min="1" max="1" width="34.5546875" customWidth="1"/>
    <col min="2" max="2" width="17.33203125" customWidth="1"/>
    <col min="3" max="3" width="19.6640625" customWidth="1"/>
    <col min="4" max="4" width="19.5546875" customWidth="1"/>
    <col min="5" max="5" width="14.33203125" customWidth="1"/>
    <col min="6" max="6" width="13" customWidth="1"/>
    <col min="7" max="7" width="19.6640625" customWidth="1"/>
    <col min="8" max="8" width="17" customWidth="1"/>
    <col min="9" max="9" width="21.33203125" customWidth="1"/>
    <col min="10" max="18" width="16.44140625" style="29" customWidth="1"/>
    <col min="19" max="19" width="15" style="29" customWidth="1"/>
    <col min="20" max="21" width="15.44140625" style="29" customWidth="1"/>
    <col min="22" max="22" width="13" style="29" customWidth="1"/>
    <col min="23" max="27" width="11" style="29" customWidth="1"/>
    <col min="28" max="28" width="11.5546875" style="29" customWidth="1"/>
    <col min="29" max="31" width="26.6640625" hidden="1" customWidth="1"/>
    <col min="32" max="32" width="6.33203125" hidden="1" customWidth="1"/>
    <col min="33" max="37" width="9.109375" style="107"/>
    <col min="38" max="38" width="16.44140625" customWidth="1"/>
    <col min="39" max="39" width="18.109375" customWidth="1"/>
  </cols>
  <sheetData>
    <row r="1" spans="1:39" ht="66.75" customHeight="1" x14ac:dyDescent="0.3">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3">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3">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3">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3">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3">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3">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3">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3">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3">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3">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3">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3">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3">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3">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3">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3">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3">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3">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3">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3">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3">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3">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3">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3">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3">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3">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3">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3">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3">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3">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3">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3">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3">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3">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3">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3">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3">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3">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3">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3">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3">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3">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3">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3">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3">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3">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3">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3">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3">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3">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3">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3">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3">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3">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3">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3">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3">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3">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3">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3">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3">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3">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3">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3">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3">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3">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3">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3">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3">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3">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3">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3">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3">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3">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3">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3">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3">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3">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3">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3">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3">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3">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3">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3">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3">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3">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3">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3">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3">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3">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3">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3">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3">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3">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3">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3">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3">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3">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3">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3">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3">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3">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3">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3">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3">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3">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3">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3">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3">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3">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3">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3">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3">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3">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3">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3">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3">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3">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3">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3">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3">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3">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3">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3">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3">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3">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3">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3">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3">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3">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3">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3">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3">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3">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4.4" x14ac:dyDescent="0.3"/>
  <cols>
    <col min="1" max="1" width="26.109375" customWidth="1"/>
    <col min="2" max="2" width="20" style="29" customWidth="1"/>
    <col min="3" max="9" width="16.109375" customWidth="1"/>
  </cols>
  <sheetData>
    <row r="2" spans="1:14" x14ac:dyDescent="0.3">
      <c r="A2" s="154" t="s">
        <v>699</v>
      </c>
      <c r="B2" s="29" t="s">
        <v>734</v>
      </c>
    </row>
    <row r="4" spans="1:14" x14ac:dyDescent="0.3">
      <c r="A4" t="s">
        <v>619</v>
      </c>
      <c r="I4" s="29" t="s">
        <v>391</v>
      </c>
      <c r="J4" t="s">
        <v>392</v>
      </c>
      <c r="K4" t="s">
        <v>393</v>
      </c>
      <c r="L4" t="s">
        <v>394</v>
      </c>
      <c r="M4" t="s">
        <v>395</v>
      </c>
      <c r="N4" t="s">
        <v>396</v>
      </c>
    </row>
    <row r="5" spans="1:14" x14ac:dyDescent="0.3">
      <c r="A5" t="s">
        <v>305</v>
      </c>
      <c r="B5" s="29" t="s">
        <v>391</v>
      </c>
      <c r="C5" t="s">
        <v>392</v>
      </c>
      <c r="D5" t="s">
        <v>393</v>
      </c>
      <c r="E5" t="s">
        <v>394</v>
      </c>
      <c r="F5" t="s">
        <v>395</v>
      </c>
      <c r="G5" t="s">
        <v>396</v>
      </c>
      <c r="M5" t="s">
        <v>395</v>
      </c>
      <c r="N5" t="s">
        <v>396</v>
      </c>
    </row>
    <row r="6" spans="1:14" x14ac:dyDescent="0.3">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3">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3">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3">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3">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3">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3">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3">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3">
      <c r="C14" s="29"/>
      <c r="I14" s="29"/>
      <c r="J14" s="29"/>
    </row>
    <row r="15" spans="1:14" x14ac:dyDescent="0.3">
      <c r="A15" t="s">
        <v>620</v>
      </c>
      <c r="C15" s="29"/>
      <c r="I15" s="29"/>
      <c r="J15" s="29"/>
    </row>
    <row r="16" spans="1:14" x14ac:dyDescent="0.3">
      <c r="A16" t="s">
        <v>305</v>
      </c>
      <c r="C16" s="29"/>
      <c r="I16" s="29"/>
      <c r="J16" s="29"/>
    </row>
    <row r="17" spans="1:14" x14ac:dyDescent="0.3">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3">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3">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3">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3">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3">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3">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3">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4.4" x14ac:dyDescent="0.3"/>
  <cols>
    <col min="1" max="1" width="16.6640625" customWidth="1"/>
    <col min="2" max="2" width="25.109375" customWidth="1"/>
    <col min="3" max="3" width="25.44140625" customWidth="1"/>
    <col min="4" max="4" width="14" customWidth="1"/>
    <col min="5" max="5" width="13.5546875" customWidth="1"/>
    <col min="10" max="10" width="13.5546875" customWidth="1"/>
    <col min="11" max="11" width="16" customWidth="1"/>
    <col min="12" max="12" width="12.33203125" customWidth="1"/>
    <col min="13" max="13" width="14.88671875" customWidth="1"/>
  </cols>
  <sheetData>
    <row r="1" spans="1:13" x14ac:dyDescent="0.3">
      <c r="A1" t="s">
        <v>621</v>
      </c>
      <c r="B1" t="s">
        <v>622</v>
      </c>
      <c r="C1" t="s">
        <v>623</v>
      </c>
      <c r="E1" t="s">
        <v>624</v>
      </c>
    </row>
    <row r="2" spans="1:13" ht="15.6" x14ac:dyDescent="0.3">
      <c r="A2" s="257">
        <v>0.1</v>
      </c>
      <c r="B2" s="258">
        <v>0</v>
      </c>
      <c r="C2" s="258">
        <v>11600</v>
      </c>
      <c r="D2" s="152">
        <v>0.1</v>
      </c>
      <c r="I2" s="259">
        <v>0.1</v>
      </c>
      <c r="J2" s="260">
        <v>0</v>
      </c>
      <c r="K2" s="260">
        <v>23200</v>
      </c>
      <c r="L2" s="152">
        <v>0.1</v>
      </c>
    </row>
    <row r="3" spans="1:13" ht="15.6" x14ac:dyDescent="0.3">
      <c r="A3" s="257">
        <v>0.12</v>
      </c>
      <c r="B3" s="258">
        <v>11601</v>
      </c>
      <c r="C3" s="258">
        <v>47150</v>
      </c>
      <c r="D3" s="257">
        <f t="shared" ref="D3:D8" si="0">A3-A2</f>
        <v>1.999999999999999E-2</v>
      </c>
      <c r="I3" s="259">
        <v>0.12</v>
      </c>
      <c r="J3" s="260">
        <v>23201</v>
      </c>
      <c r="K3" s="260">
        <v>94300</v>
      </c>
      <c r="L3" s="257">
        <f t="shared" ref="L3:L8" si="1">I3-I2</f>
        <v>1.999999999999999E-2</v>
      </c>
    </row>
    <row r="4" spans="1:13" ht="15.6" x14ac:dyDescent="0.3">
      <c r="A4" s="257">
        <v>0.22</v>
      </c>
      <c r="B4" s="258">
        <v>47151</v>
      </c>
      <c r="C4" s="258">
        <v>100525</v>
      </c>
      <c r="D4" s="257">
        <f t="shared" si="0"/>
        <v>0.1</v>
      </c>
      <c r="I4" s="259">
        <v>0.22</v>
      </c>
      <c r="J4" s="260">
        <v>94301</v>
      </c>
      <c r="K4" s="260">
        <v>201050</v>
      </c>
      <c r="L4" s="257">
        <f t="shared" si="1"/>
        <v>0.1</v>
      </c>
    </row>
    <row r="5" spans="1:13" ht="15.6" x14ac:dyDescent="0.3">
      <c r="A5" s="257">
        <v>0.24</v>
      </c>
      <c r="B5" s="258">
        <v>100526</v>
      </c>
      <c r="C5" s="258">
        <v>191950</v>
      </c>
      <c r="D5" s="257">
        <f t="shared" si="0"/>
        <v>1.999999999999999E-2</v>
      </c>
      <c r="I5" s="259">
        <v>0.24</v>
      </c>
      <c r="J5" s="260">
        <v>201051</v>
      </c>
      <c r="K5" s="260">
        <v>383900</v>
      </c>
      <c r="L5" s="257">
        <f t="shared" si="1"/>
        <v>1.999999999999999E-2</v>
      </c>
    </row>
    <row r="6" spans="1:13" ht="15.6" x14ac:dyDescent="0.3">
      <c r="A6" s="257">
        <v>0.32</v>
      </c>
      <c r="B6" s="258">
        <v>191951</v>
      </c>
      <c r="C6" s="258">
        <v>243725</v>
      </c>
      <c r="D6" s="257">
        <f t="shared" si="0"/>
        <v>8.0000000000000016E-2</v>
      </c>
      <c r="I6" s="259">
        <v>0.32</v>
      </c>
      <c r="J6" s="260">
        <v>383901</v>
      </c>
      <c r="K6" s="260">
        <v>487450</v>
      </c>
      <c r="L6" s="257">
        <f t="shared" si="1"/>
        <v>8.0000000000000016E-2</v>
      </c>
    </row>
    <row r="7" spans="1:13" ht="15.6" x14ac:dyDescent="0.3">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3">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5">
      <c r="A9" s="254"/>
      <c r="B9" s="465" t="s">
        <v>626</v>
      </c>
      <c r="C9" s="465"/>
      <c r="D9" s="465"/>
      <c r="E9" s="465"/>
      <c r="I9" s="465" t="s">
        <v>627</v>
      </c>
      <c r="J9" s="465"/>
      <c r="K9" s="465"/>
      <c r="L9" s="465"/>
    </row>
    <row r="10" spans="1:13" ht="24.75" customHeight="1" x14ac:dyDescent="0.3">
      <c r="B10" s="255">
        <f>A2</f>
        <v>0.1</v>
      </c>
      <c r="C10" s="255">
        <f>A3</f>
        <v>0.12</v>
      </c>
      <c r="D10" s="255">
        <f>A4</f>
        <v>0.22</v>
      </c>
      <c r="E10" s="256" t="s">
        <v>628</v>
      </c>
      <c r="J10" s="255">
        <f>I2</f>
        <v>0.1</v>
      </c>
      <c r="K10" s="255">
        <f>I3</f>
        <v>0.12</v>
      </c>
      <c r="L10" s="255">
        <f>I4</f>
        <v>0.22</v>
      </c>
      <c r="M10" s="256" t="s">
        <v>628</v>
      </c>
    </row>
    <row r="11" spans="1:13" x14ac:dyDescent="0.3">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3">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3">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3">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3">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3">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3">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3">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3">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3">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3">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3">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3">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3">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3">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3">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3">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3">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3">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3">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3">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3">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3">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3">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3">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3">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3">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3">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3">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3">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3">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3">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3">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3">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3">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3">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3">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3">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3">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3">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3">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3">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3">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3">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3">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3">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3">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3">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3">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3">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3">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3">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3">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3">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3">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3">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3">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3">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3">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3">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3">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3">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3">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3">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3">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3">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3">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3">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3">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3">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3">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3">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3">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3">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3">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3">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3">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3">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3">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3">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3">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3">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3">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3">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3">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3">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3">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3">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3">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3">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3">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3">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3">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3">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3">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3">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3">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3">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3">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3">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3">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3">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3">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3">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3">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3">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3">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3">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3">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3">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3">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3">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3">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3">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3">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3">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3">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3">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3">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3">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3">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3">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3">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3">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3">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3">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3">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3">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3">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3">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3">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3">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3">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3">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3">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3">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3">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3">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3">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3">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3">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3">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3">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3">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3">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3">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3">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3">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3">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3">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3">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3">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3">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3">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3">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3">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3">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3">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3">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3">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3">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3">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3">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3">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3">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3">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3">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3">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3">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3">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3">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3">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3">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3">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3">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3">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3">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3">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3">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3">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3">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3">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3">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3">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3">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3">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3">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3">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3">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3">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3">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3">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3">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3">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3">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3">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3">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3">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3">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3">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3">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4.4" x14ac:dyDescent="0.3"/>
  <cols>
    <col min="2" max="2" width="15.5546875" customWidth="1"/>
  </cols>
  <sheetData>
    <row r="1" spans="1:2" x14ac:dyDescent="0.3">
      <c r="B1" t="s">
        <v>629</v>
      </c>
    </row>
    <row r="2" spans="1:2" x14ac:dyDescent="0.3">
      <c r="B2" t="s">
        <v>630</v>
      </c>
    </row>
    <row r="3" spans="1:2" x14ac:dyDescent="0.3">
      <c r="A3" s="105">
        <v>0</v>
      </c>
      <c r="B3" s="4">
        <f>A3*0.0765</f>
        <v>0</v>
      </c>
    </row>
    <row r="4" spans="1:2" x14ac:dyDescent="0.3">
      <c r="A4" s="105">
        <v>500</v>
      </c>
      <c r="B4" s="4">
        <f t="shared" ref="B4:B67" si="0">A4*0.0765</f>
        <v>38.25</v>
      </c>
    </row>
    <row r="5" spans="1:2" x14ac:dyDescent="0.3">
      <c r="A5" s="105">
        <v>1000</v>
      </c>
      <c r="B5" s="4">
        <f t="shared" si="0"/>
        <v>76.5</v>
      </c>
    </row>
    <row r="6" spans="1:2" x14ac:dyDescent="0.3">
      <c r="A6" s="105">
        <v>1500</v>
      </c>
      <c r="B6" s="4">
        <f t="shared" si="0"/>
        <v>114.75</v>
      </c>
    </row>
    <row r="7" spans="1:2" x14ac:dyDescent="0.3">
      <c r="A7" s="105">
        <v>2000</v>
      </c>
      <c r="B7" s="4">
        <f t="shared" si="0"/>
        <v>153</v>
      </c>
    </row>
    <row r="8" spans="1:2" x14ac:dyDescent="0.3">
      <c r="A8" s="105">
        <v>2500</v>
      </c>
      <c r="B8" s="4">
        <f t="shared" si="0"/>
        <v>191.25</v>
      </c>
    </row>
    <row r="9" spans="1:2" x14ac:dyDescent="0.3">
      <c r="A9" s="105">
        <v>3000</v>
      </c>
      <c r="B9" s="4">
        <f t="shared" si="0"/>
        <v>229.5</v>
      </c>
    </row>
    <row r="10" spans="1:2" x14ac:dyDescent="0.3">
      <c r="A10" s="105">
        <v>3500</v>
      </c>
      <c r="B10" s="4">
        <f t="shared" si="0"/>
        <v>267.75</v>
      </c>
    </row>
    <row r="11" spans="1:2" x14ac:dyDescent="0.3">
      <c r="A11" s="105">
        <v>4000</v>
      </c>
      <c r="B11" s="4">
        <f t="shared" si="0"/>
        <v>306</v>
      </c>
    </row>
    <row r="12" spans="1:2" x14ac:dyDescent="0.3">
      <c r="A12" s="105">
        <v>4500</v>
      </c>
      <c r="B12" s="4">
        <f t="shared" si="0"/>
        <v>344.25</v>
      </c>
    </row>
    <row r="13" spans="1:2" x14ac:dyDescent="0.3">
      <c r="A13" s="105">
        <v>5000</v>
      </c>
      <c r="B13" s="4">
        <f t="shared" si="0"/>
        <v>382.5</v>
      </c>
    </row>
    <row r="14" spans="1:2" x14ac:dyDescent="0.3">
      <c r="A14" s="105">
        <v>5500</v>
      </c>
      <c r="B14" s="4">
        <f t="shared" si="0"/>
        <v>420.75</v>
      </c>
    </row>
    <row r="15" spans="1:2" x14ac:dyDescent="0.3">
      <c r="A15" s="105">
        <v>6000</v>
      </c>
      <c r="B15" s="4">
        <f t="shared" si="0"/>
        <v>459</v>
      </c>
    </row>
    <row r="16" spans="1:2" x14ac:dyDescent="0.3">
      <c r="A16" s="105">
        <v>6500</v>
      </c>
      <c r="B16" s="4">
        <f t="shared" si="0"/>
        <v>497.25</v>
      </c>
    </row>
    <row r="17" spans="1:2" x14ac:dyDescent="0.3">
      <c r="A17" s="105">
        <v>7000</v>
      </c>
      <c r="B17" s="4">
        <f t="shared" si="0"/>
        <v>535.5</v>
      </c>
    </row>
    <row r="18" spans="1:2" x14ac:dyDescent="0.3">
      <c r="A18" s="105">
        <v>7500</v>
      </c>
      <c r="B18" s="4">
        <f t="shared" si="0"/>
        <v>573.75</v>
      </c>
    </row>
    <row r="19" spans="1:2" x14ac:dyDescent="0.3">
      <c r="A19" s="105">
        <v>8000</v>
      </c>
      <c r="B19" s="4">
        <f t="shared" si="0"/>
        <v>612</v>
      </c>
    </row>
    <row r="20" spans="1:2" x14ac:dyDescent="0.3">
      <c r="A20" s="105">
        <v>8500</v>
      </c>
      <c r="B20" s="4">
        <f t="shared" si="0"/>
        <v>650.25</v>
      </c>
    </row>
    <row r="21" spans="1:2" x14ac:dyDescent="0.3">
      <c r="A21" s="105">
        <v>9000</v>
      </c>
      <c r="B21" s="4">
        <f t="shared" si="0"/>
        <v>688.5</v>
      </c>
    </row>
    <row r="22" spans="1:2" x14ac:dyDescent="0.3">
      <c r="A22" s="105">
        <v>9500</v>
      </c>
      <c r="B22" s="4">
        <f t="shared" si="0"/>
        <v>726.75</v>
      </c>
    </row>
    <row r="23" spans="1:2" x14ac:dyDescent="0.3">
      <c r="A23" s="105">
        <v>10000</v>
      </c>
      <c r="B23" s="4">
        <f t="shared" si="0"/>
        <v>765</v>
      </c>
    </row>
    <row r="24" spans="1:2" x14ac:dyDescent="0.3">
      <c r="A24" s="105">
        <v>10500</v>
      </c>
      <c r="B24" s="4">
        <f t="shared" si="0"/>
        <v>803.25</v>
      </c>
    </row>
    <row r="25" spans="1:2" x14ac:dyDescent="0.3">
      <c r="A25" s="105">
        <v>11000</v>
      </c>
      <c r="B25" s="4">
        <f t="shared" si="0"/>
        <v>841.5</v>
      </c>
    </row>
    <row r="26" spans="1:2" x14ac:dyDescent="0.3">
      <c r="A26" s="105">
        <v>11500</v>
      </c>
      <c r="B26" s="4">
        <f t="shared" si="0"/>
        <v>879.75</v>
      </c>
    </row>
    <row r="27" spans="1:2" x14ac:dyDescent="0.3">
      <c r="A27" s="105">
        <v>12000</v>
      </c>
      <c r="B27" s="4">
        <f t="shared" si="0"/>
        <v>918</v>
      </c>
    </row>
    <row r="28" spans="1:2" x14ac:dyDescent="0.3">
      <c r="A28" s="105">
        <v>12500</v>
      </c>
      <c r="B28" s="4">
        <f t="shared" si="0"/>
        <v>956.25</v>
      </c>
    </row>
    <row r="29" spans="1:2" x14ac:dyDescent="0.3">
      <c r="A29" s="105">
        <v>13000</v>
      </c>
      <c r="B29" s="4">
        <f t="shared" si="0"/>
        <v>994.5</v>
      </c>
    </row>
    <row r="30" spans="1:2" x14ac:dyDescent="0.3">
      <c r="A30" s="105">
        <v>13500</v>
      </c>
      <c r="B30" s="4">
        <f t="shared" si="0"/>
        <v>1032.75</v>
      </c>
    </row>
    <row r="31" spans="1:2" x14ac:dyDescent="0.3">
      <c r="A31" s="105">
        <v>14000</v>
      </c>
      <c r="B31" s="4">
        <f t="shared" si="0"/>
        <v>1071</v>
      </c>
    </row>
    <row r="32" spans="1:2" x14ac:dyDescent="0.3">
      <c r="A32" s="105">
        <v>14500</v>
      </c>
      <c r="B32" s="4">
        <f t="shared" si="0"/>
        <v>1109.25</v>
      </c>
    </row>
    <row r="33" spans="1:2" x14ac:dyDescent="0.3">
      <c r="A33" s="105">
        <v>15000</v>
      </c>
      <c r="B33" s="4">
        <f t="shared" si="0"/>
        <v>1147.5</v>
      </c>
    </row>
    <row r="34" spans="1:2" x14ac:dyDescent="0.3">
      <c r="A34" s="105">
        <v>15500</v>
      </c>
      <c r="B34" s="4">
        <f t="shared" si="0"/>
        <v>1185.75</v>
      </c>
    </row>
    <row r="35" spans="1:2" x14ac:dyDescent="0.3">
      <c r="A35" s="105">
        <v>16000</v>
      </c>
      <c r="B35" s="4">
        <f t="shared" si="0"/>
        <v>1224</v>
      </c>
    </row>
    <row r="36" spans="1:2" x14ac:dyDescent="0.3">
      <c r="A36" s="105">
        <v>16500</v>
      </c>
      <c r="B36" s="4">
        <f t="shared" si="0"/>
        <v>1262.25</v>
      </c>
    </row>
    <row r="37" spans="1:2" x14ac:dyDescent="0.3">
      <c r="A37" s="105">
        <v>17000</v>
      </c>
      <c r="B37" s="4">
        <f t="shared" si="0"/>
        <v>1300.5</v>
      </c>
    </row>
    <row r="38" spans="1:2" x14ac:dyDescent="0.3">
      <c r="A38" s="105">
        <v>17500</v>
      </c>
      <c r="B38" s="4">
        <f t="shared" si="0"/>
        <v>1338.75</v>
      </c>
    </row>
    <row r="39" spans="1:2" x14ac:dyDescent="0.3">
      <c r="A39" s="105">
        <v>18000</v>
      </c>
      <c r="B39" s="4">
        <f t="shared" si="0"/>
        <v>1377</v>
      </c>
    </row>
    <row r="40" spans="1:2" x14ac:dyDescent="0.3">
      <c r="A40" s="105">
        <v>18500</v>
      </c>
      <c r="B40" s="4">
        <f t="shared" si="0"/>
        <v>1415.25</v>
      </c>
    </row>
    <row r="41" spans="1:2" x14ac:dyDescent="0.3">
      <c r="A41" s="105">
        <v>19000</v>
      </c>
      <c r="B41" s="4">
        <f t="shared" si="0"/>
        <v>1453.5</v>
      </c>
    </row>
    <row r="42" spans="1:2" x14ac:dyDescent="0.3">
      <c r="A42" s="105">
        <v>19500</v>
      </c>
      <c r="B42" s="4">
        <f t="shared" si="0"/>
        <v>1491.75</v>
      </c>
    </row>
    <row r="43" spans="1:2" x14ac:dyDescent="0.3">
      <c r="A43" s="105">
        <v>20000</v>
      </c>
      <c r="B43" s="4">
        <f t="shared" si="0"/>
        <v>1530</v>
      </c>
    </row>
    <row r="44" spans="1:2" x14ac:dyDescent="0.3">
      <c r="A44" s="105">
        <v>20500</v>
      </c>
      <c r="B44" s="4">
        <f t="shared" si="0"/>
        <v>1568.25</v>
      </c>
    </row>
    <row r="45" spans="1:2" x14ac:dyDescent="0.3">
      <c r="A45" s="105">
        <v>21000</v>
      </c>
      <c r="B45" s="4">
        <f t="shared" si="0"/>
        <v>1606.5</v>
      </c>
    </row>
    <row r="46" spans="1:2" x14ac:dyDescent="0.3">
      <c r="A46" s="105">
        <v>21500</v>
      </c>
      <c r="B46" s="4">
        <f t="shared" si="0"/>
        <v>1644.75</v>
      </c>
    </row>
    <row r="47" spans="1:2" x14ac:dyDescent="0.3">
      <c r="A47" s="105">
        <v>22000</v>
      </c>
      <c r="B47" s="4">
        <f t="shared" si="0"/>
        <v>1683</v>
      </c>
    </row>
    <row r="48" spans="1:2" x14ac:dyDescent="0.3">
      <c r="A48" s="105">
        <v>22500</v>
      </c>
      <c r="B48" s="4">
        <f t="shared" si="0"/>
        <v>1721.25</v>
      </c>
    </row>
    <row r="49" spans="1:2" x14ac:dyDescent="0.3">
      <c r="A49" s="105">
        <v>23000</v>
      </c>
      <c r="B49" s="4">
        <f t="shared" si="0"/>
        <v>1759.5</v>
      </c>
    </row>
    <row r="50" spans="1:2" x14ac:dyDescent="0.3">
      <c r="A50" s="105">
        <v>23500</v>
      </c>
      <c r="B50" s="4">
        <f t="shared" si="0"/>
        <v>1797.75</v>
      </c>
    </row>
    <row r="51" spans="1:2" x14ac:dyDescent="0.3">
      <c r="A51" s="105">
        <v>24000</v>
      </c>
      <c r="B51" s="4">
        <f t="shared" si="0"/>
        <v>1836</v>
      </c>
    </row>
    <row r="52" spans="1:2" x14ac:dyDescent="0.3">
      <c r="A52" s="105">
        <v>24500</v>
      </c>
      <c r="B52" s="4">
        <f t="shared" si="0"/>
        <v>1874.25</v>
      </c>
    </row>
    <row r="53" spans="1:2" x14ac:dyDescent="0.3">
      <c r="A53" s="105">
        <v>25000</v>
      </c>
      <c r="B53" s="4">
        <f t="shared" si="0"/>
        <v>1912.5</v>
      </c>
    </row>
    <row r="54" spans="1:2" x14ac:dyDescent="0.3">
      <c r="A54" s="105">
        <v>25500</v>
      </c>
      <c r="B54" s="4">
        <f t="shared" si="0"/>
        <v>1950.75</v>
      </c>
    </row>
    <row r="55" spans="1:2" x14ac:dyDescent="0.3">
      <c r="A55" s="105">
        <v>26000</v>
      </c>
      <c r="B55" s="4">
        <f t="shared" si="0"/>
        <v>1989</v>
      </c>
    </row>
    <row r="56" spans="1:2" x14ac:dyDescent="0.3">
      <c r="A56" s="105">
        <v>26500</v>
      </c>
      <c r="B56" s="4">
        <f t="shared" si="0"/>
        <v>2027.25</v>
      </c>
    </row>
    <row r="57" spans="1:2" x14ac:dyDescent="0.3">
      <c r="A57" s="105">
        <v>27000</v>
      </c>
      <c r="B57" s="4">
        <f t="shared" si="0"/>
        <v>2065.5</v>
      </c>
    </row>
    <row r="58" spans="1:2" x14ac:dyDescent="0.3">
      <c r="A58" s="105">
        <v>27500</v>
      </c>
      <c r="B58" s="4">
        <f t="shared" si="0"/>
        <v>2103.75</v>
      </c>
    </row>
    <row r="59" spans="1:2" x14ac:dyDescent="0.3">
      <c r="A59" s="105">
        <v>28000</v>
      </c>
      <c r="B59" s="4">
        <f t="shared" si="0"/>
        <v>2142</v>
      </c>
    </row>
    <row r="60" spans="1:2" x14ac:dyDescent="0.3">
      <c r="A60" s="105">
        <v>28500</v>
      </c>
      <c r="B60" s="4">
        <f t="shared" si="0"/>
        <v>2180.25</v>
      </c>
    </row>
    <row r="61" spans="1:2" x14ac:dyDescent="0.3">
      <c r="A61" s="105">
        <v>29000</v>
      </c>
      <c r="B61" s="4">
        <f t="shared" si="0"/>
        <v>2218.5</v>
      </c>
    </row>
    <row r="62" spans="1:2" x14ac:dyDescent="0.3">
      <c r="A62" s="105">
        <v>29500</v>
      </c>
      <c r="B62" s="4">
        <f t="shared" si="0"/>
        <v>2256.75</v>
      </c>
    </row>
    <row r="63" spans="1:2" x14ac:dyDescent="0.3">
      <c r="A63" s="105">
        <v>30000</v>
      </c>
      <c r="B63" s="4">
        <f t="shared" si="0"/>
        <v>2295</v>
      </c>
    </row>
    <row r="64" spans="1:2" x14ac:dyDescent="0.3">
      <c r="A64" s="105">
        <v>30500</v>
      </c>
      <c r="B64" s="4">
        <f t="shared" si="0"/>
        <v>2333.25</v>
      </c>
    </row>
    <row r="65" spans="1:2" x14ac:dyDescent="0.3">
      <c r="A65" s="105">
        <v>31000</v>
      </c>
      <c r="B65" s="4">
        <f t="shared" si="0"/>
        <v>2371.5</v>
      </c>
    </row>
    <row r="66" spans="1:2" x14ac:dyDescent="0.3">
      <c r="A66" s="105">
        <v>31500</v>
      </c>
      <c r="B66" s="4">
        <f t="shared" si="0"/>
        <v>2409.75</v>
      </c>
    </row>
    <row r="67" spans="1:2" x14ac:dyDescent="0.3">
      <c r="A67" s="105">
        <v>32000</v>
      </c>
      <c r="B67" s="4">
        <f t="shared" si="0"/>
        <v>2448</v>
      </c>
    </row>
    <row r="68" spans="1:2" x14ac:dyDescent="0.3">
      <c r="A68" s="105">
        <v>32500</v>
      </c>
      <c r="B68" s="4">
        <f t="shared" ref="B68:B131" si="1">A68*0.0765</f>
        <v>2486.25</v>
      </c>
    </row>
    <row r="69" spans="1:2" x14ac:dyDescent="0.3">
      <c r="A69" s="105">
        <v>33000</v>
      </c>
      <c r="B69" s="4">
        <f t="shared" si="1"/>
        <v>2524.5</v>
      </c>
    </row>
    <row r="70" spans="1:2" x14ac:dyDescent="0.3">
      <c r="A70" s="105">
        <v>33500</v>
      </c>
      <c r="B70" s="4">
        <f t="shared" si="1"/>
        <v>2562.75</v>
      </c>
    </row>
    <row r="71" spans="1:2" x14ac:dyDescent="0.3">
      <c r="A71" s="105">
        <v>34000</v>
      </c>
      <c r="B71" s="4">
        <f t="shared" si="1"/>
        <v>2601</v>
      </c>
    </row>
    <row r="72" spans="1:2" x14ac:dyDescent="0.3">
      <c r="A72" s="105">
        <v>34500</v>
      </c>
      <c r="B72" s="4">
        <f t="shared" si="1"/>
        <v>2639.25</v>
      </c>
    </row>
    <row r="73" spans="1:2" x14ac:dyDescent="0.3">
      <c r="A73" s="105">
        <v>35000</v>
      </c>
      <c r="B73" s="4">
        <f t="shared" si="1"/>
        <v>2677.5</v>
      </c>
    </row>
    <row r="74" spans="1:2" x14ac:dyDescent="0.3">
      <c r="A74" s="105">
        <v>35500</v>
      </c>
      <c r="B74" s="4">
        <f t="shared" si="1"/>
        <v>2715.75</v>
      </c>
    </row>
    <row r="75" spans="1:2" x14ac:dyDescent="0.3">
      <c r="A75" s="105">
        <v>36000</v>
      </c>
      <c r="B75" s="4">
        <f t="shared" si="1"/>
        <v>2754</v>
      </c>
    </row>
    <row r="76" spans="1:2" x14ac:dyDescent="0.3">
      <c r="A76" s="105">
        <v>36500</v>
      </c>
      <c r="B76" s="4">
        <f t="shared" si="1"/>
        <v>2792.25</v>
      </c>
    </row>
    <row r="77" spans="1:2" x14ac:dyDescent="0.3">
      <c r="A77" s="105">
        <v>37000</v>
      </c>
      <c r="B77" s="4">
        <f t="shared" si="1"/>
        <v>2830.5</v>
      </c>
    </row>
    <row r="78" spans="1:2" x14ac:dyDescent="0.3">
      <c r="A78" s="105">
        <v>37500</v>
      </c>
      <c r="B78" s="4">
        <f t="shared" si="1"/>
        <v>2868.75</v>
      </c>
    </row>
    <row r="79" spans="1:2" x14ac:dyDescent="0.3">
      <c r="A79" s="105">
        <v>38000</v>
      </c>
      <c r="B79" s="4">
        <f t="shared" si="1"/>
        <v>2907</v>
      </c>
    </row>
    <row r="80" spans="1:2" x14ac:dyDescent="0.3">
      <c r="A80" s="105">
        <v>38500</v>
      </c>
      <c r="B80" s="4">
        <f t="shared" si="1"/>
        <v>2945.25</v>
      </c>
    </row>
    <row r="81" spans="1:2" x14ac:dyDescent="0.3">
      <c r="A81" s="105">
        <v>39000</v>
      </c>
      <c r="B81" s="4">
        <f t="shared" si="1"/>
        <v>2983.5</v>
      </c>
    </row>
    <row r="82" spans="1:2" x14ac:dyDescent="0.3">
      <c r="A82" s="105">
        <v>39500</v>
      </c>
      <c r="B82" s="4">
        <f t="shared" si="1"/>
        <v>3021.75</v>
      </c>
    </row>
    <row r="83" spans="1:2" x14ac:dyDescent="0.3">
      <c r="A83" s="105">
        <v>40000</v>
      </c>
      <c r="B83" s="4">
        <f t="shared" si="1"/>
        <v>3060</v>
      </c>
    </row>
    <row r="84" spans="1:2" x14ac:dyDescent="0.3">
      <c r="A84" s="105">
        <v>40500</v>
      </c>
      <c r="B84" s="4">
        <f t="shared" si="1"/>
        <v>3098.25</v>
      </c>
    </row>
    <row r="85" spans="1:2" x14ac:dyDescent="0.3">
      <c r="A85" s="105">
        <v>41000</v>
      </c>
      <c r="B85" s="4">
        <f t="shared" si="1"/>
        <v>3136.5</v>
      </c>
    </row>
    <row r="86" spans="1:2" x14ac:dyDescent="0.3">
      <c r="A86" s="105">
        <v>41500</v>
      </c>
      <c r="B86" s="4">
        <f t="shared" si="1"/>
        <v>3174.75</v>
      </c>
    </row>
    <row r="87" spans="1:2" x14ac:dyDescent="0.3">
      <c r="A87" s="105">
        <v>42000</v>
      </c>
      <c r="B87" s="4">
        <f t="shared" si="1"/>
        <v>3213</v>
      </c>
    </row>
    <row r="88" spans="1:2" x14ac:dyDescent="0.3">
      <c r="A88" s="105">
        <v>42500</v>
      </c>
      <c r="B88" s="4">
        <f t="shared" si="1"/>
        <v>3251.25</v>
      </c>
    </row>
    <row r="89" spans="1:2" x14ac:dyDescent="0.3">
      <c r="A89" s="105">
        <v>43000</v>
      </c>
      <c r="B89" s="4">
        <f t="shared" si="1"/>
        <v>3289.5</v>
      </c>
    </row>
    <row r="90" spans="1:2" x14ac:dyDescent="0.3">
      <c r="A90" s="105">
        <v>43500</v>
      </c>
      <c r="B90" s="4">
        <f t="shared" si="1"/>
        <v>3327.75</v>
      </c>
    </row>
    <row r="91" spans="1:2" x14ac:dyDescent="0.3">
      <c r="A91" s="105">
        <v>44000</v>
      </c>
      <c r="B91" s="4">
        <f t="shared" si="1"/>
        <v>3366</v>
      </c>
    </row>
    <row r="92" spans="1:2" x14ac:dyDescent="0.3">
      <c r="A92" s="105">
        <v>44500</v>
      </c>
      <c r="B92" s="4">
        <f t="shared" si="1"/>
        <v>3404.25</v>
      </c>
    </row>
    <row r="93" spans="1:2" x14ac:dyDescent="0.3">
      <c r="A93" s="105">
        <v>45000</v>
      </c>
      <c r="B93" s="4">
        <f t="shared" si="1"/>
        <v>3442.5</v>
      </c>
    </row>
    <row r="94" spans="1:2" x14ac:dyDescent="0.3">
      <c r="A94" s="105">
        <v>45500</v>
      </c>
      <c r="B94" s="4">
        <f t="shared" si="1"/>
        <v>3480.75</v>
      </c>
    </row>
    <row r="95" spans="1:2" x14ac:dyDescent="0.3">
      <c r="A95" s="105">
        <v>46000</v>
      </c>
      <c r="B95" s="4">
        <f t="shared" si="1"/>
        <v>3519</v>
      </c>
    </row>
    <row r="96" spans="1:2" x14ac:dyDescent="0.3">
      <c r="A96" s="105">
        <v>46500</v>
      </c>
      <c r="B96" s="4">
        <f t="shared" si="1"/>
        <v>3557.25</v>
      </c>
    </row>
    <row r="97" spans="1:2" x14ac:dyDescent="0.3">
      <c r="A97" s="105">
        <v>47000</v>
      </c>
      <c r="B97" s="4">
        <f t="shared" si="1"/>
        <v>3595.5</v>
      </c>
    </row>
    <row r="98" spans="1:2" x14ac:dyDescent="0.3">
      <c r="A98" s="105">
        <v>47500</v>
      </c>
      <c r="B98" s="4">
        <f t="shared" si="1"/>
        <v>3633.75</v>
      </c>
    </row>
    <row r="99" spans="1:2" x14ac:dyDescent="0.3">
      <c r="A99" s="105">
        <v>48000</v>
      </c>
      <c r="B99" s="4">
        <f t="shared" si="1"/>
        <v>3672</v>
      </c>
    </row>
    <row r="100" spans="1:2" x14ac:dyDescent="0.3">
      <c r="A100" s="105">
        <v>48500</v>
      </c>
      <c r="B100" s="4">
        <f t="shared" si="1"/>
        <v>3710.25</v>
      </c>
    </row>
    <row r="101" spans="1:2" x14ac:dyDescent="0.3">
      <c r="A101" s="105">
        <v>49000</v>
      </c>
      <c r="B101" s="4">
        <f t="shared" si="1"/>
        <v>3748.5</v>
      </c>
    </row>
    <row r="102" spans="1:2" x14ac:dyDescent="0.3">
      <c r="A102" s="105">
        <v>49500</v>
      </c>
      <c r="B102" s="4">
        <f t="shared" si="1"/>
        <v>3786.75</v>
      </c>
    </row>
    <row r="103" spans="1:2" x14ac:dyDescent="0.3">
      <c r="A103" s="105">
        <v>50000</v>
      </c>
      <c r="B103" s="4">
        <f t="shared" si="1"/>
        <v>3825</v>
      </c>
    </row>
    <row r="104" spans="1:2" x14ac:dyDescent="0.3">
      <c r="A104" s="105">
        <v>50500</v>
      </c>
      <c r="B104" s="4">
        <f t="shared" si="1"/>
        <v>3863.25</v>
      </c>
    </row>
    <row r="105" spans="1:2" x14ac:dyDescent="0.3">
      <c r="A105" s="105">
        <v>51000</v>
      </c>
      <c r="B105" s="4">
        <f t="shared" si="1"/>
        <v>3901.5</v>
      </c>
    </row>
    <row r="106" spans="1:2" x14ac:dyDescent="0.3">
      <c r="A106" s="105">
        <v>51500</v>
      </c>
      <c r="B106" s="4">
        <f t="shared" si="1"/>
        <v>3939.75</v>
      </c>
    </row>
    <row r="107" spans="1:2" x14ac:dyDescent="0.3">
      <c r="A107" s="105">
        <v>52000</v>
      </c>
      <c r="B107" s="4">
        <f t="shared" si="1"/>
        <v>3978</v>
      </c>
    </row>
    <row r="108" spans="1:2" x14ac:dyDescent="0.3">
      <c r="A108" s="105">
        <v>52500</v>
      </c>
      <c r="B108" s="4">
        <f t="shared" si="1"/>
        <v>4016.25</v>
      </c>
    </row>
    <row r="109" spans="1:2" x14ac:dyDescent="0.3">
      <c r="A109" s="105">
        <v>53000</v>
      </c>
      <c r="B109" s="4">
        <f t="shared" si="1"/>
        <v>4054.5</v>
      </c>
    </row>
    <row r="110" spans="1:2" x14ac:dyDescent="0.3">
      <c r="A110" s="105">
        <v>53500</v>
      </c>
      <c r="B110" s="4">
        <f t="shared" si="1"/>
        <v>4092.75</v>
      </c>
    </row>
    <row r="111" spans="1:2" x14ac:dyDescent="0.3">
      <c r="A111" s="105">
        <v>54000</v>
      </c>
      <c r="B111" s="4">
        <f t="shared" si="1"/>
        <v>4131</v>
      </c>
    </row>
    <row r="112" spans="1:2" x14ac:dyDescent="0.3">
      <c r="A112" s="105">
        <v>54500</v>
      </c>
      <c r="B112" s="4">
        <f t="shared" si="1"/>
        <v>4169.25</v>
      </c>
    </row>
    <row r="113" spans="1:2" x14ac:dyDescent="0.3">
      <c r="A113" s="105">
        <v>55000</v>
      </c>
      <c r="B113" s="4">
        <f t="shared" si="1"/>
        <v>4207.5</v>
      </c>
    </row>
    <row r="114" spans="1:2" x14ac:dyDescent="0.3">
      <c r="A114" s="105">
        <v>55500</v>
      </c>
      <c r="B114" s="4">
        <f t="shared" si="1"/>
        <v>4245.75</v>
      </c>
    </row>
    <row r="115" spans="1:2" x14ac:dyDescent="0.3">
      <c r="A115" s="105">
        <v>56000</v>
      </c>
      <c r="B115" s="4">
        <f t="shared" si="1"/>
        <v>4284</v>
      </c>
    </row>
    <row r="116" spans="1:2" x14ac:dyDescent="0.3">
      <c r="A116" s="105">
        <v>56500</v>
      </c>
      <c r="B116" s="4">
        <f t="shared" si="1"/>
        <v>4322.25</v>
      </c>
    </row>
    <row r="117" spans="1:2" x14ac:dyDescent="0.3">
      <c r="A117" s="105">
        <v>57000</v>
      </c>
      <c r="B117" s="4">
        <f t="shared" si="1"/>
        <v>4360.5</v>
      </c>
    </row>
    <row r="118" spans="1:2" x14ac:dyDescent="0.3">
      <c r="A118" s="105">
        <v>57500</v>
      </c>
      <c r="B118" s="4">
        <f t="shared" si="1"/>
        <v>4398.75</v>
      </c>
    </row>
    <row r="119" spans="1:2" x14ac:dyDescent="0.3">
      <c r="A119" s="105">
        <v>58000</v>
      </c>
      <c r="B119" s="4">
        <f t="shared" si="1"/>
        <v>4437</v>
      </c>
    </row>
    <row r="120" spans="1:2" x14ac:dyDescent="0.3">
      <c r="A120" s="105">
        <v>58500</v>
      </c>
      <c r="B120" s="4">
        <f t="shared" si="1"/>
        <v>4475.25</v>
      </c>
    </row>
    <row r="121" spans="1:2" x14ac:dyDescent="0.3">
      <c r="A121" s="105">
        <v>59000</v>
      </c>
      <c r="B121" s="4">
        <f t="shared" si="1"/>
        <v>4513.5</v>
      </c>
    </row>
    <row r="122" spans="1:2" x14ac:dyDescent="0.3">
      <c r="A122" s="105">
        <v>59500</v>
      </c>
      <c r="B122" s="4">
        <f t="shared" si="1"/>
        <v>4551.75</v>
      </c>
    </row>
    <row r="123" spans="1:2" x14ac:dyDescent="0.3">
      <c r="A123" s="105">
        <v>60000</v>
      </c>
      <c r="B123" s="4">
        <f t="shared" si="1"/>
        <v>4590</v>
      </c>
    </row>
    <row r="124" spans="1:2" x14ac:dyDescent="0.3">
      <c r="A124" s="105">
        <v>60500</v>
      </c>
      <c r="B124" s="4">
        <f t="shared" si="1"/>
        <v>4628.25</v>
      </c>
    </row>
    <row r="125" spans="1:2" x14ac:dyDescent="0.3">
      <c r="A125" s="105">
        <v>61000</v>
      </c>
      <c r="B125" s="4">
        <f t="shared" si="1"/>
        <v>4666.5</v>
      </c>
    </row>
    <row r="126" spans="1:2" x14ac:dyDescent="0.3">
      <c r="A126" s="105">
        <v>61500</v>
      </c>
      <c r="B126" s="4">
        <f t="shared" si="1"/>
        <v>4704.75</v>
      </c>
    </row>
    <row r="127" spans="1:2" x14ac:dyDescent="0.3">
      <c r="A127" s="105">
        <v>62000</v>
      </c>
      <c r="B127" s="4">
        <f t="shared" si="1"/>
        <v>4743</v>
      </c>
    </row>
    <row r="128" spans="1:2" x14ac:dyDescent="0.3">
      <c r="A128" s="105">
        <v>62500</v>
      </c>
      <c r="B128" s="4">
        <f t="shared" si="1"/>
        <v>4781.25</v>
      </c>
    </row>
    <row r="129" spans="1:2" x14ac:dyDescent="0.3">
      <c r="A129" s="105">
        <v>63000</v>
      </c>
      <c r="B129" s="4">
        <f t="shared" si="1"/>
        <v>4819.5</v>
      </c>
    </row>
    <row r="130" spans="1:2" x14ac:dyDescent="0.3">
      <c r="A130" s="105">
        <v>63500</v>
      </c>
      <c r="B130" s="4">
        <f t="shared" si="1"/>
        <v>4857.75</v>
      </c>
    </row>
    <row r="131" spans="1:2" x14ac:dyDescent="0.3">
      <c r="A131" s="105">
        <v>64000</v>
      </c>
      <c r="B131" s="4">
        <f t="shared" si="1"/>
        <v>4896</v>
      </c>
    </row>
    <row r="132" spans="1:2" x14ac:dyDescent="0.3">
      <c r="A132" s="105">
        <v>64500</v>
      </c>
      <c r="B132" s="4">
        <f t="shared" ref="B132:B195" si="2">A132*0.0765</f>
        <v>4934.25</v>
      </c>
    </row>
    <row r="133" spans="1:2" x14ac:dyDescent="0.3">
      <c r="A133" s="105">
        <v>65000</v>
      </c>
      <c r="B133" s="4">
        <f t="shared" si="2"/>
        <v>4972.5</v>
      </c>
    </row>
    <row r="134" spans="1:2" x14ac:dyDescent="0.3">
      <c r="A134" s="105">
        <v>65500</v>
      </c>
      <c r="B134" s="4">
        <f t="shared" si="2"/>
        <v>5010.75</v>
      </c>
    </row>
    <row r="135" spans="1:2" x14ac:dyDescent="0.3">
      <c r="A135" s="105">
        <v>66000</v>
      </c>
      <c r="B135" s="4">
        <f t="shared" si="2"/>
        <v>5049</v>
      </c>
    </row>
    <row r="136" spans="1:2" x14ac:dyDescent="0.3">
      <c r="A136" s="105">
        <v>66500</v>
      </c>
      <c r="B136" s="4">
        <f t="shared" si="2"/>
        <v>5087.25</v>
      </c>
    </row>
    <row r="137" spans="1:2" x14ac:dyDescent="0.3">
      <c r="A137" s="105">
        <v>67000</v>
      </c>
      <c r="B137" s="4">
        <f t="shared" si="2"/>
        <v>5125.5</v>
      </c>
    </row>
    <row r="138" spans="1:2" x14ac:dyDescent="0.3">
      <c r="A138" s="105">
        <v>67500</v>
      </c>
      <c r="B138" s="4">
        <f t="shared" si="2"/>
        <v>5163.75</v>
      </c>
    </row>
    <row r="139" spans="1:2" x14ac:dyDescent="0.3">
      <c r="A139" s="105">
        <v>68000</v>
      </c>
      <c r="B139" s="4">
        <f t="shared" si="2"/>
        <v>5202</v>
      </c>
    </row>
    <row r="140" spans="1:2" x14ac:dyDescent="0.3">
      <c r="A140" s="105">
        <v>68500</v>
      </c>
      <c r="B140" s="4">
        <f t="shared" si="2"/>
        <v>5240.25</v>
      </c>
    </row>
    <row r="141" spans="1:2" x14ac:dyDescent="0.3">
      <c r="A141" s="105">
        <v>69000</v>
      </c>
      <c r="B141" s="4">
        <f t="shared" si="2"/>
        <v>5278.5</v>
      </c>
    </row>
    <row r="142" spans="1:2" x14ac:dyDescent="0.3">
      <c r="A142" s="105">
        <v>69500</v>
      </c>
      <c r="B142" s="4">
        <f t="shared" si="2"/>
        <v>5316.75</v>
      </c>
    </row>
    <row r="143" spans="1:2" x14ac:dyDescent="0.3">
      <c r="A143" s="105">
        <v>70000</v>
      </c>
      <c r="B143" s="4">
        <f t="shared" si="2"/>
        <v>5355</v>
      </c>
    </row>
    <row r="144" spans="1:2" x14ac:dyDescent="0.3">
      <c r="A144" s="105">
        <v>70500</v>
      </c>
      <c r="B144" s="4">
        <f t="shared" si="2"/>
        <v>5393.25</v>
      </c>
    </row>
    <row r="145" spans="1:2" x14ac:dyDescent="0.3">
      <c r="A145" s="105">
        <v>71000</v>
      </c>
      <c r="B145" s="4">
        <f t="shared" si="2"/>
        <v>5431.5</v>
      </c>
    </row>
    <row r="146" spans="1:2" x14ac:dyDescent="0.3">
      <c r="A146" s="105">
        <v>71500</v>
      </c>
      <c r="B146" s="4">
        <f t="shared" si="2"/>
        <v>5469.75</v>
      </c>
    </row>
    <row r="147" spans="1:2" x14ac:dyDescent="0.3">
      <c r="A147" s="105">
        <v>72000</v>
      </c>
      <c r="B147" s="4">
        <f t="shared" si="2"/>
        <v>5508</v>
      </c>
    </row>
    <row r="148" spans="1:2" x14ac:dyDescent="0.3">
      <c r="A148" s="105">
        <v>72500</v>
      </c>
      <c r="B148" s="4">
        <f t="shared" si="2"/>
        <v>5546.25</v>
      </c>
    </row>
    <row r="149" spans="1:2" x14ac:dyDescent="0.3">
      <c r="A149" s="105">
        <v>73000</v>
      </c>
      <c r="B149" s="4">
        <f t="shared" si="2"/>
        <v>5584.5</v>
      </c>
    </row>
    <row r="150" spans="1:2" x14ac:dyDescent="0.3">
      <c r="A150" s="105">
        <v>73500</v>
      </c>
      <c r="B150" s="4">
        <f t="shared" si="2"/>
        <v>5622.75</v>
      </c>
    </row>
    <row r="151" spans="1:2" x14ac:dyDescent="0.3">
      <c r="A151" s="105">
        <v>74000</v>
      </c>
      <c r="B151" s="4">
        <f t="shared" si="2"/>
        <v>5661</v>
      </c>
    </row>
    <row r="152" spans="1:2" x14ac:dyDescent="0.3">
      <c r="A152" s="105">
        <v>74500</v>
      </c>
      <c r="B152" s="4">
        <f t="shared" si="2"/>
        <v>5699.25</v>
      </c>
    </row>
    <row r="153" spans="1:2" x14ac:dyDescent="0.3">
      <c r="A153" s="105">
        <v>75000</v>
      </c>
      <c r="B153" s="4">
        <f t="shared" si="2"/>
        <v>5737.5</v>
      </c>
    </row>
    <row r="154" spans="1:2" x14ac:dyDescent="0.3">
      <c r="A154" s="105">
        <v>75500</v>
      </c>
      <c r="B154" s="4">
        <f t="shared" si="2"/>
        <v>5775.75</v>
      </c>
    </row>
    <row r="155" spans="1:2" x14ac:dyDescent="0.3">
      <c r="A155" s="105">
        <v>76000</v>
      </c>
      <c r="B155" s="4">
        <f t="shared" si="2"/>
        <v>5814</v>
      </c>
    </row>
    <row r="156" spans="1:2" x14ac:dyDescent="0.3">
      <c r="A156" s="105">
        <v>76500</v>
      </c>
      <c r="B156" s="4">
        <f t="shared" si="2"/>
        <v>5852.25</v>
      </c>
    </row>
    <row r="157" spans="1:2" x14ac:dyDescent="0.3">
      <c r="A157" s="105">
        <v>77000</v>
      </c>
      <c r="B157" s="4">
        <f t="shared" si="2"/>
        <v>5890.5</v>
      </c>
    </row>
    <row r="158" spans="1:2" x14ac:dyDescent="0.3">
      <c r="A158" s="105">
        <v>77500</v>
      </c>
      <c r="B158" s="4">
        <f t="shared" si="2"/>
        <v>5928.75</v>
      </c>
    </row>
    <row r="159" spans="1:2" x14ac:dyDescent="0.3">
      <c r="A159" s="105">
        <v>78000</v>
      </c>
      <c r="B159" s="4">
        <f t="shared" si="2"/>
        <v>5967</v>
      </c>
    </row>
    <row r="160" spans="1:2" x14ac:dyDescent="0.3">
      <c r="A160" s="105">
        <v>78500</v>
      </c>
      <c r="B160" s="4">
        <f t="shared" si="2"/>
        <v>6005.25</v>
      </c>
    </row>
    <row r="161" spans="1:2" x14ac:dyDescent="0.3">
      <c r="A161" s="105">
        <v>79000</v>
      </c>
      <c r="B161" s="4">
        <f t="shared" si="2"/>
        <v>6043.5</v>
      </c>
    </row>
    <row r="162" spans="1:2" x14ac:dyDescent="0.3">
      <c r="A162" s="105">
        <v>79500</v>
      </c>
      <c r="B162" s="4">
        <f t="shared" si="2"/>
        <v>6081.75</v>
      </c>
    </row>
    <row r="163" spans="1:2" x14ac:dyDescent="0.3">
      <c r="A163" s="105">
        <v>80000</v>
      </c>
      <c r="B163" s="4">
        <f t="shared" si="2"/>
        <v>6120</v>
      </c>
    </row>
    <row r="164" spans="1:2" x14ac:dyDescent="0.3">
      <c r="A164" s="105">
        <v>80500</v>
      </c>
      <c r="B164" s="4">
        <f t="shared" si="2"/>
        <v>6158.25</v>
      </c>
    </row>
    <row r="165" spans="1:2" x14ac:dyDescent="0.3">
      <c r="A165" s="105">
        <v>81000</v>
      </c>
      <c r="B165" s="4">
        <f t="shared" si="2"/>
        <v>6196.5</v>
      </c>
    </row>
    <row r="166" spans="1:2" x14ac:dyDescent="0.3">
      <c r="A166" s="105">
        <v>81500</v>
      </c>
      <c r="B166" s="4">
        <f t="shared" si="2"/>
        <v>6234.75</v>
      </c>
    </row>
    <row r="167" spans="1:2" x14ac:dyDescent="0.3">
      <c r="A167" s="105">
        <v>82000</v>
      </c>
      <c r="B167" s="4">
        <f t="shared" si="2"/>
        <v>6273</v>
      </c>
    </row>
    <row r="168" spans="1:2" x14ac:dyDescent="0.3">
      <c r="A168" s="105">
        <v>82500</v>
      </c>
      <c r="B168" s="4">
        <f t="shared" si="2"/>
        <v>6311.25</v>
      </c>
    </row>
    <row r="169" spans="1:2" x14ac:dyDescent="0.3">
      <c r="A169" s="105">
        <v>83000</v>
      </c>
      <c r="B169" s="4">
        <f t="shared" si="2"/>
        <v>6349.5</v>
      </c>
    </row>
    <row r="170" spans="1:2" x14ac:dyDescent="0.3">
      <c r="A170" s="105">
        <v>83500</v>
      </c>
      <c r="B170" s="4">
        <f t="shared" si="2"/>
        <v>6387.75</v>
      </c>
    </row>
    <row r="171" spans="1:2" x14ac:dyDescent="0.3">
      <c r="A171" s="105">
        <v>84000</v>
      </c>
      <c r="B171" s="4">
        <f t="shared" si="2"/>
        <v>6426</v>
      </c>
    </row>
    <row r="172" spans="1:2" x14ac:dyDescent="0.3">
      <c r="A172" s="105">
        <v>84500</v>
      </c>
      <c r="B172" s="4">
        <f t="shared" si="2"/>
        <v>6464.25</v>
      </c>
    </row>
    <row r="173" spans="1:2" x14ac:dyDescent="0.3">
      <c r="A173" s="105">
        <v>85000</v>
      </c>
      <c r="B173" s="4">
        <f t="shared" si="2"/>
        <v>6502.5</v>
      </c>
    </row>
    <row r="174" spans="1:2" x14ac:dyDescent="0.3">
      <c r="A174" s="105">
        <v>85500</v>
      </c>
      <c r="B174" s="4">
        <f t="shared" si="2"/>
        <v>6540.75</v>
      </c>
    </row>
    <row r="175" spans="1:2" x14ac:dyDescent="0.3">
      <c r="A175" s="105">
        <v>86000</v>
      </c>
      <c r="B175" s="4">
        <f t="shared" si="2"/>
        <v>6579</v>
      </c>
    </row>
    <row r="176" spans="1:2" x14ac:dyDescent="0.3">
      <c r="A176" s="105">
        <v>86500</v>
      </c>
      <c r="B176" s="4">
        <f t="shared" si="2"/>
        <v>6617.25</v>
      </c>
    </row>
    <row r="177" spans="1:2" x14ac:dyDescent="0.3">
      <c r="A177" s="105">
        <v>87000</v>
      </c>
      <c r="B177" s="4">
        <f t="shared" si="2"/>
        <v>6655.5</v>
      </c>
    </row>
    <row r="178" spans="1:2" x14ac:dyDescent="0.3">
      <c r="A178" s="105">
        <v>87500</v>
      </c>
      <c r="B178" s="4">
        <f t="shared" si="2"/>
        <v>6693.75</v>
      </c>
    </row>
    <row r="179" spans="1:2" x14ac:dyDescent="0.3">
      <c r="A179" s="105">
        <v>88000</v>
      </c>
      <c r="B179" s="4">
        <f t="shared" si="2"/>
        <v>6732</v>
      </c>
    </row>
    <row r="180" spans="1:2" x14ac:dyDescent="0.3">
      <c r="A180" s="105">
        <v>88500</v>
      </c>
      <c r="B180" s="4">
        <f t="shared" si="2"/>
        <v>6770.25</v>
      </c>
    </row>
    <row r="181" spans="1:2" x14ac:dyDescent="0.3">
      <c r="A181" s="105">
        <v>89000</v>
      </c>
      <c r="B181" s="4">
        <f t="shared" si="2"/>
        <v>6808.5</v>
      </c>
    </row>
    <row r="182" spans="1:2" x14ac:dyDescent="0.3">
      <c r="A182" s="105">
        <v>89500</v>
      </c>
      <c r="B182" s="4">
        <f t="shared" si="2"/>
        <v>6846.75</v>
      </c>
    </row>
    <row r="183" spans="1:2" x14ac:dyDescent="0.3">
      <c r="A183" s="105">
        <v>90000</v>
      </c>
      <c r="B183" s="4">
        <f t="shared" si="2"/>
        <v>6885</v>
      </c>
    </row>
    <row r="184" spans="1:2" x14ac:dyDescent="0.3">
      <c r="A184" s="105">
        <v>90500</v>
      </c>
      <c r="B184" s="4">
        <f t="shared" si="2"/>
        <v>6923.25</v>
      </c>
    </row>
    <row r="185" spans="1:2" x14ac:dyDescent="0.3">
      <c r="A185" s="105">
        <v>91000</v>
      </c>
      <c r="B185" s="4">
        <f t="shared" si="2"/>
        <v>6961.5</v>
      </c>
    </row>
    <row r="186" spans="1:2" x14ac:dyDescent="0.3">
      <c r="A186" s="105">
        <v>91500</v>
      </c>
      <c r="B186" s="4">
        <f t="shared" si="2"/>
        <v>6999.75</v>
      </c>
    </row>
    <row r="187" spans="1:2" x14ac:dyDescent="0.3">
      <c r="A187" s="105">
        <v>92000</v>
      </c>
      <c r="B187" s="4">
        <f t="shared" si="2"/>
        <v>7038</v>
      </c>
    </row>
    <row r="188" spans="1:2" x14ac:dyDescent="0.3">
      <c r="A188" s="105">
        <v>92500</v>
      </c>
      <c r="B188" s="4">
        <f t="shared" si="2"/>
        <v>7076.25</v>
      </c>
    </row>
    <row r="189" spans="1:2" x14ac:dyDescent="0.3">
      <c r="A189" s="105">
        <v>93000</v>
      </c>
      <c r="B189" s="4">
        <f t="shared" si="2"/>
        <v>7114.5</v>
      </c>
    </row>
    <row r="190" spans="1:2" x14ac:dyDescent="0.3">
      <c r="A190" s="105">
        <v>93500</v>
      </c>
      <c r="B190" s="4">
        <f t="shared" si="2"/>
        <v>7152.75</v>
      </c>
    </row>
    <row r="191" spans="1:2" x14ac:dyDescent="0.3">
      <c r="A191" s="105">
        <v>94000</v>
      </c>
      <c r="B191" s="4">
        <f t="shared" si="2"/>
        <v>7191</v>
      </c>
    </row>
    <row r="192" spans="1:2" x14ac:dyDescent="0.3">
      <c r="A192" s="105">
        <v>94500</v>
      </c>
      <c r="B192" s="4">
        <f t="shared" si="2"/>
        <v>7229.25</v>
      </c>
    </row>
    <row r="193" spans="1:2" x14ac:dyDescent="0.3">
      <c r="A193" s="105">
        <v>95000</v>
      </c>
      <c r="B193" s="4">
        <f t="shared" si="2"/>
        <v>7267.5</v>
      </c>
    </row>
    <row r="194" spans="1:2" x14ac:dyDescent="0.3">
      <c r="A194" s="105">
        <v>95500</v>
      </c>
      <c r="B194" s="4">
        <f t="shared" si="2"/>
        <v>7305.75</v>
      </c>
    </row>
    <row r="195" spans="1:2" x14ac:dyDescent="0.3">
      <c r="A195" s="105">
        <v>96000</v>
      </c>
      <c r="B195" s="4">
        <f t="shared" si="2"/>
        <v>7344</v>
      </c>
    </row>
    <row r="196" spans="1:2" x14ac:dyDescent="0.3">
      <c r="A196" s="105">
        <v>96500</v>
      </c>
      <c r="B196" s="4">
        <f t="shared" ref="B196:B203" si="3">A196*0.0765</f>
        <v>7382.25</v>
      </c>
    </row>
    <row r="197" spans="1:2" x14ac:dyDescent="0.3">
      <c r="A197" s="105">
        <v>97000</v>
      </c>
      <c r="B197" s="4">
        <f t="shared" si="3"/>
        <v>7420.5</v>
      </c>
    </row>
    <row r="198" spans="1:2" x14ac:dyDescent="0.3">
      <c r="A198" s="105">
        <v>97500</v>
      </c>
      <c r="B198" s="4">
        <f t="shared" si="3"/>
        <v>7458.75</v>
      </c>
    </row>
    <row r="199" spans="1:2" x14ac:dyDescent="0.3">
      <c r="A199" s="105">
        <v>98000</v>
      </c>
      <c r="B199" s="4">
        <f t="shared" si="3"/>
        <v>7497</v>
      </c>
    </row>
    <row r="200" spans="1:2" x14ac:dyDescent="0.3">
      <c r="A200" s="105">
        <v>98500</v>
      </c>
      <c r="B200" s="4">
        <f t="shared" si="3"/>
        <v>7535.25</v>
      </c>
    </row>
    <row r="201" spans="1:2" x14ac:dyDescent="0.3">
      <c r="A201" s="105">
        <v>99000</v>
      </c>
      <c r="B201" s="4">
        <f t="shared" si="3"/>
        <v>7573.5</v>
      </c>
    </row>
    <row r="202" spans="1:2" x14ac:dyDescent="0.3">
      <c r="A202" s="105">
        <v>99500</v>
      </c>
      <c r="B202" s="4">
        <f t="shared" si="3"/>
        <v>7611.75</v>
      </c>
    </row>
    <row r="203" spans="1:2" x14ac:dyDescent="0.3">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4.4" x14ac:dyDescent="0.3"/>
  <cols>
    <col min="1" max="1" width="28.109375" customWidth="1"/>
    <col min="2" max="2" width="9.5546875" customWidth="1"/>
    <col min="3" max="3" width="8.6640625" customWidth="1"/>
    <col min="4" max="50" width="8.5546875" customWidth="1"/>
    <col min="51" max="51" width="15" customWidth="1"/>
    <col min="52" max="52" width="11.6640625" customWidth="1"/>
    <col min="53" max="53" width="12.88671875" customWidth="1"/>
  </cols>
  <sheetData>
    <row r="1" spans="1:61" x14ac:dyDescent="0.3">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3">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3">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3">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3">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3">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3">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3">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3">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3">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3">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3">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3">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3">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3">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3">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3">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3">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3">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3">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3">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3">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3">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3">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3">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3">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3">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3">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3">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3">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3">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3">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3">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3">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3">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3">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3">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3">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3">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3">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3">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3">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3">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3">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3">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3">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3">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3">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3">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3">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3">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3">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3">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3">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3">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3">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3">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3">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3">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3">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3">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3">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3">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3">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3">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3">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3">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3">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3">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3">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3">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3">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3">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3">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3">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3">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3">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3">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3">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3">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3">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3">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3">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3">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3">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3">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3">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3">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3">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3">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3">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3">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3">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3">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3">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3">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3">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3">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3">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3">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3">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3">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3">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3">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3">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3">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3">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3">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3">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3">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3">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3">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3">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3">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3">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3">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3">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3">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3">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3">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3">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3">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3">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3">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3">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3">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3">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3">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3">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3">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3">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3">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3">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3">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3">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3">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3">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3">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4.4" x14ac:dyDescent="0.3"/>
  <cols>
    <col min="1" max="1" width="26.109375" customWidth="1"/>
    <col min="2" max="2" width="20" style="29" customWidth="1"/>
    <col min="3" max="9" width="16.109375" customWidth="1"/>
  </cols>
  <sheetData>
    <row r="2" spans="1:7" ht="45" customHeight="1" x14ac:dyDescent="0.3">
      <c r="A2" s="467" t="s">
        <v>633</v>
      </c>
      <c r="B2" s="467"/>
      <c r="C2" s="467"/>
    </row>
    <row r="4" spans="1:7" x14ac:dyDescent="0.3">
      <c r="A4" t="s">
        <v>619</v>
      </c>
    </row>
    <row r="5" spans="1:7" x14ac:dyDescent="0.3">
      <c r="A5" t="s">
        <v>305</v>
      </c>
      <c r="B5" s="29" t="s">
        <v>391</v>
      </c>
      <c r="C5" t="s">
        <v>392</v>
      </c>
      <c r="D5" t="s">
        <v>393</v>
      </c>
      <c r="E5" t="s">
        <v>394</v>
      </c>
      <c r="F5" t="s">
        <v>395</v>
      </c>
      <c r="G5" t="s">
        <v>396</v>
      </c>
    </row>
    <row r="6" spans="1:7" x14ac:dyDescent="0.3">
      <c r="A6">
        <v>0</v>
      </c>
      <c r="B6" s="29">
        <v>18591</v>
      </c>
      <c r="C6" s="29">
        <v>632</v>
      </c>
      <c r="D6" s="147">
        <v>7.6499999999999999E-2</v>
      </c>
      <c r="E6" s="41">
        <v>7.6499999999999999E-2</v>
      </c>
      <c r="F6" s="29">
        <v>4220</v>
      </c>
      <c r="G6" s="29">
        <v>5280</v>
      </c>
    </row>
    <row r="7" spans="1:7" x14ac:dyDescent="0.3">
      <c r="A7">
        <v>1</v>
      </c>
      <c r="B7" s="29">
        <v>49084</v>
      </c>
      <c r="C7" s="29">
        <v>4213</v>
      </c>
      <c r="D7" s="147">
        <v>0.34</v>
      </c>
      <c r="E7" s="41">
        <v>0.1598</v>
      </c>
      <c r="F7" s="29">
        <v>6330</v>
      </c>
      <c r="G7" s="29">
        <v>11610</v>
      </c>
    </row>
    <row r="8" spans="1:7" x14ac:dyDescent="0.3">
      <c r="A8">
        <v>2</v>
      </c>
      <c r="B8" s="29">
        <v>55768</v>
      </c>
      <c r="C8" s="29">
        <v>6960</v>
      </c>
      <c r="D8" s="147">
        <v>0.4</v>
      </c>
      <c r="E8" s="41">
        <v>0.21060000000000001</v>
      </c>
      <c r="F8" s="29">
        <v>8890</v>
      </c>
      <c r="G8" s="29">
        <v>11610</v>
      </c>
    </row>
    <row r="9" spans="1:7" x14ac:dyDescent="0.3">
      <c r="A9">
        <v>3</v>
      </c>
      <c r="B9" s="29">
        <v>59899</v>
      </c>
      <c r="C9" s="29">
        <v>7830</v>
      </c>
      <c r="D9" s="147">
        <v>0.45</v>
      </c>
      <c r="E9" s="41">
        <v>0.21060000000000001</v>
      </c>
      <c r="F9" s="29">
        <v>8890</v>
      </c>
      <c r="G9" s="29">
        <v>11610</v>
      </c>
    </row>
    <row r="10" spans="1:7" x14ac:dyDescent="0.3">
      <c r="A10">
        <v>4</v>
      </c>
      <c r="B10" s="29">
        <v>59899</v>
      </c>
      <c r="C10" s="29">
        <v>7830</v>
      </c>
      <c r="D10" s="147">
        <v>0.45</v>
      </c>
      <c r="E10" s="41">
        <v>0.21060000000000001</v>
      </c>
      <c r="F10" s="29">
        <v>8890</v>
      </c>
      <c r="G10" s="29">
        <v>11610</v>
      </c>
    </row>
    <row r="11" spans="1:7" x14ac:dyDescent="0.3">
      <c r="A11">
        <v>5</v>
      </c>
      <c r="B11" s="29">
        <v>59899</v>
      </c>
      <c r="C11" s="29">
        <v>7830</v>
      </c>
      <c r="D11" s="147">
        <v>0.45</v>
      </c>
      <c r="E11" s="41">
        <v>0.21060000000000001</v>
      </c>
      <c r="F11" s="29">
        <v>8890</v>
      </c>
      <c r="G11" s="29">
        <v>11610</v>
      </c>
    </row>
    <row r="12" spans="1:7" x14ac:dyDescent="0.3">
      <c r="A12">
        <v>6</v>
      </c>
      <c r="B12" s="29">
        <v>59899</v>
      </c>
      <c r="C12" s="29">
        <v>7830</v>
      </c>
      <c r="D12" s="147">
        <v>0.45</v>
      </c>
      <c r="E12" s="41">
        <v>0.21060000000000001</v>
      </c>
      <c r="F12" s="29">
        <v>8890</v>
      </c>
      <c r="G12" s="29">
        <v>11610</v>
      </c>
    </row>
    <row r="13" spans="1:7" x14ac:dyDescent="0.3">
      <c r="A13">
        <v>7</v>
      </c>
      <c r="B13" s="29">
        <v>59899</v>
      </c>
      <c r="C13" s="29">
        <v>7830</v>
      </c>
      <c r="D13" s="147">
        <v>0.45</v>
      </c>
      <c r="E13" s="41">
        <v>0.21060000000000001</v>
      </c>
      <c r="F13" s="29">
        <v>8890</v>
      </c>
      <c r="G13" s="29">
        <v>11610</v>
      </c>
    </row>
    <row r="14" spans="1:7" x14ac:dyDescent="0.3">
      <c r="C14" s="29"/>
    </row>
    <row r="15" spans="1:7" x14ac:dyDescent="0.3">
      <c r="A15" t="s">
        <v>620</v>
      </c>
      <c r="C15" s="29"/>
    </row>
    <row r="16" spans="1:7" x14ac:dyDescent="0.3">
      <c r="A16" t="s">
        <v>305</v>
      </c>
      <c r="C16" s="29"/>
    </row>
    <row r="17" spans="1:7" x14ac:dyDescent="0.3">
      <c r="A17">
        <v>0</v>
      </c>
      <c r="B17" s="29">
        <v>25511</v>
      </c>
      <c r="C17" s="29">
        <v>632</v>
      </c>
      <c r="D17" s="147">
        <v>7.6499999999999999E-2</v>
      </c>
      <c r="E17" s="41">
        <v>6.5000000000000002E-2</v>
      </c>
      <c r="F17" s="29">
        <v>4220</v>
      </c>
      <c r="G17" s="29">
        <f>G6+5000</f>
        <v>10280</v>
      </c>
    </row>
    <row r="18" spans="1:7" x14ac:dyDescent="0.3">
      <c r="A18">
        <v>1</v>
      </c>
      <c r="B18" s="29">
        <v>56004</v>
      </c>
      <c r="C18" s="29">
        <v>4213</v>
      </c>
      <c r="D18" s="147">
        <v>0.34</v>
      </c>
      <c r="E18" s="41">
        <v>0.1598</v>
      </c>
      <c r="F18" s="29">
        <v>6330</v>
      </c>
      <c r="G18" s="29">
        <f t="shared" ref="G18:G24" si="0">G7+5000</f>
        <v>16610</v>
      </c>
    </row>
    <row r="19" spans="1:7" x14ac:dyDescent="0.3">
      <c r="A19">
        <v>2</v>
      </c>
      <c r="B19" s="29">
        <v>62688</v>
      </c>
      <c r="C19" s="29">
        <v>6960</v>
      </c>
      <c r="D19" s="147">
        <v>0.4</v>
      </c>
      <c r="E19" s="41">
        <v>0.21060000000000001</v>
      </c>
      <c r="F19" s="29">
        <v>8890</v>
      </c>
      <c r="G19" s="29">
        <f t="shared" si="0"/>
        <v>16610</v>
      </c>
    </row>
    <row r="20" spans="1:7" x14ac:dyDescent="0.3">
      <c r="A20">
        <v>3</v>
      </c>
      <c r="B20" s="29">
        <v>66819</v>
      </c>
      <c r="C20" s="29">
        <v>7830</v>
      </c>
      <c r="D20" s="147">
        <v>0.45</v>
      </c>
      <c r="E20" s="41">
        <v>0.21060000000000001</v>
      </c>
      <c r="F20" s="29">
        <v>8890</v>
      </c>
      <c r="G20" s="29">
        <f t="shared" si="0"/>
        <v>16610</v>
      </c>
    </row>
    <row r="21" spans="1:7" x14ac:dyDescent="0.3">
      <c r="A21">
        <v>4</v>
      </c>
      <c r="B21" s="29">
        <v>66819</v>
      </c>
      <c r="C21" s="29">
        <v>7830</v>
      </c>
      <c r="D21" s="147">
        <v>0.45</v>
      </c>
      <c r="E21" s="41">
        <v>0.21060000000000001</v>
      </c>
      <c r="F21" s="29">
        <v>8890</v>
      </c>
      <c r="G21" s="29">
        <f t="shared" si="0"/>
        <v>16610</v>
      </c>
    </row>
    <row r="22" spans="1:7" x14ac:dyDescent="0.3">
      <c r="A22">
        <v>5</v>
      </c>
      <c r="B22" s="29">
        <v>66819</v>
      </c>
      <c r="C22" s="29">
        <v>7830</v>
      </c>
      <c r="D22" s="147">
        <v>0.45</v>
      </c>
      <c r="E22" s="41">
        <v>0.21060000000000001</v>
      </c>
      <c r="F22" s="29">
        <v>8890</v>
      </c>
      <c r="G22" s="29">
        <f t="shared" si="0"/>
        <v>16610</v>
      </c>
    </row>
    <row r="23" spans="1:7" x14ac:dyDescent="0.3">
      <c r="A23">
        <v>6</v>
      </c>
      <c r="B23" s="29">
        <v>66819</v>
      </c>
      <c r="C23" s="29">
        <v>7830</v>
      </c>
      <c r="D23" s="147">
        <v>0.45</v>
      </c>
      <c r="E23" s="41">
        <v>0.21060000000000001</v>
      </c>
      <c r="F23" s="29">
        <v>8890</v>
      </c>
      <c r="G23" s="29">
        <f t="shared" si="0"/>
        <v>16610</v>
      </c>
    </row>
    <row r="24" spans="1:7" x14ac:dyDescent="0.3">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4.4" x14ac:dyDescent="0.3"/>
  <cols>
    <col min="1" max="1" width="55" customWidth="1"/>
  </cols>
  <sheetData>
    <row r="1" spans="1:2" x14ac:dyDescent="0.3">
      <c r="A1" s="81" t="s">
        <v>700</v>
      </c>
    </row>
    <row r="2" spans="1:2" x14ac:dyDescent="0.3">
      <c r="A2" t="s">
        <v>637</v>
      </c>
      <c r="B2" t="s">
        <v>733</v>
      </c>
    </row>
    <row r="3" spans="1:2" x14ac:dyDescent="0.3">
      <c r="A3" t="s">
        <v>705</v>
      </c>
      <c r="B3" t="s">
        <v>706</v>
      </c>
    </row>
    <row r="4" spans="1:2" x14ac:dyDescent="0.3">
      <c r="A4" t="s">
        <v>702</v>
      </c>
      <c r="B4" t="s">
        <v>703</v>
      </c>
    </row>
    <row r="5" spans="1:2" x14ac:dyDescent="0.3">
      <c r="A5" t="s">
        <v>642</v>
      </c>
      <c r="B5" s="299" t="s">
        <v>710</v>
      </c>
    </row>
    <row r="6" spans="1:2" x14ac:dyDescent="0.3">
      <c r="A6" t="s">
        <v>638</v>
      </c>
      <c r="B6" s="87" t="s">
        <v>713</v>
      </c>
    </row>
    <row r="7" spans="1:2" x14ac:dyDescent="0.3">
      <c r="A7" t="s">
        <v>715</v>
      </c>
      <c r="B7" s="87" t="s">
        <v>714</v>
      </c>
    </row>
    <row r="8" spans="1:2" x14ac:dyDescent="0.3">
      <c r="B8" s="87"/>
    </row>
    <row r="9" spans="1:2" x14ac:dyDescent="0.3">
      <c r="A9" s="81" t="s">
        <v>634</v>
      </c>
    </row>
    <row r="10" spans="1:2" x14ac:dyDescent="0.3">
      <c r="A10" t="s">
        <v>635</v>
      </c>
      <c r="B10" s="87" t="s">
        <v>636</v>
      </c>
    </row>
    <row r="11" spans="1:2" x14ac:dyDescent="0.3">
      <c r="A11" t="s">
        <v>711</v>
      </c>
      <c r="B11" t="s">
        <v>517</v>
      </c>
    </row>
    <row r="12" spans="1:2" x14ac:dyDescent="0.3">
      <c r="A12" t="s">
        <v>638</v>
      </c>
      <c r="B12" t="s">
        <v>551</v>
      </c>
    </row>
    <row r="13" spans="1:2" x14ac:dyDescent="0.3">
      <c r="A13" t="s">
        <v>639</v>
      </c>
      <c r="B13" t="s">
        <v>716</v>
      </c>
    </row>
    <row r="14" spans="1:2" x14ac:dyDescent="0.3">
      <c r="A14" t="s">
        <v>640</v>
      </c>
      <c r="B14" t="s">
        <v>716</v>
      </c>
    </row>
    <row r="15" spans="1:2" x14ac:dyDescent="0.3">
      <c r="A15" t="s">
        <v>641</v>
      </c>
      <c r="B15" t="s">
        <v>624</v>
      </c>
    </row>
    <row r="16" spans="1:2" x14ac:dyDescent="0.3">
      <c r="A16" t="s">
        <v>643</v>
      </c>
      <c r="B16" s="87" t="s">
        <v>560</v>
      </c>
    </row>
    <row r="17" spans="1:2" x14ac:dyDescent="0.3">
      <c r="A17" t="s">
        <v>709</v>
      </c>
      <c r="B17" s="87" t="s">
        <v>644</v>
      </c>
    </row>
    <row r="19" spans="1:2" x14ac:dyDescent="0.3">
      <c r="A19" s="81" t="s">
        <v>645</v>
      </c>
    </row>
    <row r="20" spans="1:2" x14ac:dyDescent="0.3">
      <c r="A20" t="s">
        <v>646</v>
      </c>
      <c r="B20" t="s">
        <v>647</v>
      </c>
    </row>
    <row r="21" spans="1:2" x14ac:dyDescent="0.3">
      <c r="A21" t="s">
        <v>648</v>
      </c>
      <c r="B21" s="87" t="s">
        <v>527</v>
      </c>
    </row>
    <row r="22" spans="1:2" x14ac:dyDescent="0.3">
      <c r="A22" t="s">
        <v>649</v>
      </c>
      <c r="B22" t="s">
        <v>650</v>
      </c>
    </row>
    <row r="24" spans="1:2" x14ac:dyDescent="0.3">
      <c r="A24" t="s">
        <v>651</v>
      </c>
      <c r="B24" t="s">
        <v>549</v>
      </c>
    </row>
    <row r="25" spans="1:2" x14ac:dyDescent="0.3">
      <c r="A25" t="s">
        <v>638</v>
      </c>
      <c r="B25" t="s">
        <v>652</v>
      </c>
    </row>
    <row r="26" spans="1:2" x14ac:dyDescent="0.3">
      <c r="A26" t="s">
        <v>653</v>
      </c>
      <c r="B26" s="87" t="s">
        <v>654</v>
      </c>
    </row>
    <row r="27" spans="1:2" x14ac:dyDescent="0.3">
      <c r="B27" s="87"/>
    </row>
    <row r="28" spans="1:2" x14ac:dyDescent="0.3">
      <c r="A28" s="81" t="s">
        <v>655</v>
      </c>
    </row>
    <row r="29" spans="1:2" x14ac:dyDescent="0.3">
      <c r="A29" t="s">
        <v>656</v>
      </c>
      <c r="B29" t="s">
        <v>530</v>
      </c>
    </row>
    <row r="31" spans="1:2" x14ac:dyDescent="0.3">
      <c r="A31" s="120">
        <v>2022</v>
      </c>
    </row>
    <row r="32" spans="1:2" x14ac:dyDescent="0.3">
      <c r="A32" t="s">
        <v>657</v>
      </c>
      <c r="B32" t="s">
        <v>537</v>
      </c>
    </row>
    <row r="33" spans="1:2" x14ac:dyDescent="0.3">
      <c r="A33" t="s">
        <v>658</v>
      </c>
      <c r="B33" t="s">
        <v>537</v>
      </c>
    </row>
    <row r="35" spans="1:2" x14ac:dyDescent="0.3">
      <c r="A35" s="120">
        <v>2019</v>
      </c>
    </row>
    <row r="36" spans="1:2" x14ac:dyDescent="0.3">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751CE0-4718-470C-8FF7-4423FA27A85E}">
  <ds:schemaRefs>
    <ds:schemaRef ds:uri="http://schemas.microsoft.com/DataMashup"/>
  </ds:schemaRefs>
</ds:datastoreItem>
</file>

<file path=customXml/itemProps2.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4.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Hunter T Smith</cp:lastModifiedBy>
  <cp:revision/>
  <dcterms:created xsi:type="dcterms:W3CDTF">2024-09-25T05:10:03Z</dcterms:created>
  <dcterms:modified xsi:type="dcterms:W3CDTF">2026-06-25T14:24:17Z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